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leakiness 20230726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35" i="1" l="1"/>
  <c r="T235" i="1" s="1"/>
  <c r="AM235" i="1"/>
  <c r="AL235" i="1"/>
  <c r="AK235" i="1"/>
  <c r="AJ235" i="1"/>
  <c r="AH235" i="1"/>
  <c r="Z235" i="1"/>
  <c r="Y235" i="1"/>
  <c r="X235" i="1"/>
  <c r="Q235" i="1"/>
  <c r="O235" i="1"/>
  <c r="AN234" i="1"/>
  <c r="T234" i="1" s="1"/>
  <c r="AM234" i="1"/>
  <c r="AL234" i="1" s="1"/>
  <c r="AK234" i="1"/>
  <c r="AJ234" i="1"/>
  <c r="AH234" i="1" s="1"/>
  <c r="O234" i="1" s="1"/>
  <c r="Z234" i="1"/>
  <c r="X234" i="1" s="1"/>
  <c r="Y234" i="1"/>
  <c r="Q234" i="1"/>
  <c r="AN233" i="1"/>
  <c r="AM233" i="1"/>
  <c r="AK233" i="1"/>
  <c r="AL233" i="1" s="1"/>
  <c r="AJ233" i="1"/>
  <c r="AH233" i="1"/>
  <c r="J233" i="1" s="1"/>
  <c r="I233" i="1" s="1"/>
  <c r="AB233" i="1"/>
  <c r="Z233" i="1"/>
  <c r="Y233" i="1"/>
  <c r="X233" i="1"/>
  <c r="Q233" i="1"/>
  <c r="L233" i="1"/>
  <c r="K233" i="1"/>
  <c r="AN232" i="1"/>
  <c r="AM232" i="1"/>
  <c r="AK232" i="1"/>
  <c r="AJ232" i="1"/>
  <c r="AH232" i="1" s="1"/>
  <c r="AI232" i="1"/>
  <c r="Z232" i="1"/>
  <c r="Y232" i="1"/>
  <c r="Q232" i="1"/>
  <c r="K232" i="1"/>
  <c r="J232" i="1"/>
  <c r="I232" i="1" s="1"/>
  <c r="AN231" i="1"/>
  <c r="AM231" i="1"/>
  <c r="AL231" i="1"/>
  <c r="AK231" i="1"/>
  <c r="AJ231" i="1"/>
  <c r="AH231" i="1"/>
  <c r="Z231" i="1"/>
  <c r="Y231" i="1"/>
  <c r="X231" i="1"/>
  <c r="T231" i="1"/>
  <c r="Q231" i="1"/>
  <c r="AN230" i="1"/>
  <c r="T230" i="1" s="1"/>
  <c r="AM230" i="1"/>
  <c r="AL230" i="1" s="1"/>
  <c r="AK230" i="1"/>
  <c r="AJ230" i="1"/>
  <c r="AH230" i="1" s="1"/>
  <c r="Z230" i="1"/>
  <c r="X230" i="1" s="1"/>
  <c r="Y230" i="1"/>
  <c r="Q230" i="1"/>
  <c r="O230" i="1"/>
  <c r="AN229" i="1"/>
  <c r="AM229" i="1"/>
  <c r="AK229" i="1"/>
  <c r="AL229" i="1" s="1"/>
  <c r="AJ229" i="1"/>
  <c r="AH229" i="1"/>
  <c r="J229" i="1" s="1"/>
  <c r="I229" i="1" s="1"/>
  <c r="Z229" i="1"/>
  <c r="Y229" i="1"/>
  <c r="X229" i="1"/>
  <c r="T229" i="1"/>
  <c r="Q229" i="1"/>
  <c r="L229" i="1"/>
  <c r="K229" i="1"/>
  <c r="AN228" i="1"/>
  <c r="AM228" i="1"/>
  <c r="AK228" i="1"/>
  <c r="AJ228" i="1"/>
  <c r="AH228" i="1" s="1"/>
  <c r="AI228" i="1" s="1"/>
  <c r="Z228" i="1"/>
  <c r="Y228" i="1"/>
  <c r="X228" i="1" s="1"/>
  <c r="Q228" i="1"/>
  <c r="K228" i="1"/>
  <c r="AN227" i="1"/>
  <c r="AM227" i="1"/>
  <c r="AL227" i="1"/>
  <c r="AK227" i="1"/>
  <c r="AJ227" i="1"/>
  <c r="AI227" i="1"/>
  <c r="AH227" i="1"/>
  <c r="O227" i="1" s="1"/>
  <c r="Z227" i="1"/>
  <c r="Y227" i="1"/>
  <c r="X227" i="1" s="1"/>
  <c r="T227" i="1"/>
  <c r="Q227" i="1"/>
  <c r="AN226" i="1"/>
  <c r="T226" i="1" s="1"/>
  <c r="AM226" i="1"/>
  <c r="AL226" i="1" s="1"/>
  <c r="AK226" i="1"/>
  <c r="AJ226" i="1"/>
  <c r="AH226" i="1" s="1"/>
  <c r="Z226" i="1"/>
  <c r="Y226" i="1"/>
  <c r="X226" i="1" s="1"/>
  <c r="Q226" i="1"/>
  <c r="AN225" i="1"/>
  <c r="AM225" i="1"/>
  <c r="AK225" i="1"/>
  <c r="AJ225" i="1"/>
  <c r="AH225" i="1"/>
  <c r="J225" i="1" s="1"/>
  <c r="I225" i="1" s="1"/>
  <c r="AB225" i="1"/>
  <c r="Z225" i="1"/>
  <c r="Y225" i="1"/>
  <c r="X225" i="1"/>
  <c r="Q225" i="1"/>
  <c r="L225" i="1"/>
  <c r="K225" i="1"/>
  <c r="AN224" i="1"/>
  <c r="AM224" i="1"/>
  <c r="AK224" i="1"/>
  <c r="AJ224" i="1"/>
  <c r="AH224" i="1" s="1"/>
  <c r="AI224" i="1" s="1"/>
  <c r="Z224" i="1"/>
  <c r="Y224" i="1"/>
  <c r="Q224" i="1"/>
  <c r="K224" i="1"/>
  <c r="AN223" i="1"/>
  <c r="AM223" i="1"/>
  <c r="AL223" i="1"/>
  <c r="AK223" i="1"/>
  <c r="AJ223" i="1"/>
  <c r="AI223" i="1"/>
  <c r="AH223" i="1"/>
  <c r="Z223" i="1"/>
  <c r="Y223" i="1"/>
  <c r="X223" i="1"/>
  <c r="T223" i="1"/>
  <c r="Q223" i="1"/>
  <c r="O223" i="1"/>
  <c r="AN222" i="1"/>
  <c r="T222" i="1" s="1"/>
  <c r="AM222" i="1"/>
  <c r="AL222" i="1" s="1"/>
  <c r="AK222" i="1"/>
  <c r="AJ222" i="1"/>
  <c r="AH222" i="1" s="1"/>
  <c r="O222" i="1" s="1"/>
  <c r="Z222" i="1"/>
  <c r="Y222" i="1"/>
  <c r="X222" i="1" s="1"/>
  <c r="Q222" i="1"/>
  <c r="AN221" i="1"/>
  <c r="AM221" i="1"/>
  <c r="AK221" i="1"/>
  <c r="AL221" i="1" s="1"/>
  <c r="AJ221" i="1"/>
  <c r="AH221" i="1"/>
  <c r="J221" i="1" s="1"/>
  <c r="I221" i="1" s="1"/>
  <c r="AB221" i="1"/>
  <c r="Z221" i="1"/>
  <c r="Y221" i="1"/>
  <c r="X221" i="1"/>
  <c r="Q221" i="1"/>
  <c r="L221" i="1"/>
  <c r="K221" i="1"/>
  <c r="AN220" i="1"/>
  <c r="AM220" i="1"/>
  <c r="AK220" i="1"/>
  <c r="AJ220" i="1"/>
  <c r="AH220" i="1" s="1"/>
  <c r="AI220" i="1" s="1"/>
  <c r="Z220" i="1"/>
  <c r="Y220" i="1"/>
  <c r="Q220" i="1"/>
  <c r="AN219" i="1"/>
  <c r="AM219" i="1"/>
  <c r="AL219" i="1"/>
  <c r="AK219" i="1"/>
  <c r="AJ219" i="1"/>
  <c r="AH219" i="1"/>
  <c r="O219" i="1" s="1"/>
  <c r="Z219" i="1"/>
  <c r="Y219" i="1"/>
  <c r="X219" i="1" s="1"/>
  <c r="T219" i="1"/>
  <c r="Q219" i="1"/>
  <c r="L219" i="1"/>
  <c r="AN218" i="1"/>
  <c r="T218" i="1" s="1"/>
  <c r="AM218" i="1"/>
  <c r="AL218" i="1" s="1"/>
  <c r="AK218" i="1"/>
  <c r="AJ218" i="1"/>
  <c r="AH218" i="1" s="1"/>
  <c r="J218" i="1" s="1"/>
  <c r="I218" i="1" s="1"/>
  <c r="Z218" i="1"/>
  <c r="Y218" i="1"/>
  <c r="Q218" i="1"/>
  <c r="O218" i="1"/>
  <c r="L218" i="1"/>
  <c r="AN217" i="1"/>
  <c r="AM217" i="1"/>
  <c r="AK217" i="1"/>
  <c r="AJ217" i="1"/>
  <c r="AH217" i="1"/>
  <c r="Z217" i="1"/>
  <c r="Y217" i="1"/>
  <c r="X217" i="1"/>
  <c r="Q217" i="1"/>
  <c r="L217" i="1"/>
  <c r="J217" i="1"/>
  <c r="I217" i="1" s="1"/>
  <c r="AB217" i="1" s="1"/>
  <c r="AN216" i="1"/>
  <c r="AM216" i="1"/>
  <c r="AK216" i="1"/>
  <c r="AJ216" i="1"/>
  <c r="AH216" i="1"/>
  <c r="Z216" i="1"/>
  <c r="X216" i="1" s="1"/>
  <c r="Y216" i="1"/>
  <c r="Q216" i="1"/>
  <c r="AN215" i="1"/>
  <c r="AM215" i="1"/>
  <c r="AL215" i="1"/>
  <c r="AK215" i="1"/>
  <c r="AJ215" i="1"/>
  <c r="AH215" i="1"/>
  <c r="Z215" i="1"/>
  <c r="Y215" i="1"/>
  <c r="X215" i="1" s="1"/>
  <c r="T215" i="1"/>
  <c r="Q215" i="1"/>
  <c r="O215" i="1"/>
  <c r="L215" i="1"/>
  <c r="AN214" i="1"/>
  <c r="T214" i="1" s="1"/>
  <c r="AM214" i="1"/>
  <c r="AL214" i="1" s="1"/>
  <c r="AK214" i="1"/>
  <c r="AJ214" i="1"/>
  <c r="AH214" i="1" s="1"/>
  <c r="J214" i="1" s="1"/>
  <c r="I214" i="1" s="1"/>
  <c r="Z214" i="1"/>
  <c r="Y214" i="1"/>
  <c r="Q214" i="1"/>
  <c r="O214" i="1"/>
  <c r="L214" i="1"/>
  <c r="AN213" i="1"/>
  <c r="AM213" i="1"/>
  <c r="AK213" i="1"/>
  <c r="AL213" i="1" s="1"/>
  <c r="AJ213" i="1"/>
  <c r="AH213" i="1"/>
  <c r="Z213" i="1"/>
  <c r="Y213" i="1"/>
  <c r="X213" i="1"/>
  <c r="T213" i="1"/>
  <c r="Q213" i="1"/>
  <c r="J213" i="1"/>
  <c r="I213" i="1" s="1"/>
  <c r="AN212" i="1"/>
  <c r="AM212" i="1"/>
  <c r="AK212" i="1"/>
  <c r="AJ212" i="1"/>
  <c r="AI212" i="1"/>
  <c r="AH212" i="1"/>
  <c r="L212" i="1" s="1"/>
  <c r="Z212" i="1"/>
  <c r="Y212" i="1"/>
  <c r="X212" i="1" s="1"/>
  <c r="Q212" i="1"/>
  <c r="K212" i="1"/>
  <c r="J212" i="1"/>
  <c r="I212" i="1"/>
  <c r="AN211" i="1"/>
  <c r="AM211" i="1"/>
  <c r="AL211" i="1" s="1"/>
  <c r="AK211" i="1"/>
  <c r="AJ211" i="1"/>
  <c r="AH211" i="1"/>
  <c r="Z211" i="1"/>
  <c r="Y211" i="1"/>
  <c r="X211" i="1"/>
  <c r="T211" i="1"/>
  <c r="Q211" i="1"/>
  <c r="L211" i="1"/>
  <c r="AN210" i="1"/>
  <c r="T210" i="1" s="1"/>
  <c r="AM210" i="1"/>
  <c r="AK210" i="1"/>
  <c r="AL210" i="1" s="1"/>
  <c r="AJ210" i="1"/>
  <c r="AH210" i="1" s="1"/>
  <c r="AI210" i="1" s="1"/>
  <c r="Z210" i="1"/>
  <c r="Y210" i="1"/>
  <c r="Q210" i="1"/>
  <c r="L210" i="1"/>
  <c r="AN209" i="1"/>
  <c r="AM209" i="1"/>
  <c r="AK209" i="1"/>
  <c r="T209" i="1" s="1"/>
  <c r="AJ209" i="1"/>
  <c r="AH209" i="1" s="1"/>
  <c r="AI209" i="1" s="1"/>
  <c r="Z209" i="1"/>
  <c r="Y209" i="1"/>
  <c r="X209" i="1" s="1"/>
  <c r="Q209" i="1"/>
  <c r="K209" i="1"/>
  <c r="AN208" i="1"/>
  <c r="AM208" i="1"/>
  <c r="AK208" i="1"/>
  <c r="AJ208" i="1"/>
  <c r="AH208" i="1"/>
  <c r="Z208" i="1"/>
  <c r="Y208" i="1"/>
  <c r="X208" i="1" s="1"/>
  <c r="Q208" i="1"/>
  <c r="AN207" i="1"/>
  <c r="AM207" i="1"/>
  <c r="AK207" i="1"/>
  <c r="AJ207" i="1"/>
  <c r="AI207" i="1"/>
  <c r="AH207" i="1"/>
  <c r="Z207" i="1"/>
  <c r="Y207" i="1"/>
  <c r="X207" i="1" s="1"/>
  <c r="Q207" i="1"/>
  <c r="O207" i="1"/>
  <c r="L207" i="1"/>
  <c r="K207" i="1"/>
  <c r="J207" i="1"/>
  <c r="I207" i="1" s="1"/>
  <c r="AN206" i="1"/>
  <c r="AM206" i="1"/>
  <c r="AK206" i="1"/>
  <c r="AL206" i="1" s="1"/>
  <c r="AJ206" i="1"/>
  <c r="AH206" i="1"/>
  <c r="Z206" i="1"/>
  <c r="Y206" i="1"/>
  <c r="X206" i="1"/>
  <c r="T206" i="1"/>
  <c r="Q206" i="1"/>
  <c r="AN205" i="1"/>
  <c r="T205" i="1" s="1"/>
  <c r="AM205" i="1"/>
  <c r="AK205" i="1"/>
  <c r="AL205" i="1" s="1"/>
  <c r="AJ205" i="1"/>
  <c r="AH205" i="1"/>
  <c r="L205" i="1" s="1"/>
  <c r="Z205" i="1"/>
  <c r="Y205" i="1"/>
  <c r="X205" i="1"/>
  <c r="Q205" i="1"/>
  <c r="J205" i="1"/>
  <c r="I205" i="1" s="1"/>
  <c r="AN204" i="1"/>
  <c r="AM204" i="1"/>
  <c r="AL204" i="1"/>
  <c r="AK204" i="1"/>
  <c r="AJ204" i="1"/>
  <c r="AH204" i="1"/>
  <c r="K204" i="1" s="1"/>
  <c r="Z204" i="1"/>
  <c r="Y204" i="1"/>
  <c r="X204" i="1"/>
  <c r="T204" i="1"/>
  <c r="Q204" i="1"/>
  <c r="L204" i="1"/>
  <c r="AN203" i="1"/>
  <c r="AM203" i="1"/>
  <c r="AL203" i="1"/>
  <c r="AK203" i="1"/>
  <c r="AJ203" i="1"/>
  <c r="AH203" i="1" s="1"/>
  <c r="Z203" i="1"/>
  <c r="Y203" i="1"/>
  <c r="X203" i="1" s="1"/>
  <c r="T203" i="1"/>
  <c r="Q203" i="1"/>
  <c r="J203" i="1"/>
  <c r="I203" i="1" s="1"/>
  <c r="AB203" i="1" s="1"/>
  <c r="AN202" i="1"/>
  <c r="AM202" i="1"/>
  <c r="AL202" i="1"/>
  <c r="AK202" i="1"/>
  <c r="AJ202" i="1"/>
  <c r="AH202" i="1"/>
  <c r="Z202" i="1"/>
  <c r="Y202" i="1"/>
  <c r="X202" i="1"/>
  <c r="T202" i="1"/>
  <c r="Q202" i="1"/>
  <c r="AN201" i="1"/>
  <c r="T201" i="1" s="1"/>
  <c r="AM201" i="1"/>
  <c r="AK201" i="1"/>
  <c r="AL201" i="1" s="1"/>
  <c r="AJ201" i="1"/>
  <c r="AH201" i="1" s="1"/>
  <c r="Z201" i="1"/>
  <c r="X201" i="1" s="1"/>
  <c r="Y201" i="1"/>
  <c r="Q201" i="1"/>
  <c r="AN200" i="1"/>
  <c r="AM200" i="1"/>
  <c r="AL200" i="1"/>
  <c r="AK200" i="1"/>
  <c r="AJ200" i="1"/>
  <c r="AH200" i="1"/>
  <c r="AI200" i="1" s="1"/>
  <c r="AB200" i="1"/>
  <c r="Z200" i="1"/>
  <c r="Y200" i="1"/>
  <c r="X200" i="1"/>
  <c r="T200" i="1"/>
  <c r="Q200" i="1"/>
  <c r="O200" i="1"/>
  <c r="L200" i="1"/>
  <c r="K200" i="1"/>
  <c r="J200" i="1"/>
  <c r="I200" i="1"/>
  <c r="AN199" i="1"/>
  <c r="AM199" i="1"/>
  <c r="AK199" i="1"/>
  <c r="AL199" i="1" s="1"/>
  <c r="AJ199" i="1"/>
  <c r="AH199" i="1" s="1"/>
  <c r="Z199" i="1"/>
  <c r="Y199" i="1"/>
  <c r="Q199" i="1"/>
  <c r="J199" i="1"/>
  <c r="I199" i="1" s="1"/>
  <c r="AB199" i="1" s="1"/>
  <c r="AN198" i="1"/>
  <c r="AM198" i="1"/>
  <c r="AL198" i="1" s="1"/>
  <c r="AK198" i="1"/>
  <c r="AJ198" i="1"/>
  <c r="AH198" i="1"/>
  <c r="Z198" i="1"/>
  <c r="Y198" i="1"/>
  <c r="X198" i="1"/>
  <c r="T198" i="1"/>
  <c r="Q198" i="1"/>
  <c r="AN197" i="1"/>
  <c r="AM197" i="1"/>
  <c r="AK197" i="1"/>
  <c r="AL197" i="1" s="1"/>
  <c r="AJ197" i="1"/>
  <c r="AH197" i="1" s="1"/>
  <c r="Z197" i="1"/>
  <c r="Y197" i="1"/>
  <c r="X197" i="1" s="1"/>
  <c r="Q197" i="1"/>
  <c r="AN196" i="1"/>
  <c r="AM196" i="1"/>
  <c r="AL196" i="1"/>
  <c r="AK196" i="1"/>
  <c r="AJ196" i="1"/>
  <c r="AH196" i="1"/>
  <c r="K196" i="1" s="1"/>
  <c r="AB196" i="1"/>
  <c r="Z196" i="1"/>
  <c r="Y196" i="1"/>
  <c r="X196" i="1"/>
  <c r="T196" i="1"/>
  <c r="Q196" i="1"/>
  <c r="O196" i="1"/>
  <c r="L196" i="1"/>
  <c r="J196" i="1"/>
  <c r="I196" i="1"/>
  <c r="AN195" i="1"/>
  <c r="AM195" i="1"/>
  <c r="AK195" i="1"/>
  <c r="AL195" i="1" s="1"/>
  <c r="AJ195" i="1"/>
  <c r="AH195" i="1" s="1"/>
  <c r="Z195" i="1"/>
  <c r="X195" i="1" s="1"/>
  <c r="Y195" i="1"/>
  <c r="Q195" i="1"/>
  <c r="AN194" i="1"/>
  <c r="AM194" i="1"/>
  <c r="AK194" i="1"/>
  <c r="AL194" i="1" s="1"/>
  <c r="AJ194" i="1"/>
  <c r="AH194" i="1"/>
  <c r="Z194" i="1"/>
  <c r="Y194" i="1"/>
  <c r="X194" i="1"/>
  <c r="T194" i="1"/>
  <c r="Q194" i="1"/>
  <c r="AN193" i="1"/>
  <c r="AM193" i="1"/>
  <c r="AK193" i="1"/>
  <c r="AL193" i="1" s="1"/>
  <c r="AJ193" i="1"/>
  <c r="AH193" i="1"/>
  <c r="Z193" i="1"/>
  <c r="Y193" i="1"/>
  <c r="X193" i="1"/>
  <c r="Q193" i="1"/>
  <c r="AN192" i="1"/>
  <c r="AM192" i="1"/>
  <c r="AL192" i="1"/>
  <c r="AK192" i="1"/>
  <c r="T192" i="1" s="1"/>
  <c r="AJ192" i="1"/>
  <c r="AH192" i="1" s="1"/>
  <c r="AI192" i="1" s="1"/>
  <c r="Z192" i="1"/>
  <c r="X192" i="1" s="1"/>
  <c r="Y192" i="1"/>
  <c r="Q192" i="1"/>
  <c r="O192" i="1"/>
  <c r="L192" i="1"/>
  <c r="K192" i="1"/>
  <c r="J192" i="1"/>
  <c r="I192" i="1" s="1"/>
  <c r="AB192" i="1" s="1"/>
  <c r="AN191" i="1"/>
  <c r="AM191" i="1"/>
  <c r="AL191" i="1"/>
  <c r="AK191" i="1"/>
  <c r="AJ191" i="1"/>
  <c r="AH191" i="1"/>
  <c r="Z191" i="1"/>
  <c r="Y191" i="1"/>
  <c r="X191" i="1"/>
  <c r="T191" i="1"/>
  <c r="Q191" i="1"/>
  <c r="AN190" i="1"/>
  <c r="AM190" i="1"/>
  <c r="AK190" i="1"/>
  <c r="AL190" i="1" s="1"/>
  <c r="AJ190" i="1"/>
  <c r="AH190" i="1" s="1"/>
  <c r="Z190" i="1"/>
  <c r="Y190" i="1"/>
  <c r="X190" i="1" s="1"/>
  <c r="Q190" i="1"/>
  <c r="AN189" i="1"/>
  <c r="AM189" i="1"/>
  <c r="AL189" i="1"/>
  <c r="AK189" i="1"/>
  <c r="AJ189" i="1"/>
  <c r="AH189" i="1"/>
  <c r="K189" i="1" s="1"/>
  <c r="Z189" i="1"/>
  <c r="Y189" i="1"/>
  <c r="X189" i="1"/>
  <c r="T189" i="1"/>
  <c r="Q189" i="1"/>
  <c r="L189" i="1"/>
  <c r="AN188" i="1"/>
  <c r="AM188" i="1"/>
  <c r="AK188" i="1"/>
  <c r="AL188" i="1" s="1"/>
  <c r="AJ188" i="1"/>
  <c r="AH188" i="1" s="1"/>
  <c r="Z188" i="1"/>
  <c r="Y188" i="1"/>
  <c r="Q188" i="1"/>
  <c r="J188" i="1"/>
  <c r="I188" i="1" s="1"/>
  <c r="AN187" i="1"/>
  <c r="AM187" i="1"/>
  <c r="AL187" i="1"/>
  <c r="AK187" i="1"/>
  <c r="AJ187" i="1"/>
  <c r="AH187" i="1"/>
  <c r="Z187" i="1"/>
  <c r="Y187" i="1"/>
  <c r="X187" i="1"/>
  <c r="T187" i="1"/>
  <c r="Q187" i="1"/>
  <c r="AN186" i="1"/>
  <c r="AM186" i="1"/>
  <c r="AK186" i="1"/>
  <c r="AL186" i="1" s="1"/>
  <c r="AJ186" i="1"/>
  <c r="AH186" i="1" s="1"/>
  <c r="Z186" i="1"/>
  <c r="Y186" i="1"/>
  <c r="X186" i="1" s="1"/>
  <c r="Q186" i="1"/>
  <c r="AN185" i="1"/>
  <c r="AM185" i="1"/>
  <c r="AL185" i="1"/>
  <c r="AK185" i="1"/>
  <c r="AJ185" i="1"/>
  <c r="AH185" i="1"/>
  <c r="J185" i="1" s="1"/>
  <c r="I185" i="1" s="1"/>
  <c r="AB185" i="1" s="1"/>
  <c r="Z185" i="1"/>
  <c r="Y185" i="1"/>
  <c r="X185" i="1"/>
  <c r="T185" i="1"/>
  <c r="Q185" i="1"/>
  <c r="L185" i="1"/>
  <c r="K185" i="1"/>
  <c r="AN184" i="1"/>
  <c r="AM184" i="1"/>
  <c r="AK184" i="1"/>
  <c r="AL184" i="1" s="1"/>
  <c r="AJ184" i="1"/>
  <c r="AH184" i="1" s="1"/>
  <c r="Z184" i="1"/>
  <c r="Y184" i="1"/>
  <c r="X184" i="1" s="1"/>
  <c r="Q184" i="1"/>
  <c r="AN183" i="1"/>
  <c r="AM183" i="1"/>
  <c r="AL183" i="1"/>
  <c r="AK183" i="1"/>
  <c r="AJ183" i="1"/>
  <c r="AH183" i="1"/>
  <c r="Z183" i="1"/>
  <c r="Y183" i="1"/>
  <c r="X183" i="1"/>
  <c r="T183" i="1"/>
  <c r="Q183" i="1"/>
  <c r="AN182" i="1"/>
  <c r="AM182" i="1"/>
  <c r="AK182" i="1"/>
  <c r="AL182" i="1" s="1"/>
  <c r="AJ182" i="1"/>
  <c r="AH182" i="1" s="1"/>
  <c r="Z182" i="1"/>
  <c r="Y182" i="1"/>
  <c r="X182" i="1" s="1"/>
  <c r="Q182" i="1"/>
  <c r="AN181" i="1"/>
  <c r="AM181" i="1"/>
  <c r="AL181" i="1"/>
  <c r="AK181" i="1"/>
  <c r="AJ181" i="1"/>
  <c r="AH181" i="1"/>
  <c r="J181" i="1" s="1"/>
  <c r="I181" i="1" s="1"/>
  <c r="AB181" i="1"/>
  <c r="Z181" i="1"/>
  <c r="Y181" i="1"/>
  <c r="X181" i="1"/>
  <c r="T181" i="1"/>
  <c r="Q181" i="1"/>
  <c r="L181" i="1"/>
  <c r="K181" i="1"/>
  <c r="AN180" i="1"/>
  <c r="AM180" i="1"/>
  <c r="AK180" i="1"/>
  <c r="AL180" i="1" s="1"/>
  <c r="AJ180" i="1"/>
  <c r="AH180" i="1" s="1"/>
  <c r="Z180" i="1"/>
  <c r="Y180" i="1"/>
  <c r="X180" i="1" s="1"/>
  <c r="Q180" i="1"/>
  <c r="J180" i="1"/>
  <c r="I180" i="1" s="1"/>
  <c r="AB180" i="1" s="1"/>
  <c r="AN179" i="1"/>
  <c r="AM179" i="1"/>
  <c r="AL179" i="1"/>
  <c r="AK179" i="1"/>
  <c r="AJ179" i="1"/>
  <c r="AH179" i="1"/>
  <c r="Z179" i="1"/>
  <c r="Y179" i="1"/>
  <c r="X179" i="1"/>
  <c r="T179" i="1"/>
  <c r="Q179" i="1"/>
  <c r="AN178" i="1"/>
  <c r="AM178" i="1"/>
  <c r="AK178" i="1"/>
  <c r="AL178" i="1" s="1"/>
  <c r="AJ178" i="1"/>
  <c r="AH178" i="1" s="1"/>
  <c r="Z178" i="1"/>
  <c r="Y178" i="1"/>
  <c r="X178" i="1" s="1"/>
  <c r="Q178" i="1"/>
  <c r="AN177" i="1"/>
  <c r="AM177" i="1"/>
  <c r="AL177" i="1"/>
  <c r="AK177" i="1"/>
  <c r="AJ177" i="1"/>
  <c r="AH177" i="1"/>
  <c r="J177" i="1" s="1"/>
  <c r="I177" i="1" s="1"/>
  <c r="AB177" i="1"/>
  <c r="Z177" i="1"/>
  <c r="Y177" i="1"/>
  <c r="X177" i="1"/>
  <c r="T177" i="1"/>
  <c r="Q177" i="1"/>
  <c r="L177" i="1"/>
  <c r="K177" i="1"/>
  <c r="AN176" i="1"/>
  <c r="AM176" i="1"/>
  <c r="AK176" i="1"/>
  <c r="AL176" i="1" s="1"/>
  <c r="AJ176" i="1"/>
  <c r="AH176" i="1" s="1"/>
  <c r="J176" i="1" s="1"/>
  <c r="I176" i="1" s="1"/>
  <c r="Z176" i="1"/>
  <c r="Y176" i="1"/>
  <c r="Q176" i="1"/>
  <c r="AN175" i="1"/>
  <c r="AM175" i="1"/>
  <c r="AL175" i="1" s="1"/>
  <c r="AK175" i="1"/>
  <c r="AJ175" i="1"/>
  <c r="AH175" i="1"/>
  <c r="Z175" i="1"/>
  <c r="Y175" i="1"/>
  <c r="X175" i="1"/>
  <c r="T175" i="1"/>
  <c r="Q175" i="1"/>
  <c r="AN174" i="1"/>
  <c r="AM174" i="1"/>
  <c r="AK174" i="1"/>
  <c r="AL174" i="1" s="1"/>
  <c r="AJ174" i="1"/>
  <c r="AH174" i="1" s="1"/>
  <c r="Z174" i="1"/>
  <c r="Y174" i="1"/>
  <c r="X174" i="1" s="1"/>
  <c r="Q174" i="1"/>
  <c r="AN173" i="1"/>
  <c r="AM173" i="1"/>
  <c r="AL173" i="1"/>
  <c r="AK173" i="1"/>
  <c r="AJ173" i="1"/>
  <c r="AH173" i="1"/>
  <c r="J173" i="1" s="1"/>
  <c r="I173" i="1" s="1"/>
  <c r="AB173" i="1" s="1"/>
  <c r="Z173" i="1"/>
  <c r="Y173" i="1"/>
  <c r="X173" i="1"/>
  <c r="T173" i="1"/>
  <c r="Q173" i="1"/>
  <c r="L173" i="1"/>
  <c r="K173" i="1"/>
  <c r="AN172" i="1"/>
  <c r="AM172" i="1"/>
  <c r="AK172" i="1"/>
  <c r="AL172" i="1" s="1"/>
  <c r="AJ172" i="1"/>
  <c r="AH172" i="1" s="1"/>
  <c r="Z172" i="1"/>
  <c r="Y172" i="1"/>
  <c r="X172" i="1" s="1"/>
  <c r="Q172" i="1"/>
  <c r="J172" i="1"/>
  <c r="I172" i="1" s="1"/>
  <c r="AN171" i="1"/>
  <c r="AM171" i="1"/>
  <c r="AL171" i="1"/>
  <c r="AK171" i="1"/>
  <c r="AJ171" i="1"/>
  <c r="AH171" i="1"/>
  <c r="O171" i="1" s="1"/>
  <c r="Z171" i="1"/>
  <c r="Y171" i="1"/>
  <c r="X171" i="1"/>
  <c r="T171" i="1"/>
  <c r="Q171" i="1"/>
  <c r="AN170" i="1"/>
  <c r="AM170" i="1"/>
  <c r="AK170" i="1"/>
  <c r="AL170" i="1" s="1"/>
  <c r="AJ170" i="1"/>
  <c r="AH170" i="1" s="1"/>
  <c r="J170" i="1" s="1"/>
  <c r="I170" i="1" s="1"/>
  <c r="AB170" i="1" s="1"/>
  <c r="Z170" i="1"/>
  <c r="Y170" i="1"/>
  <c r="Q170" i="1"/>
  <c r="AN169" i="1"/>
  <c r="AM169" i="1"/>
  <c r="AK169" i="1"/>
  <c r="AJ169" i="1"/>
  <c r="AH169" i="1"/>
  <c r="L169" i="1" s="1"/>
  <c r="Z169" i="1"/>
  <c r="Y169" i="1"/>
  <c r="X169" i="1"/>
  <c r="Q169" i="1"/>
  <c r="K169" i="1"/>
  <c r="AN168" i="1"/>
  <c r="AM168" i="1"/>
  <c r="AK168" i="1"/>
  <c r="AJ168" i="1"/>
  <c r="AH168" i="1" s="1"/>
  <c r="L168" i="1" s="1"/>
  <c r="AI168" i="1"/>
  <c r="Z168" i="1"/>
  <c r="Y168" i="1"/>
  <c r="Q168" i="1"/>
  <c r="O168" i="1"/>
  <c r="K168" i="1"/>
  <c r="J168" i="1"/>
  <c r="I168" i="1" s="1"/>
  <c r="AB168" i="1" s="1"/>
  <c r="AN167" i="1"/>
  <c r="T167" i="1" s="1"/>
  <c r="AM167" i="1"/>
  <c r="AL167" i="1"/>
  <c r="AK167" i="1"/>
  <c r="AJ167" i="1"/>
  <c r="AH167" i="1"/>
  <c r="J167" i="1" s="1"/>
  <c r="I167" i="1" s="1"/>
  <c r="Z167" i="1"/>
  <c r="Y167" i="1"/>
  <c r="X167" i="1"/>
  <c r="Q167" i="1"/>
  <c r="O167" i="1"/>
  <c r="L167" i="1"/>
  <c r="K167" i="1"/>
  <c r="AN166" i="1"/>
  <c r="AM166" i="1"/>
  <c r="AL166" i="1"/>
  <c r="AK166" i="1"/>
  <c r="AJ166" i="1"/>
  <c r="AH166" i="1" s="1"/>
  <c r="Z166" i="1"/>
  <c r="Y166" i="1"/>
  <c r="X166" i="1" s="1"/>
  <c r="T166" i="1"/>
  <c r="Q166" i="1"/>
  <c r="L166" i="1"/>
  <c r="AN165" i="1"/>
  <c r="AM165" i="1"/>
  <c r="AK165" i="1"/>
  <c r="AL165" i="1" s="1"/>
  <c r="AJ165" i="1"/>
  <c r="AH165" i="1" s="1"/>
  <c r="Z165" i="1"/>
  <c r="X165" i="1" s="1"/>
  <c r="Y165" i="1"/>
  <c r="T165" i="1"/>
  <c r="Q165" i="1"/>
  <c r="AN164" i="1"/>
  <c r="T164" i="1" s="1"/>
  <c r="AM164" i="1"/>
  <c r="AK164" i="1"/>
  <c r="AL164" i="1" s="1"/>
  <c r="AJ164" i="1"/>
  <c r="AH164" i="1"/>
  <c r="Z164" i="1"/>
  <c r="Y164" i="1"/>
  <c r="X164" i="1"/>
  <c r="Q164" i="1"/>
  <c r="AN163" i="1"/>
  <c r="T163" i="1" s="1"/>
  <c r="AM163" i="1"/>
  <c r="AL163" i="1" s="1"/>
  <c r="AK163" i="1"/>
  <c r="AJ163" i="1"/>
  <c r="AH163" i="1"/>
  <c r="AI163" i="1" s="1"/>
  <c r="AB163" i="1"/>
  <c r="Z163" i="1"/>
  <c r="Y163" i="1"/>
  <c r="X163" i="1"/>
  <c r="Q163" i="1"/>
  <c r="O163" i="1"/>
  <c r="L163" i="1"/>
  <c r="K163" i="1"/>
  <c r="J163" i="1"/>
  <c r="I163" i="1"/>
  <c r="AN162" i="1"/>
  <c r="AM162" i="1"/>
  <c r="AL162" i="1"/>
  <c r="AK162" i="1"/>
  <c r="AJ162" i="1"/>
  <c r="AH162" i="1" s="1"/>
  <c r="Z162" i="1"/>
  <c r="Y162" i="1"/>
  <c r="X162" i="1" s="1"/>
  <c r="T162" i="1"/>
  <c r="Q162" i="1"/>
  <c r="AN161" i="1"/>
  <c r="AM161" i="1"/>
  <c r="AK161" i="1"/>
  <c r="AL161" i="1" s="1"/>
  <c r="AJ161" i="1"/>
  <c r="AH161" i="1" s="1"/>
  <c r="Z161" i="1"/>
  <c r="Y161" i="1"/>
  <c r="Q161" i="1"/>
  <c r="AN160" i="1"/>
  <c r="T160" i="1" s="1"/>
  <c r="AM160" i="1"/>
  <c r="AK160" i="1"/>
  <c r="AL160" i="1" s="1"/>
  <c r="AJ160" i="1"/>
  <c r="AH160" i="1"/>
  <c r="Z160" i="1"/>
  <c r="Y160" i="1"/>
  <c r="X160" i="1"/>
  <c r="Q160" i="1"/>
  <c r="AN159" i="1"/>
  <c r="T159" i="1" s="1"/>
  <c r="AM159" i="1"/>
  <c r="AL159" i="1" s="1"/>
  <c r="AK159" i="1"/>
  <c r="AJ159" i="1"/>
  <c r="AH159" i="1" s="1"/>
  <c r="Z159" i="1"/>
  <c r="Y159" i="1"/>
  <c r="X159" i="1" s="1"/>
  <c r="Q159" i="1"/>
  <c r="AN158" i="1"/>
  <c r="AM158" i="1"/>
  <c r="AL158" i="1"/>
  <c r="AK158" i="1"/>
  <c r="AJ158" i="1"/>
  <c r="AH158" i="1" s="1"/>
  <c r="Z158" i="1"/>
  <c r="Y158" i="1"/>
  <c r="X158" i="1" s="1"/>
  <c r="T158" i="1"/>
  <c r="Q158" i="1"/>
  <c r="L158" i="1"/>
  <c r="AN157" i="1"/>
  <c r="AM157" i="1"/>
  <c r="AK157" i="1"/>
  <c r="AL157" i="1" s="1"/>
  <c r="AJ157" i="1"/>
  <c r="AH157" i="1" s="1"/>
  <c r="Z157" i="1"/>
  <c r="Y157" i="1"/>
  <c r="Q157" i="1"/>
  <c r="AN156" i="1"/>
  <c r="T156" i="1" s="1"/>
  <c r="AM156" i="1"/>
  <c r="AK156" i="1"/>
  <c r="AL156" i="1" s="1"/>
  <c r="AJ156" i="1"/>
  <c r="AH156" i="1"/>
  <c r="Z156" i="1"/>
  <c r="Y156" i="1"/>
  <c r="X156" i="1"/>
  <c r="Q156" i="1"/>
  <c r="AN155" i="1"/>
  <c r="AM155" i="1"/>
  <c r="AK155" i="1"/>
  <c r="AL155" i="1" s="1"/>
  <c r="AJ155" i="1"/>
  <c r="AH155" i="1" s="1"/>
  <c r="Z155" i="1"/>
  <c r="Y155" i="1"/>
  <c r="X155" i="1" s="1"/>
  <c r="Q155" i="1"/>
  <c r="AN154" i="1"/>
  <c r="AM154" i="1"/>
  <c r="AL154" i="1"/>
  <c r="AK154" i="1"/>
  <c r="AJ154" i="1"/>
  <c r="AH154" i="1" s="1"/>
  <c r="Z154" i="1"/>
  <c r="Y154" i="1"/>
  <c r="X154" i="1" s="1"/>
  <c r="T154" i="1"/>
  <c r="Q154" i="1"/>
  <c r="L154" i="1"/>
  <c r="AN153" i="1"/>
  <c r="AM153" i="1"/>
  <c r="AK153" i="1"/>
  <c r="AL153" i="1" s="1"/>
  <c r="AJ153" i="1"/>
  <c r="AH153" i="1" s="1"/>
  <c r="Z153" i="1"/>
  <c r="Y153" i="1"/>
  <c r="Q153" i="1"/>
  <c r="AN152" i="1"/>
  <c r="AM152" i="1"/>
  <c r="AK152" i="1"/>
  <c r="AL152" i="1" s="1"/>
  <c r="AJ152" i="1"/>
  <c r="AH152" i="1"/>
  <c r="Z152" i="1"/>
  <c r="Y152" i="1"/>
  <c r="X152" i="1"/>
  <c r="T152" i="1"/>
  <c r="Q152" i="1"/>
  <c r="AN151" i="1"/>
  <c r="AM151" i="1"/>
  <c r="AK151" i="1"/>
  <c r="AL151" i="1" s="1"/>
  <c r="AJ151" i="1"/>
  <c r="AH151" i="1" s="1"/>
  <c r="Z151" i="1"/>
  <c r="X151" i="1" s="1"/>
  <c r="Y151" i="1"/>
  <c r="Q151" i="1"/>
  <c r="AN150" i="1"/>
  <c r="AM150" i="1"/>
  <c r="AL150" i="1"/>
  <c r="AK150" i="1"/>
  <c r="AJ150" i="1"/>
  <c r="AH150" i="1" s="1"/>
  <c r="Z150" i="1"/>
  <c r="Y150" i="1"/>
  <c r="X150" i="1" s="1"/>
  <c r="T150" i="1"/>
  <c r="Q150" i="1"/>
  <c r="AN149" i="1"/>
  <c r="AM149" i="1"/>
  <c r="AK149" i="1"/>
  <c r="AL149" i="1" s="1"/>
  <c r="AJ149" i="1"/>
  <c r="AH149" i="1" s="1"/>
  <c r="Z149" i="1"/>
  <c r="Y149" i="1"/>
  <c r="X149" i="1" s="1"/>
  <c r="Q149" i="1"/>
  <c r="AN148" i="1"/>
  <c r="AM148" i="1"/>
  <c r="AK148" i="1"/>
  <c r="AL148" i="1" s="1"/>
  <c r="AJ148" i="1"/>
  <c r="AH148" i="1"/>
  <c r="Z148" i="1"/>
  <c r="Y148" i="1"/>
  <c r="X148" i="1"/>
  <c r="T148" i="1"/>
  <c r="Q148" i="1"/>
  <c r="AN147" i="1"/>
  <c r="AM147" i="1"/>
  <c r="AK147" i="1"/>
  <c r="AL147" i="1" s="1"/>
  <c r="AJ147" i="1"/>
  <c r="AH147" i="1" s="1"/>
  <c r="Z147" i="1"/>
  <c r="Y147" i="1"/>
  <c r="X147" i="1" s="1"/>
  <c r="Q147" i="1"/>
  <c r="AN146" i="1"/>
  <c r="AM146" i="1"/>
  <c r="AL146" i="1"/>
  <c r="AK146" i="1"/>
  <c r="AJ146" i="1"/>
  <c r="AI146" i="1"/>
  <c r="AH146" i="1"/>
  <c r="AB146" i="1"/>
  <c r="Z146" i="1"/>
  <c r="Y146" i="1"/>
  <c r="X146" i="1" s="1"/>
  <c r="T146" i="1"/>
  <c r="Q146" i="1"/>
  <c r="O146" i="1"/>
  <c r="L146" i="1"/>
  <c r="K146" i="1"/>
  <c r="J146" i="1"/>
  <c r="I146" i="1"/>
  <c r="AN145" i="1"/>
  <c r="AM145" i="1"/>
  <c r="AK145" i="1"/>
  <c r="AL145" i="1" s="1"/>
  <c r="AJ145" i="1"/>
  <c r="AH145" i="1" s="1"/>
  <c r="Z145" i="1"/>
  <c r="Y145" i="1"/>
  <c r="Q145" i="1"/>
  <c r="AN144" i="1"/>
  <c r="AM144" i="1"/>
  <c r="AK144" i="1"/>
  <c r="AL144" i="1" s="1"/>
  <c r="AJ144" i="1"/>
  <c r="AH144" i="1"/>
  <c r="Z144" i="1"/>
  <c r="Y144" i="1"/>
  <c r="X144" i="1"/>
  <c r="T144" i="1"/>
  <c r="Q144" i="1"/>
  <c r="O144" i="1"/>
  <c r="AN143" i="1"/>
  <c r="AM143" i="1"/>
  <c r="AK143" i="1"/>
  <c r="AL143" i="1" s="1"/>
  <c r="AJ143" i="1"/>
  <c r="AH143" i="1"/>
  <c r="AI143" i="1" s="1"/>
  <c r="Z143" i="1"/>
  <c r="Y143" i="1"/>
  <c r="X143" i="1"/>
  <c r="Q143" i="1"/>
  <c r="O143" i="1"/>
  <c r="L143" i="1"/>
  <c r="K143" i="1"/>
  <c r="J143" i="1"/>
  <c r="I143" i="1"/>
  <c r="AB143" i="1" s="1"/>
  <c r="AN142" i="1"/>
  <c r="AM142" i="1"/>
  <c r="AK142" i="1"/>
  <c r="AJ142" i="1"/>
  <c r="AI142" i="1"/>
  <c r="AH142" i="1"/>
  <c r="AB142" i="1"/>
  <c r="Z142" i="1"/>
  <c r="Y142" i="1"/>
  <c r="X142" i="1" s="1"/>
  <c r="Q142" i="1"/>
  <c r="O142" i="1"/>
  <c r="L142" i="1"/>
  <c r="K142" i="1"/>
  <c r="J142" i="1"/>
  <c r="I142" i="1"/>
  <c r="AN141" i="1"/>
  <c r="T141" i="1" s="1"/>
  <c r="AM141" i="1"/>
  <c r="AL141" i="1" s="1"/>
  <c r="AK141" i="1"/>
  <c r="AJ141" i="1"/>
  <c r="AH141" i="1" s="1"/>
  <c r="Z141" i="1"/>
  <c r="Y141" i="1"/>
  <c r="Q141" i="1"/>
  <c r="J141" i="1"/>
  <c r="I141" i="1" s="1"/>
  <c r="AB141" i="1" s="1"/>
  <c r="AN140" i="1"/>
  <c r="AM140" i="1"/>
  <c r="AK140" i="1"/>
  <c r="AL140" i="1" s="1"/>
  <c r="AJ140" i="1"/>
  <c r="AH140" i="1"/>
  <c r="Z140" i="1"/>
  <c r="Y140" i="1"/>
  <c r="X140" i="1"/>
  <c r="Q140" i="1"/>
  <c r="AN139" i="1"/>
  <c r="AM139" i="1"/>
  <c r="AK139" i="1"/>
  <c r="AL139" i="1" s="1"/>
  <c r="AJ139" i="1"/>
  <c r="AH139" i="1" s="1"/>
  <c r="Z139" i="1"/>
  <c r="Y139" i="1"/>
  <c r="X139" i="1" s="1"/>
  <c r="Q139" i="1"/>
  <c r="AN138" i="1"/>
  <c r="AM138" i="1"/>
  <c r="AL138" i="1"/>
  <c r="AK138" i="1"/>
  <c r="AJ138" i="1"/>
  <c r="AH138" i="1"/>
  <c r="AI138" i="1" s="1"/>
  <c r="AB138" i="1"/>
  <c r="Z138" i="1"/>
  <c r="Y138" i="1"/>
  <c r="X138" i="1"/>
  <c r="T138" i="1"/>
  <c r="Q138" i="1"/>
  <c r="O138" i="1"/>
  <c r="L138" i="1"/>
  <c r="K138" i="1"/>
  <c r="J138" i="1"/>
  <c r="I138" i="1"/>
  <c r="AN137" i="1"/>
  <c r="AM137" i="1"/>
  <c r="AL137" i="1" s="1"/>
  <c r="AK137" i="1"/>
  <c r="AJ137" i="1"/>
  <c r="AH137" i="1" s="1"/>
  <c r="Z137" i="1"/>
  <c r="Y137" i="1"/>
  <c r="T137" i="1"/>
  <c r="Q137" i="1"/>
  <c r="J137" i="1"/>
  <c r="I137" i="1" s="1"/>
  <c r="AN136" i="1"/>
  <c r="AM136" i="1"/>
  <c r="AK136" i="1"/>
  <c r="AL136" i="1" s="1"/>
  <c r="AJ136" i="1"/>
  <c r="AH136" i="1"/>
  <c r="Z136" i="1"/>
  <c r="Y136" i="1"/>
  <c r="X136" i="1"/>
  <c r="Q136" i="1"/>
  <c r="AN135" i="1"/>
  <c r="AM135" i="1"/>
  <c r="AK135" i="1"/>
  <c r="AL135" i="1" s="1"/>
  <c r="AJ135" i="1"/>
  <c r="AH135" i="1" s="1"/>
  <c r="Z135" i="1"/>
  <c r="Y135" i="1"/>
  <c r="X135" i="1" s="1"/>
  <c r="Q135" i="1"/>
  <c r="AN134" i="1"/>
  <c r="AM134" i="1"/>
  <c r="AL134" i="1"/>
  <c r="AK134" i="1"/>
  <c r="AJ134" i="1"/>
  <c r="AH134" i="1" s="1"/>
  <c r="L134" i="1" s="1"/>
  <c r="Z134" i="1"/>
  <c r="Y134" i="1"/>
  <c r="X134" i="1" s="1"/>
  <c r="T134" i="1"/>
  <c r="Q134" i="1"/>
  <c r="AN133" i="1"/>
  <c r="AM133" i="1"/>
  <c r="AK133" i="1"/>
  <c r="AL133" i="1" s="1"/>
  <c r="AJ133" i="1"/>
  <c r="AH133" i="1" s="1"/>
  <c r="Z133" i="1"/>
  <c r="Y133" i="1"/>
  <c r="X133" i="1" s="1"/>
  <c r="T133" i="1"/>
  <c r="Q133" i="1"/>
  <c r="AN132" i="1"/>
  <c r="AM132" i="1"/>
  <c r="AK132" i="1"/>
  <c r="AL132" i="1" s="1"/>
  <c r="AJ132" i="1"/>
  <c r="AH132" i="1"/>
  <c r="Z132" i="1"/>
  <c r="Y132" i="1"/>
  <c r="X132" i="1"/>
  <c r="Q132" i="1"/>
  <c r="AN131" i="1"/>
  <c r="AM131" i="1"/>
  <c r="AK131" i="1"/>
  <c r="AL131" i="1" s="1"/>
  <c r="AJ131" i="1"/>
  <c r="AH131" i="1" s="1"/>
  <c r="Z131" i="1"/>
  <c r="Y131" i="1"/>
  <c r="X131" i="1" s="1"/>
  <c r="Q131" i="1"/>
  <c r="AN130" i="1"/>
  <c r="AM130" i="1"/>
  <c r="AL130" i="1"/>
  <c r="AK130" i="1"/>
  <c r="AJ130" i="1"/>
  <c r="AH130" i="1"/>
  <c r="K130" i="1" s="1"/>
  <c r="Z130" i="1"/>
  <c r="Y130" i="1"/>
  <c r="X130" i="1"/>
  <c r="T130" i="1"/>
  <c r="Q130" i="1"/>
  <c r="L130" i="1"/>
  <c r="AN129" i="1"/>
  <c r="T129" i="1" s="1"/>
  <c r="AM129" i="1"/>
  <c r="AK129" i="1"/>
  <c r="AL129" i="1" s="1"/>
  <c r="AJ129" i="1"/>
  <c r="AH129" i="1" s="1"/>
  <c r="Z129" i="1"/>
  <c r="Y129" i="1"/>
  <c r="X129" i="1" s="1"/>
  <c r="Q129" i="1"/>
  <c r="J129" i="1"/>
  <c r="I129" i="1" s="1"/>
  <c r="AB129" i="1" s="1"/>
  <c r="AN128" i="1"/>
  <c r="AM128" i="1"/>
  <c r="AL128" i="1"/>
  <c r="AK128" i="1"/>
  <c r="AJ128" i="1"/>
  <c r="AH128" i="1"/>
  <c r="Z128" i="1"/>
  <c r="Y128" i="1"/>
  <c r="X128" i="1"/>
  <c r="T128" i="1"/>
  <c r="Q128" i="1"/>
  <c r="AN127" i="1"/>
  <c r="T127" i="1" s="1"/>
  <c r="AM127" i="1"/>
  <c r="AK127" i="1"/>
  <c r="AL127" i="1" s="1"/>
  <c r="AJ127" i="1"/>
  <c r="AH127" i="1" s="1"/>
  <c r="Z127" i="1"/>
  <c r="Y127" i="1"/>
  <c r="X127" i="1" s="1"/>
  <c r="Q127" i="1"/>
  <c r="AN126" i="1"/>
  <c r="AM126" i="1"/>
  <c r="AL126" i="1"/>
  <c r="AK126" i="1"/>
  <c r="AJ126" i="1"/>
  <c r="AH126" i="1"/>
  <c r="J126" i="1" s="1"/>
  <c r="I126" i="1" s="1"/>
  <c r="AB126" i="1"/>
  <c r="Z126" i="1"/>
  <c r="Y126" i="1"/>
  <c r="X126" i="1"/>
  <c r="T126" i="1"/>
  <c r="Q126" i="1"/>
  <c r="L126" i="1"/>
  <c r="K126" i="1"/>
  <c r="AN125" i="1"/>
  <c r="T125" i="1" s="1"/>
  <c r="AM125" i="1"/>
  <c r="AK125" i="1"/>
  <c r="AL125" i="1" s="1"/>
  <c r="AJ125" i="1"/>
  <c r="AH125" i="1" s="1"/>
  <c r="Z125" i="1"/>
  <c r="Y125" i="1"/>
  <c r="X125" i="1" s="1"/>
  <c r="Q125" i="1"/>
  <c r="J125" i="1"/>
  <c r="I125" i="1" s="1"/>
  <c r="AN124" i="1"/>
  <c r="AM124" i="1"/>
  <c r="AL124" i="1" s="1"/>
  <c r="AK124" i="1"/>
  <c r="AJ124" i="1"/>
  <c r="AH124" i="1"/>
  <c r="Z124" i="1"/>
  <c r="Y124" i="1"/>
  <c r="X124" i="1"/>
  <c r="T124" i="1"/>
  <c r="Q124" i="1"/>
  <c r="AN123" i="1"/>
  <c r="AM123" i="1"/>
  <c r="AK123" i="1"/>
  <c r="AL123" i="1" s="1"/>
  <c r="AJ123" i="1"/>
  <c r="AH123" i="1" s="1"/>
  <c r="Z123" i="1"/>
  <c r="X123" i="1" s="1"/>
  <c r="Y123" i="1"/>
  <c r="Q123" i="1"/>
  <c r="AN122" i="1"/>
  <c r="AM122" i="1"/>
  <c r="AL122" i="1"/>
  <c r="AK122" i="1"/>
  <c r="AJ122" i="1"/>
  <c r="AI122" i="1"/>
  <c r="AH122" i="1"/>
  <c r="J122" i="1" s="1"/>
  <c r="I122" i="1" s="1"/>
  <c r="AB122" i="1"/>
  <c r="Z122" i="1"/>
  <c r="Y122" i="1"/>
  <c r="X122" i="1" s="1"/>
  <c r="T122" i="1"/>
  <c r="Q122" i="1"/>
  <c r="L122" i="1"/>
  <c r="K122" i="1"/>
  <c r="AN121" i="1"/>
  <c r="T121" i="1" s="1"/>
  <c r="AM121" i="1"/>
  <c r="AL121" i="1" s="1"/>
  <c r="AK121" i="1"/>
  <c r="AJ121" i="1"/>
  <c r="AH121" i="1" s="1"/>
  <c r="Z121" i="1"/>
  <c r="Y121" i="1"/>
  <c r="Q121" i="1"/>
  <c r="J121" i="1"/>
  <c r="I121" i="1"/>
  <c r="AN120" i="1"/>
  <c r="AM120" i="1"/>
  <c r="AL120" i="1" s="1"/>
  <c r="AK120" i="1"/>
  <c r="AJ120" i="1"/>
  <c r="AH120" i="1"/>
  <c r="Z120" i="1"/>
  <c r="Y120" i="1"/>
  <c r="X120" i="1"/>
  <c r="T120" i="1"/>
  <c r="Q120" i="1"/>
  <c r="O120" i="1"/>
  <c r="AN119" i="1"/>
  <c r="AM119" i="1"/>
  <c r="AK119" i="1"/>
  <c r="AJ119" i="1"/>
  <c r="AH119" i="1" s="1"/>
  <c r="Z119" i="1"/>
  <c r="X119" i="1" s="1"/>
  <c r="Y119" i="1"/>
  <c r="Q119" i="1"/>
  <c r="K119" i="1"/>
  <c r="AN118" i="1"/>
  <c r="AM118" i="1"/>
  <c r="AK118" i="1"/>
  <c r="AL118" i="1" s="1"/>
  <c r="AJ118" i="1"/>
  <c r="AI118" i="1"/>
  <c r="AH118" i="1"/>
  <c r="AB118" i="1"/>
  <c r="Z118" i="1"/>
  <c r="Y118" i="1"/>
  <c r="X118" i="1" s="1"/>
  <c r="T118" i="1"/>
  <c r="Q118" i="1"/>
  <c r="O118" i="1"/>
  <c r="L118" i="1"/>
  <c r="K118" i="1"/>
  <c r="J118" i="1"/>
  <c r="I118" i="1"/>
  <c r="AN117" i="1"/>
  <c r="AM117" i="1"/>
  <c r="AK117" i="1"/>
  <c r="AL117" i="1" s="1"/>
  <c r="AJ117" i="1"/>
  <c r="AH117" i="1" s="1"/>
  <c r="AI117" i="1"/>
  <c r="Z117" i="1"/>
  <c r="Y117" i="1"/>
  <c r="T117" i="1"/>
  <c r="U117" i="1" s="1"/>
  <c r="V117" i="1" s="1"/>
  <c r="Q117" i="1"/>
  <c r="O117" i="1"/>
  <c r="J117" i="1"/>
  <c r="I117" i="1"/>
  <c r="AN116" i="1"/>
  <c r="AM116" i="1"/>
  <c r="AK116" i="1"/>
  <c r="AL116" i="1" s="1"/>
  <c r="AJ116" i="1"/>
  <c r="AH116" i="1"/>
  <c r="J116" i="1" s="1"/>
  <c r="I116" i="1" s="1"/>
  <c r="Z116" i="1"/>
  <c r="Y116" i="1"/>
  <c r="X116" i="1"/>
  <c r="T116" i="1"/>
  <c r="Q116" i="1"/>
  <c r="K116" i="1"/>
  <c r="AN115" i="1"/>
  <c r="AM115" i="1"/>
  <c r="AL115" i="1"/>
  <c r="AK115" i="1"/>
  <c r="AJ115" i="1"/>
  <c r="AI115" i="1"/>
  <c r="AH115" i="1"/>
  <c r="K115" i="1" s="1"/>
  <c r="Z115" i="1"/>
  <c r="Y115" i="1"/>
  <c r="X115" i="1" s="1"/>
  <c r="T115" i="1"/>
  <c r="Q115" i="1"/>
  <c r="O115" i="1"/>
  <c r="L115" i="1"/>
  <c r="AN114" i="1"/>
  <c r="AM114" i="1"/>
  <c r="AL114" i="1"/>
  <c r="AK114" i="1"/>
  <c r="AJ114" i="1"/>
  <c r="AH114" i="1" s="1"/>
  <c r="Z114" i="1"/>
  <c r="X114" i="1" s="1"/>
  <c r="Y114" i="1"/>
  <c r="T114" i="1"/>
  <c r="U114" i="1" s="1"/>
  <c r="V114" i="1" s="1"/>
  <c r="Q114" i="1"/>
  <c r="O114" i="1"/>
  <c r="J114" i="1"/>
  <c r="I114" i="1" s="1"/>
  <c r="AB114" i="1" s="1"/>
  <c r="AN113" i="1"/>
  <c r="AM113" i="1"/>
  <c r="AK113" i="1"/>
  <c r="AJ113" i="1"/>
  <c r="AH113" i="1"/>
  <c r="Z113" i="1"/>
  <c r="Y113" i="1"/>
  <c r="X113" i="1"/>
  <c r="Q113" i="1"/>
  <c r="AN112" i="1"/>
  <c r="AM112" i="1"/>
  <c r="AK112" i="1"/>
  <c r="AJ112" i="1"/>
  <c r="AH112" i="1"/>
  <c r="J112" i="1" s="1"/>
  <c r="I112" i="1" s="1"/>
  <c r="Z112" i="1"/>
  <c r="Y112" i="1"/>
  <c r="X112" i="1"/>
  <c r="Q112" i="1"/>
  <c r="K112" i="1"/>
  <c r="AN111" i="1"/>
  <c r="AM111" i="1"/>
  <c r="AL111" i="1"/>
  <c r="AK111" i="1"/>
  <c r="AJ111" i="1"/>
  <c r="AI111" i="1"/>
  <c r="AH111" i="1"/>
  <c r="K111" i="1" s="1"/>
  <c r="Z111" i="1"/>
  <c r="Y111" i="1"/>
  <c r="X111" i="1" s="1"/>
  <c r="T111" i="1"/>
  <c r="Q111" i="1"/>
  <c r="O111" i="1"/>
  <c r="L111" i="1"/>
  <c r="AN110" i="1"/>
  <c r="AM110" i="1"/>
  <c r="AL110" i="1"/>
  <c r="AK110" i="1"/>
  <c r="AJ110" i="1"/>
  <c r="AH110" i="1" s="1"/>
  <c r="Z110" i="1"/>
  <c r="Y110" i="1"/>
  <c r="T110" i="1"/>
  <c r="Q110" i="1"/>
  <c r="O110" i="1"/>
  <c r="J110" i="1"/>
  <c r="I110" i="1" s="1"/>
  <c r="AB110" i="1" s="1"/>
  <c r="AN109" i="1"/>
  <c r="AM109" i="1"/>
  <c r="AK109" i="1"/>
  <c r="AL109" i="1" s="1"/>
  <c r="AJ109" i="1"/>
  <c r="AH109" i="1"/>
  <c r="Z109" i="1"/>
  <c r="Y109" i="1"/>
  <c r="X109" i="1"/>
  <c r="Q109" i="1"/>
  <c r="AN108" i="1"/>
  <c r="AM108" i="1"/>
  <c r="AK108" i="1"/>
  <c r="AJ108" i="1"/>
  <c r="AH108" i="1"/>
  <c r="J108" i="1" s="1"/>
  <c r="I108" i="1" s="1"/>
  <c r="Z108" i="1"/>
  <c r="Y108" i="1"/>
  <c r="X108" i="1"/>
  <c r="Q108" i="1"/>
  <c r="K108" i="1"/>
  <c r="AN107" i="1"/>
  <c r="AM107" i="1"/>
  <c r="AL107" i="1"/>
  <c r="AK107" i="1"/>
  <c r="AJ107" i="1"/>
  <c r="AI107" i="1"/>
  <c r="AH107" i="1"/>
  <c r="K107" i="1" s="1"/>
  <c r="Z107" i="1"/>
  <c r="Y107" i="1"/>
  <c r="X107" i="1" s="1"/>
  <c r="T107" i="1"/>
  <c r="Q107" i="1"/>
  <c r="O107" i="1"/>
  <c r="L107" i="1"/>
  <c r="AN106" i="1"/>
  <c r="AM106" i="1"/>
  <c r="AL106" i="1" s="1"/>
  <c r="AK106" i="1"/>
  <c r="AJ106" i="1"/>
  <c r="AH106" i="1" s="1"/>
  <c r="Z106" i="1"/>
  <c r="Y106" i="1"/>
  <c r="T106" i="1"/>
  <c r="Q106" i="1"/>
  <c r="O106" i="1"/>
  <c r="J106" i="1"/>
  <c r="I106" i="1" s="1"/>
  <c r="AN105" i="1"/>
  <c r="AM105" i="1"/>
  <c r="AK105" i="1"/>
  <c r="AL105" i="1" s="1"/>
  <c r="AJ105" i="1"/>
  <c r="AH105" i="1"/>
  <c r="Z105" i="1"/>
  <c r="Y105" i="1"/>
  <c r="X105" i="1"/>
  <c r="Q105" i="1"/>
  <c r="AN104" i="1"/>
  <c r="AM104" i="1"/>
  <c r="AK104" i="1"/>
  <c r="AJ104" i="1"/>
  <c r="AI104" i="1"/>
  <c r="AH104" i="1"/>
  <c r="J104" i="1" s="1"/>
  <c r="I104" i="1" s="1"/>
  <c r="Z104" i="1"/>
  <c r="Y104" i="1"/>
  <c r="X104" i="1" s="1"/>
  <c r="Q104" i="1"/>
  <c r="K104" i="1"/>
  <c r="AN103" i="1"/>
  <c r="AM103" i="1"/>
  <c r="AL103" i="1"/>
  <c r="AK103" i="1"/>
  <c r="AJ103" i="1"/>
  <c r="AI103" i="1"/>
  <c r="AH103" i="1"/>
  <c r="K103" i="1" s="1"/>
  <c r="Z103" i="1"/>
  <c r="Y103" i="1"/>
  <c r="X103" i="1" s="1"/>
  <c r="T103" i="1"/>
  <c r="Q103" i="1"/>
  <c r="O103" i="1"/>
  <c r="L103" i="1"/>
  <c r="AN102" i="1"/>
  <c r="AM102" i="1"/>
  <c r="AL102" i="1" s="1"/>
  <c r="AK102" i="1"/>
  <c r="AJ102" i="1"/>
  <c r="AH102" i="1" s="1"/>
  <c r="Z102" i="1"/>
  <c r="Y102" i="1"/>
  <c r="T102" i="1"/>
  <c r="Q102" i="1"/>
  <c r="O102" i="1"/>
  <c r="J102" i="1"/>
  <c r="I102" i="1" s="1"/>
  <c r="AN101" i="1"/>
  <c r="AM101" i="1"/>
  <c r="AK101" i="1"/>
  <c r="AL101" i="1" s="1"/>
  <c r="AJ101" i="1"/>
  <c r="AH101" i="1"/>
  <c r="Z101" i="1"/>
  <c r="Y101" i="1"/>
  <c r="X101" i="1"/>
  <c r="Q101" i="1"/>
  <c r="AN100" i="1"/>
  <c r="AM100" i="1"/>
  <c r="AK100" i="1"/>
  <c r="AJ100" i="1"/>
  <c r="AI100" i="1"/>
  <c r="AH100" i="1"/>
  <c r="J100" i="1" s="1"/>
  <c r="I100" i="1" s="1"/>
  <c r="Z100" i="1"/>
  <c r="Y100" i="1"/>
  <c r="X100" i="1" s="1"/>
  <c r="Q100" i="1"/>
  <c r="K100" i="1"/>
  <c r="AN99" i="1"/>
  <c r="AM99" i="1"/>
  <c r="AL99" i="1"/>
  <c r="AK99" i="1"/>
  <c r="AJ99" i="1"/>
  <c r="AI99" i="1"/>
  <c r="AH99" i="1"/>
  <c r="K99" i="1" s="1"/>
  <c r="Z99" i="1"/>
  <c r="Y99" i="1"/>
  <c r="X99" i="1" s="1"/>
  <c r="T99" i="1"/>
  <c r="Q99" i="1"/>
  <c r="O99" i="1"/>
  <c r="L99" i="1"/>
  <c r="AN98" i="1"/>
  <c r="AM98" i="1"/>
  <c r="AL98" i="1" s="1"/>
  <c r="AK98" i="1"/>
  <c r="AJ98" i="1"/>
  <c r="AH98" i="1" s="1"/>
  <c r="Z98" i="1"/>
  <c r="Y98" i="1"/>
  <c r="T98" i="1"/>
  <c r="Q98" i="1"/>
  <c r="O98" i="1"/>
  <c r="J98" i="1"/>
  <c r="I98" i="1" s="1"/>
  <c r="AN97" i="1"/>
  <c r="AM97" i="1"/>
  <c r="AK97" i="1"/>
  <c r="AL97" i="1" s="1"/>
  <c r="AJ97" i="1"/>
  <c r="AH97" i="1"/>
  <c r="Z97" i="1"/>
  <c r="Y97" i="1"/>
  <c r="X97" i="1"/>
  <c r="Q97" i="1"/>
  <c r="AN96" i="1"/>
  <c r="AM96" i="1"/>
  <c r="AK96" i="1"/>
  <c r="AJ96" i="1"/>
  <c r="AI96" i="1"/>
  <c r="AH96" i="1"/>
  <c r="J96" i="1" s="1"/>
  <c r="Z96" i="1"/>
  <c r="Y96" i="1"/>
  <c r="X96" i="1" s="1"/>
  <c r="Q96" i="1"/>
  <c r="K96" i="1"/>
  <c r="I96" i="1"/>
  <c r="AN95" i="1"/>
  <c r="AM95" i="1"/>
  <c r="AL95" i="1"/>
  <c r="AK95" i="1"/>
  <c r="AJ95" i="1"/>
  <c r="AI95" i="1"/>
  <c r="AH95" i="1"/>
  <c r="K95" i="1" s="1"/>
  <c r="Z95" i="1"/>
  <c r="Y95" i="1"/>
  <c r="X95" i="1" s="1"/>
  <c r="T95" i="1"/>
  <c r="Q95" i="1"/>
  <c r="O95" i="1"/>
  <c r="L95" i="1"/>
  <c r="AN94" i="1"/>
  <c r="AM94" i="1"/>
  <c r="AL94" i="1" s="1"/>
  <c r="AK94" i="1"/>
  <c r="AJ94" i="1"/>
  <c r="AH94" i="1" s="1"/>
  <c r="Z94" i="1"/>
  <c r="Y94" i="1"/>
  <c r="T94" i="1"/>
  <c r="Q94" i="1"/>
  <c r="O94" i="1"/>
  <c r="J94" i="1"/>
  <c r="I94" i="1" s="1"/>
  <c r="U94" i="1" s="1"/>
  <c r="V94" i="1" s="1"/>
  <c r="AN93" i="1"/>
  <c r="AM93" i="1"/>
  <c r="AK93" i="1"/>
  <c r="AJ93" i="1"/>
  <c r="AH93" i="1"/>
  <c r="Z93" i="1"/>
  <c r="Y93" i="1"/>
  <c r="X93" i="1"/>
  <c r="Q93" i="1"/>
  <c r="K93" i="1"/>
  <c r="AN92" i="1"/>
  <c r="AM92" i="1"/>
  <c r="AK92" i="1"/>
  <c r="AJ92" i="1"/>
  <c r="AI92" i="1"/>
  <c r="AH92" i="1"/>
  <c r="J92" i="1" s="1"/>
  <c r="Z92" i="1"/>
  <c r="Y92" i="1"/>
  <c r="X92" i="1" s="1"/>
  <c r="Q92" i="1"/>
  <c r="K92" i="1"/>
  <c r="I92" i="1"/>
  <c r="AN91" i="1"/>
  <c r="AM91" i="1"/>
  <c r="AL91" i="1"/>
  <c r="AK91" i="1"/>
  <c r="AJ91" i="1"/>
  <c r="AI91" i="1"/>
  <c r="AH91" i="1"/>
  <c r="K91" i="1" s="1"/>
  <c r="Z91" i="1"/>
  <c r="Y91" i="1"/>
  <c r="X91" i="1" s="1"/>
  <c r="T91" i="1"/>
  <c r="Q91" i="1"/>
  <c r="O91" i="1"/>
  <c r="L91" i="1"/>
  <c r="AN90" i="1"/>
  <c r="AM90" i="1"/>
  <c r="AL90" i="1" s="1"/>
  <c r="AK90" i="1"/>
  <c r="AJ90" i="1"/>
  <c r="AH90" i="1" s="1"/>
  <c r="Z90" i="1"/>
  <c r="Y90" i="1"/>
  <c r="X90" i="1" s="1"/>
  <c r="T90" i="1"/>
  <c r="Q90" i="1"/>
  <c r="AN89" i="1"/>
  <c r="AM89" i="1"/>
  <c r="AK89" i="1"/>
  <c r="AJ89" i="1"/>
  <c r="AH89" i="1" s="1"/>
  <c r="Z89" i="1"/>
  <c r="Y89" i="1"/>
  <c r="X89" i="1" s="1"/>
  <c r="Q89" i="1"/>
  <c r="K89" i="1"/>
  <c r="AN88" i="1"/>
  <c r="AM88" i="1"/>
  <c r="AK88" i="1"/>
  <c r="AJ88" i="1"/>
  <c r="AI88" i="1"/>
  <c r="AH88" i="1"/>
  <c r="Z88" i="1"/>
  <c r="Y88" i="1"/>
  <c r="X88" i="1" s="1"/>
  <c r="Q88" i="1"/>
  <c r="K88" i="1"/>
  <c r="J88" i="1"/>
  <c r="I88" i="1" s="1"/>
  <c r="AB88" i="1" s="1"/>
  <c r="AN87" i="1"/>
  <c r="T87" i="1" s="1"/>
  <c r="AM87" i="1"/>
  <c r="AL87" i="1" s="1"/>
  <c r="AK87" i="1"/>
  <c r="AJ87" i="1"/>
  <c r="AH87" i="1"/>
  <c r="Z87" i="1"/>
  <c r="Y87" i="1"/>
  <c r="X87" i="1"/>
  <c r="Q87" i="1"/>
  <c r="AN86" i="1"/>
  <c r="AM86" i="1"/>
  <c r="AL86" i="1"/>
  <c r="AK86" i="1"/>
  <c r="AJ86" i="1"/>
  <c r="AH86" i="1" s="1"/>
  <c r="K86" i="1" s="1"/>
  <c r="Z86" i="1"/>
  <c r="Y86" i="1"/>
  <c r="T86" i="1"/>
  <c r="Q86" i="1"/>
  <c r="AN85" i="1"/>
  <c r="AM85" i="1"/>
  <c r="AK85" i="1"/>
  <c r="AL85" i="1" s="1"/>
  <c r="AJ85" i="1"/>
  <c r="AH85" i="1" s="1"/>
  <c r="Z85" i="1"/>
  <c r="Y85" i="1"/>
  <c r="X85" i="1"/>
  <c r="T85" i="1"/>
  <c r="Q85" i="1"/>
  <c r="L85" i="1"/>
  <c r="AN84" i="1"/>
  <c r="AM84" i="1"/>
  <c r="AK84" i="1"/>
  <c r="AJ84" i="1"/>
  <c r="AH84" i="1" s="1"/>
  <c r="AI84" i="1" s="1"/>
  <c r="Z84" i="1"/>
  <c r="Y84" i="1"/>
  <c r="X84" i="1"/>
  <c r="Q84" i="1"/>
  <c r="AN83" i="1"/>
  <c r="T83" i="1" s="1"/>
  <c r="AM83" i="1"/>
  <c r="AL83" i="1"/>
  <c r="AK83" i="1"/>
  <c r="AJ83" i="1"/>
  <c r="AI83" i="1"/>
  <c r="AH83" i="1"/>
  <c r="Z83" i="1"/>
  <c r="Y83" i="1"/>
  <c r="X83" i="1" s="1"/>
  <c r="Q83" i="1"/>
  <c r="O83" i="1"/>
  <c r="L83" i="1"/>
  <c r="AN82" i="1"/>
  <c r="AM82" i="1"/>
  <c r="AK82" i="1"/>
  <c r="AJ82" i="1"/>
  <c r="AH82" i="1" s="1"/>
  <c r="Z82" i="1"/>
  <c r="Y82" i="1"/>
  <c r="X82" i="1" s="1"/>
  <c r="Q82" i="1"/>
  <c r="L82" i="1"/>
  <c r="AN81" i="1"/>
  <c r="AM81" i="1"/>
  <c r="AL81" i="1"/>
  <c r="AK81" i="1"/>
  <c r="T81" i="1" s="1"/>
  <c r="AJ81" i="1"/>
  <c r="AH81" i="1" s="1"/>
  <c r="AI81" i="1" s="1"/>
  <c r="Z81" i="1"/>
  <c r="Y81" i="1"/>
  <c r="X81" i="1" s="1"/>
  <c r="Q81" i="1"/>
  <c r="AN80" i="1"/>
  <c r="AM80" i="1"/>
  <c r="AK80" i="1"/>
  <c r="AJ80" i="1"/>
  <c r="AH80" i="1" s="1"/>
  <c r="J80" i="1" s="1"/>
  <c r="I80" i="1" s="1"/>
  <c r="Z80" i="1"/>
  <c r="Y80" i="1"/>
  <c r="X80" i="1" s="1"/>
  <c r="Q80" i="1"/>
  <c r="AN79" i="1"/>
  <c r="AM79" i="1"/>
  <c r="AK79" i="1"/>
  <c r="AJ79" i="1"/>
  <c r="AH79" i="1"/>
  <c r="L79" i="1" s="1"/>
  <c r="Z79" i="1"/>
  <c r="Y79" i="1"/>
  <c r="X79" i="1"/>
  <c r="Q79" i="1"/>
  <c r="O79" i="1"/>
  <c r="AN78" i="1"/>
  <c r="AM78" i="1"/>
  <c r="AL78" i="1"/>
  <c r="AK78" i="1"/>
  <c r="T78" i="1" s="1"/>
  <c r="AJ78" i="1"/>
  <c r="AH78" i="1" s="1"/>
  <c r="L78" i="1" s="1"/>
  <c r="AI78" i="1"/>
  <c r="Z78" i="1"/>
  <c r="Y78" i="1"/>
  <c r="Q78" i="1"/>
  <c r="O78" i="1"/>
  <c r="AN77" i="1"/>
  <c r="AM77" i="1"/>
  <c r="AL77" i="1"/>
  <c r="AK77" i="1"/>
  <c r="AJ77" i="1"/>
  <c r="AH77" i="1" s="1"/>
  <c r="Z77" i="1"/>
  <c r="Y77" i="1"/>
  <c r="X77" i="1"/>
  <c r="T77" i="1"/>
  <c r="Q77" i="1"/>
  <c r="L77" i="1"/>
  <c r="J77" i="1"/>
  <c r="I77" i="1" s="1"/>
  <c r="AN76" i="1"/>
  <c r="AM76" i="1"/>
  <c r="AK76" i="1"/>
  <c r="AJ76" i="1"/>
  <c r="AH76" i="1"/>
  <c r="K76" i="1" s="1"/>
  <c r="Z76" i="1"/>
  <c r="Y76" i="1"/>
  <c r="X76" i="1"/>
  <c r="Q76" i="1"/>
  <c r="AN75" i="1"/>
  <c r="AM75" i="1"/>
  <c r="AK75" i="1"/>
  <c r="AL75" i="1" s="1"/>
  <c r="AJ75" i="1"/>
  <c r="AH75" i="1"/>
  <c r="Z75" i="1"/>
  <c r="Y75" i="1"/>
  <c r="X75" i="1" s="1"/>
  <c r="Q75" i="1"/>
  <c r="O75" i="1"/>
  <c r="AN74" i="1"/>
  <c r="T74" i="1" s="1"/>
  <c r="AM74" i="1"/>
  <c r="AL74" i="1" s="1"/>
  <c r="AK74" i="1"/>
  <c r="AJ74" i="1"/>
  <c r="AH74" i="1" s="1"/>
  <c r="Z74" i="1"/>
  <c r="Y74" i="1"/>
  <c r="X74" i="1" s="1"/>
  <c r="Q74" i="1"/>
  <c r="O74" i="1"/>
  <c r="AN73" i="1"/>
  <c r="AM73" i="1"/>
  <c r="AK73" i="1"/>
  <c r="AL73" i="1" s="1"/>
  <c r="AJ73" i="1"/>
  <c r="AH73" i="1" s="1"/>
  <c r="Z73" i="1"/>
  <c r="X73" i="1" s="1"/>
  <c r="Y73" i="1"/>
  <c r="T73" i="1"/>
  <c r="Q73" i="1"/>
  <c r="AN72" i="1"/>
  <c r="AM72" i="1"/>
  <c r="AK72" i="1"/>
  <c r="AJ72" i="1"/>
  <c r="AH72" i="1"/>
  <c r="J72" i="1" s="1"/>
  <c r="I72" i="1" s="1"/>
  <c r="Z72" i="1"/>
  <c r="Y72" i="1"/>
  <c r="X72" i="1"/>
  <c r="Q72" i="1"/>
  <c r="K72" i="1"/>
  <c r="AN71" i="1"/>
  <c r="AM71" i="1"/>
  <c r="AK71" i="1"/>
  <c r="AL71" i="1" s="1"/>
  <c r="AJ71" i="1"/>
  <c r="AH71" i="1"/>
  <c r="O71" i="1" s="1"/>
  <c r="Z71" i="1"/>
  <c r="Y71" i="1"/>
  <c r="X71" i="1" s="1"/>
  <c r="Q71" i="1"/>
  <c r="AN70" i="1"/>
  <c r="AM70" i="1"/>
  <c r="AL70" i="1"/>
  <c r="AK70" i="1"/>
  <c r="AJ70" i="1"/>
  <c r="AH70" i="1" s="1"/>
  <c r="Z70" i="1"/>
  <c r="Y70" i="1"/>
  <c r="X70" i="1" s="1"/>
  <c r="T70" i="1"/>
  <c r="Q70" i="1"/>
  <c r="O70" i="1"/>
  <c r="L70" i="1"/>
  <c r="AN69" i="1"/>
  <c r="AM69" i="1"/>
  <c r="AL69" i="1"/>
  <c r="AK69" i="1"/>
  <c r="AJ69" i="1"/>
  <c r="AH69" i="1" s="1"/>
  <c r="L69" i="1" s="1"/>
  <c r="Z69" i="1"/>
  <c r="X69" i="1" s="1"/>
  <c r="Y69" i="1"/>
  <c r="U69" i="1"/>
  <c r="V69" i="1" s="1"/>
  <c r="T69" i="1"/>
  <c r="Q69" i="1"/>
  <c r="J69" i="1"/>
  <c r="I69" i="1" s="1"/>
  <c r="AN68" i="1"/>
  <c r="AM68" i="1"/>
  <c r="AK68" i="1"/>
  <c r="AJ68" i="1"/>
  <c r="AH68" i="1" s="1"/>
  <c r="Z68" i="1"/>
  <c r="X68" i="1" s="1"/>
  <c r="Y68" i="1"/>
  <c r="Q68" i="1"/>
  <c r="AN67" i="1"/>
  <c r="AM67" i="1"/>
  <c r="AK67" i="1"/>
  <c r="AL67" i="1" s="1"/>
  <c r="AJ67" i="1"/>
  <c r="AH67" i="1"/>
  <c r="Z67" i="1"/>
  <c r="Y67" i="1"/>
  <c r="X67" i="1"/>
  <c r="Q67" i="1"/>
  <c r="O67" i="1"/>
  <c r="AN66" i="1"/>
  <c r="T66" i="1" s="1"/>
  <c r="AM66" i="1"/>
  <c r="AL66" i="1" s="1"/>
  <c r="AK66" i="1"/>
  <c r="AJ66" i="1"/>
  <c r="AH66" i="1" s="1"/>
  <c r="Z66" i="1"/>
  <c r="Y66" i="1"/>
  <c r="X66" i="1" s="1"/>
  <c r="Q66" i="1"/>
  <c r="AN65" i="1"/>
  <c r="AM65" i="1"/>
  <c r="AL65" i="1"/>
  <c r="AK65" i="1"/>
  <c r="AJ65" i="1"/>
  <c r="AH65" i="1" s="1"/>
  <c r="Z65" i="1"/>
  <c r="X65" i="1" s="1"/>
  <c r="Y65" i="1"/>
  <c r="T65" i="1"/>
  <c r="Q65" i="1"/>
  <c r="L65" i="1"/>
  <c r="AN64" i="1"/>
  <c r="AM64" i="1"/>
  <c r="AK64" i="1"/>
  <c r="AJ64" i="1"/>
  <c r="AH64" i="1"/>
  <c r="Z64" i="1"/>
  <c r="Y64" i="1"/>
  <c r="X64" i="1"/>
  <c r="Q64" i="1"/>
  <c r="AN63" i="1"/>
  <c r="AM63" i="1"/>
  <c r="AK63" i="1"/>
  <c r="AL63" i="1" s="1"/>
  <c r="AJ63" i="1"/>
  <c r="AI63" i="1"/>
  <c r="AH63" i="1"/>
  <c r="O63" i="1" s="1"/>
  <c r="Z63" i="1"/>
  <c r="Y63" i="1"/>
  <c r="X63" i="1" s="1"/>
  <c r="Q63" i="1"/>
  <c r="AN62" i="1"/>
  <c r="AM62" i="1"/>
  <c r="AL62" i="1"/>
  <c r="AK62" i="1"/>
  <c r="AJ62" i="1"/>
  <c r="AH62" i="1" s="1"/>
  <c r="O62" i="1" s="1"/>
  <c r="Z62" i="1"/>
  <c r="Y62" i="1"/>
  <c r="X62" i="1" s="1"/>
  <c r="T62" i="1"/>
  <c r="Q62" i="1"/>
  <c r="L62" i="1"/>
  <c r="AN61" i="1"/>
  <c r="AM61" i="1"/>
  <c r="AK61" i="1"/>
  <c r="AL61" i="1" s="1"/>
  <c r="AJ61" i="1"/>
  <c r="AH61" i="1" s="1"/>
  <c r="AI61" i="1" s="1"/>
  <c r="AB61" i="1"/>
  <c r="Z61" i="1"/>
  <c r="X61" i="1" s="1"/>
  <c r="Y61" i="1"/>
  <c r="Q61" i="1"/>
  <c r="O61" i="1"/>
  <c r="L61" i="1"/>
  <c r="K61" i="1"/>
  <c r="J61" i="1"/>
  <c r="I61" i="1" s="1"/>
  <c r="AN60" i="1"/>
  <c r="AM60" i="1"/>
  <c r="AK60" i="1"/>
  <c r="AJ60" i="1"/>
  <c r="AH60" i="1"/>
  <c r="Z60" i="1"/>
  <c r="Y60" i="1"/>
  <c r="X60" i="1" s="1"/>
  <c r="Q60" i="1"/>
  <c r="K60" i="1"/>
  <c r="AN59" i="1"/>
  <c r="AM59" i="1"/>
  <c r="AK59" i="1"/>
  <c r="AL59" i="1" s="1"/>
  <c r="AJ59" i="1"/>
  <c r="AH59" i="1"/>
  <c r="Z59" i="1"/>
  <c r="Y59" i="1"/>
  <c r="X59" i="1" s="1"/>
  <c r="Q59" i="1"/>
  <c r="L59" i="1"/>
  <c r="AN58" i="1"/>
  <c r="AM58" i="1"/>
  <c r="AK58" i="1"/>
  <c r="AL58" i="1" s="1"/>
  <c r="AJ58" i="1"/>
  <c r="AH58" i="1" s="1"/>
  <c r="Z58" i="1"/>
  <c r="Y58" i="1"/>
  <c r="X58" i="1" s="1"/>
  <c r="Q58" i="1"/>
  <c r="J58" i="1"/>
  <c r="I58" i="1" s="1"/>
  <c r="AB58" i="1" s="1"/>
  <c r="AN57" i="1"/>
  <c r="AM57" i="1"/>
  <c r="AK57" i="1"/>
  <c r="AL57" i="1" s="1"/>
  <c r="AJ57" i="1"/>
  <c r="AH57" i="1"/>
  <c r="Z57" i="1"/>
  <c r="Y57" i="1"/>
  <c r="X57" i="1"/>
  <c r="Q57" i="1"/>
  <c r="AN56" i="1"/>
  <c r="AM56" i="1"/>
  <c r="AK56" i="1"/>
  <c r="AL56" i="1" s="1"/>
  <c r="AJ56" i="1"/>
  <c r="AH56" i="1" s="1"/>
  <c r="Z56" i="1"/>
  <c r="Y56" i="1"/>
  <c r="X56" i="1" s="1"/>
  <c r="Q56" i="1"/>
  <c r="AN55" i="1"/>
  <c r="AM55" i="1"/>
  <c r="AL55" i="1"/>
  <c r="AK55" i="1"/>
  <c r="AJ55" i="1"/>
  <c r="AH55" i="1"/>
  <c r="K55" i="1" s="1"/>
  <c r="Z55" i="1"/>
  <c r="Y55" i="1"/>
  <c r="X55" i="1"/>
  <c r="T55" i="1"/>
  <c r="Q55" i="1"/>
  <c r="O55" i="1"/>
  <c r="L55" i="1"/>
  <c r="AN54" i="1"/>
  <c r="AM54" i="1"/>
  <c r="AK54" i="1"/>
  <c r="AL54" i="1" s="1"/>
  <c r="AJ54" i="1"/>
  <c r="AH54" i="1" s="1"/>
  <c r="Z54" i="1"/>
  <c r="Y54" i="1"/>
  <c r="X54" i="1" s="1"/>
  <c r="Q54" i="1"/>
  <c r="AN53" i="1"/>
  <c r="AM53" i="1"/>
  <c r="AK53" i="1"/>
  <c r="AL53" i="1" s="1"/>
  <c r="AJ53" i="1"/>
  <c r="AH53" i="1"/>
  <c r="Z53" i="1"/>
  <c r="Y53" i="1"/>
  <c r="X53" i="1"/>
  <c r="Q53" i="1"/>
  <c r="AN52" i="1"/>
  <c r="AM52" i="1"/>
  <c r="AK52" i="1"/>
  <c r="AL52" i="1" s="1"/>
  <c r="AJ52" i="1"/>
  <c r="AH52" i="1" s="1"/>
  <c r="Z52" i="1"/>
  <c r="Y52" i="1"/>
  <c r="X52" i="1" s="1"/>
  <c r="Q52" i="1"/>
  <c r="AN51" i="1"/>
  <c r="AM51" i="1"/>
  <c r="AL51" i="1"/>
  <c r="AK51" i="1"/>
  <c r="AJ51" i="1"/>
  <c r="AH51" i="1"/>
  <c r="K51" i="1" s="1"/>
  <c r="Z51" i="1"/>
  <c r="Y51" i="1"/>
  <c r="X51" i="1"/>
  <c r="T51" i="1"/>
  <c r="Q51" i="1"/>
  <c r="O51" i="1"/>
  <c r="L51" i="1"/>
  <c r="AN50" i="1"/>
  <c r="AM50" i="1"/>
  <c r="AK50" i="1"/>
  <c r="AJ50" i="1"/>
  <c r="AH50" i="1" s="1"/>
  <c r="Z50" i="1"/>
  <c r="Y50" i="1"/>
  <c r="X50" i="1" s="1"/>
  <c r="Q50" i="1"/>
  <c r="J50" i="1"/>
  <c r="I50" i="1" s="1"/>
  <c r="AB50" i="1" s="1"/>
  <c r="AN49" i="1"/>
  <c r="AM49" i="1"/>
  <c r="AK49" i="1"/>
  <c r="AJ49" i="1"/>
  <c r="AH49" i="1"/>
  <c r="Z49" i="1"/>
  <c r="Y49" i="1"/>
  <c r="X49" i="1"/>
  <c r="Q49" i="1"/>
  <c r="K49" i="1"/>
  <c r="AN48" i="1"/>
  <c r="AM48" i="1"/>
  <c r="AK48" i="1"/>
  <c r="AL48" i="1" s="1"/>
  <c r="AJ48" i="1"/>
  <c r="AH48" i="1" s="1"/>
  <c r="AI48" i="1" s="1"/>
  <c r="Z48" i="1"/>
  <c r="Y48" i="1"/>
  <c r="X48" i="1" s="1"/>
  <c r="Q48" i="1"/>
  <c r="AN47" i="1"/>
  <c r="AM47" i="1"/>
  <c r="AL47" i="1"/>
  <c r="AK47" i="1"/>
  <c r="AJ47" i="1"/>
  <c r="AH47" i="1"/>
  <c r="K47" i="1" s="1"/>
  <c r="Z47" i="1"/>
  <c r="Y47" i="1"/>
  <c r="X47" i="1"/>
  <c r="T47" i="1"/>
  <c r="Q47" i="1"/>
  <c r="O47" i="1"/>
  <c r="L47" i="1"/>
  <c r="AN46" i="1"/>
  <c r="AM46" i="1"/>
  <c r="AK46" i="1"/>
  <c r="AL46" i="1" s="1"/>
  <c r="AJ46" i="1"/>
  <c r="AH46" i="1" s="1"/>
  <c r="Z46" i="1"/>
  <c r="Y46" i="1"/>
  <c r="X46" i="1" s="1"/>
  <c r="Q46" i="1"/>
  <c r="J46" i="1"/>
  <c r="I46" i="1" s="1"/>
  <c r="AB46" i="1" s="1"/>
  <c r="AN45" i="1"/>
  <c r="AM45" i="1"/>
  <c r="AK45" i="1"/>
  <c r="AJ45" i="1"/>
  <c r="AH45" i="1"/>
  <c r="Z45" i="1"/>
  <c r="Y45" i="1"/>
  <c r="X45" i="1"/>
  <c r="Q45" i="1"/>
  <c r="K45" i="1"/>
  <c r="AN44" i="1"/>
  <c r="AM44" i="1"/>
  <c r="AK44" i="1"/>
  <c r="AL44" i="1" s="1"/>
  <c r="AJ44" i="1"/>
  <c r="AH44" i="1" s="1"/>
  <c r="AI44" i="1"/>
  <c r="Z44" i="1"/>
  <c r="Y44" i="1"/>
  <c r="X44" i="1" s="1"/>
  <c r="Q44" i="1"/>
  <c r="AN43" i="1"/>
  <c r="AM43" i="1"/>
  <c r="AL43" i="1"/>
  <c r="AK43" i="1"/>
  <c r="AJ43" i="1"/>
  <c r="AH43" i="1"/>
  <c r="K43" i="1" s="1"/>
  <c r="Z43" i="1"/>
  <c r="Y43" i="1"/>
  <c r="X43" i="1"/>
  <c r="T43" i="1"/>
  <c r="Q43" i="1"/>
  <c r="O43" i="1"/>
  <c r="L43" i="1"/>
  <c r="AN42" i="1"/>
  <c r="AM42" i="1"/>
  <c r="AK42" i="1"/>
  <c r="AL42" i="1" s="1"/>
  <c r="AJ42" i="1"/>
  <c r="AH42" i="1" s="1"/>
  <c r="Z42" i="1"/>
  <c r="Y42" i="1"/>
  <c r="Q42" i="1"/>
  <c r="J42" i="1"/>
  <c r="I42" i="1" s="1"/>
  <c r="AB42" i="1" s="1"/>
  <c r="AN41" i="1"/>
  <c r="AM41" i="1"/>
  <c r="AK41" i="1"/>
  <c r="AJ41" i="1"/>
  <c r="AH41" i="1"/>
  <c r="Z41" i="1"/>
  <c r="Y41" i="1"/>
  <c r="X41" i="1"/>
  <c r="Q41" i="1"/>
  <c r="K41" i="1"/>
  <c r="AN40" i="1"/>
  <c r="AM40" i="1"/>
  <c r="AK40" i="1"/>
  <c r="AL40" i="1" s="1"/>
  <c r="AJ40" i="1"/>
  <c r="AH40" i="1" s="1"/>
  <c r="AI40" i="1"/>
  <c r="Z40" i="1"/>
  <c r="Y40" i="1"/>
  <c r="X40" i="1" s="1"/>
  <c r="Q40" i="1"/>
  <c r="AN39" i="1"/>
  <c r="AM39" i="1"/>
  <c r="AL39" i="1"/>
  <c r="AK39" i="1"/>
  <c r="AJ39" i="1"/>
  <c r="AH39" i="1"/>
  <c r="K39" i="1" s="1"/>
  <c r="Z39" i="1"/>
  <c r="Y39" i="1"/>
  <c r="X39" i="1"/>
  <c r="T39" i="1"/>
  <c r="Q39" i="1"/>
  <c r="O39" i="1"/>
  <c r="L39" i="1"/>
  <c r="AN38" i="1"/>
  <c r="AM38" i="1"/>
  <c r="AK38" i="1"/>
  <c r="AJ38" i="1"/>
  <c r="AH38" i="1" s="1"/>
  <c r="Z38" i="1"/>
  <c r="Y38" i="1"/>
  <c r="Q38" i="1"/>
  <c r="J38" i="1"/>
  <c r="I38" i="1" s="1"/>
  <c r="AB38" i="1" s="1"/>
  <c r="AN37" i="1"/>
  <c r="AM37" i="1"/>
  <c r="AK37" i="1"/>
  <c r="AJ37" i="1"/>
  <c r="AH37" i="1"/>
  <c r="K37" i="1" s="1"/>
  <c r="Z37" i="1"/>
  <c r="Y37" i="1"/>
  <c r="X37" i="1"/>
  <c r="Q37" i="1"/>
  <c r="AN36" i="1"/>
  <c r="AM36" i="1"/>
  <c r="AK36" i="1"/>
  <c r="AL36" i="1" s="1"/>
  <c r="AJ36" i="1"/>
  <c r="AH36" i="1" s="1"/>
  <c r="AI36" i="1"/>
  <c r="Z36" i="1"/>
  <c r="Y36" i="1"/>
  <c r="X36" i="1" s="1"/>
  <c r="Q36" i="1"/>
  <c r="J36" i="1"/>
  <c r="I36" i="1" s="1"/>
  <c r="AN35" i="1"/>
  <c r="AM35" i="1"/>
  <c r="AL35" i="1"/>
  <c r="AK35" i="1"/>
  <c r="AJ35" i="1"/>
  <c r="AH35" i="1"/>
  <c r="O35" i="1" s="1"/>
  <c r="Z35" i="1"/>
  <c r="Y35" i="1"/>
  <c r="X35" i="1"/>
  <c r="T35" i="1"/>
  <c r="Q35" i="1"/>
  <c r="L35" i="1"/>
  <c r="AN34" i="1"/>
  <c r="AM34" i="1"/>
  <c r="AK34" i="1"/>
  <c r="AL34" i="1" s="1"/>
  <c r="AJ34" i="1"/>
  <c r="AH34" i="1" s="1"/>
  <c r="Z34" i="1"/>
  <c r="Y34" i="1"/>
  <c r="Q34" i="1"/>
  <c r="O34" i="1"/>
  <c r="AN33" i="1"/>
  <c r="AM33" i="1"/>
  <c r="AL33" i="1"/>
  <c r="AK33" i="1"/>
  <c r="AJ33" i="1"/>
  <c r="AH33" i="1"/>
  <c r="Z33" i="1"/>
  <c r="Y33" i="1"/>
  <c r="X33" i="1"/>
  <c r="T33" i="1"/>
  <c r="Q33" i="1"/>
  <c r="AN32" i="1"/>
  <c r="AM32" i="1"/>
  <c r="AK32" i="1"/>
  <c r="AJ32" i="1"/>
  <c r="AH32" i="1" s="1"/>
  <c r="AI32" i="1"/>
  <c r="Z32" i="1"/>
  <c r="Y32" i="1"/>
  <c r="X32" i="1" s="1"/>
  <c r="Q32" i="1"/>
  <c r="K32" i="1"/>
  <c r="J32" i="1"/>
  <c r="I32" i="1" s="1"/>
  <c r="AN31" i="1"/>
  <c r="AM31" i="1"/>
  <c r="AK31" i="1"/>
  <c r="AL31" i="1" s="1"/>
  <c r="AJ31" i="1"/>
  <c r="AH31" i="1"/>
  <c r="J31" i="1" s="1"/>
  <c r="I31" i="1" s="1"/>
  <c r="Z31" i="1"/>
  <c r="Y31" i="1"/>
  <c r="X31" i="1" s="1"/>
  <c r="Q31" i="1"/>
  <c r="AN30" i="1"/>
  <c r="AM30" i="1"/>
  <c r="AK30" i="1"/>
  <c r="AJ30" i="1"/>
  <c r="AH30" i="1" s="1"/>
  <c r="AI30" i="1"/>
  <c r="Z30" i="1"/>
  <c r="Y30" i="1"/>
  <c r="Q30" i="1"/>
  <c r="O30" i="1"/>
  <c r="AN29" i="1"/>
  <c r="AM29" i="1"/>
  <c r="AK29" i="1"/>
  <c r="T29" i="1" s="1"/>
  <c r="AJ29" i="1"/>
  <c r="AH29" i="1"/>
  <c r="K29" i="1" s="1"/>
  <c r="Z29" i="1"/>
  <c r="Y29" i="1"/>
  <c r="X29" i="1"/>
  <c r="Q29" i="1"/>
  <c r="O29" i="1"/>
  <c r="L29" i="1"/>
  <c r="AN28" i="1"/>
  <c r="AM28" i="1"/>
  <c r="AK28" i="1"/>
  <c r="AJ28" i="1"/>
  <c r="AH28" i="1" s="1"/>
  <c r="AI28" i="1"/>
  <c r="Z28" i="1"/>
  <c r="Y28" i="1"/>
  <c r="X28" i="1" s="1"/>
  <c r="Q28" i="1"/>
  <c r="K28" i="1"/>
  <c r="J28" i="1"/>
  <c r="I28" i="1" s="1"/>
  <c r="AN27" i="1"/>
  <c r="AM27" i="1"/>
  <c r="AL27" i="1"/>
  <c r="AK27" i="1"/>
  <c r="AJ27" i="1"/>
  <c r="AH27" i="1"/>
  <c r="J27" i="1" s="1"/>
  <c r="I27" i="1" s="1"/>
  <c r="Z27" i="1"/>
  <c r="Y27" i="1"/>
  <c r="X27" i="1"/>
  <c r="T27" i="1"/>
  <c r="Q27" i="1"/>
  <c r="AN26" i="1"/>
  <c r="AM26" i="1"/>
  <c r="AK26" i="1"/>
  <c r="AL26" i="1" s="1"/>
  <c r="AJ26" i="1"/>
  <c r="AH26" i="1" s="1"/>
  <c r="J26" i="1" s="1"/>
  <c r="I26" i="1" s="1"/>
  <c r="Z26" i="1"/>
  <c r="Y26" i="1"/>
  <c r="Q26" i="1"/>
  <c r="AN25" i="1"/>
  <c r="AM25" i="1"/>
  <c r="AK25" i="1"/>
  <c r="AL25" i="1" s="1"/>
  <c r="AJ25" i="1"/>
  <c r="AH25" i="1"/>
  <c r="Z25" i="1"/>
  <c r="Y25" i="1"/>
  <c r="X25" i="1"/>
  <c r="T25" i="1"/>
  <c r="Q25" i="1"/>
  <c r="O25" i="1"/>
  <c r="L25" i="1"/>
  <c r="K25" i="1"/>
  <c r="AN24" i="1"/>
  <c r="AM24" i="1"/>
  <c r="AK24" i="1"/>
  <c r="T24" i="1" s="1"/>
  <c r="AJ24" i="1"/>
  <c r="AH24" i="1" s="1"/>
  <c r="K24" i="1" s="1"/>
  <c r="AI24" i="1"/>
  <c r="Z24" i="1"/>
  <c r="Y24" i="1"/>
  <c r="Q24" i="1"/>
  <c r="O24" i="1"/>
  <c r="L24" i="1"/>
  <c r="AN23" i="1"/>
  <c r="AM23" i="1"/>
  <c r="AK23" i="1"/>
  <c r="T23" i="1" s="1"/>
  <c r="AJ23" i="1"/>
  <c r="AH23" i="1" s="1"/>
  <c r="Z23" i="1"/>
  <c r="Y23" i="1"/>
  <c r="X23" i="1" s="1"/>
  <c r="Q23" i="1"/>
  <c r="AN22" i="1"/>
  <c r="AM22" i="1"/>
  <c r="AK22" i="1"/>
  <c r="AJ22" i="1"/>
  <c r="AH22" i="1"/>
  <c r="L22" i="1" s="1"/>
  <c r="Z22" i="1"/>
  <c r="Y22" i="1"/>
  <c r="X22" i="1"/>
  <c r="Q22" i="1"/>
  <c r="J22" i="1"/>
  <c r="I22" i="1" s="1"/>
  <c r="AN21" i="1"/>
  <c r="AM21" i="1"/>
  <c r="AK21" i="1"/>
  <c r="AL21" i="1" s="1"/>
  <c r="AJ21" i="1"/>
  <c r="AH21" i="1"/>
  <c r="J21" i="1" s="1"/>
  <c r="I21" i="1" s="1"/>
  <c r="Z21" i="1"/>
  <c r="Y21" i="1"/>
  <c r="X21" i="1"/>
  <c r="Q21" i="1"/>
  <c r="O21" i="1"/>
  <c r="AN20" i="1"/>
  <c r="AM20" i="1"/>
  <c r="AL20" i="1"/>
  <c r="AK20" i="1"/>
  <c r="AJ20" i="1"/>
  <c r="AH20" i="1" s="1"/>
  <c r="AI20" i="1"/>
  <c r="Z20" i="1"/>
  <c r="Y20" i="1"/>
  <c r="T20" i="1"/>
  <c r="Q20" i="1"/>
  <c r="O20" i="1"/>
  <c r="L20" i="1"/>
  <c r="K20" i="1"/>
  <c r="J20" i="1"/>
  <c r="I20" i="1"/>
  <c r="U20" i="1" s="1"/>
  <c r="V20" i="1" s="1"/>
  <c r="AN19" i="1"/>
  <c r="AM19" i="1"/>
  <c r="AK19" i="1"/>
  <c r="AL19" i="1" s="1"/>
  <c r="AJ19" i="1"/>
  <c r="AH19" i="1" s="1"/>
  <c r="Z19" i="1"/>
  <c r="Y19" i="1"/>
  <c r="X19" i="1" s="1"/>
  <c r="T19" i="1"/>
  <c r="Q19" i="1"/>
  <c r="AN18" i="1"/>
  <c r="AM18" i="1"/>
  <c r="AK18" i="1"/>
  <c r="AL18" i="1" s="1"/>
  <c r="AJ18" i="1"/>
  <c r="AH18" i="1" s="1"/>
  <c r="Z18" i="1"/>
  <c r="Y18" i="1"/>
  <c r="X18" i="1" s="1"/>
  <c r="Q18" i="1"/>
  <c r="AN17" i="1"/>
  <c r="AM17" i="1"/>
  <c r="AK17" i="1"/>
  <c r="AL17" i="1" s="1"/>
  <c r="AJ17" i="1"/>
  <c r="AH17" i="1"/>
  <c r="O17" i="1" s="1"/>
  <c r="Z17" i="1"/>
  <c r="Y17" i="1"/>
  <c r="X17" i="1"/>
  <c r="Q17" i="1"/>
  <c r="K23" i="1" l="1"/>
  <c r="AI23" i="1"/>
  <c r="O23" i="1"/>
  <c r="L23" i="1"/>
  <c r="J23" i="1"/>
  <c r="I23" i="1" s="1"/>
  <c r="U23" i="1" s="1"/>
  <c r="V23" i="1" s="1"/>
  <c r="AD20" i="1"/>
  <c r="AE20" i="1" s="1"/>
  <c r="W20" i="1"/>
  <c r="AA20" i="1" s="1"/>
  <c r="AB22" i="1"/>
  <c r="AB32" i="1"/>
  <c r="AB36" i="1"/>
  <c r="AB28" i="1"/>
  <c r="AI18" i="1"/>
  <c r="O18" i="1"/>
  <c r="L18" i="1"/>
  <c r="J18" i="1"/>
  <c r="I18" i="1" s="1"/>
  <c r="K18" i="1"/>
  <c r="K19" i="1"/>
  <c r="J19" i="1"/>
  <c r="I19" i="1" s="1"/>
  <c r="AI19" i="1"/>
  <c r="O19" i="1"/>
  <c r="L19" i="1"/>
  <c r="AB21" i="1"/>
  <c r="AB26" i="1"/>
  <c r="AB31" i="1"/>
  <c r="AC20" i="1"/>
  <c r="R27" i="1"/>
  <c r="P27" i="1" s="1"/>
  <c r="S27" i="1" s="1"/>
  <c r="AB27" i="1"/>
  <c r="R20" i="1"/>
  <c r="P20" i="1" s="1"/>
  <c r="S20" i="1" s="1"/>
  <c r="M20" i="1" s="1"/>
  <c r="N20" i="1" s="1"/>
  <c r="O33" i="1"/>
  <c r="J33" i="1"/>
  <c r="I33" i="1" s="1"/>
  <c r="AI33" i="1"/>
  <c r="AI17" i="1"/>
  <c r="AB20" i="1"/>
  <c r="AI21" i="1"/>
  <c r="K22" i="1"/>
  <c r="AL23" i="1"/>
  <c r="AC27" i="1"/>
  <c r="AI31" i="1"/>
  <c r="L40" i="1"/>
  <c r="K40" i="1"/>
  <c r="J40" i="1"/>
  <c r="I40" i="1" s="1"/>
  <c r="O40" i="1"/>
  <c r="AL49" i="1"/>
  <c r="T49" i="1"/>
  <c r="W69" i="1"/>
  <c r="AA69" i="1" s="1"/>
  <c r="AD69" i="1"/>
  <c r="AC69" i="1"/>
  <c r="O85" i="1"/>
  <c r="AI85" i="1"/>
  <c r="K85" i="1"/>
  <c r="J85" i="1"/>
  <c r="I85" i="1" s="1"/>
  <c r="U85" i="1" s="1"/>
  <c r="V85" i="1" s="1"/>
  <c r="L26" i="1"/>
  <c r="K26" i="1"/>
  <c r="T31" i="1"/>
  <c r="O37" i="1"/>
  <c r="L37" i="1"/>
  <c r="J37" i="1"/>
  <c r="I37" i="1" s="1"/>
  <c r="AI37" i="1"/>
  <c r="O53" i="1"/>
  <c r="L53" i="1"/>
  <c r="K53" i="1"/>
  <c r="J53" i="1"/>
  <c r="I53" i="1" s="1"/>
  <c r="AI53" i="1"/>
  <c r="J17" i="1"/>
  <c r="I17" i="1" s="1"/>
  <c r="T18" i="1"/>
  <c r="X24" i="1"/>
  <c r="J25" i="1"/>
  <c r="I25" i="1" s="1"/>
  <c r="U25" i="1" s="1"/>
  <c r="V25" i="1" s="1"/>
  <c r="AI25" i="1"/>
  <c r="X26" i="1"/>
  <c r="L28" i="1"/>
  <c r="O28" i="1"/>
  <c r="AL29" i="1"/>
  <c r="K31" i="1"/>
  <c r="K33" i="1"/>
  <c r="AL37" i="1"/>
  <c r="T37" i="1"/>
  <c r="X38" i="1"/>
  <c r="AI42" i="1"/>
  <c r="O42" i="1"/>
  <c r="L42" i="1"/>
  <c r="K42" i="1"/>
  <c r="O45" i="1"/>
  <c r="L45" i="1"/>
  <c r="J45" i="1"/>
  <c r="I45" i="1" s="1"/>
  <c r="AI45" i="1"/>
  <c r="AI54" i="1"/>
  <c r="O54" i="1"/>
  <c r="L54" i="1"/>
  <c r="K54" i="1"/>
  <c r="L56" i="1"/>
  <c r="K56" i="1"/>
  <c r="J56" i="1"/>
  <c r="I56" i="1" s="1"/>
  <c r="AI56" i="1"/>
  <c r="O56" i="1"/>
  <c r="O68" i="1"/>
  <c r="L68" i="1"/>
  <c r="AI68" i="1"/>
  <c r="K68" i="1"/>
  <c r="U27" i="1"/>
  <c r="V27" i="1" s="1"/>
  <c r="L31" i="1"/>
  <c r="L33" i="1"/>
  <c r="L17" i="1"/>
  <c r="T17" i="1"/>
  <c r="K21" i="1"/>
  <c r="T21" i="1"/>
  <c r="O22" i="1"/>
  <c r="AI22" i="1"/>
  <c r="AL24" i="1"/>
  <c r="O26" i="1"/>
  <c r="AI27" i="1"/>
  <c r="O31" i="1"/>
  <c r="AI34" i="1"/>
  <c r="L34" i="1"/>
  <c r="K34" i="1"/>
  <c r="K35" i="1"/>
  <c r="J35" i="1"/>
  <c r="I35" i="1" s="1"/>
  <c r="AI35" i="1"/>
  <c r="L36" i="1"/>
  <c r="K36" i="1"/>
  <c r="O36" i="1"/>
  <c r="AL45" i="1"/>
  <c r="T45" i="1"/>
  <c r="AI50" i="1"/>
  <c r="O50" i="1"/>
  <c r="L50" i="1"/>
  <c r="K50" i="1"/>
  <c r="AB77" i="1"/>
  <c r="U77" i="1"/>
  <c r="V77" i="1" s="1"/>
  <c r="K17" i="1"/>
  <c r="O57" i="1"/>
  <c r="L57" i="1"/>
  <c r="K57" i="1"/>
  <c r="J57" i="1"/>
  <c r="I57" i="1" s="1"/>
  <c r="AI57" i="1"/>
  <c r="AB72" i="1"/>
  <c r="L21" i="1"/>
  <c r="J24" i="1"/>
  <c r="I24" i="1" s="1"/>
  <c r="K27" i="1"/>
  <c r="L30" i="1"/>
  <c r="K30" i="1"/>
  <c r="U35" i="1"/>
  <c r="V35" i="1" s="1"/>
  <c r="AI38" i="1"/>
  <c r="O38" i="1"/>
  <c r="L38" i="1"/>
  <c r="K38" i="1"/>
  <c r="O41" i="1"/>
  <c r="L41" i="1"/>
  <c r="J41" i="1"/>
  <c r="I41" i="1" s="1"/>
  <c r="AI41" i="1"/>
  <c r="AL50" i="1"/>
  <c r="J54" i="1"/>
  <c r="I54" i="1" s="1"/>
  <c r="AI58" i="1"/>
  <c r="O58" i="1"/>
  <c r="L58" i="1"/>
  <c r="K58" i="1"/>
  <c r="AI73" i="1"/>
  <c r="O73" i="1"/>
  <c r="L73" i="1"/>
  <c r="K73" i="1"/>
  <c r="J73" i="1"/>
  <c r="I73" i="1" s="1"/>
  <c r="X20" i="1"/>
  <c r="AL22" i="1"/>
  <c r="T22" i="1"/>
  <c r="L27" i="1"/>
  <c r="J30" i="1"/>
  <c r="I30" i="1" s="1"/>
  <c r="AL30" i="1"/>
  <c r="L32" i="1"/>
  <c r="O32" i="1"/>
  <c r="J34" i="1"/>
  <c r="I34" i="1" s="1"/>
  <c r="AL38" i="1"/>
  <c r="L44" i="1"/>
  <c r="K44" i="1"/>
  <c r="J44" i="1"/>
  <c r="I44" i="1" s="1"/>
  <c r="O44" i="1"/>
  <c r="U47" i="1"/>
  <c r="V47" i="1" s="1"/>
  <c r="K59" i="1"/>
  <c r="J59" i="1"/>
  <c r="I59" i="1" s="1"/>
  <c r="O59" i="1"/>
  <c r="AI59" i="1"/>
  <c r="K66" i="1"/>
  <c r="J66" i="1"/>
  <c r="I66" i="1" s="1"/>
  <c r="AI66" i="1"/>
  <c r="O66" i="1"/>
  <c r="L66" i="1"/>
  <c r="J68" i="1"/>
  <c r="I68" i="1" s="1"/>
  <c r="R69" i="1"/>
  <c r="P69" i="1" s="1"/>
  <c r="S69" i="1" s="1"/>
  <c r="AB69" i="1"/>
  <c r="U86" i="1"/>
  <c r="V86" i="1" s="1"/>
  <c r="AL28" i="1"/>
  <c r="T28" i="1"/>
  <c r="L48" i="1"/>
  <c r="K48" i="1"/>
  <c r="J48" i="1"/>
  <c r="I48" i="1" s="1"/>
  <c r="O48" i="1"/>
  <c r="O64" i="1"/>
  <c r="L64" i="1"/>
  <c r="K64" i="1"/>
  <c r="J64" i="1"/>
  <c r="I64" i="1" s="1"/>
  <c r="AI64" i="1"/>
  <c r="AI26" i="1"/>
  <c r="O27" i="1"/>
  <c r="J29" i="1"/>
  <c r="I29" i="1" s="1"/>
  <c r="AI29" i="1"/>
  <c r="X30" i="1"/>
  <c r="AL32" i="1"/>
  <c r="T32" i="1"/>
  <c r="X34" i="1"/>
  <c r="AL41" i="1"/>
  <c r="T41" i="1"/>
  <c r="X42" i="1"/>
  <c r="AI46" i="1"/>
  <c r="O46" i="1"/>
  <c r="L46" i="1"/>
  <c r="K46" i="1"/>
  <c r="O49" i="1"/>
  <c r="L49" i="1"/>
  <c r="J49" i="1"/>
  <c r="I49" i="1" s="1"/>
  <c r="AI49" i="1"/>
  <c r="L52" i="1"/>
  <c r="K52" i="1"/>
  <c r="J52" i="1"/>
  <c r="I52" i="1" s="1"/>
  <c r="AI52" i="1"/>
  <c r="O52" i="1"/>
  <c r="AB80" i="1"/>
  <c r="AD94" i="1"/>
  <c r="AE94" i="1" s="1"/>
  <c r="AC94" i="1"/>
  <c r="W94" i="1"/>
  <c r="AA94" i="1" s="1"/>
  <c r="L67" i="1"/>
  <c r="K67" i="1"/>
  <c r="J67" i="1"/>
  <c r="I67" i="1" s="1"/>
  <c r="K69" i="1"/>
  <c r="J76" i="1"/>
  <c r="I76" i="1" s="1"/>
  <c r="K84" i="1"/>
  <c r="T26" i="1"/>
  <c r="T30" i="1"/>
  <c r="T34" i="1"/>
  <c r="T38" i="1"/>
  <c r="T42" i="1"/>
  <c r="T46" i="1"/>
  <c r="T50" i="1"/>
  <c r="T54" i="1"/>
  <c r="T58" i="1"/>
  <c r="T61" i="1"/>
  <c r="AI67" i="1"/>
  <c r="K70" i="1"/>
  <c r="J70" i="1"/>
  <c r="I70" i="1" s="1"/>
  <c r="U70" i="1" s="1"/>
  <c r="V70" i="1" s="1"/>
  <c r="AI70" i="1"/>
  <c r="L89" i="1"/>
  <c r="O89" i="1"/>
  <c r="AI89" i="1"/>
  <c r="J89" i="1"/>
  <c r="I89" i="1" s="1"/>
  <c r="AL64" i="1"/>
  <c r="T64" i="1"/>
  <c r="L71" i="1"/>
  <c r="K71" i="1"/>
  <c r="J71" i="1"/>
  <c r="I71" i="1" s="1"/>
  <c r="L75" i="1"/>
  <c r="K75" i="1"/>
  <c r="J75" i="1"/>
  <c r="I75" i="1" s="1"/>
  <c r="O76" i="1"/>
  <c r="L76" i="1"/>
  <c r="AI76" i="1"/>
  <c r="L80" i="1"/>
  <c r="AI80" i="1"/>
  <c r="O80" i="1"/>
  <c r="K80" i="1"/>
  <c r="L84" i="1"/>
  <c r="O84" i="1"/>
  <c r="J84" i="1"/>
  <c r="I84" i="1" s="1"/>
  <c r="AB96" i="1"/>
  <c r="U98" i="1"/>
  <c r="V98" i="1" s="1"/>
  <c r="AB98" i="1"/>
  <c r="U102" i="1"/>
  <c r="V102" i="1" s="1"/>
  <c r="AB102" i="1"/>
  <c r="U106" i="1"/>
  <c r="V106" i="1" s="1"/>
  <c r="AB106" i="1"/>
  <c r="AI184" i="1"/>
  <c r="O184" i="1"/>
  <c r="L184" i="1"/>
  <c r="K184" i="1"/>
  <c r="J184" i="1"/>
  <c r="I184" i="1" s="1"/>
  <c r="T53" i="1"/>
  <c r="T57" i="1"/>
  <c r="O60" i="1"/>
  <c r="L60" i="1"/>
  <c r="AI65" i="1"/>
  <c r="O65" i="1"/>
  <c r="AI71" i="1"/>
  <c r="O72" i="1"/>
  <c r="L72" i="1"/>
  <c r="K74" i="1"/>
  <c r="J74" i="1"/>
  <c r="I74" i="1" s="1"/>
  <c r="AI74" i="1"/>
  <c r="AI75" i="1"/>
  <c r="J79" i="1"/>
  <c r="I79" i="1" s="1"/>
  <c r="K79" i="1"/>
  <c r="AI79" i="1"/>
  <c r="AI82" i="1"/>
  <c r="K82" i="1"/>
  <c r="J82" i="1"/>
  <c r="I82" i="1" s="1"/>
  <c r="K90" i="1"/>
  <c r="AI90" i="1"/>
  <c r="O90" i="1"/>
  <c r="L90" i="1"/>
  <c r="J90" i="1"/>
  <c r="I90" i="1" s="1"/>
  <c r="AL108" i="1"/>
  <c r="T108" i="1"/>
  <c r="U138" i="1"/>
  <c r="V138" i="1" s="1"/>
  <c r="AI39" i="1"/>
  <c r="AI43" i="1"/>
  <c r="AI47" i="1"/>
  <c r="AI51" i="1"/>
  <c r="AI55" i="1"/>
  <c r="AI60" i="1"/>
  <c r="AL68" i="1"/>
  <c r="T68" i="1"/>
  <c r="AI72" i="1"/>
  <c r="L74" i="1"/>
  <c r="AL76" i="1"/>
  <c r="T76" i="1"/>
  <c r="AI77" i="1"/>
  <c r="O77" i="1"/>
  <c r="K77" i="1"/>
  <c r="O82" i="1"/>
  <c r="T82" i="1"/>
  <c r="AL82" i="1"/>
  <c r="L88" i="1"/>
  <c r="O88" i="1"/>
  <c r="X94" i="1"/>
  <c r="AL96" i="1"/>
  <c r="T96" i="1"/>
  <c r="AL100" i="1"/>
  <c r="T100" i="1"/>
  <c r="AL104" i="1"/>
  <c r="T104" i="1"/>
  <c r="L109" i="1"/>
  <c r="K109" i="1"/>
  <c r="J109" i="1"/>
  <c r="I109" i="1" s="1"/>
  <c r="AI109" i="1"/>
  <c r="O109" i="1"/>
  <c r="T36" i="1"/>
  <c r="J39" i="1"/>
  <c r="I39" i="1" s="1"/>
  <c r="U39" i="1" s="1"/>
  <c r="V39" i="1" s="1"/>
  <c r="T40" i="1"/>
  <c r="J43" i="1"/>
  <c r="I43" i="1" s="1"/>
  <c r="T44" i="1"/>
  <c r="J47" i="1"/>
  <c r="I47" i="1" s="1"/>
  <c r="T48" i="1"/>
  <c r="J51" i="1"/>
  <c r="I51" i="1" s="1"/>
  <c r="U51" i="1" s="1"/>
  <c r="V51" i="1" s="1"/>
  <c r="T52" i="1"/>
  <c r="J55" i="1"/>
  <c r="I55" i="1" s="1"/>
  <c r="T56" i="1"/>
  <c r="K62" i="1"/>
  <c r="J62" i="1"/>
  <c r="I62" i="1" s="1"/>
  <c r="AI62" i="1"/>
  <c r="J65" i="1"/>
  <c r="I65" i="1" s="1"/>
  <c r="AI69" i="1"/>
  <c r="O69" i="1"/>
  <c r="AL79" i="1"/>
  <c r="L81" i="1"/>
  <c r="K81" i="1"/>
  <c r="J81" i="1"/>
  <c r="I81" i="1" s="1"/>
  <c r="O81" i="1"/>
  <c r="K87" i="1"/>
  <c r="J87" i="1"/>
  <c r="I87" i="1" s="1"/>
  <c r="O87" i="1"/>
  <c r="L87" i="1"/>
  <c r="AB92" i="1"/>
  <c r="L97" i="1"/>
  <c r="K97" i="1"/>
  <c r="J97" i="1"/>
  <c r="I97" i="1" s="1"/>
  <c r="AI97" i="1"/>
  <c r="O97" i="1"/>
  <c r="R98" i="1"/>
  <c r="P98" i="1" s="1"/>
  <c r="S98" i="1" s="1"/>
  <c r="L101" i="1"/>
  <c r="K101" i="1"/>
  <c r="J101" i="1"/>
  <c r="I101" i="1" s="1"/>
  <c r="AI101" i="1"/>
  <c r="O101" i="1"/>
  <c r="R102" i="1"/>
  <c r="P102" i="1" s="1"/>
  <c r="S102" i="1" s="1"/>
  <c r="L105" i="1"/>
  <c r="K105" i="1"/>
  <c r="J105" i="1"/>
  <c r="I105" i="1" s="1"/>
  <c r="AI105" i="1"/>
  <c r="O105" i="1"/>
  <c r="R106" i="1"/>
  <c r="P106" i="1" s="1"/>
  <c r="S106" i="1" s="1"/>
  <c r="T59" i="1"/>
  <c r="J60" i="1"/>
  <c r="I60" i="1" s="1"/>
  <c r="AL60" i="1"/>
  <c r="T60" i="1"/>
  <c r="L63" i="1"/>
  <c r="K63" i="1"/>
  <c r="J63" i="1"/>
  <c r="I63" i="1" s="1"/>
  <c r="K65" i="1"/>
  <c r="AE69" i="1"/>
  <c r="AL72" i="1"/>
  <c r="T72" i="1"/>
  <c r="U83" i="1"/>
  <c r="V83" i="1" s="1"/>
  <c r="AI86" i="1"/>
  <c r="J86" i="1"/>
  <c r="I86" i="1" s="1"/>
  <c r="O86" i="1"/>
  <c r="L86" i="1"/>
  <c r="AI87" i="1"/>
  <c r="AB94" i="1"/>
  <c r="R94" i="1"/>
  <c r="P94" i="1" s="1"/>
  <c r="S94" i="1" s="1"/>
  <c r="AB121" i="1"/>
  <c r="X78" i="1"/>
  <c r="AL80" i="1"/>
  <c r="T80" i="1"/>
  <c r="K83" i="1"/>
  <c r="J83" i="1"/>
  <c r="I83" i="1" s="1"/>
  <c r="AL89" i="1"/>
  <c r="T89" i="1"/>
  <c r="L98" i="1"/>
  <c r="K98" i="1"/>
  <c r="AI98" i="1"/>
  <c r="L102" i="1"/>
  <c r="K102" i="1"/>
  <c r="AI102" i="1"/>
  <c r="L106" i="1"/>
  <c r="K106" i="1"/>
  <c r="AI106" i="1"/>
  <c r="L110" i="1"/>
  <c r="K110" i="1"/>
  <c r="AI110" i="1"/>
  <c r="AL112" i="1"/>
  <c r="T112" i="1"/>
  <c r="AB116" i="1"/>
  <c r="U125" i="1"/>
  <c r="V125" i="1" s="1"/>
  <c r="U134" i="1"/>
  <c r="V134" i="1" s="1"/>
  <c r="U137" i="1"/>
  <c r="V137" i="1" s="1"/>
  <c r="AB137" i="1"/>
  <c r="R137" i="1"/>
  <c r="P137" i="1" s="1"/>
  <c r="S137" i="1" s="1"/>
  <c r="L114" i="1"/>
  <c r="K114" i="1"/>
  <c r="AI114" i="1"/>
  <c r="U116" i="1"/>
  <c r="V116" i="1" s="1"/>
  <c r="AD117" i="1"/>
  <c r="W117" i="1"/>
  <c r="AA117" i="1" s="1"/>
  <c r="AB125" i="1"/>
  <c r="R125" i="1"/>
  <c r="P125" i="1" s="1"/>
  <c r="S125" i="1" s="1"/>
  <c r="J78" i="1"/>
  <c r="I78" i="1" s="1"/>
  <c r="AL84" i="1"/>
  <c r="T84" i="1"/>
  <c r="X86" i="1"/>
  <c r="U110" i="1"/>
  <c r="V110" i="1" s="1"/>
  <c r="R110" i="1" s="1"/>
  <c r="P110" i="1" s="1"/>
  <c r="S110" i="1" s="1"/>
  <c r="M110" i="1" s="1"/>
  <c r="N110" i="1" s="1"/>
  <c r="L113" i="1"/>
  <c r="K113" i="1"/>
  <c r="J113" i="1"/>
  <c r="I113" i="1" s="1"/>
  <c r="AI113" i="1"/>
  <c r="O113" i="1"/>
  <c r="R114" i="1"/>
  <c r="P114" i="1" s="1"/>
  <c r="S114" i="1" s="1"/>
  <c r="M114" i="1" s="1"/>
  <c r="N114" i="1" s="1"/>
  <c r="U122" i="1"/>
  <c r="V122" i="1" s="1"/>
  <c r="U130" i="1"/>
  <c r="V130" i="1" s="1"/>
  <c r="O136" i="1"/>
  <c r="L136" i="1"/>
  <c r="K136" i="1"/>
  <c r="J136" i="1"/>
  <c r="I136" i="1" s="1"/>
  <c r="AI136" i="1"/>
  <c r="O148" i="1"/>
  <c r="L148" i="1"/>
  <c r="K148" i="1"/>
  <c r="J148" i="1"/>
  <c r="I148" i="1" s="1"/>
  <c r="AI148" i="1"/>
  <c r="K78" i="1"/>
  <c r="AL88" i="1"/>
  <c r="T88" i="1"/>
  <c r="L93" i="1"/>
  <c r="J93" i="1"/>
  <c r="I93" i="1" s="1"/>
  <c r="AI93" i="1"/>
  <c r="O93" i="1"/>
  <c r="AC95" i="1"/>
  <c r="AB100" i="1"/>
  <c r="AB104" i="1"/>
  <c r="AD114" i="1"/>
  <c r="AE114" i="1" s="1"/>
  <c r="AC114" i="1"/>
  <c r="O124" i="1"/>
  <c r="L124" i="1"/>
  <c r="K124" i="1"/>
  <c r="J124" i="1"/>
  <c r="I124" i="1" s="1"/>
  <c r="AI124" i="1"/>
  <c r="T63" i="1"/>
  <c r="T67" i="1"/>
  <c r="T71" i="1"/>
  <c r="T75" i="1"/>
  <c r="L94" i="1"/>
  <c r="K94" i="1"/>
  <c r="AI94" i="1"/>
  <c r="U95" i="1"/>
  <c r="V95" i="1" s="1"/>
  <c r="X98" i="1"/>
  <c r="X102" i="1"/>
  <c r="X106" i="1"/>
  <c r="AB108" i="1"/>
  <c r="X110" i="1"/>
  <c r="AL113" i="1"/>
  <c r="W114" i="1"/>
  <c r="AA114" i="1" s="1"/>
  <c r="AB117" i="1"/>
  <c r="R117" i="1"/>
  <c r="P117" i="1" s="1"/>
  <c r="S117" i="1" s="1"/>
  <c r="AC141" i="1"/>
  <c r="L155" i="1"/>
  <c r="K155" i="1"/>
  <c r="J155" i="1"/>
  <c r="I155" i="1" s="1"/>
  <c r="AI155" i="1"/>
  <c r="O155" i="1"/>
  <c r="T79" i="1"/>
  <c r="AL92" i="1"/>
  <c r="T92" i="1"/>
  <c r="AL93" i="1"/>
  <c r="T93" i="1"/>
  <c r="AB112" i="1"/>
  <c r="J91" i="1"/>
  <c r="I91" i="1" s="1"/>
  <c r="L92" i="1"/>
  <c r="J95" i="1"/>
  <c r="I95" i="1" s="1"/>
  <c r="L96" i="1"/>
  <c r="J99" i="1"/>
  <c r="I99" i="1" s="1"/>
  <c r="L100" i="1"/>
  <c r="J103" i="1"/>
  <c r="I103" i="1" s="1"/>
  <c r="U103" i="1" s="1"/>
  <c r="V103" i="1" s="1"/>
  <c r="L104" i="1"/>
  <c r="J107" i="1"/>
  <c r="I107" i="1" s="1"/>
  <c r="L108" i="1"/>
  <c r="J111" i="1"/>
  <c r="I111" i="1" s="1"/>
  <c r="L112" i="1"/>
  <c r="J115" i="1"/>
  <c r="I115" i="1" s="1"/>
  <c r="L116" i="1"/>
  <c r="U118" i="1"/>
  <c r="V118" i="1" s="1"/>
  <c r="L119" i="1"/>
  <c r="J119" i="1"/>
  <c r="I119" i="1" s="1"/>
  <c r="AI119" i="1"/>
  <c r="O119" i="1"/>
  <c r="AI121" i="1"/>
  <c r="O121" i="1"/>
  <c r="L121" i="1"/>
  <c r="K121" i="1"/>
  <c r="L123" i="1"/>
  <c r="K123" i="1"/>
  <c r="J123" i="1"/>
  <c r="I123" i="1" s="1"/>
  <c r="AI123" i="1"/>
  <c r="O123" i="1"/>
  <c r="AC125" i="1"/>
  <c r="R126" i="1"/>
  <c r="P126" i="1" s="1"/>
  <c r="S126" i="1" s="1"/>
  <c r="M126" i="1" s="1"/>
  <c r="N126" i="1" s="1"/>
  <c r="L131" i="1"/>
  <c r="K131" i="1"/>
  <c r="J131" i="1"/>
  <c r="I131" i="1" s="1"/>
  <c r="AI131" i="1"/>
  <c r="O131" i="1"/>
  <c r="AC137" i="1"/>
  <c r="L139" i="1"/>
  <c r="K139" i="1"/>
  <c r="J139" i="1"/>
  <c r="I139" i="1" s="1"/>
  <c r="AI139" i="1"/>
  <c r="O139" i="1"/>
  <c r="X117" i="1"/>
  <c r="AL119" i="1"/>
  <c r="AI129" i="1"/>
  <c r="O129" i="1"/>
  <c r="L129" i="1"/>
  <c r="K129" i="1"/>
  <c r="O132" i="1"/>
  <c r="L132" i="1"/>
  <c r="K132" i="1"/>
  <c r="J132" i="1"/>
  <c r="I132" i="1" s="1"/>
  <c r="AI132" i="1"/>
  <c r="L135" i="1"/>
  <c r="K135" i="1"/>
  <c r="J135" i="1"/>
  <c r="I135" i="1" s="1"/>
  <c r="AI135" i="1"/>
  <c r="O135" i="1"/>
  <c r="R138" i="1"/>
  <c r="P138" i="1" s="1"/>
  <c r="S138" i="1" s="1"/>
  <c r="M138" i="1" s="1"/>
  <c r="N138" i="1" s="1"/>
  <c r="O140" i="1"/>
  <c r="L140" i="1"/>
  <c r="K140" i="1"/>
  <c r="J140" i="1"/>
  <c r="I140" i="1" s="1"/>
  <c r="AI140" i="1"/>
  <c r="X141" i="1"/>
  <c r="O92" i="1"/>
  <c r="O96" i="1"/>
  <c r="O100" i="1"/>
  <c r="O104" i="1"/>
  <c r="O108" i="1"/>
  <c r="O112" i="1"/>
  <c r="O116" i="1"/>
  <c r="U121" i="1"/>
  <c r="V121" i="1" s="1"/>
  <c r="R121" i="1" s="1"/>
  <c r="P121" i="1" s="1"/>
  <c r="S121" i="1" s="1"/>
  <c r="M121" i="1" s="1"/>
  <c r="N121" i="1" s="1"/>
  <c r="R122" i="1"/>
  <c r="P122" i="1" s="1"/>
  <c r="S122" i="1" s="1"/>
  <c r="M122" i="1" s="1"/>
  <c r="N122" i="1" s="1"/>
  <c r="U126" i="1"/>
  <c r="V126" i="1" s="1"/>
  <c r="X137" i="1"/>
  <c r="AI141" i="1"/>
  <c r="O141" i="1"/>
  <c r="L141" i="1"/>
  <c r="K141" i="1"/>
  <c r="T142" i="1"/>
  <c r="AL142" i="1"/>
  <c r="AI125" i="1"/>
  <c r="O125" i="1"/>
  <c r="L125" i="1"/>
  <c r="K125" i="1"/>
  <c r="L127" i="1"/>
  <c r="K127" i="1"/>
  <c r="J127" i="1"/>
  <c r="I127" i="1" s="1"/>
  <c r="AI127" i="1"/>
  <c r="O127" i="1"/>
  <c r="U129" i="1"/>
  <c r="V129" i="1" s="1"/>
  <c r="AI133" i="1"/>
  <c r="O133" i="1"/>
  <c r="L133" i="1"/>
  <c r="K133" i="1"/>
  <c r="L159" i="1"/>
  <c r="K159" i="1"/>
  <c r="J159" i="1"/>
  <c r="I159" i="1" s="1"/>
  <c r="U159" i="1" s="1"/>
  <c r="V159" i="1" s="1"/>
  <c r="AI159" i="1"/>
  <c r="O159" i="1"/>
  <c r="AI108" i="1"/>
  <c r="AI112" i="1"/>
  <c r="AI116" i="1"/>
  <c r="AC117" i="1"/>
  <c r="L117" i="1"/>
  <c r="K117" i="1"/>
  <c r="L120" i="1"/>
  <c r="K120" i="1"/>
  <c r="J120" i="1"/>
  <c r="I120" i="1" s="1"/>
  <c r="AI120" i="1"/>
  <c r="AC129" i="1"/>
  <c r="AI137" i="1"/>
  <c r="O137" i="1"/>
  <c r="L137" i="1"/>
  <c r="K137" i="1"/>
  <c r="T97" i="1"/>
  <c r="T101" i="1"/>
  <c r="T105" i="1"/>
  <c r="T109" i="1"/>
  <c r="T113" i="1"/>
  <c r="AC118" i="1"/>
  <c r="X121" i="1"/>
  <c r="AC122" i="1"/>
  <c r="O128" i="1"/>
  <c r="L128" i="1"/>
  <c r="K128" i="1"/>
  <c r="J128" i="1"/>
  <c r="I128" i="1" s="1"/>
  <c r="AI128" i="1"/>
  <c r="R129" i="1"/>
  <c r="P129" i="1" s="1"/>
  <c r="S129" i="1" s="1"/>
  <c r="M129" i="1" s="1"/>
  <c r="N129" i="1" s="1"/>
  <c r="J133" i="1"/>
  <c r="I133" i="1" s="1"/>
  <c r="K134" i="1"/>
  <c r="J134" i="1"/>
  <c r="I134" i="1" s="1"/>
  <c r="AI134" i="1"/>
  <c r="O134" i="1"/>
  <c r="AC138" i="1"/>
  <c r="U141" i="1"/>
  <c r="V141" i="1" s="1"/>
  <c r="R141" i="1" s="1"/>
  <c r="P141" i="1" s="1"/>
  <c r="S141" i="1" s="1"/>
  <c r="M141" i="1" s="1"/>
  <c r="N141" i="1" s="1"/>
  <c r="L144" i="1"/>
  <c r="K144" i="1"/>
  <c r="J144" i="1"/>
  <c r="I144" i="1" s="1"/>
  <c r="AI144" i="1"/>
  <c r="X145" i="1"/>
  <c r="O152" i="1"/>
  <c r="L152" i="1"/>
  <c r="K152" i="1"/>
  <c r="J152" i="1"/>
  <c r="I152" i="1" s="1"/>
  <c r="AI152" i="1"/>
  <c r="X153" i="1"/>
  <c r="O156" i="1"/>
  <c r="L156" i="1"/>
  <c r="K156" i="1"/>
  <c r="J156" i="1"/>
  <c r="I156" i="1" s="1"/>
  <c r="AI156" i="1"/>
  <c r="X157" i="1"/>
  <c r="O160" i="1"/>
  <c r="L160" i="1"/>
  <c r="K160" i="1"/>
  <c r="J160" i="1"/>
  <c r="I160" i="1" s="1"/>
  <c r="AI160" i="1"/>
  <c r="X161" i="1"/>
  <c r="O164" i="1"/>
  <c r="L164" i="1"/>
  <c r="K164" i="1"/>
  <c r="J164" i="1"/>
  <c r="I164" i="1" s="1"/>
  <c r="U164" i="1" s="1"/>
  <c r="V164" i="1" s="1"/>
  <c r="AI164" i="1"/>
  <c r="AI149" i="1"/>
  <c r="O149" i="1"/>
  <c r="L149" i="1"/>
  <c r="K149" i="1"/>
  <c r="R163" i="1"/>
  <c r="P163" i="1" s="1"/>
  <c r="S163" i="1" s="1"/>
  <c r="M163" i="1" s="1"/>
  <c r="N163" i="1" s="1"/>
  <c r="U167" i="1"/>
  <c r="V167" i="1" s="1"/>
  <c r="AC183" i="1"/>
  <c r="O122" i="1"/>
  <c r="O126" i="1"/>
  <c r="O130" i="1"/>
  <c r="AI145" i="1"/>
  <c r="O145" i="1"/>
  <c r="L145" i="1"/>
  <c r="K145" i="1"/>
  <c r="AI153" i="1"/>
  <c r="O153" i="1"/>
  <c r="L153" i="1"/>
  <c r="K153" i="1"/>
  <c r="AI157" i="1"/>
  <c r="O157" i="1"/>
  <c r="L157" i="1"/>
  <c r="K157" i="1"/>
  <c r="AI161" i="1"/>
  <c r="O161" i="1"/>
  <c r="L161" i="1"/>
  <c r="K161" i="1"/>
  <c r="U163" i="1"/>
  <c r="V163" i="1" s="1"/>
  <c r="AB188" i="1"/>
  <c r="T132" i="1"/>
  <c r="T136" i="1"/>
  <c r="T140" i="1"/>
  <c r="K150" i="1"/>
  <c r="J150" i="1"/>
  <c r="I150" i="1" s="1"/>
  <c r="U150" i="1" s="1"/>
  <c r="V150" i="1" s="1"/>
  <c r="AI150" i="1"/>
  <c r="O150" i="1"/>
  <c r="AI165" i="1"/>
  <c r="O165" i="1"/>
  <c r="L165" i="1"/>
  <c r="K165" i="1"/>
  <c r="L186" i="1"/>
  <c r="K186" i="1"/>
  <c r="J186" i="1"/>
  <c r="I186" i="1" s="1"/>
  <c r="AI186" i="1"/>
  <c r="O186" i="1"/>
  <c r="AI126" i="1"/>
  <c r="AI130" i="1"/>
  <c r="U146" i="1"/>
  <c r="V146" i="1" s="1"/>
  <c r="J149" i="1"/>
  <c r="I149" i="1" s="1"/>
  <c r="K154" i="1"/>
  <c r="J154" i="1"/>
  <c r="I154" i="1" s="1"/>
  <c r="AI154" i="1"/>
  <c r="O154" i="1"/>
  <c r="K158" i="1"/>
  <c r="J158" i="1"/>
  <c r="I158" i="1" s="1"/>
  <c r="AI158" i="1"/>
  <c r="O158" i="1"/>
  <c r="U160" i="1"/>
  <c r="V160" i="1" s="1"/>
  <c r="K162" i="1"/>
  <c r="J162" i="1"/>
  <c r="I162" i="1" s="1"/>
  <c r="AI162" i="1"/>
  <c r="O162" i="1"/>
  <c r="AB167" i="1"/>
  <c r="T119" i="1"/>
  <c r="T123" i="1"/>
  <c r="J130" i="1"/>
  <c r="I130" i="1" s="1"/>
  <c r="T131" i="1"/>
  <c r="T135" i="1"/>
  <c r="T139" i="1"/>
  <c r="J145" i="1"/>
  <c r="I145" i="1" s="1"/>
  <c r="L147" i="1"/>
  <c r="K147" i="1"/>
  <c r="J147" i="1"/>
  <c r="I147" i="1" s="1"/>
  <c r="AI147" i="1"/>
  <c r="O147" i="1"/>
  <c r="L150" i="1"/>
  <c r="J153" i="1"/>
  <c r="I153" i="1" s="1"/>
  <c r="J157" i="1"/>
  <c r="I157" i="1" s="1"/>
  <c r="J161" i="1"/>
  <c r="I161" i="1" s="1"/>
  <c r="J165" i="1"/>
  <c r="I165" i="1" s="1"/>
  <c r="K166" i="1"/>
  <c r="J166" i="1"/>
  <c r="I166" i="1" s="1"/>
  <c r="U166" i="1" s="1"/>
  <c r="V166" i="1" s="1"/>
  <c r="AI166" i="1"/>
  <c r="O166" i="1"/>
  <c r="AB172" i="1"/>
  <c r="O179" i="1"/>
  <c r="L179" i="1"/>
  <c r="K179" i="1"/>
  <c r="J179" i="1"/>
  <c r="I179" i="1" s="1"/>
  <c r="AI179" i="1"/>
  <c r="R146" i="1"/>
  <c r="P146" i="1" s="1"/>
  <c r="S146" i="1" s="1"/>
  <c r="M146" i="1" s="1"/>
  <c r="N146" i="1" s="1"/>
  <c r="L151" i="1"/>
  <c r="K151" i="1"/>
  <c r="J151" i="1"/>
  <c r="I151" i="1" s="1"/>
  <c r="AI151" i="1"/>
  <c r="O151" i="1"/>
  <c r="L162" i="1"/>
  <c r="T169" i="1"/>
  <c r="AL169" i="1"/>
  <c r="AB176" i="1"/>
  <c r="U173" i="1"/>
  <c r="V173" i="1" s="1"/>
  <c r="U183" i="1"/>
  <c r="V183" i="1" s="1"/>
  <c r="T145" i="1"/>
  <c r="T149" i="1"/>
  <c r="T153" i="1"/>
  <c r="T157" i="1"/>
  <c r="T161" i="1"/>
  <c r="AI172" i="1"/>
  <c r="O172" i="1"/>
  <c r="L172" i="1"/>
  <c r="K172" i="1"/>
  <c r="L174" i="1"/>
  <c r="K174" i="1"/>
  <c r="J174" i="1"/>
  <c r="I174" i="1" s="1"/>
  <c r="AI174" i="1"/>
  <c r="O174" i="1"/>
  <c r="U181" i="1"/>
  <c r="V181" i="1" s="1"/>
  <c r="O187" i="1"/>
  <c r="L187" i="1"/>
  <c r="K187" i="1"/>
  <c r="J187" i="1"/>
  <c r="I187" i="1" s="1"/>
  <c r="U187" i="1" s="1"/>
  <c r="V187" i="1" s="1"/>
  <c r="AI187" i="1"/>
  <c r="U205" i="1"/>
  <c r="V205" i="1" s="1"/>
  <c r="AI167" i="1"/>
  <c r="X170" i="1"/>
  <c r="L171" i="1"/>
  <c r="AI180" i="1"/>
  <c r="O180" i="1"/>
  <c r="L180" i="1"/>
  <c r="K180" i="1"/>
  <c r="L182" i="1"/>
  <c r="K182" i="1"/>
  <c r="J182" i="1"/>
  <c r="I182" i="1" s="1"/>
  <c r="AI182" i="1"/>
  <c r="O182" i="1"/>
  <c r="X188" i="1"/>
  <c r="AL168" i="1"/>
  <c r="T168" i="1"/>
  <c r="O175" i="1"/>
  <c r="L175" i="1"/>
  <c r="K175" i="1"/>
  <c r="J175" i="1"/>
  <c r="I175" i="1" s="1"/>
  <c r="AI175" i="1"/>
  <c r="X176" i="1"/>
  <c r="L190" i="1"/>
  <c r="K190" i="1"/>
  <c r="J190" i="1"/>
  <c r="I190" i="1" s="1"/>
  <c r="AI190" i="1"/>
  <c r="O190" i="1"/>
  <c r="X168" i="1"/>
  <c r="U177" i="1"/>
  <c r="V177" i="1" s="1"/>
  <c r="R177" i="1" s="1"/>
  <c r="P177" i="1" s="1"/>
  <c r="S177" i="1" s="1"/>
  <c r="M177" i="1" s="1"/>
  <c r="N177" i="1" s="1"/>
  <c r="O183" i="1"/>
  <c r="L183" i="1"/>
  <c r="K183" i="1"/>
  <c r="J183" i="1"/>
  <c r="I183" i="1" s="1"/>
  <c r="AI183" i="1"/>
  <c r="AI188" i="1"/>
  <c r="O188" i="1"/>
  <c r="L188" i="1"/>
  <c r="K188" i="1"/>
  <c r="U192" i="1"/>
  <c r="V192" i="1" s="1"/>
  <c r="L208" i="1"/>
  <c r="K208" i="1"/>
  <c r="J208" i="1"/>
  <c r="I208" i="1" s="1"/>
  <c r="AI208" i="1"/>
  <c r="O208" i="1"/>
  <c r="T143" i="1"/>
  <c r="T147" i="1"/>
  <c r="T151" i="1"/>
  <c r="T155" i="1"/>
  <c r="J169" i="1"/>
  <c r="I169" i="1" s="1"/>
  <c r="AI169" i="1"/>
  <c r="O169" i="1"/>
  <c r="K171" i="1"/>
  <c r="J171" i="1"/>
  <c r="I171" i="1" s="1"/>
  <c r="U171" i="1" s="1"/>
  <c r="V171" i="1" s="1"/>
  <c r="AI171" i="1"/>
  <c r="R173" i="1"/>
  <c r="P173" i="1" s="1"/>
  <c r="S173" i="1" s="1"/>
  <c r="M173" i="1" s="1"/>
  <c r="N173" i="1" s="1"/>
  <c r="AI176" i="1"/>
  <c r="O176" i="1"/>
  <c r="L176" i="1"/>
  <c r="K176" i="1"/>
  <c r="L178" i="1"/>
  <c r="K178" i="1"/>
  <c r="J178" i="1"/>
  <c r="I178" i="1" s="1"/>
  <c r="AI178" i="1"/>
  <c r="O178" i="1"/>
  <c r="O191" i="1"/>
  <c r="L191" i="1"/>
  <c r="K191" i="1"/>
  <c r="J191" i="1"/>
  <c r="I191" i="1" s="1"/>
  <c r="AI191" i="1"/>
  <c r="L170" i="1"/>
  <c r="K170" i="1"/>
  <c r="AI170" i="1"/>
  <c r="O170" i="1"/>
  <c r="R181" i="1"/>
  <c r="P181" i="1" s="1"/>
  <c r="S181" i="1" s="1"/>
  <c r="M181" i="1" s="1"/>
  <c r="N181" i="1" s="1"/>
  <c r="U185" i="1"/>
  <c r="V185" i="1" s="1"/>
  <c r="AL207" i="1"/>
  <c r="T207" i="1"/>
  <c r="O194" i="1"/>
  <c r="L194" i="1"/>
  <c r="K194" i="1"/>
  <c r="J194" i="1"/>
  <c r="I194" i="1" s="1"/>
  <c r="AI194" i="1"/>
  <c r="AI199" i="1"/>
  <c r="O199" i="1"/>
  <c r="L199" i="1"/>
  <c r="K199" i="1"/>
  <c r="U214" i="1"/>
  <c r="V214" i="1" s="1"/>
  <c r="T217" i="1"/>
  <c r="AL217" i="1"/>
  <c r="AB218" i="1"/>
  <c r="AL228" i="1"/>
  <c r="T228" i="1"/>
  <c r="T172" i="1"/>
  <c r="T176" i="1"/>
  <c r="T180" i="1"/>
  <c r="T184" i="1"/>
  <c r="T188" i="1"/>
  <c r="AI203" i="1"/>
  <c r="O203" i="1"/>
  <c r="L203" i="1"/>
  <c r="K203" i="1"/>
  <c r="AI213" i="1"/>
  <c r="O213" i="1"/>
  <c r="L213" i="1"/>
  <c r="K213" i="1"/>
  <c r="U227" i="1"/>
  <c r="V227" i="1" s="1"/>
  <c r="O173" i="1"/>
  <c r="O177" i="1"/>
  <c r="O181" i="1"/>
  <c r="O185" i="1"/>
  <c r="O189" i="1"/>
  <c r="AI195" i="1"/>
  <c r="O195" i="1"/>
  <c r="L195" i="1"/>
  <c r="K195" i="1"/>
  <c r="AC196" i="1"/>
  <c r="U200" i="1"/>
  <c r="V200" i="1" s="1"/>
  <c r="O209" i="1"/>
  <c r="J209" i="1"/>
  <c r="I209" i="1" s="1"/>
  <c r="L209" i="1"/>
  <c r="U211" i="1"/>
  <c r="V211" i="1" s="1"/>
  <c r="AB229" i="1"/>
  <c r="AC194" i="1"/>
  <c r="U196" i="1"/>
  <c r="V196" i="1" s="1"/>
  <c r="L201" i="1"/>
  <c r="K201" i="1"/>
  <c r="J201" i="1"/>
  <c r="I201" i="1" s="1"/>
  <c r="AI201" i="1"/>
  <c r="O201" i="1"/>
  <c r="AB205" i="1"/>
  <c r="AB207" i="1"/>
  <c r="AB213" i="1"/>
  <c r="O216" i="1"/>
  <c r="L216" i="1"/>
  <c r="K216" i="1"/>
  <c r="J216" i="1"/>
  <c r="I216" i="1" s="1"/>
  <c r="AI216" i="1"/>
  <c r="U218" i="1"/>
  <c r="V218" i="1" s="1"/>
  <c r="AI173" i="1"/>
  <c r="AI177" i="1"/>
  <c r="AI181" i="1"/>
  <c r="AI185" i="1"/>
  <c r="AI189" i="1"/>
  <c r="L197" i="1"/>
  <c r="K197" i="1"/>
  <c r="J197" i="1"/>
  <c r="I197" i="1" s="1"/>
  <c r="AI197" i="1"/>
  <c r="O197" i="1"/>
  <c r="AC203" i="1"/>
  <c r="L226" i="1"/>
  <c r="K226" i="1"/>
  <c r="J226" i="1"/>
  <c r="I226" i="1" s="1"/>
  <c r="AI226" i="1"/>
  <c r="O226" i="1"/>
  <c r="AB232" i="1"/>
  <c r="T170" i="1"/>
  <c r="T174" i="1"/>
  <c r="T178" i="1"/>
  <c r="T182" i="1"/>
  <c r="T186" i="1"/>
  <c r="J189" i="1"/>
  <c r="I189" i="1" s="1"/>
  <c r="T190" i="1"/>
  <c r="L193" i="1"/>
  <c r="K193" i="1"/>
  <c r="J193" i="1"/>
  <c r="I193" i="1" s="1"/>
  <c r="AI193" i="1"/>
  <c r="O193" i="1"/>
  <c r="J195" i="1"/>
  <c r="I195" i="1" s="1"/>
  <c r="O202" i="1"/>
  <c r="L202" i="1"/>
  <c r="K202" i="1"/>
  <c r="J202" i="1"/>
  <c r="I202" i="1" s="1"/>
  <c r="AI202" i="1"/>
  <c r="AB212" i="1"/>
  <c r="U213" i="1"/>
  <c r="V213" i="1" s="1"/>
  <c r="AB214" i="1"/>
  <c r="T225" i="1"/>
  <c r="AL225" i="1"/>
  <c r="R196" i="1"/>
  <c r="P196" i="1" s="1"/>
  <c r="S196" i="1" s="1"/>
  <c r="M196" i="1" s="1"/>
  <c r="N196" i="1" s="1"/>
  <c r="O198" i="1"/>
  <c r="L198" i="1"/>
  <c r="K198" i="1"/>
  <c r="J198" i="1"/>
  <c r="I198" i="1" s="1"/>
  <c r="AI198" i="1"/>
  <c r="X199" i="1"/>
  <c r="U201" i="1"/>
  <c r="V201" i="1" s="1"/>
  <c r="O206" i="1"/>
  <c r="L206" i="1"/>
  <c r="K206" i="1"/>
  <c r="J206" i="1"/>
  <c r="I206" i="1" s="1"/>
  <c r="AI206" i="1"/>
  <c r="U229" i="1"/>
  <c r="V229" i="1" s="1"/>
  <c r="L231" i="1"/>
  <c r="K231" i="1"/>
  <c r="J231" i="1"/>
  <c r="I231" i="1" s="1"/>
  <c r="O231" i="1"/>
  <c r="AI231" i="1"/>
  <c r="O205" i="1"/>
  <c r="K211" i="1"/>
  <c r="J211" i="1"/>
  <c r="I211" i="1" s="1"/>
  <c r="X214" i="1"/>
  <c r="X224" i="1"/>
  <c r="O232" i="1"/>
  <c r="L232" i="1"/>
  <c r="L235" i="1"/>
  <c r="K235" i="1"/>
  <c r="J235" i="1"/>
  <c r="I235" i="1" s="1"/>
  <c r="T195" i="1"/>
  <c r="T199" i="1"/>
  <c r="AI211" i="1"/>
  <c r="O220" i="1"/>
  <c r="L220" i="1"/>
  <c r="L230" i="1"/>
  <c r="K230" i="1"/>
  <c r="J230" i="1"/>
  <c r="I230" i="1" s="1"/>
  <c r="AI230" i="1"/>
  <c r="U231" i="1"/>
  <c r="V231" i="1" s="1"/>
  <c r="AL232" i="1"/>
  <c r="T232" i="1"/>
  <c r="T233" i="1"/>
  <c r="AI235" i="1"/>
  <c r="U203" i="1"/>
  <c r="V203" i="1" s="1"/>
  <c r="R203" i="1" s="1"/>
  <c r="P203" i="1" s="1"/>
  <c r="S203" i="1" s="1"/>
  <c r="M203" i="1" s="1"/>
  <c r="N203" i="1" s="1"/>
  <c r="O204" i="1"/>
  <c r="AI205" i="1"/>
  <c r="AL208" i="1"/>
  <c r="T208" i="1"/>
  <c r="AL209" i="1"/>
  <c r="O210" i="1"/>
  <c r="X210" i="1"/>
  <c r="O211" i="1"/>
  <c r="K215" i="1"/>
  <c r="J215" i="1"/>
  <c r="I215" i="1" s="1"/>
  <c r="U215" i="1" s="1"/>
  <c r="V215" i="1" s="1"/>
  <c r="AL216" i="1"/>
  <c r="T216" i="1"/>
  <c r="AL220" i="1"/>
  <c r="T220" i="1"/>
  <c r="O212" i="1"/>
  <c r="AL212" i="1"/>
  <c r="T212" i="1"/>
  <c r="AI215" i="1"/>
  <c r="T221" i="1"/>
  <c r="L223" i="1"/>
  <c r="K223" i="1"/>
  <c r="J223" i="1"/>
  <c r="I223" i="1" s="1"/>
  <c r="J224" i="1"/>
  <c r="I224" i="1" s="1"/>
  <c r="L234" i="1"/>
  <c r="K234" i="1"/>
  <c r="J234" i="1"/>
  <c r="I234" i="1" s="1"/>
  <c r="AI234" i="1"/>
  <c r="U194" i="1"/>
  <c r="V194" i="1" s="1"/>
  <c r="AI196" i="1"/>
  <c r="U202" i="1"/>
  <c r="V202" i="1" s="1"/>
  <c r="AC202" i="1" s="1"/>
  <c r="AI204" i="1"/>
  <c r="K205" i="1"/>
  <c r="U206" i="1"/>
  <c r="V206" i="1" s="1"/>
  <c r="K218" i="1"/>
  <c r="AI218" i="1"/>
  <c r="X220" i="1"/>
  <c r="O224" i="1"/>
  <c r="L224" i="1"/>
  <c r="X232" i="1"/>
  <c r="T193" i="1"/>
  <c r="T197" i="1"/>
  <c r="J204" i="1"/>
  <c r="I204" i="1" s="1"/>
  <c r="U204" i="1" s="1"/>
  <c r="V204" i="1" s="1"/>
  <c r="J210" i="1"/>
  <c r="I210" i="1" s="1"/>
  <c r="U210" i="1" s="1"/>
  <c r="V210" i="1" s="1"/>
  <c r="AI217" i="1"/>
  <c r="O217" i="1"/>
  <c r="K219" i="1"/>
  <c r="J219" i="1"/>
  <c r="I219" i="1" s="1"/>
  <c r="U219" i="1" s="1"/>
  <c r="V219" i="1" s="1"/>
  <c r="J220" i="1"/>
  <c r="I220" i="1" s="1"/>
  <c r="L222" i="1"/>
  <c r="K222" i="1"/>
  <c r="J222" i="1"/>
  <c r="I222" i="1" s="1"/>
  <c r="U222" i="1" s="1"/>
  <c r="V222" i="1" s="1"/>
  <c r="AI222" i="1"/>
  <c r="U223" i="1"/>
  <c r="V223" i="1" s="1"/>
  <c r="AL224" i="1"/>
  <c r="T224" i="1"/>
  <c r="L227" i="1"/>
  <c r="K227" i="1"/>
  <c r="J227" i="1"/>
  <c r="I227" i="1" s="1"/>
  <c r="J228" i="1"/>
  <c r="I228" i="1" s="1"/>
  <c r="K210" i="1"/>
  <c r="K214" i="1"/>
  <c r="AI214" i="1"/>
  <c r="K217" i="1"/>
  <c r="X218" i="1"/>
  <c r="AI219" i="1"/>
  <c r="K220" i="1"/>
  <c r="O228" i="1"/>
  <c r="L228" i="1"/>
  <c r="O221" i="1"/>
  <c r="O225" i="1"/>
  <c r="O229" i="1"/>
  <c r="O233" i="1"/>
  <c r="AI221" i="1"/>
  <c r="AI225" i="1"/>
  <c r="AI229" i="1"/>
  <c r="AI233" i="1"/>
  <c r="W164" i="1" l="1"/>
  <c r="AA164" i="1" s="1"/>
  <c r="AD164" i="1"/>
  <c r="AC164" i="1"/>
  <c r="AC159" i="1"/>
  <c r="W159" i="1"/>
  <c r="AA159" i="1" s="1"/>
  <c r="AD159" i="1"/>
  <c r="AD39" i="1"/>
  <c r="AE39" i="1" s="1"/>
  <c r="W39" i="1"/>
  <c r="AA39" i="1" s="1"/>
  <c r="AC39" i="1"/>
  <c r="AC70" i="1"/>
  <c r="W70" i="1"/>
  <c r="AA70" i="1" s="1"/>
  <c r="AD70" i="1"/>
  <c r="AD219" i="1"/>
  <c r="W219" i="1"/>
  <c r="AA219" i="1" s="1"/>
  <c r="AC219" i="1"/>
  <c r="AD23" i="1"/>
  <c r="W23" i="1"/>
  <c r="AA23" i="1" s="1"/>
  <c r="AC23" i="1"/>
  <c r="W103" i="1"/>
  <c r="AA103" i="1" s="1"/>
  <c r="AD103" i="1"/>
  <c r="AC103" i="1"/>
  <c r="AD51" i="1"/>
  <c r="W51" i="1"/>
  <c r="AA51" i="1" s="1"/>
  <c r="AC51" i="1"/>
  <c r="AD171" i="1"/>
  <c r="W171" i="1"/>
  <c r="AA171" i="1" s="1"/>
  <c r="AC171" i="1"/>
  <c r="AD222" i="1"/>
  <c r="AC222" i="1"/>
  <c r="W222" i="1"/>
  <c r="AA222" i="1" s="1"/>
  <c r="AC210" i="1"/>
  <c r="W210" i="1"/>
  <c r="AA210" i="1" s="1"/>
  <c r="AD210" i="1"/>
  <c r="AD25" i="1"/>
  <c r="W25" i="1"/>
  <c r="AA25" i="1" s="1"/>
  <c r="AC25" i="1"/>
  <c r="W85" i="1"/>
  <c r="AA85" i="1" s="1"/>
  <c r="AD85" i="1"/>
  <c r="AC85" i="1"/>
  <c r="W204" i="1"/>
  <c r="AA204" i="1" s="1"/>
  <c r="AD204" i="1"/>
  <c r="AE204" i="1" s="1"/>
  <c r="AC204" i="1"/>
  <c r="W215" i="1"/>
  <c r="AA215" i="1" s="1"/>
  <c r="AD215" i="1"/>
  <c r="AC215" i="1"/>
  <c r="W166" i="1"/>
  <c r="AA166" i="1" s="1"/>
  <c r="AD166" i="1"/>
  <c r="AE166" i="1" s="1"/>
  <c r="AC166" i="1"/>
  <c r="W150" i="1"/>
  <c r="AA150" i="1" s="1"/>
  <c r="AD150" i="1"/>
  <c r="AC150" i="1"/>
  <c r="W187" i="1"/>
  <c r="AA187" i="1" s="1"/>
  <c r="AD187" i="1"/>
  <c r="AC187" i="1"/>
  <c r="AD223" i="1"/>
  <c r="AE223" i="1" s="1"/>
  <c r="W223" i="1"/>
  <c r="AA223" i="1" s="1"/>
  <c r="AB234" i="1"/>
  <c r="U234" i="1"/>
  <c r="V234" i="1" s="1"/>
  <c r="AB198" i="1"/>
  <c r="AB189" i="1"/>
  <c r="AB209" i="1"/>
  <c r="AD214" i="1"/>
  <c r="AC214" i="1"/>
  <c r="W214" i="1"/>
  <c r="AA214" i="1" s="1"/>
  <c r="AB190" i="1"/>
  <c r="W205" i="1"/>
  <c r="AA205" i="1" s="1"/>
  <c r="AD205" i="1"/>
  <c r="U145" i="1"/>
  <c r="V145" i="1" s="1"/>
  <c r="W160" i="1"/>
  <c r="AA160" i="1" s="1"/>
  <c r="AD160" i="1"/>
  <c r="AC160" i="1"/>
  <c r="U140" i="1"/>
  <c r="V140" i="1" s="1"/>
  <c r="AB99" i="1"/>
  <c r="AB155" i="1"/>
  <c r="W116" i="1"/>
  <c r="AA116" i="1" s="1"/>
  <c r="AD116" i="1"/>
  <c r="AB62" i="1"/>
  <c r="U44" i="1"/>
  <c r="V44" i="1" s="1"/>
  <c r="AB82" i="1"/>
  <c r="U58" i="1"/>
  <c r="V58" i="1" s="1"/>
  <c r="AD77" i="1"/>
  <c r="AE77" i="1" s="1"/>
  <c r="W77" i="1"/>
  <c r="AA77" i="1" s="1"/>
  <c r="AC77" i="1"/>
  <c r="U49" i="1"/>
  <c r="V49" i="1" s="1"/>
  <c r="AB227" i="1"/>
  <c r="R227" i="1"/>
  <c r="P227" i="1" s="1"/>
  <c r="S227" i="1" s="1"/>
  <c r="M227" i="1" s="1"/>
  <c r="N227" i="1" s="1"/>
  <c r="U216" i="1"/>
  <c r="V216" i="1" s="1"/>
  <c r="U208" i="1"/>
  <c r="V208" i="1" s="1"/>
  <c r="U232" i="1"/>
  <c r="V232" i="1" s="1"/>
  <c r="AC205" i="1"/>
  <c r="AB195" i="1"/>
  <c r="U186" i="1"/>
  <c r="V186" i="1" s="1"/>
  <c r="W196" i="1"/>
  <c r="AA196" i="1" s="1"/>
  <c r="AD196" i="1"/>
  <c r="AE196" i="1" s="1"/>
  <c r="U172" i="1"/>
  <c r="V172" i="1" s="1"/>
  <c r="U139" i="1"/>
  <c r="V139" i="1" s="1"/>
  <c r="U136" i="1"/>
  <c r="V136" i="1" s="1"/>
  <c r="U144" i="1"/>
  <c r="V144" i="1" s="1"/>
  <c r="AB144" i="1"/>
  <c r="U105" i="1"/>
  <c r="V105" i="1" s="1"/>
  <c r="R105" i="1" s="1"/>
  <c r="P105" i="1" s="1"/>
  <c r="S105" i="1" s="1"/>
  <c r="M105" i="1" s="1"/>
  <c r="N105" i="1" s="1"/>
  <c r="AB140" i="1"/>
  <c r="U75" i="1"/>
  <c r="V75" i="1" s="1"/>
  <c r="R75" i="1" s="1"/>
  <c r="P75" i="1" s="1"/>
  <c r="S75" i="1" s="1"/>
  <c r="M75" i="1" s="1"/>
  <c r="N75" i="1" s="1"/>
  <c r="U84" i="1"/>
  <c r="V84" i="1" s="1"/>
  <c r="U72" i="1"/>
  <c r="V72" i="1" s="1"/>
  <c r="U60" i="1"/>
  <c r="V60" i="1" s="1"/>
  <c r="AB105" i="1"/>
  <c r="R43" i="1"/>
  <c r="P43" i="1" s="1"/>
  <c r="S43" i="1" s="1"/>
  <c r="M43" i="1" s="1"/>
  <c r="N43" i="1" s="1"/>
  <c r="AB43" i="1"/>
  <c r="U108" i="1"/>
  <c r="V108" i="1" s="1"/>
  <c r="AB74" i="1"/>
  <c r="AC116" i="1"/>
  <c r="U54" i="1"/>
  <c r="V54" i="1" s="1"/>
  <c r="AB67" i="1"/>
  <c r="AB57" i="1"/>
  <c r="R35" i="1"/>
  <c r="P35" i="1" s="1"/>
  <c r="S35" i="1" s="1"/>
  <c r="M35" i="1" s="1"/>
  <c r="N35" i="1" s="1"/>
  <c r="AB35" i="1"/>
  <c r="AB33" i="1"/>
  <c r="AB228" i="1"/>
  <c r="W206" i="1"/>
  <c r="AA206" i="1" s="1"/>
  <c r="AD206" i="1"/>
  <c r="U221" i="1"/>
  <c r="V221" i="1" s="1"/>
  <c r="U233" i="1"/>
  <c r="V233" i="1" s="1"/>
  <c r="AB235" i="1"/>
  <c r="U225" i="1"/>
  <c r="V225" i="1" s="1"/>
  <c r="AB216" i="1"/>
  <c r="R216" i="1"/>
  <c r="P216" i="1" s="1"/>
  <c r="S216" i="1" s="1"/>
  <c r="M216" i="1" s="1"/>
  <c r="N216" i="1" s="1"/>
  <c r="AD227" i="1"/>
  <c r="W227" i="1"/>
  <c r="AA227" i="1" s="1"/>
  <c r="U176" i="1"/>
  <c r="V176" i="1" s="1"/>
  <c r="W185" i="1"/>
  <c r="AA185" i="1" s="1"/>
  <c r="AD185" i="1"/>
  <c r="AC185" i="1"/>
  <c r="U175" i="1"/>
  <c r="V175" i="1" s="1"/>
  <c r="R175" i="1" s="1"/>
  <c r="P175" i="1" s="1"/>
  <c r="S175" i="1" s="1"/>
  <c r="M175" i="1" s="1"/>
  <c r="N175" i="1" s="1"/>
  <c r="AB175" i="1"/>
  <c r="AB153" i="1"/>
  <c r="AB145" i="1"/>
  <c r="R145" i="1"/>
  <c r="P145" i="1" s="1"/>
  <c r="S145" i="1" s="1"/>
  <c r="M145" i="1" s="1"/>
  <c r="N145" i="1" s="1"/>
  <c r="AC167" i="1"/>
  <c r="W167" i="1"/>
  <c r="AA167" i="1" s="1"/>
  <c r="AD167" i="1"/>
  <c r="AB128" i="1"/>
  <c r="U109" i="1"/>
  <c r="V109" i="1" s="1"/>
  <c r="R109" i="1" s="1"/>
  <c r="P109" i="1" s="1"/>
  <c r="S109" i="1" s="1"/>
  <c r="M109" i="1" s="1"/>
  <c r="N109" i="1" s="1"/>
  <c r="AB135" i="1"/>
  <c r="R135" i="1"/>
  <c r="P135" i="1" s="1"/>
  <c r="S135" i="1" s="1"/>
  <c r="M135" i="1" s="1"/>
  <c r="N135" i="1" s="1"/>
  <c r="AB115" i="1"/>
  <c r="U93" i="1"/>
  <c r="V93" i="1" s="1"/>
  <c r="W134" i="1"/>
  <c r="AA134" i="1" s="1"/>
  <c r="AD134" i="1"/>
  <c r="AB81" i="1"/>
  <c r="AB109" i="1"/>
  <c r="U26" i="1"/>
  <c r="V26" i="1" s="1"/>
  <c r="U28" i="1"/>
  <c r="V28" i="1" s="1"/>
  <c r="AD47" i="1"/>
  <c r="W47" i="1"/>
  <c r="AA47" i="1" s="1"/>
  <c r="R73" i="1"/>
  <c r="P73" i="1" s="1"/>
  <c r="S73" i="1" s="1"/>
  <c r="M73" i="1" s="1"/>
  <c r="N73" i="1" s="1"/>
  <c r="AB73" i="1"/>
  <c r="AB41" i="1"/>
  <c r="AD35" i="1"/>
  <c r="W35" i="1"/>
  <c r="AA35" i="1" s="1"/>
  <c r="U17" i="1"/>
  <c r="V17" i="1" s="1"/>
  <c r="R25" i="1"/>
  <c r="P25" i="1" s="1"/>
  <c r="S25" i="1" s="1"/>
  <c r="M25" i="1" s="1"/>
  <c r="N25" i="1" s="1"/>
  <c r="AB25" i="1"/>
  <c r="U31" i="1"/>
  <c r="V31" i="1" s="1"/>
  <c r="M27" i="1"/>
  <c r="N27" i="1" s="1"/>
  <c r="AB18" i="1"/>
  <c r="R18" i="1"/>
  <c r="P18" i="1" s="1"/>
  <c r="S18" i="1" s="1"/>
  <c r="M18" i="1" s="1"/>
  <c r="N18" i="1" s="1"/>
  <c r="AB222" i="1"/>
  <c r="R222" i="1"/>
  <c r="P222" i="1" s="1"/>
  <c r="S222" i="1" s="1"/>
  <c r="M222" i="1" s="1"/>
  <c r="N222" i="1" s="1"/>
  <c r="R211" i="1"/>
  <c r="P211" i="1" s="1"/>
  <c r="S211" i="1" s="1"/>
  <c r="M211" i="1" s="1"/>
  <c r="N211" i="1" s="1"/>
  <c r="AB211" i="1"/>
  <c r="W229" i="1"/>
  <c r="AA229" i="1" s="1"/>
  <c r="AD229" i="1"/>
  <c r="AC229" i="1"/>
  <c r="U182" i="1"/>
  <c r="V182" i="1" s="1"/>
  <c r="R205" i="1"/>
  <c r="P205" i="1" s="1"/>
  <c r="S205" i="1" s="1"/>
  <c r="M205" i="1" s="1"/>
  <c r="N205" i="1" s="1"/>
  <c r="U228" i="1"/>
  <c r="V228" i="1" s="1"/>
  <c r="AB194" i="1"/>
  <c r="R194" i="1"/>
  <c r="P194" i="1" s="1"/>
  <c r="S194" i="1" s="1"/>
  <c r="M194" i="1" s="1"/>
  <c r="N194" i="1" s="1"/>
  <c r="U135" i="1"/>
  <c r="V135" i="1" s="1"/>
  <c r="AB154" i="1"/>
  <c r="U132" i="1"/>
  <c r="V132" i="1" s="1"/>
  <c r="R134" i="1"/>
  <c r="P134" i="1" s="1"/>
  <c r="S134" i="1" s="1"/>
  <c r="M134" i="1" s="1"/>
  <c r="N134" i="1" s="1"/>
  <c r="AB134" i="1"/>
  <c r="U101" i="1"/>
  <c r="V101" i="1" s="1"/>
  <c r="AC121" i="1"/>
  <c r="W126" i="1"/>
  <c r="AA126" i="1" s="1"/>
  <c r="AD126" i="1"/>
  <c r="AB123" i="1"/>
  <c r="AB111" i="1"/>
  <c r="R95" i="1"/>
  <c r="P95" i="1" s="1"/>
  <c r="S95" i="1" s="1"/>
  <c r="M95" i="1" s="1"/>
  <c r="N95" i="1" s="1"/>
  <c r="AB95" i="1"/>
  <c r="U92" i="1"/>
  <c r="V92" i="1" s="1"/>
  <c r="U71" i="1"/>
  <c r="V71" i="1" s="1"/>
  <c r="U148" i="1"/>
  <c r="V148" i="1" s="1"/>
  <c r="AB148" i="1"/>
  <c r="R148" i="1"/>
  <c r="P148" i="1" s="1"/>
  <c r="S148" i="1" s="1"/>
  <c r="M148" i="1" s="1"/>
  <c r="N148" i="1" s="1"/>
  <c r="W125" i="1"/>
  <c r="AA125" i="1" s="1"/>
  <c r="AD125" i="1"/>
  <c r="AE125" i="1" s="1"/>
  <c r="M98" i="1"/>
  <c r="N98" i="1" s="1"/>
  <c r="U56" i="1"/>
  <c r="V56" i="1" s="1"/>
  <c r="U40" i="1"/>
  <c r="V40" i="1" s="1"/>
  <c r="U57" i="1"/>
  <c r="V57" i="1" s="1"/>
  <c r="AD106" i="1"/>
  <c r="AE106" i="1" s="1"/>
  <c r="AC106" i="1"/>
  <c r="W106" i="1"/>
  <c r="AA106" i="1" s="1"/>
  <c r="AB71" i="1"/>
  <c r="U111" i="1"/>
  <c r="V111" i="1" s="1"/>
  <c r="U73" i="1"/>
  <c r="V73" i="1" s="1"/>
  <c r="U50" i="1"/>
  <c r="V50" i="1" s="1"/>
  <c r="AB49" i="1"/>
  <c r="R49" i="1"/>
  <c r="P49" i="1" s="1"/>
  <c r="S49" i="1" s="1"/>
  <c r="M49" i="1" s="1"/>
  <c r="N49" i="1" s="1"/>
  <c r="AB29" i="1"/>
  <c r="AB66" i="1"/>
  <c r="AB44" i="1"/>
  <c r="R44" i="1"/>
  <c r="P44" i="1" s="1"/>
  <c r="S44" i="1" s="1"/>
  <c r="M44" i="1" s="1"/>
  <c r="N44" i="1" s="1"/>
  <c r="AB54" i="1"/>
  <c r="R54" i="1"/>
  <c r="P54" i="1" s="1"/>
  <c r="S54" i="1" s="1"/>
  <c r="M54" i="1" s="1"/>
  <c r="N54" i="1" s="1"/>
  <c r="U45" i="1"/>
  <c r="V45" i="1" s="1"/>
  <c r="U18" i="1"/>
  <c r="V18" i="1" s="1"/>
  <c r="U43" i="1"/>
  <c r="V43" i="1" s="1"/>
  <c r="U33" i="1"/>
  <c r="V33" i="1" s="1"/>
  <c r="R33" i="1" s="1"/>
  <c r="P33" i="1" s="1"/>
  <c r="S33" i="1" s="1"/>
  <c r="M33" i="1" s="1"/>
  <c r="N33" i="1" s="1"/>
  <c r="AB224" i="1"/>
  <c r="R214" i="1"/>
  <c r="P214" i="1" s="1"/>
  <c r="S214" i="1" s="1"/>
  <c r="M214" i="1" s="1"/>
  <c r="N214" i="1" s="1"/>
  <c r="R185" i="1"/>
  <c r="P185" i="1" s="1"/>
  <c r="S185" i="1" s="1"/>
  <c r="M185" i="1" s="1"/>
  <c r="N185" i="1" s="1"/>
  <c r="U131" i="1"/>
  <c r="V131" i="1" s="1"/>
  <c r="AB160" i="1"/>
  <c r="R160" i="1"/>
  <c r="P160" i="1" s="1"/>
  <c r="S160" i="1" s="1"/>
  <c r="M160" i="1" s="1"/>
  <c r="N160" i="1" s="1"/>
  <c r="U97" i="1"/>
  <c r="V97" i="1" s="1"/>
  <c r="AB93" i="1"/>
  <c r="R93" i="1"/>
  <c r="P93" i="1" s="1"/>
  <c r="S93" i="1" s="1"/>
  <c r="M93" i="1" s="1"/>
  <c r="N93" i="1" s="1"/>
  <c r="AB78" i="1"/>
  <c r="U104" i="1"/>
  <c r="V104" i="1" s="1"/>
  <c r="AB90" i="1"/>
  <c r="R90" i="1"/>
  <c r="P90" i="1" s="1"/>
  <c r="S90" i="1" s="1"/>
  <c r="M90" i="1" s="1"/>
  <c r="N90" i="1" s="1"/>
  <c r="U90" i="1"/>
  <c r="V90" i="1" s="1"/>
  <c r="U53" i="1"/>
  <c r="V53" i="1" s="1"/>
  <c r="AB30" i="1"/>
  <c r="AC35" i="1"/>
  <c r="AB85" i="1"/>
  <c r="R85" i="1"/>
  <c r="P85" i="1" s="1"/>
  <c r="S85" i="1" s="1"/>
  <c r="M85" i="1" s="1"/>
  <c r="N85" i="1" s="1"/>
  <c r="AB210" i="1"/>
  <c r="R210" i="1"/>
  <c r="P210" i="1" s="1"/>
  <c r="S210" i="1" s="1"/>
  <c r="M210" i="1" s="1"/>
  <c r="N210" i="1" s="1"/>
  <c r="U198" i="1"/>
  <c r="V198" i="1" s="1"/>
  <c r="R198" i="1" s="1"/>
  <c r="P198" i="1" s="1"/>
  <c r="S198" i="1" s="1"/>
  <c r="M198" i="1" s="1"/>
  <c r="N198" i="1" s="1"/>
  <c r="AB223" i="1"/>
  <c r="R223" i="1"/>
  <c r="P223" i="1" s="1"/>
  <c r="S223" i="1" s="1"/>
  <c r="M223" i="1" s="1"/>
  <c r="N223" i="1" s="1"/>
  <c r="AD231" i="1"/>
  <c r="W231" i="1"/>
  <c r="AA231" i="1" s="1"/>
  <c r="U209" i="1"/>
  <c r="V209" i="1" s="1"/>
  <c r="W201" i="1"/>
  <c r="AA201" i="1" s="1"/>
  <c r="AD201" i="1"/>
  <c r="W213" i="1"/>
  <c r="AA213" i="1" s="1"/>
  <c r="AD213" i="1"/>
  <c r="AE213" i="1" s="1"/>
  <c r="AC213" i="1"/>
  <c r="AB202" i="1"/>
  <c r="R202" i="1"/>
  <c r="P202" i="1" s="1"/>
  <c r="S202" i="1" s="1"/>
  <c r="M202" i="1" s="1"/>
  <c r="N202" i="1" s="1"/>
  <c r="AB193" i="1"/>
  <c r="U174" i="1"/>
  <c r="V174" i="1" s="1"/>
  <c r="R213" i="1"/>
  <c r="P213" i="1" s="1"/>
  <c r="S213" i="1" s="1"/>
  <c r="M213" i="1" s="1"/>
  <c r="N213" i="1" s="1"/>
  <c r="AB178" i="1"/>
  <c r="R178" i="1"/>
  <c r="P178" i="1" s="1"/>
  <c r="S178" i="1" s="1"/>
  <c r="M178" i="1" s="1"/>
  <c r="N178" i="1" s="1"/>
  <c r="U155" i="1"/>
  <c r="V155" i="1" s="1"/>
  <c r="U168" i="1"/>
  <c r="V168" i="1" s="1"/>
  <c r="AB182" i="1"/>
  <c r="R182" i="1"/>
  <c r="P182" i="1" s="1"/>
  <c r="S182" i="1" s="1"/>
  <c r="M182" i="1" s="1"/>
  <c r="N182" i="1" s="1"/>
  <c r="U161" i="1"/>
  <c r="V161" i="1" s="1"/>
  <c r="AB151" i="1"/>
  <c r="R151" i="1"/>
  <c r="P151" i="1" s="1"/>
  <c r="S151" i="1" s="1"/>
  <c r="M151" i="1" s="1"/>
  <c r="N151" i="1" s="1"/>
  <c r="R130" i="1"/>
  <c r="P130" i="1" s="1"/>
  <c r="S130" i="1" s="1"/>
  <c r="M130" i="1" s="1"/>
  <c r="N130" i="1" s="1"/>
  <c r="AB130" i="1"/>
  <c r="AB158" i="1"/>
  <c r="AB149" i="1"/>
  <c r="R149" i="1"/>
  <c r="P149" i="1" s="1"/>
  <c r="S149" i="1" s="1"/>
  <c r="M149" i="1" s="1"/>
  <c r="N149" i="1" s="1"/>
  <c r="AB186" i="1"/>
  <c r="R186" i="1"/>
  <c r="P186" i="1" s="1"/>
  <c r="S186" i="1" s="1"/>
  <c r="M186" i="1" s="1"/>
  <c r="N186" i="1" s="1"/>
  <c r="U133" i="1"/>
  <c r="V133" i="1" s="1"/>
  <c r="AB133" i="1"/>
  <c r="R133" i="1"/>
  <c r="P133" i="1" s="1"/>
  <c r="S133" i="1" s="1"/>
  <c r="M133" i="1" s="1"/>
  <c r="N133" i="1" s="1"/>
  <c r="U142" i="1"/>
  <c r="V142" i="1" s="1"/>
  <c r="R107" i="1"/>
  <c r="P107" i="1" s="1"/>
  <c r="S107" i="1" s="1"/>
  <c r="M107" i="1" s="1"/>
  <c r="N107" i="1" s="1"/>
  <c r="AB107" i="1"/>
  <c r="R91" i="1"/>
  <c r="P91" i="1" s="1"/>
  <c r="S91" i="1" s="1"/>
  <c r="M91" i="1" s="1"/>
  <c r="N91" i="1" s="1"/>
  <c r="AB91" i="1"/>
  <c r="AD95" i="1"/>
  <c r="W95" i="1"/>
  <c r="AA95" i="1" s="1"/>
  <c r="U63" i="1"/>
  <c r="V63" i="1" s="1"/>
  <c r="R63" i="1" s="1"/>
  <c r="P63" i="1" s="1"/>
  <c r="S63" i="1" s="1"/>
  <c r="M63" i="1" s="1"/>
  <c r="N63" i="1" s="1"/>
  <c r="M125" i="1"/>
  <c r="N125" i="1" s="1"/>
  <c r="U107" i="1"/>
  <c r="V107" i="1" s="1"/>
  <c r="U115" i="1"/>
  <c r="V115" i="1" s="1"/>
  <c r="AB86" i="1"/>
  <c r="R86" i="1"/>
  <c r="P86" i="1" s="1"/>
  <c r="S86" i="1" s="1"/>
  <c r="M86" i="1" s="1"/>
  <c r="N86" i="1" s="1"/>
  <c r="U59" i="1"/>
  <c r="V59" i="1" s="1"/>
  <c r="M102" i="1"/>
  <c r="N102" i="1" s="1"/>
  <c r="U52" i="1"/>
  <c r="V52" i="1" s="1"/>
  <c r="U36" i="1"/>
  <c r="V36" i="1" s="1"/>
  <c r="AB184" i="1"/>
  <c r="AD102" i="1"/>
  <c r="AE102" i="1" s="1"/>
  <c r="AC102" i="1"/>
  <c r="W102" i="1"/>
  <c r="AA102" i="1" s="1"/>
  <c r="AB84" i="1"/>
  <c r="R84" i="1"/>
  <c r="P84" i="1" s="1"/>
  <c r="S84" i="1" s="1"/>
  <c r="M84" i="1" s="1"/>
  <c r="N84" i="1" s="1"/>
  <c r="R70" i="1"/>
  <c r="P70" i="1" s="1"/>
  <c r="S70" i="1" s="1"/>
  <c r="M70" i="1" s="1"/>
  <c r="N70" i="1" s="1"/>
  <c r="AB70" i="1"/>
  <c r="U42" i="1"/>
  <c r="V42" i="1" s="1"/>
  <c r="AB48" i="1"/>
  <c r="AB24" i="1"/>
  <c r="R24" i="1"/>
  <c r="P24" i="1" s="1"/>
  <c r="S24" i="1" s="1"/>
  <c r="M24" i="1" s="1"/>
  <c r="N24" i="1" s="1"/>
  <c r="AD27" i="1"/>
  <c r="AE27" i="1" s="1"/>
  <c r="W27" i="1"/>
  <c r="AA27" i="1" s="1"/>
  <c r="AB56" i="1"/>
  <c r="AB37" i="1"/>
  <c r="R37" i="1"/>
  <c r="P37" i="1" s="1"/>
  <c r="S37" i="1" s="1"/>
  <c r="M37" i="1" s="1"/>
  <c r="N37" i="1" s="1"/>
  <c r="U66" i="1"/>
  <c r="V66" i="1" s="1"/>
  <c r="AB40" i="1"/>
  <c r="R40" i="1"/>
  <c r="P40" i="1" s="1"/>
  <c r="S40" i="1" s="1"/>
  <c r="M40" i="1" s="1"/>
  <c r="N40" i="1" s="1"/>
  <c r="U29" i="1"/>
  <c r="V29" i="1" s="1"/>
  <c r="R215" i="1"/>
  <c r="P215" i="1" s="1"/>
  <c r="S215" i="1" s="1"/>
  <c r="M215" i="1" s="1"/>
  <c r="N215" i="1" s="1"/>
  <c r="AB215" i="1"/>
  <c r="AB226" i="1"/>
  <c r="R226" i="1"/>
  <c r="P226" i="1" s="1"/>
  <c r="S226" i="1" s="1"/>
  <c r="M226" i="1" s="1"/>
  <c r="N226" i="1" s="1"/>
  <c r="U226" i="1"/>
  <c r="V226" i="1" s="1"/>
  <c r="W177" i="1"/>
  <c r="AA177" i="1" s="1"/>
  <c r="AD177" i="1"/>
  <c r="AE177" i="1" s="1"/>
  <c r="AC177" i="1"/>
  <c r="AB179" i="1"/>
  <c r="R179" i="1"/>
  <c r="P179" i="1" s="1"/>
  <c r="S179" i="1" s="1"/>
  <c r="M179" i="1" s="1"/>
  <c r="N179" i="1" s="1"/>
  <c r="AB164" i="1"/>
  <c r="R164" i="1"/>
  <c r="P164" i="1" s="1"/>
  <c r="S164" i="1" s="1"/>
  <c r="M164" i="1" s="1"/>
  <c r="N164" i="1" s="1"/>
  <c r="AB127" i="1"/>
  <c r="R127" i="1"/>
  <c r="P127" i="1" s="1"/>
  <c r="S127" i="1" s="1"/>
  <c r="M127" i="1" s="1"/>
  <c r="N127" i="1" s="1"/>
  <c r="AB119" i="1"/>
  <c r="W130" i="1"/>
  <c r="AA130" i="1" s="1"/>
  <c r="AD130" i="1"/>
  <c r="AE130" i="1" s="1"/>
  <c r="AB23" i="1"/>
  <c r="R23" i="1"/>
  <c r="P23" i="1" s="1"/>
  <c r="S23" i="1" s="1"/>
  <c r="M23" i="1" s="1"/>
  <c r="N23" i="1" s="1"/>
  <c r="U224" i="1"/>
  <c r="V224" i="1" s="1"/>
  <c r="AB220" i="1"/>
  <c r="R204" i="1"/>
  <c r="P204" i="1" s="1"/>
  <c r="S204" i="1" s="1"/>
  <c r="M204" i="1" s="1"/>
  <c r="N204" i="1" s="1"/>
  <c r="AB204" i="1"/>
  <c r="W203" i="1"/>
  <c r="AA203" i="1" s="1"/>
  <c r="AD203" i="1"/>
  <c r="AE203" i="1" s="1"/>
  <c r="AC231" i="1"/>
  <c r="AC201" i="1"/>
  <c r="U170" i="1"/>
  <c r="V170" i="1" s="1"/>
  <c r="W218" i="1"/>
  <c r="AA218" i="1" s="1"/>
  <c r="AD218" i="1"/>
  <c r="AE218" i="1" s="1"/>
  <c r="AC218" i="1"/>
  <c r="R229" i="1"/>
  <c r="P229" i="1" s="1"/>
  <c r="S229" i="1" s="1"/>
  <c r="M229" i="1" s="1"/>
  <c r="N229" i="1" s="1"/>
  <c r="AC206" i="1"/>
  <c r="U188" i="1"/>
  <c r="V188" i="1" s="1"/>
  <c r="R218" i="1"/>
  <c r="P218" i="1" s="1"/>
  <c r="S218" i="1" s="1"/>
  <c r="M218" i="1" s="1"/>
  <c r="N218" i="1" s="1"/>
  <c r="AB191" i="1"/>
  <c r="U151" i="1"/>
  <c r="V151" i="1" s="1"/>
  <c r="U179" i="1"/>
  <c r="V179" i="1" s="1"/>
  <c r="AB174" i="1"/>
  <c r="R174" i="1"/>
  <c r="P174" i="1" s="1"/>
  <c r="S174" i="1" s="1"/>
  <c r="M174" i="1" s="1"/>
  <c r="N174" i="1" s="1"/>
  <c r="U157" i="1"/>
  <c r="V157" i="1" s="1"/>
  <c r="W183" i="1"/>
  <c r="AA183" i="1" s="1"/>
  <c r="AD183" i="1"/>
  <c r="U165" i="1"/>
  <c r="V165" i="1" s="1"/>
  <c r="AB165" i="1"/>
  <c r="R165" i="1"/>
  <c r="P165" i="1" s="1"/>
  <c r="S165" i="1" s="1"/>
  <c r="M165" i="1" s="1"/>
  <c r="N165" i="1" s="1"/>
  <c r="AB147" i="1"/>
  <c r="U123" i="1"/>
  <c r="V123" i="1" s="1"/>
  <c r="W146" i="1"/>
  <c r="AA146" i="1" s="1"/>
  <c r="AD146" i="1"/>
  <c r="AE146" i="1" s="1"/>
  <c r="R150" i="1"/>
  <c r="P150" i="1" s="1"/>
  <c r="S150" i="1" s="1"/>
  <c r="M150" i="1" s="1"/>
  <c r="N150" i="1" s="1"/>
  <c r="AB150" i="1"/>
  <c r="W141" i="1"/>
  <c r="AA141" i="1" s="1"/>
  <c r="AD141" i="1"/>
  <c r="AE141" i="1" s="1"/>
  <c r="AC130" i="1"/>
  <c r="W121" i="1"/>
  <c r="AA121" i="1" s="1"/>
  <c r="AD121" i="1"/>
  <c r="AE121" i="1" s="1"/>
  <c r="AB132" i="1"/>
  <c r="AB139" i="1"/>
  <c r="R139" i="1"/>
  <c r="P139" i="1" s="1"/>
  <c r="S139" i="1" s="1"/>
  <c r="M139" i="1" s="1"/>
  <c r="N139" i="1" s="1"/>
  <c r="W118" i="1"/>
  <c r="AA118" i="1" s="1"/>
  <c r="AD118" i="1"/>
  <c r="AE118" i="1" s="1"/>
  <c r="U79" i="1"/>
  <c r="V79" i="1" s="1"/>
  <c r="U127" i="1"/>
  <c r="V127" i="1" s="1"/>
  <c r="AC126" i="1"/>
  <c r="M137" i="1"/>
  <c r="N137" i="1" s="1"/>
  <c r="R116" i="1"/>
  <c r="P116" i="1" s="1"/>
  <c r="S116" i="1" s="1"/>
  <c r="M116" i="1" s="1"/>
  <c r="N116" i="1" s="1"/>
  <c r="R83" i="1"/>
  <c r="P83" i="1" s="1"/>
  <c r="S83" i="1" s="1"/>
  <c r="M83" i="1" s="1"/>
  <c r="N83" i="1" s="1"/>
  <c r="AB83" i="1"/>
  <c r="AB63" i="1"/>
  <c r="U128" i="1"/>
  <c r="V128" i="1" s="1"/>
  <c r="AB97" i="1"/>
  <c r="R97" i="1"/>
  <c r="P97" i="1" s="1"/>
  <c r="S97" i="1" s="1"/>
  <c r="M97" i="1" s="1"/>
  <c r="N97" i="1" s="1"/>
  <c r="AB87" i="1"/>
  <c r="U87" i="1"/>
  <c r="V87" i="1" s="1"/>
  <c r="R51" i="1"/>
  <c r="P51" i="1" s="1"/>
  <c r="S51" i="1" s="1"/>
  <c r="M51" i="1" s="1"/>
  <c r="N51" i="1" s="1"/>
  <c r="AB51" i="1"/>
  <c r="U100" i="1"/>
  <c r="V100" i="1" s="1"/>
  <c r="U82" i="1"/>
  <c r="V82" i="1" s="1"/>
  <c r="R82" i="1" s="1"/>
  <c r="P82" i="1" s="1"/>
  <c r="S82" i="1" s="1"/>
  <c r="M82" i="1" s="1"/>
  <c r="N82" i="1" s="1"/>
  <c r="U76" i="1"/>
  <c r="V76" i="1" s="1"/>
  <c r="R79" i="1"/>
  <c r="P79" i="1" s="1"/>
  <c r="S79" i="1" s="1"/>
  <c r="M79" i="1" s="1"/>
  <c r="N79" i="1" s="1"/>
  <c r="AB79" i="1"/>
  <c r="AB89" i="1"/>
  <c r="U38" i="1"/>
  <c r="V38" i="1" s="1"/>
  <c r="AB52" i="1"/>
  <c r="M69" i="1"/>
  <c r="N69" i="1" s="1"/>
  <c r="U22" i="1"/>
  <c r="V22" i="1" s="1"/>
  <c r="AC47" i="1"/>
  <c r="AB19" i="1"/>
  <c r="R19" i="1"/>
  <c r="P19" i="1" s="1"/>
  <c r="S19" i="1" s="1"/>
  <c r="M19" i="1" s="1"/>
  <c r="N19" i="1" s="1"/>
  <c r="U19" i="1"/>
  <c r="V19" i="1" s="1"/>
  <c r="U235" i="1"/>
  <c r="V235" i="1" s="1"/>
  <c r="AC223" i="1"/>
  <c r="U212" i="1"/>
  <c r="V212" i="1" s="1"/>
  <c r="U178" i="1"/>
  <c r="V178" i="1" s="1"/>
  <c r="W200" i="1"/>
  <c r="AA200" i="1" s="1"/>
  <c r="AD200" i="1"/>
  <c r="AC200" i="1"/>
  <c r="R169" i="1"/>
  <c r="P169" i="1" s="1"/>
  <c r="S169" i="1" s="1"/>
  <c r="M169" i="1" s="1"/>
  <c r="N169" i="1" s="1"/>
  <c r="AB169" i="1"/>
  <c r="AB156" i="1"/>
  <c r="AC134" i="1"/>
  <c r="U67" i="1"/>
  <c r="V67" i="1" s="1"/>
  <c r="R67" i="1" s="1"/>
  <c r="P67" i="1" s="1"/>
  <c r="S67" i="1" s="1"/>
  <c r="M67" i="1" s="1"/>
  <c r="N67" i="1" s="1"/>
  <c r="AB113" i="1"/>
  <c r="R113" i="1"/>
  <c r="P113" i="1" s="1"/>
  <c r="S113" i="1" s="1"/>
  <c r="M113" i="1" s="1"/>
  <c r="N113" i="1" s="1"/>
  <c r="U89" i="1"/>
  <c r="V89" i="1" s="1"/>
  <c r="R89" i="1" s="1"/>
  <c r="P89" i="1" s="1"/>
  <c r="S89" i="1" s="1"/>
  <c r="M89" i="1" s="1"/>
  <c r="N89" i="1" s="1"/>
  <c r="AB55" i="1"/>
  <c r="U46" i="1"/>
  <c r="V46" i="1" s="1"/>
  <c r="AD86" i="1"/>
  <c r="AC86" i="1"/>
  <c r="W86" i="1"/>
  <c r="AA86" i="1" s="1"/>
  <c r="AB17" i="1"/>
  <c r="R17" i="1"/>
  <c r="P17" i="1" s="1"/>
  <c r="S17" i="1" s="1"/>
  <c r="M17" i="1" s="1"/>
  <c r="N17" i="1" s="1"/>
  <c r="AC227" i="1"/>
  <c r="R219" i="1"/>
  <c r="P219" i="1" s="1"/>
  <c r="S219" i="1" s="1"/>
  <c r="M219" i="1" s="1"/>
  <c r="N219" i="1" s="1"/>
  <c r="AB219" i="1"/>
  <c r="U197" i="1"/>
  <c r="V197" i="1" s="1"/>
  <c r="W194" i="1"/>
  <c r="AA194" i="1" s="1"/>
  <c r="AD194" i="1"/>
  <c r="AE194" i="1" s="1"/>
  <c r="AB230" i="1"/>
  <c r="R230" i="1"/>
  <c r="P230" i="1" s="1"/>
  <c r="S230" i="1" s="1"/>
  <c r="M230" i="1" s="1"/>
  <c r="N230" i="1" s="1"/>
  <c r="U230" i="1"/>
  <c r="V230" i="1" s="1"/>
  <c r="U199" i="1"/>
  <c r="V199" i="1" s="1"/>
  <c r="AB206" i="1"/>
  <c r="R206" i="1"/>
  <c r="P206" i="1" s="1"/>
  <c r="S206" i="1" s="1"/>
  <c r="M206" i="1" s="1"/>
  <c r="N206" i="1" s="1"/>
  <c r="AB201" i="1"/>
  <c r="R201" i="1"/>
  <c r="P201" i="1" s="1"/>
  <c r="S201" i="1" s="1"/>
  <c r="M201" i="1" s="1"/>
  <c r="N201" i="1" s="1"/>
  <c r="AD211" i="1"/>
  <c r="AE211" i="1" s="1"/>
  <c r="AC211" i="1"/>
  <c r="W211" i="1"/>
  <c r="AA211" i="1" s="1"/>
  <c r="U184" i="1"/>
  <c r="V184" i="1" s="1"/>
  <c r="U207" i="1"/>
  <c r="V207" i="1" s="1"/>
  <c r="R171" i="1"/>
  <c r="P171" i="1" s="1"/>
  <c r="S171" i="1" s="1"/>
  <c r="M171" i="1" s="1"/>
  <c r="N171" i="1" s="1"/>
  <c r="AB171" i="1"/>
  <c r="U147" i="1"/>
  <c r="V147" i="1" s="1"/>
  <c r="R147" i="1" s="1"/>
  <c r="P147" i="1" s="1"/>
  <c r="S147" i="1" s="1"/>
  <c r="M147" i="1" s="1"/>
  <c r="N147" i="1" s="1"/>
  <c r="U153" i="1"/>
  <c r="V153" i="1" s="1"/>
  <c r="W173" i="1"/>
  <c r="AA173" i="1" s="1"/>
  <c r="AD173" i="1"/>
  <c r="AE173" i="1" s="1"/>
  <c r="AC173" i="1"/>
  <c r="AB161" i="1"/>
  <c r="U119" i="1"/>
  <c r="V119" i="1" s="1"/>
  <c r="R162" i="1"/>
  <c r="P162" i="1" s="1"/>
  <c r="S162" i="1" s="1"/>
  <c r="M162" i="1" s="1"/>
  <c r="N162" i="1" s="1"/>
  <c r="AB162" i="1"/>
  <c r="U156" i="1"/>
  <c r="V156" i="1" s="1"/>
  <c r="R156" i="1" s="1"/>
  <c r="P156" i="1" s="1"/>
  <c r="S156" i="1" s="1"/>
  <c r="M156" i="1" s="1"/>
  <c r="N156" i="1" s="1"/>
  <c r="AB159" i="1"/>
  <c r="R159" i="1"/>
  <c r="P159" i="1" s="1"/>
  <c r="S159" i="1" s="1"/>
  <c r="M159" i="1" s="1"/>
  <c r="N159" i="1" s="1"/>
  <c r="R103" i="1"/>
  <c r="P103" i="1" s="1"/>
  <c r="S103" i="1" s="1"/>
  <c r="M103" i="1" s="1"/>
  <c r="N103" i="1" s="1"/>
  <c r="AB103" i="1"/>
  <c r="M117" i="1"/>
  <c r="N117" i="1" s="1"/>
  <c r="U124" i="1"/>
  <c r="V124" i="1" s="1"/>
  <c r="AB124" i="1"/>
  <c r="R124" i="1"/>
  <c r="P124" i="1" s="1"/>
  <c r="S124" i="1" s="1"/>
  <c r="M124" i="1" s="1"/>
  <c r="N124" i="1" s="1"/>
  <c r="U88" i="1"/>
  <c r="V88" i="1" s="1"/>
  <c r="W122" i="1"/>
  <c r="AA122" i="1" s="1"/>
  <c r="AD122" i="1"/>
  <c r="AE122" i="1" s="1"/>
  <c r="AD110" i="1"/>
  <c r="AC110" i="1"/>
  <c r="W110" i="1"/>
  <c r="AA110" i="1" s="1"/>
  <c r="U112" i="1"/>
  <c r="V112" i="1" s="1"/>
  <c r="U99" i="1"/>
  <c r="V99" i="1" s="1"/>
  <c r="R99" i="1" s="1"/>
  <c r="P99" i="1" s="1"/>
  <c r="S99" i="1" s="1"/>
  <c r="M99" i="1" s="1"/>
  <c r="N99" i="1" s="1"/>
  <c r="M94" i="1"/>
  <c r="N94" i="1" s="1"/>
  <c r="AD83" i="1"/>
  <c r="W83" i="1"/>
  <c r="AA83" i="1" s="1"/>
  <c r="M106" i="1"/>
  <c r="N106" i="1" s="1"/>
  <c r="U65" i="1"/>
  <c r="V65" i="1" s="1"/>
  <c r="R65" i="1"/>
  <c r="P65" i="1" s="1"/>
  <c r="S65" i="1" s="1"/>
  <c r="M65" i="1" s="1"/>
  <c r="N65" i="1" s="1"/>
  <c r="AB65" i="1"/>
  <c r="U48" i="1"/>
  <c r="V48" i="1" s="1"/>
  <c r="R48" i="1" s="1"/>
  <c r="P48" i="1" s="1"/>
  <c r="S48" i="1" s="1"/>
  <c r="M48" i="1" s="1"/>
  <c r="N48" i="1" s="1"/>
  <c r="U62" i="1"/>
  <c r="V62" i="1" s="1"/>
  <c r="R62" i="1" s="1"/>
  <c r="P62" i="1" s="1"/>
  <c r="S62" i="1" s="1"/>
  <c r="M62" i="1" s="1"/>
  <c r="N62" i="1" s="1"/>
  <c r="W138" i="1"/>
  <c r="AA138" i="1" s="1"/>
  <c r="AD138" i="1"/>
  <c r="AE138" i="1" s="1"/>
  <c r="AD98" i="1"/>
  <c r="AC98" i="1"/>
  <c r="W98" i="1"/>
  <c r="AA98" i="1" s="1"/>
  <c r="U34" i="1"/>
  <c r="V34" i="1" s="1"/>
  <c r="AB76" i="1"/>
  <c r="R76" i="1"/>
  <c r="P76" i="1" s="1"/>
  <c r="S76" i="1" s="1"/>
  <c r="M76" i="1" s="1"/>
  <c r="N76" i="1" s="1"/>
  <c r="U32" i="1"/>
  <c r="V32" i="1" s="1"/>
  <c r="AB64" i="1"/>
  <c r="AB68" i="1"/>
  <c r="AB59" i="1"/>
  <c r="R59" i="1"/>
  <c r="P59" i="1" s="1"/>
  <c r="S59" i="1" s="1"/>
  <c r="M59" i="1" s="1"/>
  <c r="N59" i="1" s="1"/>
  <c r="AB34" i="1"/>
  <c r="U21" i="1"/>
  <c r="V21" i="1" s="1"/>
  <c r="AB53" i="1"/>
  <c r="R53" i="1"/>
  <c r="P53" i="1" s="1"/>
  <c r="S53" i="1" s="1"/>
  <c r="M53" i="1" s="1"/>
  <c r="N53" i="1" s="1"/>
  <c r="U55" i="1"/>
  <c r="V55" i="1" s="1"/>
  <c r="R55" i="1" s="1"/>
  <c r="P55" i="1" s="1"/>
  <c r="S55" i="1" s="1"/>
  <c r="M55" i="1" s="1"/>
  <c r="N55" i="1" s="1"/>
  <c r="U24" i="1"/>
  <c r="V24" i="1" s="1"/>
  <c r="W202" i="1"/>
  <c r="AA202" i="1" s="1"/>
  <c r="AD202" i="1"/>
  <c r="AB197" i="1"/>
  <c r="R197" i="1"/>
  <c r="P197" i="1" s="1"/>
  <c r="S197" i="1" s="1"/>
  <c r="M197" i="1" s="1"/>
  <c r="N197" i="1" s="1"/>
  <c r="AB208" i="1"/>
  <c r="R208" i="1"/>
  <c r="P208" i="1" s="1"/>
  <c r="S208" i="1" s="1"/>
  <c r="M208" i="1" s="1"/>
  <c r="N208" i="1" s="1"/>
  <c r="AB187" i="1"/>
  <c r="R187" i="1"/>
  <c r="P187" i="1" s="1"/>
  <c r="S187" i="1" s="1"/>
  <c r="M187" i="1" s="1"/>
  <c r="N187" i="1" s="1"/>
  <c r="U169" i="1"/>
  <c r="V169" i="1" s="1"/>
  <c r="R166" i="1"/>
  <c r="P166" i="1" s="1"/>
  <c r="S166" i="1" s="1"/>
  <c r="M166" i="1" s="1"/>
  <c r="N166" i="1" s="1"/>
  <c r="AB166" i="1"/>
  <c r="U152" i="1"/>
  <c r="V152" i="1" s="1"/>
  <c r="AB152" i="1"/>
  <c r="U120" i="1"/>
  <c r="V120" i="1" s="1"/>
  <c r="R120" i="1" s="1"/>
  <c r="P120" i="1" s="1"/>
  <c r="S120" i="1" s="1"/>
  <c r="M120" i="1" s="1"/>
  <c r="N120" i="1" s="1"/>
  <c r="AB120" i="1"/>
  <c r="AB131" i="1"/>
  <c r="R131" i="1"/>
  <c r="P131" i="1" s="1"/>
  <c r="S131" i="1" s="1"/>
  <c r="M131" i="1" s="1"/>
  <c r="N131" i="1" s="1"/>
  <c r="AB60" i="1"/>
  <c r="R60" i="1"/>
  <c r="P60" i="1" s="1"/>
  <c r="S60" i="1" s="1"/>
  <c r="M60" i="1" s="1"/>
  <c r="N60" i="1" s="1"/>
  <c r="R39" i="1"/>
  <c r="P39" i="1" s="1"/>
  <c r="S39" i="1" s="1"/>
  <c r="M39" i="1" s="1"/>
  <c r="N39" i="1" s="1"/>
  <c r="AB39" i="1"/>
  <c r="U68" i="1"/>
  <c r="V68" i="1" s="1"/>
  <c r="U41" i="1"/>
  <c r="V41" i="1" s="1"/>
  <c r="U193" i="1"/>
  <c r="V193" i="1" s="1"/>
  <c r="U220" i="1"/>
  <c r="V220" i="1" s="1"/>
  <c r="U195" i="1"/>
  <c r="V195" i="1" s="1"/>
  <c r="AB231" i="1"/>
  <c r="R231" i="1"/>
  <c r="P231" i="1" s="1"/>
  <c r="S231" i="1" s="1"/>
  <c r="M231" i="1" s="1"/>
  <c r="N231" i="1" s="1"/>
  <c r="U190" i="1"/>
  <c r="V190" i="1" s="1"/>
  <c r="R200" i="1"/>
  <c r="P200" i="1" s="1"/>
  <c r="S200" i="1" s="1"/>
  <c r="M200" i="1" s="1"/>
  <c r="N200" i="1" s="1"/>
  <c r="U191" i="1"/>
  <c r="V191" i="1" s="1"/>
  <c r="R191" i="1" s="1"/>
  <c r="P191" i="1" s="1"/>
  <c r="S191" i="1" s="1"/>
  <c r="M191" i="1" s="1"/>
  <c r="N191" i="1" s="1"/>
  <c r="U180" i="1"/>
  <c r="V180" i="1" s="1"/>
  <c r="U217" i="1"/>
  <c r="V217" i="1" s="1"/>
  <c r="U143" i="1"/>
  <c r="V143" i="1" s="1"/>
  <c r="W192" i="1"/>
  <c r="AA192" i="1" s="1"/>
  <c r="AD192" i="1"/>
  <c r="AC192" i="1"/>
  <c r="R192" i="1"/>
  <c r="P192" i="1" s="1"/>
  <c r="S192" i="1" s="1"/>
  <c r="M192" i="1" s="1"/>
  <c r="N192" i="1" s="1"/>
  <c r="AB183" i="1"/>
  <c r="R183" i="1"/>
  <c r="P183" i="1" s="1"/>
  <c r="S183" i="1" s="1"/>
  <c r="M183" i="1" s="1"/>
  <c r="N183" i="1" s="1"/>
  <c r="U189" i="1"/>
  <c r="V189" i="1" s="1"/>
  <c r="R189" i="1" s="1"/>
  <c r="P189" i="1" s="1"/>
  <c r="S189" i="1" s="1"/>
  <c r="M189" i="1" s="1"/>
  <c r="N189" i="1" s="1"/>
  <c r="W181" i="1"/>
  <c r="AA181" i="1" s="1"/>
  <c r="AD181" i="1"/>
  <c r="AC181" i="1"/>
  <c r="U149" i="1"/>
  <c r="V149" i="1" s="1"/>
  <c r="AB157" i="1"/>
  <c r="R157" i="1"/>
  <c r="P157" i="1" s="1"/>
  <c r="S157" i="1" s="1"/>
  <c r="M157" i="1" s="1"/>
  <c r="N157" i="1" s="1"/>
  <c r="R167" i="1"/>
  <c r="P167" i="1" s="1"/>
  <c r="S167" i="1" s="1"/>
  <c r="M167" i="1" s="1"/>
  <c r="N167" i="1" s="1"/>
  <c r="AC146" i="1"/>
  <c r="AC163" i="1"/>
  <c r="W163" i="1"/>
  <c r="AA163" i="1" s="1"/>
  <c r="AD163" i="1"/>
  <c r="AE163" i="1" s="1"/>
  <c r="U162" i="1"/>
  <c r="V162" i="1" s="1"/>
  <c r="U158" i="1"/>
  <c r="V158" i="1" s="1"/>
  <c r="U154" i="1"/>
  <c r="V154" i="1" s="1"/>
  <c r="U113" i="1"/>
  <c r="V113" i="1" s="1"/>
  <c r="W129" i="1"/>
  <c r="AA129" i="1" s="1"/>
  <c r="AD129" i="1"/>
  <c r="AE129" i="1" s="1"/>
  <c r="R118" i="1"/>
  <c r="P118" i="1" s="1"/>
  <c r="S118" i="1" s="1"/>
  <c r="M118" i="1" s="1"/>
  <c r="N118" i="1" s="1"/>
  <c r="AB136" i="1"/>
  <c r="R136" i="1"/>
  <c r="P136" i="1" s="1"/>
  <c r="S136" i="1" s="1"/>
  <c r="M136" i="1" s="1"/>
  <c r="N136" i="1" s="1"/>
  <c r="U91" i="1"/>
  <c r="V91" i="1" s="1"/>
  <c r="AE117" i="1"/>
  <c r="W137" i="1"/>
  <c r="AA137" i="1" s="1"/>
  <c r="AD137" i="1"/>
  <c r="AE137" i="1" s="1"/>
  <c r="U80" i="1"/>
  <c r="V80" i="1" s="1"/>
  <c r="U81" i="1"/>
  <c r="V81" i="1" s="1"/>
  <c r="AB101" i="1"/>
  <c r="R101" i="1"/>
  <c r="P101" i="1" s="1"/>
  <c r="S101" i="1" s="1"/>
  <c r="M101" i="1" s="1"/>
  <c r="N101" i="1" s="1"/>
  <c r="R47" i="1"/>
  <c r="P47" i="1" s="1"/>
  <c r="S47" i="1" s="1"/>
  <c r="M47" i="1" s="1"/>
  <c r="N47" i="1" s="1"/>
  <c r="AB47" i="1"/>
  <c r="U96" i="1"/>
  <c r="V96" i="1" s="1"/>
  <c r="U78" i="1"/>
  <c r="V78" i="1" s="1"/>
  <c r="AC83" i="1"/>
  <c r="AB75" i="1"/>
  <c r="U64" i="1"/>
  <c r="V64" i="1" s="1"/>
  <c r="R64" i="1" s="1"/>
  <c r="P64" i="1" s="1"/>
  <c r="S64" i="1" s="1"/>
  <c r="M64" i="1" s="1"/>
  <c r="N64" i="1" s="1"/>
  <c r="U61" i="1"/>
  <c r="V61" i="1" s="1"/>
  <c r="U30" i="1"/>
  <c r="V30" i="1" s="1"/>
  <c r="R30" i="1" s="1"/>
  <c r="P30" i="1" s="1"/>
  <c r="S30" i="1" s="1"/>
  <c r="M30" i="1" s="1"/>
  <c r="N30" i="1" s="1"/>
  <c r="R77" i="1"/>
  <c r="P77" i="1" s="1"/>
  <c r="S77" i="1" s="1"/>
  <c r="M77" i="1" s="1"/>
  <c r="N77" i="1" s="1"/>
  <c r="AB45" i="1"/>
  <c r="R45" i="1"/>
  <c r="P45" i="1" s="1"/>
  <c r="S45" i="1" s="1"/>
  <c r="M45" i="1" s="1"/>
  <c r="N45" i="1" s="1"/>
  <c r="U37" i="1"/>
  <c r="V37" i="1" s="1"/>
  <c r="U74" i="1"/>
  <c r="V74" i="1" s="1"/>
  <c r="R74" i="1" s="1"/>
  <c r="P74" i="1" s="1"/>
  <c r="S74" i="1" s="1"/>
  <c r="M74" i="1" s="1"/>
  <c r="N74" i="1" s="1"/>
  <c r="W224" i="1" l="1"/>
  <c r="AA224" i="1" s="1"/>
  <c r="AD224" i="1"/>
  <c r="AE224" i="1" s="1"/>
  <c r="AC224" i="1"/>
  <c r="W36" i="1"/>
  <c r="AA36" i="1" s="1"/>
  <c r="AD36" i="1"/>
  <c r="AE36" i="1" s="1"/>
  <c r="AC36" i="1"/>
  <c r="R36" i="1"/>
  <c r="P36" i="1" s="1"/>
  <c r="S36" i="1" s="1"/>
  <c r="M36" i="1" s="1"/>
  <c r="N36" i="1" s="1"/>
  <c r="W115" i="1"/>
  <c r="AA115" i="1" s="1"/>
  <c r="AD115" i="1"/>
  <c r="AE115" i="1" s="1"/>
  <c r="AC115" i="1"/>
  <c r="W209" i="1"/>
  <c r="AA209" i="1" s="1"/>
  <c r="AD209" i="1"/>
  <c r="AC209" i="1"/>
  <c r="W97" i="1"/>
  <c r="AA97" i="1" s="1"/>
  <c r="AD97" i="1"/>
  <c r="AC97" i="1"/>
  <c r="R224" i="1"/>
  <c r="P224" i="1" s="1"/>
  <c r="S224" i="1" s="1"/>
  <c r="M224" i="1" s="1"/>
  <c r="N224" i="1" s="1"/>
  <c r="W56" i="1"/>
  <c r="AA56" i="1" s="1"/>
  <c r="AD56" i="1"/>
  <c r="AC56" i="1"/>
  <c r="W71" i="1"/>
  <c r="AA71" i="1" s="1"/>
  <c r="AD71" i="1"/>
  <c r="AC71" i="1"/>
  <c r="W132" i="1"/>
  <c r="AA132" i="1" s="1"/>
  <c r="AD132" i="1"/>
  <c r="AE132" i="1" s="1"/>
  <c r="AC132" i="1"/>
  <c r="W228" i="1"/>
  <c r="AA228" i="1" s="1"/>
  <c r="AD228" i="1"/>
  <c r="AC228" i="1"/>
  <c r="AD31" i="1"/>
  <c r="W31" i="1"/>
  <c r="AA31" i="1" s="1"/>
  <c r="R31" i="1"/>
  <c r="P31" i="1" s="1"/>
  <c r="S31" i="1" s="1"/>
  <c r="M31" i="1" s="1"/>
  <c r="N31" i="1" s="1"/>
  <c r="AC31" i="1"/>
  <c r="AD26" i="1"/>
  <c r="AC26" i="1"/>
  <c r="W26" i="1"/>
  <c r="AA26" i="1" s="1"/>
  <c r="R26" i="1"/>
  <c r="P26" i="1" s="1"/>
  <c r="S26" i="1" s="1"/>
  <c r="M26" i="1" s="1"/>
  <c r="N26" i="1" s="1"/>
  <c r="W233" i="1"/>
  <c r="AA233" i="1" s="1"/>
  <c r="AD233" i="1"/>
  <c r="AC233" i="1"/>
  <c r="R233" i="1"/>
  <c r="P233" i="1" s="1"/>
  <c r="S233" i="1" s="1"/>
  <c r="M233" i="1" s="1"/>
  <c r="N233" i="1" s="1"/>
  <c r="W54" i="1"/>
  <c r="AA54" i="1" s="1"/>
  <c r="AD54" i="1"/>
  <c r="AC54" i="1"/>
  <c r="AD84" i="1"/>
  <c r="AE84" i="1" s="1"/>
  <c r="W84" i="1"/>
  <c r="AA84" i="1" s="1"/>
  <c r="AC84" i="1"/>
  <c r="R209" i="1"/>
  <c r="P209" i="1" s="1"/>
  <c r="S209" i="1" s="1"/>
  <c r="M209" i="1" s="1"/>
  <c r="N209" i="1" s="1"/>
  <c r="AE210" i="1"/>
  <c r="AE171" i="1"/>
  <c r="AD91" i="1"/>
  <c r="W91" i="1"/>
  <c r="AA91" i="1" s="1"/>
  <c r="AC91" i="1"/>
  <c r="W154" i="1"/>
  <c r="AA154" i="1" s="1"/>
  <c r="AD154" i="1"/>
  <c r="AC154" i="1"/>
  <c r="W217" i="1"/>
  <c r="AA217" i="1" s="1"/>
  <c r="AD217" i="1"/>
  <c r="AC217" i="1"/>
  <c r="R217" i="1"/>
  <c r="P217" i="1" s="1"/>
  <c r="S217" i="1" s="1"/>
  <c r="M217" i="1" s="1"/>
  <c r="N217" i="1" s="1"/>
  <c r="W41" i="1"/>
  <c r="AA41" i="1" s="1"/>
  <c r="AD41" i="1"/>
  <c r="AC41" i="1"/>
  <c r="W21" i="1"/>
  <c r="AA21" i="1" s="1"/>
  <c r="AD21" i="1"/>
  <c r="AE21" i="1" s="1"/>
  <c r="AC21" i="1"/>
  <c r="R21" i="1"/>
  <c r="P21" i="1" s="1"/>
  <c r="S21" i="1" s="1"/>
  <c r="M21" i="1" s="1"/>
  <c r="N21" i="1" s="1"/>
  <c r="W112" i="1"/>
  <c r="AA112" i="1" s="1"/>
  <c r="AD112" i="1"/>
  <c r="AE112" i="1" s="1"/>
  <c r="AC112" i="1"/>
  <c r="R112" i="1"/>
  <c r="P112" i="1" s="1"/>
  <c r="S112" i="1" s="1"/>
  <c r="M112" i="1" s="1"/>
  <c r="N112" i="1" s="1"/>
  <c r="R88" i="1"/>
  <c r="P88" i="1" s="1"/>
  <c r="S88" i="1" s="1"/>
  <c r="M88" i="1" s="1"/>
  <c r="N88" i="1" s="1"/>
  <c r="AD88" i="1"/>
  <c r="AE88" i="1" s="1"/>
  <c r="W88" i="1"/>
  <c r="AA88" i="1" s="1"/>
  <c r="AC88" i="1"/>
  <c r="AC178" i="1"/>
  <c r="W178" i="1"/>
  <c r="AA178" i="1" s="1"/>
  <c r="AD178" i="1"/>
  <c r="W100" i="1"/>
  <c r="AA100" i="1" s="1"/>
  <c r="AD100" i="1"/>
  <c r="AE100" i="1" s="1"/>
  <c r="R100" i="1"/>
  <c r="P100" i="1" s="1"/>
  <c r="S100" i="1" s="1"/>
  <c r="M100" i="1" s="1"/>
  <c r="N100" i="1" s="1"/>
  <c r="AC100" i="1"/>
  <c r="R132" i="1"/>
  <c r="P132" i="1" s="1"/>
  <c r="S132" i="1" s="1"/>
  <c r="M132" i="1" s="1"/>
  <c r="N132" i="1" s="1"/>
  <c r="W179" i="1"/>
  <c r="AA179" i="1" s="1"/>
  <c r="AD179" i="1"/>
  <c r="AE179" i="1" s="1"/>
  <c r="AC179" i="1"/>
  <c r="AD226" i="1"/>
  <c r="AC226" i="1"/>
  <c r="W226" i="1"/>
  <c r="AA226" i="1" s="1"/>
  <c r="AD66" i="1"/>
  <c r="AC66" i="1"/>
  <c r="W66" i="1"/>
  <c r="AA66" i="1" s="1"/>
  <c r="W107" i="1"/>
  <c r="AA107" i="1" s="1"/>
  <c r="AD107" i="1"/>
  <c r="AC107" i="1"/>
  <c r="AC155" i="1"/>
  <c r="W155" i="1"/>
  <c r="AA155" i="1" s="1"/>
  <c r="AD155" i="1"/>
  <c r="W92" i="1"/>
  <c r="AA92" i="1" s="1"/>
  <c r="AD92" i="1"/>
  <c r="AC92" i="1"/>
  <c r="R92" i="1"/>
  <c r="P92" i="1" s="1"/>
  <c r="S92" i="1" s="1"/>
  <c r="M92" i="1" s="1"/>
  <c r="N92" i="1" s="1"/>
  <c r="AE126" i="1"/>
  <c r="AE167" i="1"/>
  <c r="AE227" i="1"/>
  <c r="AD144" i="1"/>
  <c r="W144" i="1"/>
  <c r="AA144" i="1" s="1"/>
  <c r="AC144" i="1"/>
  <c r="AD208" i="1"/>
  <c r="AE208" i="1" s="1"/>
  <c r="W208" i="1"/>
  <c r="AA208" i="1" s="1"/>
  <c r="AC208" i="1"/>
  <c r="W44" i="1"/>
  <c r="AA44" i="1" s="1"/>
  <c r="AD44" i="1"/>
  <c r="AE44" i="1" s="1"/>
  <c r="AC44" i="1"/>
  <c r="AE205" i="1"/>
  <c r="AE23" i="1"/>
  <c r="AC190" i="1"/>
  <c r="W190" i="1"/>
  <c r="AA190" i="1" s="1"/>
  <c r="AD190" i="1"/>
  <c r="W34" i="1"/>
  <c r="AA34" i="1" s="1"/>
  <c r="AD34" i="1"/>
  <c r="AE34" i="1" s="1"/>
  <c r="AC34" i="1"/>
  <c r="AE231" i="1"/>
  <c r="W221" i="1"/>
  <c r="AA221" i="1" s="1"/>
  <c r="AD221" i="1"/>
  <c r="AE221" i="1" s="1"/>
  <c r="AC221" i="1"/>
  <c r="R221" i="1"/>
  <c r="P221" i="1" s="1"/>
  <c r="S221" i="1" s="1"/>
  <c r="M221" i="1" s="1"/>
  <c r="N221" i="1" s="1"/>
  <c r="W75" i="1"/>
  <c r="AA75" i="1" s="1"/>
  <c r="AD75" i="1"/>
  <c r="AE75" i="1" s="1"/>
  <c r="AC75" i="1"/>
  <c r="W136" i="1"/>
  <c r="AA136" i="1" s="1"/>
  <c r="AD136" i="1"/>
  <c r="AC136" i="1"/>
  <c r="W140" i="1"/>
  <c r="AA140" i="1" s="1"/>
  <c r="AD140" i="1"/>
  <c r="AC140" i="1"/>
  <c r="AD81" i="1"/>
  <c r="AE81" i="1" s="1"/>
  <c r="W81" i="1"/>
  <c r="AA81" i="1" s="1"/>
  <c r="AC81" i="1"/>
  <c r="W162" i="1"/>
  <c r="AA162" i="1" s="1"/>
  <c r="AD162" i="1"/>
  <c r="AE162" i="1" s="1"/>
  <c r="AC162" i="1"/>
  <c r="W149" i="1"/>
  <c r="AA149" i="1" s="1"/>
  <c r="AD149" i="1"/>
  <c r="AE149" i="1" s="1"/>
  <c r="AC149" i="1"/>
  <c r="W180" i="1"/>
  <c r="AA180" i="1" s="1"/>
  <c r="AD180" i="1"/>
  <c r="R180" i="1"/>
  <c r="P180" i="1" s="1"/>
  <c r="S180" i="1" s="1"/>
  <c r="M180" i="1" s="1"/>
  <c r="N180" i="1" s="1"/>
  <c r="AC180" i="1"/>
  <c r="W195" i="1"/>
  <c r="AA195" i="1" s="1"/>
  <c r="AD195" i="1"/>
  <c r="AC195" i="1"/>
  <c r="W68" i="1"/>
  <c r="AA68" i="1" s="1"/>
  <c r="AD68" i="1"/>
  <c r="AC68" i="1"/>
  <c r="W169" i="1"/>
  <c r="AA169" i="1" s="1"/>
  <c r="AD169" i="1"/>
  <c r="AE169" i="1" s="1"/>
  <c r="AC169" i="1"/>
  <c r="AE202" i="1"/>
  <c r="R34" i="1"/>
  <c r="P34" i="1" s="1"/>
  <c r="S34" i="1" s="1"/>
  <c r="M34" i="1" s="1"/>
  <c r="N34" i="1" s="1"/>
  <c r="W32" i="1"/>
  <c r="AA32" i="1" s="1"/>
  <c r="AD32" i="1"/>
  <c r="AC32" i="1"/>
  <c r="R32" i="1"/>
  <c r="P32" i="1" s="1"/>
  <c r="S32" i="1" s="1"/>
  <c r="M32" i="1" s="1"/>
  <c r="N32" i="1" s="1"/>
  <c r="AE98" i="1"/>
  <c r="W65" i="1"/>
  <c r="AA65" i="1" s="1"/>
  <c r="AD65" i="1"/>
  <c r="AC65" i="1"/>
  <c r="AD212" i="1"/>
  <c r="W212" i="1"/>
  <c r="AA212" i="1" s="1"/>
  <c r="R212" i="1"/>
  <c r="P212" i="1" s="1"/>
  <c r="S212" i="1" s="1"/>
  <c r="M212" i="1" s="1"/>
  <c r="N212" i="1" s="1"/>
  <c r="AC212" i="1"/>
  <c r="AE183" i="1"/>
  <c r="AC151" i="1"/>
  <c r="W151" i="1"/>
  <c r="AA151" i="1" s="1"/>
  <c r="AD151" i="1"/>
  <c r="AE151" i="1" s="1"/>
  <c r="W142" i="1"/>
  <c r="AA142" i="1" s="1"/>
  <c r="AD142" i="1"/>
  <c r="AC142" i="1"/>
  <c r="R142" i="1"/>
  <c r="P142" i="1" s="1"/>
  <c r="S142" i="1" s="1"/>
  <c r="M142" i="1" s="1"/>
  <c r="N142" i="1" s="1"/>
  <c r="AD43" i="1"/>
  <c r="AE43" i="1" s="1"/>
  <c r="W43" i="1"/>
  <c r="AA43" i="1" s="1"/>
  <c r="AC43" i="1"/>
  <c r="W57" i="1"/>
  <c r="AA57" i="1" s="1"/>
  <c r="AD57" i="1"/>
  <c r="AE57" i="1" s="1"/>
  <c r="AC57" i="1"/>
  <c r="R154" i="1"/>
  <c r="P154" i="1" s="1"/>
  <c r="S154" i="1" s="1"/>
  <c r="M154" i="1" s="1"/>
  <c r="N154" i="1" s="1"/>
  <c r="W17" i="1"/>
  <c r="AA17" i="1" s="1"/>
  <c r="AD17" i="1"/>
  <c r="AE17" i="1" s="1"/>
  <c r="AC17" i="1"/>
  <c r="R81" i="1"/>
  <c r="P81" i="1" s="1"/>
  <c r="S81" i="1" s="1"/>
  <c r="M81" i="1" s="1"/>
  <c r="N81" i="1" s="1"/>
  <c r="W60" i="1"/>
  <c r="AA60" i="1" s="1"/>
  <c r="AD60" i="1"/>
  <c r="AE60" i="1" s="1"/>
  <c r="AC60" i="1"/>
  <c r="R140" i="1"/>
  <c r="P140" i="1" s="1"/>
  <c r="S140" i="1" s="1"/>
  <c r="M140" i="1" s="1"/>
  <c r="N140" i="1" s="1"/>
  <c r="AC186" i="1"/>
  <c r="W186" i="1"/>
  <c r="AA186" i="1" s="1"/>
  <c r="AD186" i="1"/>
  <c r="W216" i="1"/>
  <c r="AA216" i="1" s="1"/>
  <c r="AD216" i="1"/>
  <c r="AE216" i="1" s="1"/>
  <c r="AC216" i="1"/>
  <c r="R190" i="1"/>
  <c r="P190" i="1" s="1"/>
  <c r="S190" i="1" s="1"/>
  <c r="M190" i="1" s="1"/>
  <c r="N190" i="1" s="1"/>
  <c r="AE85" i="1"/>
  <c r="AE51" i="1"/>
  <c r="AE159" i="1"/>
  <c r="W152" i="1"/>
  <c r="AA152" i="1" s="1"/>
  <c r="AD152" i="1"/>
  <c r="AC152" i="1"/>
  <c r="W99" i="1"/>
  <c r="AA99" i="1" s="1"/>
  <c r="AD99" i="1"/>
  <c r="AC99" i="1"/>
  <c r="W207" i="1"/>
  <c r="AA207" i="1" s="1"/>
  <c r="AD207" i="1"/>
  <c r="AE207" i="1" s="1"/>
  <c r="AC207" i="1"/>
  <c r="R207" i="1"/>
  <c r="P207" i="1" s="1"/>
  <c r="S207" i="1" s="1"/>
  <c r="M207" i="1" s="1"/>
  <c r="N207" i="1" s="1"/>
  <c r="W89" i="1"/>
  <c r="AA89" i="1" s="1"/>
  <c r="AD89" i="1"/>
  <c r="AE89" i="1" s="1"/>
  <c r="AC89" i="1"/>
  <c r="AC127" i="1"/>
  <c r="W127" i="1"/>
  <c r="AA127" i="1" s="1"/>
  <c r="AD127" i="1"/>
  <c r="AE127" i="1" s="1"/>
  <c r="W165" i="1"/>
  <c r="AA165" i="1" s="1"/>
  <c r="AD165" i="1"/>
  <c r="AC165" i="1"/>
  <c r="W52" i="1"/>
  <c r="AA52" i="1" s="1"/>
  <c r="AD52" i="1"/>
  <c r="AC52" i="1"/>
  <c r="W161" i="1"/>
  <c r="AA161" i="1" s="1"/>
  <c r="AD161" i="1"/>
  <c r="AE161" i="1" s="1"/>
  <c r="AC161" i="1"/>
  <c r="W175" i="1"/>
  <c r="AA175" i="1" s="1"/>
  <c r="AD175" i="1"/>
  <c r="AE175" i="1" s="1"/>
  <c r="AC175" i="1"/>
  <c r="W30" i="1"/>
  <c r="AA30" i="1" s="1"/>
  <c r="AD30" i="1"/>
  <c r="AC30" i="1"/>
  <c r="AD78" i="1"/>
  <c r="AE78" i="1" s="1"/>
  <c r="W78" i="1"/>
  <c r="AA78" i="1" s="1"/>
  <c r="AC78" i="1"/>
  <c r="W80" i="1"/>
  <c r="AA80" i="1" s="1"/>
  <c r="AD80" i="1"/>
  <c r="AE80" i="1" s="1"/>
  <c r="AC80" i="1"/>
  <c r="R80" i="1"/>
  <c r="P80" i="1" s="1"/>
  <c r="S80" i="1" s="1"/>
  <c r="M80" i="1" s="1"/>
  <c r="N80" i="1" s="1"/>
  <c r="W124" i="1"/>
  <c r="AA124" i="1" s="1"/>
  <c r="AD124" i="1"/>
  <c r="AE124" i="1" s="1"/>
  <c r="AC124" i="1"/>
  <c r="W153" i="1"/>
  <c r="AA153" i="1" s="1"/>
  <c r="AD153" i="1"/>
  <c r="AE153" i="1" s="1"/>
  <c r="AC153" i="1"/>
  <c r="W184" i="1"/>
  <c r="AA184" i="1" s="1"/>
  <c r="AD184" i="1"/>
  <c r="AC184" i="1"/>
  <c r="AD79" i="1"/>
  <c r="AE79" i="1" s="1"/>
  <c r="W79" i="1"/>
  <c r="AA79" i="1" s="1"/>
  <c r="AC79" i="1"/>
  <c r="R56" i="1"/>
  <c r="P56" i="1" s="1"/>
  <c r="S56" i="1" s="1"/>
  <c r="M56" i="1" s="1"/>
  <c r="N56" i="1" s="1"/>
  <c r="W42" i="1"/>
  <c r="AA42" i="1" s="1"/>
  <c r="AD42" i="1"/>
  <c r="AC42" i="1"/>
  <c r="R42" i="1"/>
  <c r="P42" i="1" s="1"/>
  <c r="S42" i="1" s="1"/>
  <c r="M42" i="1" s="1"/>
  <c r="N42" i="1" s="1"/>
  <c r="AD63" i="1"/>
  <c r="AE63" i="1" s="1"/>
  <c r="W63" i="1"/>
  <c r="AA63" i="1" s="1"/>
  <c r="AC63" i="1"/>
  <c r="R78" i="1"/>
  <c r="P78" i="1" s="1"/>
  <c r="S78" i="1" s="1"/>
  <c r="M78" i="1" s="1"/>
  <c r="N78" i="1" s="1"/>
  <c r="W73" i="1"/>
  <c r="AA73" i="1" s="1"/>
  <c r="AD73" i="1"/>
  <c r="AC73" i="1"/>
  <c r="W101" i="1"/>
  <c r="AA101" i="1" s="1"/>
  <c r="AD101" i="1"/>
  <c r="AE101" i="1" s="1"/>
  <c r="AC101" i="1"/>
  <c r="AC182" i="1"/>
  <c r="W182" i="1"/>
  <c r="AA182" i="1" s="1"/>
  <c r="AD182" i="1"/>
  <c r="AE47" i="1"/>
  <c r="AE185" i="1"/>
  <c r="W225" i="1"/>
  <c r="AA225" i="1" s="1"/>
  <c r="AD225" i="1"/>
  <c r="AE225" i="1" s="1"/>
  <c r="AC225" i="1"/>
  <c r="R225" i="1"/>
  <c r="P225" i="1" s="1"/>
  <c r="S225" i="1" s="1"/>
  <c r="M225" i="1" s="1"/>
  <c r="N225" i="1" s="1"/>
  <c r="AE206" i="1"/>
  <c r="R57" i="1"/>
  <c r="P57" i="1" s="1"/>
  <c r="S57" i="1" s="1"/>
  <c r="M57" i="1" s="1"/>
  <c r="N57" i="1" s="1"/>
  <c r="R195" i="1"/>
  <c r="P195" i="1" s="1"/>
  <c r="S195" i="1" s="1"/>
  <c r="M195" i="1" s="1"/>
  <c r="N195" i="1" s="1"/>
  <c r="W58" i="1"/>
  <c r="AA58" i="1" s="1"/>
  <c r="AD58" i="1"/>
  <c r="AC58" i="1"/>
  <c r="R58" i="1"/>
  <c r="P58" i="1" s="1"/>
  <c r="S58" i="1" s="1"/>
  <c r="M58" i="1" s="1"/>
  <c r="N58" i="1" s="1"/>
  <c r="AE116" i="1"/>
  <c r="AE187" i="1"/>
  <c r="AE219" i="1"/>
  <c r="W158" i="1"/>
  <c r="AA158" i="1" s="1"/>
  <c r="AD158" i="1"/>
  <c r="AC158" i="1"/>
  <c r="W156" i="1"/>
  <c r="AA156" i="1" s="1"/>
  <c r="AD156" i="1"/>
  <c r="AC156" i="1"/>
  <c r="W128" i="1"/>
  <c r="AA128" i="1" s="1"/>
  <c r="AD128" i="1"/>
  <c r="AE128" i="1" s="1"/>
  <c r="AC128" i="1"/>
  <c r="W74" i="1"/>
  <c r="AA74" i="1" s="1"/>
  <c r="AD74" i="1"/>
  <c r="AC74" i="1"/>
  <c r="AD61" i="1"/>
  <c r="W61" i="1"/>
  <c r="AA61" i="1" s="1"/>
  <c r="AC61" i="1"/>
  <c r="R61" i="1"/>
  <c r="P61" i="1" s="1"/>
  <c r="S61" i="1" s="1"/>
  <c r="M61" i="1" s="1"/>
  <c r="N61" i="1" s="1"/>
  <c r="W96" i="1"/>
  <c r="AA96" i="1" s="1"/>
  <c r="AD96" i="1"/>
  <c r="AC96" i="1"/>
  <c r="R96" i="1"/>
  <c r="P96" i="1" s="1"/>
  <c r="S96" i="1" s="1"/>
  <c r="M96" i="1" s="1"/>
  <c r="N96" i="1" s="1"/>
  <c r="AE192" i="1"/>
  <c r="W191" i="1"/>
  <c r="AA191" i="1" s="1"/>
  <c r="AD191" i="1"/>
  <c r="AE191" i="1" s="1"/>
  <c r="AC191" i="1"/>
  <c r="W220" i="1"/>
  <c r="AA220" i="1" s="1"/>
  <c r="AD220" i="1"/>
  <c r="AC220" i="1"/>
  <c r="AD120" i="1"/>
  <c r="AE120" i="1" s="1"/>
  <c r="AC120" i="1"/>
  <c r="W120" i="1"/>
  <c r="AA120" i="1" s="1"/>
  <c r="AD24" i="1"/>
  <c r="AE24" i="1" s="1"/>
  <c r="W24" i="1"/>
  <c r="AA24" i="1" s="1"/>
  <c r="AC24" i="1"/>
  <c r="AE110" i="1"/>
  <c r="W119" i="1"/>
  <c r="AA119" i="1" s="1"/>
  <c r="AC119" i="1"/>
  <c r="AD119" i="1"/>
  <c r="W199" i="1"/>
  <c r="AA199" i="1" s="1"/>
  <c r="AD199" i="1"/>
  <c r="AE199" i="1" s="1"/>
  <c r="R199" i="1"/>
  <c r="P199" i="1" s="1"/>
  <c r="S199" i="1" s="1"/>
  <c r="M199" i="1" s="1"/>
  <c r="N199" i="1" s="1"/>
  <c r="AC199" i="1"/>
  <c r="W197" i="1"/>
  <c r="AA197" i="1" s="1"/>
  <c r="AD197" i="1"/>
  <c r="AC197" i="1"/>
  <c r="AE86" i="1"/>
  <c r="AD235" i="1"/>
  <c r="AE235" i="1" s="1"/>
  <c r="W235" i="1"/>
  <c r="AA235" i="1" s="1"/>
  <c r="AC235" i="1"/>
  <c r="R52" i="1"/>
  <c r="P52" i="1" s="1"/>
  <c r="S52" i="1" s="1"/>
  <c r="M52" i="1" s="1"/>
  <c r="N52" i="1" s="1"/>
  <c r="W76" i="1"/>
  <c r="AA76" i="1" s="1"/>
  <c r="AD76" i="1"/>
  <c r="AC76" i="1"/>
  <c r="AC87" i="1"/>
  <c r="AD87" i="1"/>
  <c r="AE87" i="1" s="1"/>
  <c r="W87" i="1"/>
  <c r="AA87" i="1" s="1"/>
  <c r="AC123" i="1"/>
  <c r="W123" i="1"/>
  <c r="AA123" i="1" s="1"/>
  <c r="AD123" i="1"/>
  <c r="AE123" i="1" s="1"/>
  <c r="W157" i="1"/>
  <c r="AA157" i="1" s="1"/>
  <c r="AD157" i="1"/>
  <c r="AE157" i="1" s="1"/>
  <c r="AC157" i="1"/>
  <c r="R184" i="1"/>
  <c r="P184" i="1" s="1"/>
  <c r="S184" i="1" s="1"/>
  <c r="M184" i="1" s="1"/>
  <c r="N184" i="1" s="1"/>
  <c r="AD59" i="1"/>
  <c r="AE59" i="1" s="1"/>
  <c r="W59" i="1"/>
  <c r="AA59" i="1" s="1"/>
  <c r="AC59" i="1"/>
  <c r="R158" i="1"/>
  <c r="P158" i="1" s="1"/>
  <c r="S158" i="1" s="1"/>
  <c r="M158" i="1" s="1"/>
  <c r="N158" i="1" s="1"/>
  <c r="W198" i="1"/>
  <c r="AA198" i="1" s="1"/>
  <c r="AD198" i="1"/>
  <c r="AE198" i="1" s="1"/>
  <c r="AC198" i="1"/>
  <c r="W53" i="1"/>
  <c r="AA53" i="1" s="1"/>
  <c r="AD53" i="1"/>
  <c r="AE53" i="1" s="1"/>
  <c r="AC53" i="1"/>
  <c r="AC131" i="1"/>
  <c r="W131" i="1"/>
  <c r="AA131" i="1" s="1"/>
  <c r="AD131" i="1"/>
  <c r="AE131" i="1" s="1"/>
  <c r="AC18" i="1"/>
  <c r="W18" i="1"/>
  <c r="AA18" i="1" s="1"/>
  <c r="AD18" i="1"/>
  <c r="R66" i="1"/>
  <c r="P66" i="1" s="1"/>
  <c r="S66" i="1" s="1"/>
  <c r="M66" i="1" s="1"/>
  <c r="N66" i="1" s="1"/>
  <c r="W111" i="1"/>
  <c r="AA111" i="1" s="1"/>
  <c r="AD111" i="1"/>
  <c r="AC111" i="1"/>
  <c r="AC135" i="1"/>
  <c r="W135" i="1"/>
  <c r="AA135" i="1" s="1"/>
  <c r="AD135" i="1"/>
  <c r="W28" i="1"/>
  <c r="AA28" i="1" s="1"/>
  <c r="AD28" i="1"/>
  <c r="AE28" i="1" s="1"/>
  <c r="AC28" i="1"/>
  <c r="R28" i="1"/>
  <c r="P28" i="1" s="1"/>
  <c r="S28" i="1" s="1"/>
  <c r="M28" i="1" s="1"/>
  <c r="N28" i="1" s="1"/>
  <c r="AE134" i="1"/>
  <c r="W109" i="1"/>
  <c r="AA109" i="1" s="1"/>
  <c r="AD109" i="1"/>
  <c r="AE109" i="1" s="1"/>
  <c r="AC109" i="1"/>
  <c r="W108" i="1"/>
  <c r="AA108" i="1" s="1"/>
  <c r="AD108" i="1"/>
  <c r="AE108" i="1" s="1"/>
  <c r="AC108" i="1"/>
  <c r="R108" i="1"/>
  <c r="P108" i="1" s="1"/>
  <c r="S108" i="1" s="1"/>
  <c r="M108" i="1" s="1"/>
  <c r="N108" i="1" s="1"/>
  <c r="W72" i="1"/>
  <c r="AA72" i="1" s="1"/>
  <c r="AD72" i="1"/>
  <c r="AE72" i="1" s="1"/>
  <c r="R72" i="1"/>
  <c r="P72" i="1" s="1"/>
  <c r="S72" i="1" s="1"/>
  <c r="M72" i="1" s="1"/>
  <c r="N72" i="1" s="1"/>
  <c r="AC72" i="1"/>
  <c r="W105" i="1"/>
  <c r="AA105" i="1" s="1"/>
  <c r="AD105" i="1"/>
  <c r="AE105" i="1" s="1"/>
  <c r="AC105" i="1"/>
  <c r="AC139" i="1"/>
  <c r="W139" i="1"/>
  <c r="AA139" i="1" s="1"/>
  <c r="AD139" i="1"/>
  <c r="AE139" i="1" s="1"/>
  <c r="AE160" i="1"/>
  <c r="AE215" i="1"/>
  <c r="AE222" i="1"/>
  <c r="AE103" i="1"/>
  <c r="AE70" i="1"/>
  <c r="W33" i="1"/>
  <c r="AA33" i="1" s="1"/>
  <c r="AD33" i="1"/>
  <c r="AC33" i="1"/>
  <c r="W37" i="1"/>
  <c r="AA37" i="1" s="1"/>
  <c r="AD37" i="1"/>
  <c r="AC37" i="1"/>
  <c r="AE181" i="1"/>
  <c r="R152" i="1"/>
  <c r="P152" i="1" s="1"/>
  <c r="S152" i="1" s="1"/>
  <c r="M152" i="1" s="1"/>
  <c r="N152" i="1" s="1"/>
  <c r="W55" i="1"/>
  <c r="AA55" i="1" s="1"/>
  <c r="AD55" i="1"/>
  <c r="AC55" i="1"/>
  <c r="W62" i="1"/>
  <c r="AA62" i="1" s="1"/>
  <c r="AD62" i="1"/>
  <c r="AC62" i="1"/>
  <c r="AE83" i="1"/>
  <c r="W46" i="1"/>
  <c r="AA46" i="1" s="1"/>
  <c r="AD46" i="1"/>
  <c r="AC46" i="1"/>
  <c r="R46" i="1"/>
  <c r="P46" i="1" s="1"/>
  <c r="S46" i="1" s="1"/>
  <c r="M46" i="1" s="1"/>
  <c r="N46" i="1" s="1"/>
  <c r="AE200" i="1"/>
  <c r="AD19" i="1"/>
  <c r="W19" i="1"/>
  <c r="AA19" i="1" s="1"/>
  <c r="AC19" i="1"/>
  <c r="W170" i="1"/>
  <c r="AA170" i="1" s="1"/>
  <c r="AD170" i="1"/>
  <c r="AC170" i="1"/>
  <c r="R170" i="1"/>
  <c r="P170" i="1" s="1"/>
  <c r="S170" i="1" s="1"/>
  <c r="M170" i="1" s="1"/>
  <c r="N170" i="1" s="1"/>
  <c r="R220" i="1"/>
  <c r="P220" i="1" s="1"/>
  <c r="S220" i="1" s="1"/>
  <c r="M220" i="1" s="1"/>
  <c r="N220" i="1" s="1"/>
  <c r="R119" i="1"/>
  <c r="P119" i="1" s="1"/>
  <c r="S119" i="1" s="1"/>
  <c r="M119" i="1" s="1"/>
  <c r="N119" i="1" s="1"/>
  <c r="AD29" i="1"/>
  <c r="AE29" i="1" s="1"/>
  <c r="W29" i="1"/>
  <c r="AA29" i="1" s="1"/>
  <c r="AC29" i="1"/>
  <c r="AE95" i="1"/>
  <c r="AC174" i="1"/>
  <c r="W174" i="1"/>
  <c r="AA174" i="1" s="1"/>
  <c r="AD174" i="1"/>
  <c r="AE174" i="1" s="1"/>
  <c r="AE201" i="1"/>
  <c r="W45" i="1"/>
  <c r="AA45" i="1" s="1"/>
  <c r="AD45" i="1"/>
  <c r="AE45" i="1" s="1"/>
  <c r="AC45" i="1"/>
  <c r="R71" i="1"/>
  <c r="P71" i="1" s="1"/>
  <c r="S71" i="1" s="1"/>
  <c r="M71" i="1" s="1"/>
  <c r="N71" i="1" s="1"/>
  <c r="W40" i="1"/>
  <c r="AA40" i="1" s="1"/>
  <c r="AD40" i="1"/>
  <c r="AC40" i="1"/>
  <c r="W148" i="1"/>
  <c r="AA148" i="1" s="1"/>
  <c r="AD148" i="1"/>
  <c r="AC148" i="1"/>
  <c r="R111" i="1"/>
  <c r="P111" i="1" s="1"/>
  <c r="S111" i="1" s="1"/>
  <c r="M111" i="1" s="1"/>
  <c r="N111" i="1" s="1"/>
  <c r="AE229" i="1"/>
  <c r="AE35" i="1"/>
  <c r="R153" i="1"/>
  <c r="P153" i="1" s="1"/>
  <c r="S153" i="1" s="1"/>
  <c r="M153" i="1" s="1"/>
  <c r="N153" i="1" s="1"/>
  <c r="W176" i="1"/>
  <c r="AA176" i="1" s="1"/>
  <c r="AD176" i="1"/>
  <c r="AC176" i="1"/>
  <c r="R176" i="1"/>
  <c r="P176" i="1" s="1"/>
  <c r="S176" i="1" s="1"/>
  <c r="M176" i="1" s="1"/>
  <c r="N176" i="1" s="1"/>
  <c r="R235" i="1"/>
  <c r="P235" i="1" s="1"/>
  <c r="S235" i="1" s="1"/>
  <c r="M235" i="1" s="1"/>
  <c r="N235" i="1" s="1"/>
  <c r="R228" i="1"/>
  <c r="P228" i="1" s="1"/>
  <c r="S228" i="1" s="1"/>
  <c r="M228" i="1" s="1"/>
  <c r="N228" i="1" s="1"/>
  <c r="W172" i="1"/>
  <c r="AA172" i="1" s="1"/>
  <c r="AD172" i="1"/>
  <c r="AE172" i="1" s="1"/>
  <c r="R172" i="1"/>
  <c r="P172" i="1" s="1"/>
  <c r="S172" i="1" s="1"/>
  <c r="M172" i="1" s="1"/>
  <c r="N172" i="1" s="1"/>
  <c r="AC172" i="1"/>
  <c r="R155" i="1"/>
  <c r="P155" i="1" s="1"/>
  <c r="S155" i="1" s="1"/>
  <c r="M155" i="1" s="1"/>
  <c r="N155" i="1" s="1"/>
  <c r="W234" i="1"/>
  <c r="AA234" i="1" s="1"/>
  <c r="AD234" i="1"/>
  <c r="AE234" i="1" s="1"/>
  <c r="AC234" i="1"/>
  <c r="W189" i="1"/>
  <c r="AA189" i="1" s="1"/>
  <c r="AD189" i="1"/>
  <c r="AC189" i="1"/>
  <c r="W48" i="1"/>
  <c r="AA48" i="1" s="1"/>
  <c r="AD48" i="1"/>
  <c r="AC48" i="1"/>
  <c r="W22" i="1"/>
  <c r="AA22" i="1" s="1"/>
  <c r="AD22" i="1"/>
  <c r="AC22" i="1"/>
  <c r="R22" i="1"/>
  <c r="P22" i="1" s="1"/>
  <c r="S22" i="1" s="1"/>
  <c r="M22" i="1" s="1"/>
  <c r="N22" i="1" s="1"/>
  <c r="W104" i="1"/>
  <c r="AA104" i="1" s="1"/>
  <c r="AD104" i="1"/>
  <c r="AC104" i="1"/>
  <c r="R104" i="1"/>
  <c r="P104" i="1" s="1"/>
  <c r="S104" i="1" s="1"/>
  <c r="M104" i="1" s="1"/>
  <c r="N104" i="1" s="1"/>
  <c r="W50" i="1"/>
  <c r="AA50" i="1" s="1"/>
  <c r="AD50" i="1"/>
  <c r="AC50" i="1"/>
  <c r="R50" i="1"/>
  <c r="P50" i="1" s="1"/>
  <c r="S50" i="1" s="1"/>
  <c r="M50" i="1" s="1"/>
  <c r="N50" i="1" s="1"/>
  <c r="R115" i="1"/>
  <c r="P115" i="1" s="1"/>
  <c r="S115" i="1" s="1"/>
  <c r="M115" i="1" s="1"/>
  <c r="N115" i="1" s="1"/>
  <c r="W64" i="1"/>
  <c r="AA64" i="1" s="1"/>
  <c r="AD64" i="1"/>
  <c r="AC64" i="1"/>
  <c r="W113" i="1"/>
  <c r="AA113" i="1" s="1"/>
  <c r="AD113" i="1"/>
  <c r="AC113" i="1"/>
  <c r="W143" i="1"/>
  <c r="AA143" i="1" s="1"/>
  <c r="AD143" i="1"/>
  <c r="AE143" i="1" s="1"/>
  <c r="AC143" i="1"/>
  <c r="R143" i="1"/>
  <c r="P143" i="1" s="1"/>
  <c r="S143" i="1" s="1"/>
  <c r="M143" i="1" s="1"/>
  <c r="N143" i="1" s="1"/>
  <c r="W193" i="1"/>
  <c r="AA193" i="1" s="1"/>
  <c r="AD193" i="1"/>
  <c r="AE193" i="1" s="1"/>
  <c r="AC193" i="1"/>
  <c r="R68" i="1"/>
  <c r="P68" i="1" s="1"/>
  <c r="S68" i="1" s="1"/>
  <c r="M68" i="1" s="1"/>
  <c r="N68" i="1" s="1"/>
  <c r="R161" i="1"/>
  <c r="P161" i="1" s="1"/>
  <c r="S161" i="1" s="1"/>
  <c r="M161" i="1" s="1"/>
  <c r="N161" i="1" s="1"/>
  <c r="AC147" i="1"/>
  <c r="W147" i="1"/>
  <c r="AA147" i="1" s="1"/>
  <c r="AD147" i="1"/>
  <c r="AC230" i="1"/>
  <c r="W230" i="1"/>
  <c r="AA230" i="1" s="1"/>
  <c r="AD230" i="1"/>
  <c r="AD67" i="1"/>
  <c r="W67" i="1"/>
  <c r="AA67" i="1" s="1"/>
  <c r="AC67" i="1"/>
  <c r="W38" i="1"/>
  <c r="AA38" i="1" s="1"/>
  <c r="AD38" i="1"/>
  <c r="AC38" i="1"/>
  <c r="R38" i="1"/>
  <c r="P38" i="1" s="1"/>
  <c r="S38" i="1" s="1"/>
  <c r="M38" i="1" s="1"/>
  <c r="N38" i="1" s="1"/>
  <c r="AC82" i="1"/>
  <c r="AD82" i="1"/>
  <c r="AE82" i="1" s="1"/>
  <c r="W82" i="1"/>
  <c r="AA82" i="1" s="1"/>
  <c r="R87" i="1"/>
  <c r="P87" i="1" s="1"/>
  <c r="S87" i="1" s="1"/>
  <c r="M87" i="1" s="1"/>
  <c r="N87" i="1" s="1"/>
  <c r="W188" i="1"/>
  <c r="AA188" i="1" s="1"/>
  <c r="AD188" i="1"/>
  <c r="AC188" i="1"/>
  <c r="R188" i="1"/>
  <c r="P188" i="1" s="1"/>
  <c r="S188" i="1" s="1"/>
  <c r="M188" i="1" s="1"/>
  <c r="N188" i="1" s="1"/>
  <c r="W133" i="1"/>
  <c r="AA133" i="1" s="1"/>
  <c r="AD133" i="1"/>
  <c r="AC133" i="1"/>
  <c r="W168" i="1"/>
  <c r="AA168" i="1" s="1"/>
  <c r="AD168" i="1"/>
  <c r="R168" i="1"/>
  <c r="P168" i="1" s="1"/>
  <c r="S168" i="1" s="1"/>
  <c r="M168" i="1" s="1"/>
  <c r="N168" i="1" s="1"/>
  <c r="AC168" i="1"/>
  <c r="R193" i="1"/>
  <c r="P193" i="1" s="1"/>
  <c r="S193" i="1" s="1"/>
  <c r="M193" i="1" s="1"/>
  <c r="N193" i="1" s="1"/>
  <c r="AD90" i="1"/>
  <c r="W90" i="1"/>
  <c r="AA90" i="1" s="1"/>
  <c r="AC90" i="1"/>
  <c r="R29" i="1"/>
  <c r="P29" i="1" s="1"/>
  <c r="S29" i="1" s="1"/>
  <c r="M29" i="1" s="1"/>
  <c r="N29" i="1" s="1"/>
  <c r="R123" i="1"/>
  <c r="P123" i="1" s="1"/>
  <c r="S123" i="1" s="1"/>
  <c r="M123" i="1" s="1"/>
  <c r="N123" i="1" s="1"/>
  <c r="R41" i="1"/>
  <c r="P41" i="1" s="1"/>
  <c r="S41" i="1" s="1"/>
  <c r="M41" i="1" s="1"/>
  <c r="N41" i="1" s="1"/>
  <c r="W93" i="1"/>
  <c r="AA93" i="1" s="1"/>
  <c r="AD93" i="1"/>
  <c r="AE93" i="1" s="1"/>
  <c r="AC93" i="1"/>
  <c r="R128" i="1"/>
  <c r="P128" i="1" s="1"/>
  <c r="S128" i="1" s="1"/>
  <c r="M128" i="1" s="1"/>
  <c r="N128" i="1" s="1"/>
  <c r="R144" i="1"/>
  <c r="P144" i="1" s="1"/>
  <c r="S144" i="1" s="1"/>
  <c r="M144" i="1" s="1"/>
  <c r="N144" i="1" s="1"/>
  <c r="W232" i="1"/>
  <c r="AA232" i="1" s="1"/>
  <c r="AD232" i="1"/>
  <c r="R232" i="1"/>
  <c r="P232" i="1" s="1"/>
  <c r="S232" i="1" s="1"/>
  <c r="M232" i="1" s="1"/>
  <c r="N232" i="1" s="1"/>
  <c r="AC232" i="1"/>
  <c r="W49" i="1"/>
  <c r="AA49" i="1" s="1"/>
  <c r="AD49" i="1"/>
  <c r="AC49" i="1"/>
  <c r="W145" i="1"/>
  <c r="AA145" i="1" s="1"/>
  <c r="AD145" i="1"/>
  <c r="AE145" i="1" s="1"/>
  <c r="AC145" i="1"/>
  <c r="AE214" i="1"/>
  <c r="R234" i="1"/>
  <c r="P234" i="1" s="1"/>
  <c r="S234" i="1" s="1"/>
  <c r="M234" i="1" s="1"/>
  <c r="N234" i="1" s="1"/>
  <c r="AE150" i="1"/>
  <c r="AE25" i="1"/>
  <c r="AE164" i="1"/>
  <c r="AE188" i="1" l="1"/>
  <c r="AE38" i="1"/>
  <c r="AE147" i="1"/>
  <c r="AE64" i="1"/>
  <c r="AE48" i="1"/>
  <c r="AE148" i="1"/>
  <c r="AE18" i="1"/>
  <c r="AE165" i="1"/>
  <c r="AE152" i="1"/>
  <c r="AE65" i="1"/>
  <c r="AE195" i="1"/>
  <c r="AE140" i="1"/>
  <c r="AE190" i="1"/>
  <c r="AE226" i="1"/>
  <c r="AE154" i="1"/>
  <c r="AE233" i="1"/>
  <c r="AE97" i="1"/>
  <c r="AE232" i="1"/>
  <c r="AE168" i="1"/>
  <c r="AE104" i="1"/>
  <c r="AE176" i="1"/>
  <c r="AE19" i="1"/>
  <c r="AE62" i="1"/>
  <c r="AE37" i="1"/>
  <c r="AE135" i="1"/>
  <c r="AE119" i="1"/>
  <c r="AE61" i="1"/>
  <c r="AE156" i="1"/>
  <c r="AE186" i="1"/>
  <c r="AE107" i="1"/>
  <c r="AE178" i="1"/>
  <c r="AE41" i="1"/>
  <c r="AE31" i="1"/>
  <c r="AE71" i="1"/>
  <c r="AE189" i="1"/>
  <c r="AE40" i="1"/>
  <c r="AE76" i="1"/>
  <c r="AE197" i="1"/>
  <c r="AE74" i="1"/>
  <c r="AE58" i="1"/>
  <c r="AE136" i="1"/>
  <c r="AE92" i="1"/>
  <c r="AE228" i="1"/>
  <c r="AE209" i="1"/>
  <c r="AE133" i="1"/>
  <c r="AE67" i="1"/>
  <c r="AE55" i="1"/>
  <c r="AE33" i="1"/>
  <c r="AE220" i="1"/>
  <c r="AE96" i="1"/>
  <c r="AE158" i="1"/>
  <c r="AE184" i="1"/>
  <c r="AE30" i="1"/>
  <c r="AE180" i="1"/>
  <c r="AE91" i="1"/>
  <c r="AE54" i="1"/>
  <c r="AE56" i="1"/>
  <c r="AE49" i="1"/>
  <c r="AE90" i="1"/>
  <c r="AE230" i="1"/>
  <c r="AE113" i="1"/>
  <c r="AE50" i="1"/>
  <c r="AE22" i="1"/>
  <c r="AE170" i="1"/>
  <c r="AE46" i="1"/>
  <c r="AE111" i="1"/>
  <c r="AE73" i="1"/>
  <c r="AE42" i="1"/>
  <c r="AE52" i="1"/>
  <c r="AE99" i="1"/>
  <c r="AE142" i="1"/>
  <c r="AE32" i="1"/>
  <c r="AE68" i="1"/>
  <c r="AE144" i="1"/>
  <c r="AE155" i="1"/>
  <c r="AE66" i="1"/>
  <c r="AE217" i="1"/>
  <c r="AE26" i="1"/>
  <c r="AE182" i="1"/>
  <c r="AE212" i="1"/>
</calcChain>
</file>

<file path=xl/sharedStrings.xml><?xml version="1.0" encoding="utf-8"?>
<sst xmlns="http://schemas.openxmlformats.org/spreadsheetml/2006/main" count="3273" uniqueCount="773">
  <si>
    <t>File opened</t>
  </si>
  <si>
    <t>2023-07-26 07:54:32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</si>
  <si>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</si>
  <si>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</si>
  <si>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</si>
  <si>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</si>
  <si>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</si>
  <si>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</si>
  <si>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</si>
  <si>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</si>
  <si>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</si>
  <si>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</si>
  <si>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</si>
  <si>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</si>
  <si>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</si>
  <si>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</si>
  <si>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</si>
  <si>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</si>
  <si>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</si>
  <si>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</si>
  <si>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</si>
  <si>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</si>
  <si>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</si>
  <si>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</si>
  <si>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</si>
  <si>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</si>
  <si>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</si>
  <si>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</si>
  <si>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</si>
  <si>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</si>
  <si>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</si>
  <si>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</si>
  <si>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</si>
  <si>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</si>
  <si>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07:54:32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</si>
  <si>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</si>
  <si>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</si>
  <si>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</si>
  <si>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</si>
  <si>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</si>
  <si>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</si>
  <si>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</si>
  <si>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</si>
  <si>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</si>
  <si>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</si>
  <si>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</si>
  <si>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</si>
  <si>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</si>
  <si>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</si>
  <si>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</si>
  <si>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</si>
  <si>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</si>
  <si>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</si>
  <si>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</si>
  <si>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</si>
  <si>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</si>
  <si>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</si>
  <si>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</si>
  <si>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</si>
  <si>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</si>
  <si>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</si>
  <si>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</si>
  <si>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</si>
  <si>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</si>
  <si>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</si>
  <si>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</si>
  <si>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</si>
  <si>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</si>
  <si>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</si>
  <si>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</si>
  <si>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</si>
  <si>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</si>
  <si>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</si>
  <si>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</si>
  <si>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</si>
  <si>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</si>
  <si>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</si>
  <si>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</si>
  <si>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</si>
  <si>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</si>
  <si>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</si>
  <si>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</si>
  <si>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</si>
  <si>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</si>
  <si>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</si>
  <si>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</si>
  <si>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</si>
  <si>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9.91589 89.2799 373.467 608.908 843.11 1054.96 1243.37 1426.36</t>
  </si>
  <si>
    <t>Fs_true</t>
  </si>
  <si>
    <t>-0.0224448 102.496 401.746 601.314 801.108 1000.34 1201.96 1401.15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</si>
  <si>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</si>
  <si>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</si>
  <si>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</si>
  <si>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</si>
  <si>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</si>
  <si>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</si>
  <si>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</si>
  <si>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</si>
  <si>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</si>
  <si>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</si>
  <si>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</si>
  <si>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</si>
  <si>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</si>
  <si>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</si>
  <si>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</si>
  <si>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</si>
  <si>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</si>
  <si>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</si>
  <si>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</si>
  <si>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</si>
  <si>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</si>
  <si>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</si>
  <si>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</si>
  <si>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</si>
  <si>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</si>
  <si>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</si>
  <si>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</si>
  <si>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</si>
  <si>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</si>
  <si>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</si>
  <si>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</si>
  <si>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</si>
  <si>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</si>
  <si>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</si>
  <si>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</si>
  <si>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</si>
  <si>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</si>
  <si>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</si>
  <si>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</si>
  <si>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</si>
  <si>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</si>
  <si>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</si>
  <si>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</si>
  <si>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</si>
  <si>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</si>
  <si>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</si>
  <si>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</si>
  <si>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</si>
  <si>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</si>
  <si>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</si>
  <si>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</si>
  <si>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</si>
  <si>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</si>
  <si>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</si>
  <si>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</si>
  <si>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</si>
  <si>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</si>
  <si>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</si>
  <si>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</si>
  <si>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</si>
  <si>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</si>
  <si>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</si>
  <si>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</si>
  <si>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</si>
  <si>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</si>
  <si>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</si>
  <si>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</si>
  <si>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</si>
  <si>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</si>
  <si>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</si>
  <si>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</si>
  <si>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</si>
  <si>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</si>
  <si>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</si>
  <si>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</si>
  <si>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</si>
  <si>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</si>
  <si>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</si>
  <si>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</si>
  <si>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</si>
  <si>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</si>
  <si>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</si>
  <si>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</si>
  <si>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</si>
  <si>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</si>
  <si>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</si>
  <si>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</si>
  <si>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</si>
  <si>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</si>
  <si>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</si>
  <si>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</si>
  <si>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</si>
  <si>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</si>
  <si>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</si>
  <si>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</si>
  <si>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</si>
  <si>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</si>
  <si>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</si>
  <si>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</si>
  <si>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</si>
  <si>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</si>
  <si>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</si>
  <si>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</si>
  <si>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</si>
  <si>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</si>
  <si>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</si>
  <si>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</si>
  <si>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</si>
  <si>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</si>
  <si>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</si>
  <si>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</si>
  <si>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</si>
  <si>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</si>
  <si>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</si>
  <si>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</si>
  <si>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</si>
  <si>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</si>
  <si>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</si>
  <si>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</si>
  <si>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</si>
  <si>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</si>
  <si>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</si>
  <si>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</si>
  <si>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</si>
  <si>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</si>
  <si>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</si>
  <si>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</si>
  <si>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</si>
  <si>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</si>
  <si>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</si>
  <si>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</si>
  <si>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</si>
  <si>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</si>
  <si>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</si>
  <si>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</si>
  <si>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</si>
  <si>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</si>
  <si>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</si>
  <si>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</si>
  <si>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</si>
  <si>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</si>
  <si>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</si>
  <si>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</si>
  <si>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</si>
  <si>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</si>
  <si>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</si>
  <si>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</si>
  <si>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</si>
  <si>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</si>
  <si>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</si>
  <si>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</si>
  <si>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</si>
  <si>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</si>
  <si>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</si>
  <si>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</si>
  <si>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</si>
  <si>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</si>
  <si>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</si>
  <si>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</si>
  <si>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</si>
  <si>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</si>
  <si>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</si>
  <si>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</si>
  <si>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</si>
  <si>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</si>
  <si>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</si>
  <si>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</si>
  <si>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</si>
  <si>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</si>
  <si>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</si>
  <si>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</si>
  <si>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</si>
  <si>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</si>
  <si>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</si>
  <si>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</si>
  <si>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</si>
  <si>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</si>
  <si>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</si>
  <si>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</si>
  <si>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</si>
  <si>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</si>
  <si>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</si>
  <si>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</si>
  <si>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</si>
  <si>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</si>
  <si>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</si>
  <si>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</si>
  <si>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</si>
  <si>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</si>
  <si>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</si>
  <si>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</si>
  <si>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</si>
  <si>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</si>
  <si>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</si>
  <si>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</si>
  <si>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</si>
  <si>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</si>
  <si>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</si>
  <si>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</si>
  <si>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</si>
  <si>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</si>
  <si>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</si>
  <si>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</si>
  <si>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</si>
  <si>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</si>
  <si>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</si>
  <si>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</si>
  <si>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</si>
  <si>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</si>
  <si>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</si>
  <si>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</si>
  <si>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</si>
  <si>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</si>
  <si>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</si>
  <si>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</si>
  <si>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</si>
  <si>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</si>
  <si>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</si>
  <si>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</si>
  <si>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</si>
  <si>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</si>
  <si>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</si>
  <si>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</si>
  <si>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</si>
  <si>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</si>
  <si>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</si>
  <si>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</si>
  <si>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</si>
  <si>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</si>
  <si>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</si>
  <si>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</si>
  <si>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</si>
  <si>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</si>
  <si>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</si>
  <si>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</si>
  <si>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</si>
  <si>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</si>
  <si>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</si>
  <si>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20230726 08:05:16</t>
  </si>
  <si>
    <t>08:05:16</t>
  </si>
  <si>
    <t>none</t>
  </si>
  <si>
    <t>0: Broadleaf</t>
  </si>
  <si>
    <t>07:56:53</t>
  </si>
  <si>
    <t>0/0</t>
  </si>
  <si>
    <t>00000000</t>
  </si>
  <si>
    <t>iiiiiiii</t>
  </si>
  <si>
    <t>off</t>
  </si>
  <si>
    <t>20230726 08:05:17</t>
  </si>
  <si>
    <t>08:05:17</t>
  </si>
  <si>
    <t>20230726 08:05:18</t>
  </si>
  <si>
    <t>08:05:18</t>
  </si>
  <si>
    <t>20230726 08:05:19</t>
  </si>
  <si>
    <t>08:05:19</t>
  </si>
  <si>
    <t>20230726 08:05:20</t>
  </si>
  <si>
    <t>08:05:20</t>
  </si>
  <si>
    <t>20230726 08:06:56</t>
  </si>
  <si>
    <t>08:06:56</t>
  </si>
  <si>
    <t>20230726 08:07:06</t>
  </si>
  <si>
    <t>08:07:06</t>
  </si>
  <si>
    <t>20230726 08:07:16</t>
  </si>
  <si>
    <t>08:07:16</t>
  </si>
  <si>
    <t>20230726 08:07:26</t>
  </si>
  <si>
    <t>08:07:26</t>
  </si>
  <si>
    <t>20230726 08:07:36</t>
  </si>
  <si>
    <t>08:07:36</t>
  </si>
  <si>
    <t>20230726 08:07:46</t>
  </si>
  <si>
    <t>08:07:46</t>
  </si>
  <si>
    <t>20230726 08:07:56</t>
  </si>
  <si>
    <t>08:07:56</t>
  </si>
  <si>
    <t>20230726 08:08:06</t>
  </si>
  <si>
    <t>08:08:06</t>
  </si>
  <si>
    <t>20230726 08:08:16</t>
  </si>
  <si>
    <t>08:08:16</t>
  </si>
  <si>
    <t>20230726 08:08:26</t>
  </si>
  <si>
    <t>08:08:26</t>
  </si>
  <si>
    <t>20230726 08:08:36</t>
  </si>
  <si>
    <t>08:08:36</t>
  </si>
  <si>
    <t>20230726 08:08:46</t>
  </si>
  <si>
    <t>08:08:46</t>
  </si>
  <si>
    <t>20230726 08:08:56</t>
  </si>
  <si>
    <t>08:08:56</t>
  </si>
  <si>
    <t>20230726 08:09:06</t>
  </si>
  <si>
    <t>08:09:06</t>
  </si>
  <si>
    <t>20230726 08:09:16</t>
  </si>
  <si>
    <t>08:09:16</t>
  </si>
  <si>
    <t>20230726 08:09:26</t>
  </si>
  <si>
    <t>08:09:26</t>
  </si>
  <si>
    <t>20230726 08:09:36</t>
  </si>
  <si>
    <t>08:09:36</t>
  </si>
  <si>
    <t>20230726 08:09:46</t>
  </si>
  <si>
    <t>08:09:46</t>
  </si>
  <si>
    <t>20230726 08:09:56</t>
  </si>
  <si>
    <t>08:09:56</t>
  </si>
  <si>
    <t>20230726 08:10:06</t>
  </si>
  <si>
    <t>08:10:06</t>
  </si>
  <si>
    <t>20230726 08:10:16</t>
  </si>
  <si>
    <t>08:10:16</t>
  </si>
  <si>
    <t>20230726 08:10:26</t>
  </si>
  <si>
    <t>08:10:26</t>
  </si>
  <si>
    <t>20230726 08:10:36</t>
  </si>
  <si>
    <t>08:10:36</t>
  </si>
  <si>
    <t>20230726 08:10:46</t>
  </si>
  <si>
    <t>08:10:46</t>
  </si>
  <si>
    <t>20230726 08:10:56</t>
  </si>
  <si>
    <t>08:10:56</t>
  </si>
  <si>
    <t>20230726 08:11:06</t>
  </si>
  <si>
    <t>08:11:06</t>
  </si>
  <si>
    <t>20230726 08:11:16</t>
  </si>
  <si>
    <t>08:11:16</t>
  </si>
  <si>
    <t>20230726 08:11:26</t>
  </si>
  <si>
    <t>08:11:26</t>
  </si>
  <si>
    <t>20230726 08:11:36</t>
  </si>
  <si>
    <t>08:11:36</t>
  </si>
  <si>
    <t>20230726 08:11:46</t>
  </si>
  <si>
    <t>08:11:46</t>
  </si>
  <si>
    <t>20230726 08:11:56</t>
  </si>
  <si>
    <t>08:11:56</t>
  </si>
  <si>
    <t>20230726 08:12:06</t>
  </si>
  <si>
    <t>08:12:06</t>
  </si>
  <si>
    <t>20230726 08:12:16</t>
  </si>
  <si>
    <t>08:12:16</t>
  </si>
  <si>
    <t>20230726 08:12:26</t>
  </si>
  <si>
    <t>08:12:26</t>
  </si>
  <si>
    <t>20230726 08:12:36</t>
  </si>
  <si>
    <t>08:12:36</t>
  </si>
  <si>
    <t>20230726 08:12:46</t>
  </si>
  <si>
    <t>08:12:46</t>
  </si>
  <si>
    <t>20230726 08:12:56</t>
  </si>
  <si>
    <t>08:12:56</t>
  </si>
  <si>
    <t>20230726 08:13:06</t>
  </si>
  <si>
    <t>08:13:06</t>
  </si>
  <si>
    <t>20230726 08:13:16</t>
  </si>
  <si>
    <t>08:13:16</t>
  </si>
  <si>
    <t>20230726 08:13:26</t>
  </si>
  <si>
    <t>08:13:26</t>
  </si>
  <si>
    <t>20230726 08:13:36</t>
  </si>
  <si>
    <t>08:13:36</t>
  </si>
  <si>
    <t>20230726 08:13:46</t>
  </si>
  <si>
    <t>08:13:46</t>
  </si>
  <si>
    <t>20230726 08:13:56</t>
  </si>
  <si>
    <t>08:13:56</t>
  </si>
  <si>
    <t>20230726 08:14:06</t>
  </si>
  <si>
    <t>08:14:06</t>
  </si>
  <si>
    <t>20230726 08:14:16</t>
  </si>
  <si>
    <t>08:14:16</t>
  </si>
  <si>
    <t>20230726 08:14:26</t>
  </si>
  <si>
    <t>08:14:26</t>
  </si>
  <si>
    <t>20230726 08:14:36</t>
  </si>
  <si>
    <t>08:14:36</t>
  </si>
  <si>
    <t>20230726 08:14:46</t>
  </si>
  <si>
    <t>08:14:46</t>
  </si>
  <si>
    <t>20230726 08:14:56</t>
  </si>
  <si>
    <t>08:14:56</t>
  </si>
  <si>
    <t>20230726 08:15:06</t>
  </si>
  <si>
    <t>08:15:06</t>
  </si>
  <si>
    <t>20230726 08:15:16</t>
  </si>
  <si>
    <t>08:15:16</t>
  </si>
  <si>
    <t>20230726 08:15:26</t>
  </si>
  <si>
    <t>08:15:26</t>
  </si>
  <si>
    <t>20230726 08:15:36</t>
  </si>
  <si>
    <t>08:15:36</t>
  </si>
  <si>
    <t>20230726 08:15:46</t>
  </si>
  <si>
    <t>08:15:46</t>
  </si>
  <si>
    <t>20230726 08:15:56</t>
  </si>
  <si>
    <t>08:15:56</t>
  </si>
  <si>
    <t>20230726 08:16:06</t>
  </si>
  <si>
    <t>08:16:06</t>
  </si>
  <si>
    <t>20230726 08:16:16</t>
  </si>
  <si>
    <t>08:16:16</t>
  </si>
  <si>
    <t>20230726 08:16:26</t>
  </si>
  <si>
    <t>08:16:26</t>
  </si>
  <si>
    <t>20230726 08:16:36</t>
  </si>
  <si>
    <t>08:16:36</t>
  </si>
  <si>
    <t>20230726 08:16:46</t>
  </si>
  <si>
    <t>08:16:46</t>
  </si>
  <si>
    <t>20230726 08:16:56</t>
  </si>
  <si>
    <t>08:16:56</t>
  </si>
  <si>
    <t>20230726 08:17:06</t>
  </si>
  <si>
    <t>08:17:06</t>
  </si>
  <si>
    <t>20230726 08:17:16</t>
  </si>
  <si>
    <t>08:17:16</t>
  </si>
  <si>
    <t>20230726 08:17:26</t>
  </si>
  <si>
    <t>08:17:26</t>
  </si>
  <si>
    <t>20230726 08:17:36</t>
  </si>
  <si>
    <t>08:17:36</t>
  </si>
  <si>
    <t>20230726 08:17:46</t>
  </si>
  <si>
    <t>08:17:46</t>
  </si>
  <si>
    <t>20230726 08:17:56</t>
  </si>
  <si>
    <t>08:17:56</t>
  </si>
  <si>
    <t>20230726 08:18:06</t>
  </si>
  <si>
    <t>08:18:06</t>
  </si>
  <si>
    <t>20230726 08:18:16</t>
  </si>
  <si>
    <t>08:18:16</t>
  </si>
  <si>
    <t>20230726 08:18:26</t>
  </si>
  <si>
    <t>08:18:26</t>
  </si>
  <si>
    <t>20230726 08:18:36</t>
  </si>
  <si>
    <t>08:18:36</t>
  </si>
  <si>
    <t>20230726 08:18:46</t>
  </si>
  <si>
    <t>08:18:46</t>
  </si>
  <si>
    <t>20230726 08:18:56</t>
  </si>
  <si>
    <t>08:18:56</t>
  </si>
  <si>
    <t>20230726 08:19:06</t>
  </si>
  <si>
    <t>08:19:06</t>
  </si>
  <si>
    <t>20230726 08:19:16</t>
  </si>
  <si>
    <t>08:19:16</t>
  </si>
  <si>
    <t>20230726 08:19:26</t>
  </si>
  <si>
    <t>08:19:26</t>
  </si>
  <si>
    <t>20230726 08:19:36</t>
  </si>
  <si>
    <t>08:19:36</t>
  </si>
  <si>
    <t>20230726 08:19:46</t>
  </si>
  <si>
    <t>08:19:46</t>
  </si>
  <si>
    <t>20230726 08:19:56</t>
  </si>
  <si>
    <t>08:19:56</t>
  </si>
  <si>
    <t>20230726 08:20:06</t>
  </si>
  <si>
    <t>08:20:06</t>
  </si>
  <si>
    <t>20230726 08:20:16</t>
  </si>
  <si>
    <t>08:20:16</t>
  </si>
  <si>
    <t>20230726 08:20:26</t>
  </si>
  <si>
    <t>08:20:26</t>
  </si>
  <si>
    <t>20230726 08:20:36</t>
  </si>
  <si>
    <t>08:20:36</t>
  </si>
  <si>
    <t>20230726 08:20:46</t>
  </si>
  <si>
    <t>08:20:46</t>
  </si>
  <si>
    <t>20230726 08:20:56</t>
  </si>
  <si>
    <t>08:20:56</t>
  </si>
  <si>
    <t>20230726 08:21:06</t>
  </si>
  <si>
    <t>08:21:06</t>
  </si>
  <si>
    <t>20230726 08:21:16</t>
  </si>
  <si>
    <t>08:21:16</t>
  </si>
  <si>
    <t>20230726 08:21:26</t>
  </si>
  <si>
    <t>08:21:26</t>
  </si>
  <si>
    <t>20230726 08:21:36</t>
  </si>
  <si>
    <t>08:21:36</t>
  </si>
  <si>
    <t>20230726 08:21:46</t>
  </si>
  <si>
    <t>08:21:46</t>
  </si>
  <si>
    <t>20230726 08:21:56</t>
  </si>
  <si>
    <t>08:21:56</t>
  </si>
  <si>
    <t>20230726 08:22:06</t>
  </si>
  <si>
    <t>08:22:06</t>
  </si>
  <si>
    <t>20230726 08:22:16</t>
  </si>
  <si>
    <t>08:22:16</t>
  </si>
  <si>
    <t>20230726 08:22:26</t>
  </si>
  <si>
    <t>08:22:26</t>
  </si>
  <si>
    <t>20230726 08:22:36</t>
  </si>
  <si>
    <t>08:22:36</t>
  </si>
  <si>
    <t>20230726 08:22:46</t>
  </si>
  <si>
    <t>08:22:46</t>
  </si>
  <si>
    <t>20230726 08:22:56</t>
  </si>
  <si>
    <t>08:22:56</t>
  </si>
  <si>
    <t>20230726 08:23:06</t>
  </si>
  <si>
    <t>08:23:06</t>
  </si>
  <si>
    <t>20230726 08:23:16</t>
  </si>
  <si>
    <t>08:23:16</t>
  </si>
  <si>
    <t>20230726 08:23:26</t>
  </si>
  <si>
    <t>08:23:26</t>
  </si>
  <si>
    <t>20230726 08:23:36</t>
  </si>
  <si>
    <t>08:23:36</t>
  </si>
  <si>
    <t>20230726 08:23:46</t>
  </si>
  <si>
    <t>08:23:46</t>
  </si>
  <si>
    <t>20230726 08:23:56</t>
  </si>
  <si>
    <t>08:23:56</t>
  </si>
  <si>
    <t>20230726 08:24:06</t>
  </si>
  <si>
    <t>08:24:06</t>
  </si>
  <si>
    <t>20230726 08:24:16</t>
  </si>
  <si>
    <t>08:24:16</t>
  </si>
  <si>
    <t>20230726 08:24:26</t>
  </si>
  <si>
    <t>08:24:26</t>
  </si>
  <si>
    <t>20230726 08:24:36</t>
  </si>
  <si>
    <t>08:24:36</t>
  </si>
  <si>
    <t>20230726 08:24:46</t>
  </si>
  <si>
    <t>08:24:46</t>
  </si>
  <si>
    <t>20230726 08:24:56</t>
  </si>
  <si>
    <t>08:24:56</t>
  </si>
  <si>
    <t>20230726 08:25:06</t>
  </si>
  <si>
    <t>08:25:06</t>
  </si>
  <si>
    <t>20230726 08:25:16</t>
  </si>
  <si>
    <t>08:25:16</t>
  </si>
  <si>
    <t>20230726 08:25:26</t>
  </si>
  <si>
    <t>08:25:26</t>
  </si>
  <si>
    <t>20230726 08:25:36</t>
  </si>
  <si>
    <t>08:25:36</t>
  </si>
  <si>
    <t>20230726 08:25:46</t>
  </si>
  <si>
    <t>08:25:46</t>
  </si>
  <si>
    <t>20230726 08:25:56</t>
  </si>
  <si>
    <t>08:25:56</t>
  </si>
  <si>
    <t>20230726 08:26:06</t>
  </si>
  <si>
    <t>08:26:06</t>
  </si>
  <si>
    <t>20230726 08:26:16</t>
  </si>
  <si>
    <t>08:26:16</t>
  </si>
  <si>
    <t>20230726 08:26:26</t>
  </si>
  <si>
    <t>08:26:26</t>
  </si>
  <si>
    <t>20230726 08:26:36</t>
  </si>
  <si>
    <t>08:26:36</t>
  </si>
  <si>
    <t>20230726 08:26:46</t>
  </si>
  <si>
    <t>08:26:46</t>
  </si>
  <si>
    <t>20230726 08:26:56</t>
  </si>
  <si>
    <t>08:26:56</t>
  </si>
  <si>
    <t>20230726 08:27:06</t>
  </si>
  <si>
    <t>08:27:06</t>
  </si>
  <si>
    <t>20230726 08:27:16</t>
  </si>
  <si>
    <t>08:27:16</t>
  </si>
  <si>
    <t>20230726 08:27:26</t>
  </si>
  <si>
    <t>08:27:26</t>
  </si>
  <si>
    <t>20230726 08:27:36</t>
  </si>
  <si>
    <t>08:27:36</t>
  </si>
  <si>
    <t>20230726 08:27:46</t>
  </si>
  <si>
    <t>08:27:46</t>
  </si>
  <si>
    <t>20230726 08:27:56</t>
  </si>
  <si>
    <t>08:27:56</t>
  </si>
  <si>
    <t>20230726 08:28:06</t>
  </si>
  <si>
    <t>08:28:06</t>
  </si>
  <si>
    <t>20230726 08:28:16</t>
  </si>
  <si>
    <t>08:28:16</t>
  </si>
  <si>
    <t>20230726 08:28:26</t>
  </si>
  <si>
    <t>08:28:26</t>
  </si>
  <si>
    <t>20230726 08:28:36</t>
  </si>
  <si>
    <t>08:28:36</t>
  </si>
  <si>
    <t>20230726 08:28:46</t>
  </si>
  <si>
    <t>08:28:46</t>
  </si>
  <si>
    <t>20230726 08:28:56</t>
  </si>
  <si>
    <t>08:28:56</t>
  </si>
  <si>
    <t>20230726 08:29:06</t>
  </si>
  <si>
    <t>08:29:06</t>
  </si>
  <si>
    <t>20230726 08:29:16</t>
  </si>
  <si>
    <t>08:29:16</t>
  </si>
  <si>
    <t>20230726 08:29:26</t>
  </si>
  <si>
    <t>08:29:26</t>
  </si>
  <si>
    <t>20230726 08:29:36</t>
  </si>
  <si>
    <t>08:29:36</t>
  </si>
  <si>
    <t>20230726 08:29:46</t>
  </si>
  <si>
    <t>08:29:46</t>
  </si>
  <si>
    <t>20230726 08:29:56</t>
  </si>
  <si>
    <t>08:29:56</t>
  </si>
  <si>
    <t>20230726 08:30:06</t>
  </si>
  <si>
    <t>08:30:06</t>
  </si>
  <si>
    <t>20230726 08:30:16</t>
  </si>
  <si>
    <t>08:30:16</t>
  </si>
  <si>
    <t>20230726 08:30:26</t>
  </si>
  <si>
    <t>08:30:26</t>
  </si>
  <si>
    <t>20230726 08:30:36</t>
  </si>
  <si>
    <t>08:30:36</t>
  </si>
  <si>
    <t>20230726 08:30:46</t>
  </si>
  <si>
    <t>08:30:46</t>
  </si>
  <si>
    <t>20230726 08:30:56</t>
  </si>
  <si>
    <t>08:30:56</t>
  </si>
  <si>
    <t>20230726 08:31:06</t>
  </si>
  <si>
    <t>08:31:06</t>
  </si>
  <si>
    <t>20230726 08:31:16</t>
  </si>
  <si>
    <t>08:31:16</t>
  </si>
  <si>
    <t>20230726 08:31:26</t>
  </si>
  <si>
    <t>08:31:26</t>
  </si>
  <si>
    <t>20230726 08:31:36</t>
  </si>
  <si>
    <t>08:31:36</t>
  </si>
  <si>
    <t>20230726 08:31:46</t>
  </si>
  <si>
    <t>08:31:46</t>
  </si>
  <si>
    <t>20230726 08:31:56</t>
  </si>
  <si>
    <t>08:31:56</t>
  </si>
  <si>
    <t>20230726 08:32:06</t>
  </si>
  <si>
    <t>08:32:06</t>
  </si>
  <si>
    <t>20230726 08:32:16</t>
  </si>
  <si>
    <t>08:32:16</t>
  </si>
  <si>
    <t>20230726 08:32:26</t>
  </si>
  <si>
    <t>08:32:26</t>
  </si>
  <si>
    <t>20230726 08:32:36</t>
  </si>
  <si>
    <t>08:32:36</t>
  </si>
  <si>
    <t>20230726 08:32:46</t>
  </si>
  <si>
    <t>08:32:46</t>
  </si>
  <si>
    <t>20230726 08:32:56</t>
  </si>
  <si>
    <t>08:32:56</t>
  </si>
  <si>
    <t>20230726 08:33:06</t>
  </si>
  <si>
    <t>08:33:06</t>
  </si>
  <si>
    <t>20230726 08:33:16</t>
  </si>
  <si>
    <t>08:33:16</t>
  </si>
  <si>
    <t>20230726 08:33:26</t>
  </si>
  <si>
    <t>08:33:26</t>
  </si>
  <si>
    <t>20230726 08:33:36</t>
  </si>
  <si>
    <t>08:33:36</t>
  </si>
  <si>
    <t>20230726 08:33:46</t>
  </si>
  <si>
    <t>08:33:46</t>
  </si>
  <si>
    <t>20230726 08:33:56</t>
  </si>
  <si>
    <t>08:33:56</t>
  </si>
  <si>
    <t>20230726 08:34:06</t>
  </si>
  <si>
    <t>08:34:06</t>
  </si>
  <si>
    <t>20230726 08:34:16</t>
  </si>
  <si>
    <t>08:34:16</t>
  </si>
  <si>
    <t>20230726 08:34:26</t>
  </si>
  <si>
    <t>08:34:26</t>
  </si>
  <si>
    <t>20230726 08:34:36</t>
  </si>
  <si>
    <t>08:34:36</t>
  </si>
  <si>
    <t>20230726 08:34:46</t>
  </si>
  <si>
    <t>08:34:46</t>
  </si>
  <si>
    <t>20230726 08:34:56</t>
  </si>
  <si>
    <t>08:34:56</t>
  </si>
  <si>
    <t>20230726 08:35:06</t>
  </si>
  <si>
    <t>08:35:06</t>
  </si>
  <si>
    <t>20230726 08:35:16</t>
  </si>
  <si>
    <t>08:35:16</t>
  </si>
  <si>
    <t>20230726 08:35:26</t>
  </si>
  <si>
    <t>08:35:26</t>
  </si>
  <si>
    <t>20230726 08:35:36</t>
  </si>
  <si>
    <t>08:35:36</t>
  </si>
  <si>
    <t>20230726 08:35:46</t>
  </si>
  <si>
    <t>08:35:46</t>
  </si>
  <si>
    <t>20230726 08:35:56</t>
  </si>
  <si>
    <t>08:35:56</t>
  </si>
  <si>
    <t>20230726 08:36:06</t>
  </si>
  <si>
    <t>08:36:06</t>
  </si>
  <si>
    <t>20230726 08:36:16</t>
  </si>
  <si>
    <t>08:36:16</t>
  </si>
  <si>
    <t>20230726 08:36:26</t>
  </si>
  <si>
    <t>08:36:26</t>
  </si>
  <si>
    <t>20230726 08:36:36</t>
  </si>
  <si>
    <t>08:36:36</t>
  </si>
  <si>
    <t>20230726 08:36:46</t>
  </si>
  <si>
    <t>08:36:46</t>
  </si>
  <si>
    <t>20230726 08:36:56</t>
  </si>
  <si>
    <t>08:36:56</t>
  </si>
  <si>
    <t>20230726 08:37:06</t>
  </si>
  <si>
    <t>08:37:06</t>
  </si>
  <si>
    <t>20230726 08:37:16</t>
  </si>
  <si>
    <t>08:37:16</t>
  </si>
  <si>
    <t>20230726 08:37:26</t>
  </si>
  <si>
    <t>08:37:26</t>
  </si>
  <si>
    <t>20230726 08:37:36</t>
  </si>
  <si>
    <t>08:37:36</t>
  </si>
  <si>
    <t>20230726 08:37:46</t>
  </si>
  <si>
    <t>08:37:46</t>
  </si>
  <si>
    <t>20230726 08:37:56</t>
  </si>
  <si>
    <t>08:37:56</t>
  </si>
  <si>
    <t>20230726 08:38:06</t>
  </si>
  <si>
    <t>08:38:06</t>
  </si>
  <si>
    <t>20230726 08:38:16</t>
  </si>
  <si>
    <t>08:38:16</t>
  </si>
  <si>
    <t>20230726 08:38:26</t>
  </si>
  <si>
    <t>08:38:26</t>
  </si>
  <si>
    <t>20230726 08:38:36</t>
  </si>
  <si>
    <t>08:38:36</t>
  </si>
  <si>
    <t>20230726 08:38:46</t>
  </si>
  <si>
    <t>08:38:46</t>
  </si>
  <si>
    <t>20230726 08:38:56</t>
  </si>
  <si>
    <t>08:38:56</t>
  </si>
  <si>
    <t>20230726 08:39:06</t>
  </si>
  <si>
    <t>08:39:06</t>
  </si>
  <si>
    <t>20230726 08:39:16</t>
  </si>
  <si>
    <t>08:39:16</t>
  </si>
  <si>
    <t>20230726 08:39:26</t>
  </si>
  <si>
    <t>08:39:26</t>
  </si>
  <si>
    <t>20230726 08:39:36</t>
  </si>
  <si>
    <t>08:39:36</t>
  </si>
  <si>
    <t>20230726 08:39:46</t>
  </si>
  <si>
    <t>08:39:46</t>
  </si>
  <si>
    <t>20230726 08:39:56</t>
  </si>
  <si>
    <t>08:39:56</t>
  </si>
  <si>
    <t>20230726 08:40:06</t>
  </si>
  <si>
    <t>08:40:06</t>
  </si>
  <si>
    <t>20230726 08:40:16</t>
  </si>
  <si>
    <t>08:40:16</t>
  </si>
  <si>
    <t>20230726 08:40:26</t>
  </si>
  <si>
    <t>08:40:26</t>
  </si>
  <si>
    <t>20230726 08:40:36</t>
  </si>
  <si>
    <t>08:40:36</t>
  </si>
  <si>
    <t>20230726 08:40:46</t>
  </si>
  <si>
    <t>08:40:46</t>
  </si>
  <si>
    <t>20230726 08:40:56</t>
  </si>
  <si>
    <t>08:40:56</t>
  </si>
  <si>
    <t>20230726 08:41:06</t>
  </si>
  <si>
    <t>08:41:06</t>
  </si>
  <si>
    <t>20230726 08:41:16</t>
  </si>
  <si>
    <t>08:41:16</t>
  </si>
  <si>
    <t>20230726 08:41:26</t>
  </si>
  <si>
    <t>08:41:26</t>
  </si>
  <si>
    <t>20230726 08:41:36</t>
  </si>
  <si>
    <t>08:41:36</t>
  </si>
  <si>
    <t>20230726 08:41:46</t>
  </si>
  <si>
    <t>08:41:46</t>
  </si>
  <si>
    <t>20230726 08:41:56</t>
  </si>
  <si>
    <t>08:41:56</t>
  </si>
  <si>
    <t>20230726 08:42:06</t>
  </si>
  <si>
    <t>08:42:06</t>
  </si>
  <si>
    <t>20230726 08:42:16</t>
  </si>
  <si>
    <t>08:42:16</t>
  </si>
  <si>
    <t>20230726 08:42:26</t>
  </si>
  <si>
    <t>08:42:26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</si>
</sst>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35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1690376716.5</v>
      </c>
      <c r="C17">
        <v>0</v>
      </c>
      <c r="D17" t="s">
        <v>328</v>
      </c>
      <c r="E17" t="s">
        <v>329</v>
      </c>
      <c r="F17" t="s">
        <v>330</v>
      </c>
      <c r="H17">
        <v>1690376716.5</v>
      </c>
      <c r="I17">
        <f t="shared" ref="I17:I80" si="0">(J17)/1000</f>
        <v>1.6232951831830018E-4</v>
      </c>
      <c r="J17">
        <f t="shared" ref="J17:J80" si="1">1000*AZ17*AH17*(AV17-AW17)/(100*AO17*(1000-AH17*AV17))</f>
        <v>0.16232951831830017</v>
      </c>
      <c r="K17">
        <f t="shared" ref="K17:K80" si="2">AZ17*AH17*(AU17-AT17*(1000-AH17*AW17)/(1000-AH17*AV17))/(100*AO17)</f>
        <v>-1.066994486802715</v>
      </c>
      <c r="L17">
        <f t="shared" ref="L17:L80" si="3">AT17 - IF(AH17&gt;1, K17*AO17*100/(AJ17*BH17), 0)</f>
        <v>810.69299999999998</v>
      </c>
      <c r="M17">
        <f t="shared" ref="M17:M80" si="4">((S17-I17/2)*L17-K17)/(S17+I17/2)</f>
        <v>924.19182225297891</v>
      </c>
      <c r="N17">
        <f t="shared" ref="N17:N80" si="5">M17*(BA17+BB17)/1000</f>
        <v>91.275970804048285</v>
      </c>
      <c r="O17">
        <f t="shared" ref="O17:O80" si="6">(AT17 - IF(AH17&gt;1, K17*AO17*100/(AJ17*BH17), 0))*(BA17+BB17)/1000</f>
        <v>80.066484919394995</v>
      </c>
      <c r="P17">
        <f t="shared" ref="P17:P80" si="7">2/((1/R17-1/Q17)+SIGN(R17)*SQRT((1/R17-1/Q17)*(1/R17-1/Q17) + 4*AP17/((AP17+1)*(AP17+1))*(2*1/R17*1/Q17-1/Q17*1/Q17)))</f>
        <v>1.3096982564284184E-2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2.0068449068550325</v>
      </c>
      <c r="R17">
        <f t="shared" ref="R17:R80" si="9">I17*(1000-(1000*0.61365*EXP(17.502*V17/(240.97+V17))/(BA17+BB17)+AV17)/2)/(1000*0.61365*EXP(17.502*V17/(240.97+V17))/(BA17+BB17)-AV17)</f>
        <v>1.3049682768423259E-2</v>
      </c>
      <c r="S17">
        <f t="shared" ref="S17:S80" si="10">1/((AP17+1)/(P17/1.6)+1/(Q17/1.37)) + AP17/((AP17+1)/(P17/1.6) + AP17/(Q17/1.37))</f>
        <v>8.160287125899033E-3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26.752647326413179</v>
      </c>
      <c r="V17">
        <f t="shared" ref="V17:V80" si="13">($C$7*BD17+$D$7*BE17+$E$7*U17)</f>
        <v>26.752647326413179</v>
      </c>
      <c r="W17">
        <f t="shared" ref="W17:W80" si="14">0.61365*EXP(17.502*V17/(240.97+V17))</f>
        <v>3.5274914929313823</v>
      </c>
      <c r="X17">
        <f t="shared" ref="X17:X80" si="15">(Y17/Z17*100)</f>
        <v>65.973643553362166</v>
      </c>
      <c r="Y17">
        <f t="shared" ref="Y17:Y80" si="16">AV17*(BA17+BB17)/1000</f>
        <v>2.3354095104989998</v>
      </c>
      <c r="Z17">
        <f t="shared" ref="Z17:Z80" si="17">0.61365*EXP(17.502*BC17/(240.97+BC17))</f>
        <v>3.5399128875003329</v>
      </c>
      <c r="AA17">
        <f t="shared" ref="AA17:AA80" si="18">(W17-AV17*(BA17+BB17)/1000)</f>
        <v>1.1920819824323825</v>
      </c>
      <c r="AB17">
        <f t="shared" ref="AB17:AB80" si="19">(-I17*44100)</f>
        <v>-7.158731757837038</v>
      </c>
      <c r="AC17">
        <f t="shared" ref="AC17:AC80" si="20">2*29.3*Q17*0.92*(BC17-V17)</f>
        <v>6.4648223648869649</v>
      </c>
      <c r="AD17">
        <f t="shared" ref="AD17:AD80" si="21">2*0.95*0.0000000567*(((BC17+$B$7)+273)^4-(V17+273)^4)</f>
        <v>0.69370197608204509</v>
      </c>
      <c r="AE17">
        <f t="shared" ref="AE17:AE80" si="22">T17+AD17+AB17+AC17</f>
        <v>-2.0741686802772108E-4</v>
      </c>
      <c r="AF17">
        <v>17</v>
      </c>
      <c r="AG17">
        <v>6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52174.706620755453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34.5</v>
      </c>
      <c r="AP17">
        <v>0.5</v>
      </c>
      <c r="AQ17" t="s">
        <v>331</v>
      </c>
      <c r="AR17">
        <v>2</v>
      </c>
      <c r="AS17">
        <v>1690376716.5</v>
      </c>
      <c r="AT17">
        <v>810.69299999999998</v>
      </c>
      <c r="AU17">
        <v>799.93799999999999</v>
      </c>
      <c r="AV17">
        <v>23.646599999999999</v>
      </c>
      <c r="AW17">
        <v>21.824300000000001</v>
      </c>
      <c r="AX17">
        <v>811.40200000000004</v>
      </c>
      <c r="AY17">
        <v>23.435400000000001</v>
      </c>
      <c r="AZ17">
        <v>300.05700000000002</v>
      </c>
      <c r="BA17">
        <v>98.662999999999997</v>
      </c>
      <c r="BB17">
        <v>0.10001500000000001</v>
      </c>
      <c r="BC17">
        <v>26.8124</v>
      </c>
      <c r="BD17">
        <v>27.0032</v>
      </c>
      <c r="BE17">
        <v>26.779299999999999</v>
      </c>
      <c r="BF17">
        <v>0</v>
      </c>
      <c r="BG17">
        <v>0</v>
      </c>
      <c r="BH17">
        <v>9994.3799999999992</v>
      </c>
      <c r="BI17">
        <v>0.70784999999999998</v>
      </c>
      <c r="BJ17">
        <v>1.16618</v>
      </c>
      <c r="BK17">
        <v>10.754899999999999</v>
      </c>
      <c r="BL17">
        <v>830.327</v>
      </c>
      <c r="BM17">
        <v>817.78499999999997</v>
      </c>
      <c r="BN17">
        <v>1.8223</v>
      </c>
      <c r="BO17">
        <v>799.93799999999999</v>
      </c>
      <c r="BP17">
        <v>21.824300000000001</v>
      </c>
      <c r="BQ17">
        <v>2.33304</v>
      </c>
      <c r="BR17">
        <v>2.1532499999999999</v>
      </c>
      <c r="BS17">
        <v>19.906400000000001</v>
      </c>
      <c r="BT17">
        <v>18.618600000000001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25</v>
      </c>
      <c r="CA17">
        <v>0</v>
      </c>
      <c r="CB17">
        <v>1690376213.5999999</v>
      </c>
      <c r="CC17" t="s">
        <v>332</v>
      </c>
      <c r="CD17">
        <v>1690376213.5999999</v>
      </c>
      <c r="CE17">
        <v>1690376198.0999999</v>
      </c>
      <c r="CF17">
        <v>2</v>
      </c>
      <c r="CG17">
        <v>0.66900000000000004</v>
      </c>
      <c r="CH17">
        <v>-2.1000000000000001E-2</v>
      </c>
      <c r="CI17">
        <v>-0.70099999999999996</v>
      </c>
      <c r="CJ17">
        <v>0.21099999999999999</v>
      </c>
      <c r="CK17">
        <v>799</v>
      </c>
      <c r="CL17">
        <v>21</v>
      </c>
      <c r="CM17">
        <v>0.11</v>
      </c>
      <c r="CN17">
        <v>0.17</v>
      </c>
      <c r="CO17">
        <v>10.67976</v>
      </c>
      <c r="CP17">
        <v>-0.1148915572232658</v>
      </c>
      <c r="CQ17">
        <v>3.5802840669421729E-2</v>
      </c>
      <c r="CR17">
        <v>-1</v>
      </c>
      <c r="CS17">
        <v>1.8238455</v>
      </c>
      <c r="CT17">
        <v>8.4276923076885175E-3</v>
      </c>
      <c r="CU17">
        <v>1.2211264267060931E-3</v>
      </c>
      <c r="CV17">
        <v>-1</v>
      </c>
      <c r="CW17">
        <v>0</v>
      </c>
      <c r="CX17">
        <v>0</v>
      </c>
      <c r="CY17" t="s">
        <v>333</v>
      </c>
      <c r="CZ17">
        <v>2.36483</v>
      </c>
      <c r="DA17">
        <v>2.7138</v>
      </c>
      <c r="DB17">
        <v>0.14777100000000001</v>
      </c>
      <c r="DC17">
        <v>0.146041</v>
      </c>
      <c r="DD17">
        <v>0.11236500000000001</v>
      </c>
      <c r="DE17">
        <v>0.104716</v>
      </c>
      <c r="DF17">
        <v>31132.799999999999</v>
      </c>
      <c r="DG17">
        <v>27517.200000000001</v>
      </c>
      <c r="DH17">
        <v>31183.7</v>
      </c>
      <c r="DI17">
        <v>28074.9</v>
      </c>
      <c r="DJ17">
        <v>37577.1</v>
      </c>
      <c r="DK17">
        <v>35724.800000000003</v>
      </c>
      <c r="DL17">
        <v>44375.4</v>
      </c>
      <c r="DM17">
        <v>42535.3</v>
      </c>
      <c r="DN17">
        <v>1.42967</v>
      </c>
      <c r="DO17">
        <v>2.0883699999999998</v>
      </c>
      <c r="DP17">
        <v>9.1001399999999996E-2</v>
      </c>
      <c r="DQ17">
        <v>7.1264800000000003E-2</v>
      </c>
      <c r="DR17">
        <v>25.513200000000001</v>
      </c>
      <c r="DS17">
        <v>25.612300000000001</v>
      </c>
      <c r="DT17">
        <v>61.5</v>
      </c>
      <c r="DU17">
        <v>26.5</v>
      </c>
      <c r="DV17">
        <v>21.659600000000001</v>
      </c>
      <c r="DW17">
        <v>61.790100000000002</v>
      </c>
      <c r="DX17">
        <v>36.770800000000001</v>
      </c>
      <c r="DY17">
        <v>1</v>
      </c>
      <c r="DZ17">
        <v>-0.14798800000000001</v>
      </c>
      <c r="EA17">
        <v>-1.7827599999999999</v>
      </c>
      <c r="EB17">
        <v>20.2944</v>
      </c>
      <c r="EC17">
        <v>5.2411000000000003</v>
      </c>
      <c r="ED17">
        <v>12.039899999999999</v>
      </c>
      <c r="EE17">
        <v>5.0170500000000002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1.86877</v>
      </c>
      <c r="EL17">
        <v>1.8644700000000001</v>
      </c>
      <c r="EM17">
        <v>1.86907</v>
      </c>
      <c r="EN17">
        <v>1.8671</v>
      </c>
      <c r="EO17">
        <v>1.8632500000000001</v>
      </c>
      <c r="EP17">
        <v>1.86429</v>
      </c>
      <c r="EQ17">
        <v>1.8701000000000001</v>
      </c>
      <c r="ER17">
        <v>1.8693299999999999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-0.70899999999999996</v>
      </c>
      <c r="FG17">
        <v>0.2112</v>
      </c>
      <c r="FH17">
        <v>-0.150361779349652</v>
      </c>
      <c r="FI17">
        <v>-6.1462078757559423E-4</v>
      </c>
      <c r="FJ17">
        <v>-1.8861989874597051E-7</v>
      </c>
      <c r="FK17">
        <v>1.1980462299894961E-10</v>
      </c>
      <c r="FL17">
        <v>0.21114761904761539</v>
      </c>
      <c r="FM17">
        <v>0</v>
      </c>
      <c r="FN17">
        <v>0</v>
      </c>
      <c r="FO17">
        <v>0</v>
      </c>
      <c r="FP17">
        <v>3</v>
      </c>
      <c r="FQ17">
        <v>2158</v>
      </c>
      <c r="FR17">
        <v>1</v>
      </c>
      <c r="FS17">
        <v>19</v>
      </c>
      <c r="FT17">
        <v>8.4</v>
      </c>
      <c r="FU17">
        <v>8.6</v>
      </c>
      <c r="FV17">
        <v>1.79565</v>
      </c>
      <c r="FW17">
        <v>2.5695800000000002</v>
      </c>
      <c r="FX17">
        <v>1.5490699999999999</v>
      </c>
      <c r="FY17">
        <v>2.33887</v>
      </c>
      <c r="FZ17">
        <v>1.50146</v>
      </c>
      <c r="GA17">
        <v>2.35107</v>
      </c>
      <c r="GB17">
        <v>31.564299999999999</v>
      </c>
      <c r="GC17">
        <v>24.026199999999999</v>
      </c>
      <c r="GD17">
        <v>19</v>
      </c>
      <c r="GE17">
        <v>260.649</v>
      </c>
      <c r="GF17">
        <v>618.33299999999997</v>
      </c>
      <c r="GG17">
        <v>28.829599999999999</v>
      </c>
      <c r="GH17">
        <v>25.5762</v>
      </c>
      <c r="GI17">
        <v>30.0001</v>
      </c>
      <c r="GJ17">
        <v>25.633199999999999</v>
      </c>
      <c r="GK17">
        <v>25.595700000000001</v>
      </c>
      <c r="GL17">
        <v>35.908499999999997</v>
      </c>
      <c r="GM17">
        <v>0</v>
      </c>
      <c r="GN17">
        <v>100</v>
      </c>
      <c r="GO17">
        <v>28.821400000000001</v>
      </c>
      <c r="GP17">
        <v>800</v>
      </c>
      <c r="GQ17">
        <v>24.436399999999999</v>
      </c>
      <c r="GR17">
        <v>99.771900000000002</v>
      </c>
      <c r="GS17">
        <v>99.520300000000006</v>
      </c>
    </row>
    <row r="18" spans="1:201" x14ac:dyDescent="0.25">
      <c r="A18">
        <v>2</v>
      </c>
      <c r="B18">
        <v>1690376717.5</v>
      </c>
      <c r="C18">
        <v>1</v>
      </c>
      <c r="D18" t="s">
        <v>337</v>
      </c>
      <c r="E18" t="s">
        <v>338</v>
      </c>
      <c r="F18" t="s">
        <v>330</v>
      </c>
      <c r="H18">
        <v>1690376717.5</v>
      </c>
      <c r="I18">
        <f t="shared" si="0"/>
        <v>1.6230943507956699E-4</v>
      </c>
      <c r="J18">
        <f t="shared" si="1"/>
        <v>0.16230943507956699</v>
      </c>
      <c r="K18">
        <f t="shared" si="2"/>
        <v>-1.0660417367001691</v>
      </c>
      <c r="L18">
        <f t="shared" si="3"/>
        <v>810.7</v>
      </c>
      <c r="M18">
        <f t="shared" si="4"/>
        <v>924.08879225088026</v>
      </c>
      <c r="N18">
        <f t="shared" si="5"/>
        <v>91.265838590169921</v>
      </c>
      <c r="O18">
        <f t="shared" si="6"/>
        <v>80.067214282329999</v>
      </c>
      <c r="P18">
        <f t="shared" si="7"/>
        <v>1.3096556125877895E-2</v>
      </c>
      <c r="Q18">
        <f t="shared" si="8"/>
        <v>2.0071077413078693</v>
      </c>
      <c r="R18">
        <f t="shared" si="9"/>
        <v>1.3049265573578351E-2</v>
      </c>
      <c r="S18">
        <f t="shared" si="10"/>
        <v>8.1600255537309062E-3</v>
      </c>
      <c r="T18">
        <f t="shared" si="11"/>
        <v>0</v>
      </c>
      <c r="U18">
        <f t="shared" si="12"/>
        <v>26.751661726489914</v>
      </c>
      <c r="V18">
        <f t="shared" si="13"/>
        <v>26.751661726489914</v>
      </c>
      <c r="W18">
        <f t="shared" si="14"/>
        <v>3.5272869256953596</v>
      </c>
      <c r="X18">
        <f t="shared" si="15"/>
        <v>65.974765089638112</v>
      </c>
      <c r="Y18">
        <f t="shared" si="16"/>
        <v>2.3353118564626403</v>
      </c>
      <c r="Z18">
        <f t="shared" si="17"/>
        <v>3.539704693589611</v>
      </c>
      <c r="AA18">
        <f t="shared" si="18"/>
        <v>1.1919750692327193</v>
      </c>
      <c r="AB18">
        <f t="shared" si="19"/>
        <v>-7.1578460870089042</v>
      </c>
      <c r="AC18">
        <f t="shared" si="20"/>
        <v>6.4641108642738931</v>
      </c>
      <c r="AD18">
        <f t="shared" si="21"/>
        <v>0.69352790720391011</v>
      </c>
      <c r="AE18">
        <f t="shared" si="22"/>
        <v>-2.0731553110131529E-4</v>
      </c>
      <c r="AF18">
        <v>17</v>
      </c>
      <c r="AG18">
        <v>6</v>
      </c>
      <c r="AH18">
        <f t="shared" si="23"/>
        <v>1</v>
      </c>
      <c r="AI18">
        <f t="shared" si="24"/>
        <v>0</v>
      </c>
      <c r="AJ18">
        <f t="shared" si="25"/>
        <v>52187.452473012287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34.5</v>
      </c>
      <c r="AP18">
        <v>0.5</v>
      </c>
      <c r="AQ18" t="s">
        <v>331</v>
      </c>
      <c r="AR18">
        <v>2</v>
      </c>
      <c r="AS18">
        <v>1690376717.5</v>
      </c>
      <c r="AT18">
        <v>810.7</v>
      </c>
      <c r="AU18">
        <v>799.95799999999997</v>
      </c>
      <c r="AV18">
        <v>23.645600000000002</v>
      </c>
      <c r="AW18">
        <v>21.823899999999998</v>
      </c>
      <c r="AX18">
        <v>811.40899999999999</v>
      </c>
      <c r="AY18">
        <v>23.4344</v>
      </c>
      <c r="AZ18">
        <v>300.11900000000003</v>
      </c>
      <c r="BA18">
        <v>98.6631</v>
      </c>
      <c r="BB18">
        <v>9.9961900000000006E-2</v>
      </c>
      <c r="BC18">
        <v>26.811399999999999</v>
      </c>
      <c r="BD18">
        <v>27.002099999999999</v>
      </c>
      <c r="BE18">
        <v>26.778500000000001</v>
      </c>
      <c r="BF18">
        <v>0</v>
      </c>
      <c r="BG18">
        <v>0</v>
      </c>
      <c r="BH18">
        <v>9996.8799999999992</v>
      </c>
      <c r="BI18">
        <v>0.71997199999999995</v>
      </c>
      <c r="BJ18">
        <v>1.1409499999999999</v>
      </c>
      <c r="BK18">
        <v>10.7416</v>
      </c>
      <c r="BL18">
        <v>830.33399999999995</v>
      </c>
      <c r="BM18">
        <v>817.80600000000004</v>
      </c>
      <c r="BN18">
        <v>1.82169</v>
      </c>
      <c r="BO18">
        <v>799.95799999999997</v>
      </c>
      <c r="BP18">
        <v>21.823899999999998</v>
      </c>
      <c r="BQ18">
        <v>2.3329399999999998</v>
      </c>
      <c r="BR18">
        <v>2.1532100000000001</v>
      </c>
      <c r="BS18">
        <v>19.9057</v>
      </c>
      <c r="BT18">
        <v>18.618400000000001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25</v>
      </c>
      <c r="CA18">
        <v>0</v>
      </c>
      <c r="CB18">
        <v>1690376213.5999999</v>
      </c>
      <c r="CC18" t="s">
        <v>332</v>
      </c>
      <c r="CD18">
        <v>1690376213.5999999</v>
      </c>
      <c r="CE18">
        <v>1690376198.0999999</v>
      </c>
      <c r="CF18">
        <v>2</v>
      </c>
      <c r="CG18">
        <v>0.66900000000000004</v>
      </c>
      <c r="CH18">
        <v>-2.1000000000000001E-2</v>
      </c>
      <c r="CI18">
        <v>-0.70099999999999996</v>
      </c>
      <c r="CJ18">
        <v>0.21099999999999999</v>
      </c>
      <c r="CK18">
        <v>799</v>
      </c>
      <c r="CL18">
        <v>21</v>
      </c>
      <c r="CM18">
        <v>0.11</v>
      </c>
      <c r="CN18">
        <v>0.17</v>
      </c>
      <c r="CO18">
        <v>10.683443902439031</v>
      </c>
      <c r="CP18">
        <v>-1.153379790938476E-2</v>
      </c>
      <c r="CQ18">
        <v>3.9020739006018927E-2</v>
      </c>
      <c r="CR18">
        <v>-1</v>
      </c>
      <c r="CS18">
        <v>1.8237636585365851</v>
      </c>
      <c r="CT18">
        <v>6.3154703832790102E-3</v>
      </c>
      <c r="CU18">
        <v>1.250029767640794E-3</v>
      </c>
      <c r="CV18">
        <v>-1</v>
      </c>
      <c r="CW18">
        <v>0</v>
      </c>
      <c r="CX18">
        <v>0</v>
      </c>
      <c r="CY18" t="s">
        <v>333</v>
      </c>
      <c r="CZ18">
        <v>2.36503</v>
      </c>
      <c r="DA18">
        <v>2.7137500000000001</v>
      </c>
      <c r="DB18">
        <v>0.14777199999999999</v>
      </c>
      <c r="DC18">
        <v>0.14604400000000001</v>
      </c>
      <c r="DD18">
        <v>0.112361</v>
      </c>
      <c r="DE18">
        <v>0.104714</v>
      </c>
      <c r="DF18">
        <v>31133</v>
      </c>
      <c r="DG18">
        <v>27517</v>
      </c>
      <c r="DH18">
        <v>31183.8</v>
      </c>
      <c r="DI18">
        <v>28074.9</v>
      </c>
      <c r="DJ18">
        <v>37577.4</v>
      </c>
      <c r="DK18">
        <v>35724.800000000003</v>
      </c>
      <c r="DL18">
        <v>44375.6</v>
      </c>
      <c r="DM18">
        <v>42535.3</v>
      </c>
      <c r="DN18">
        <v>1.4298999999999999</v>
      </c>
      <c r="DO18">
        <v>2.0882999999999998</v>
      </c>
      <c r="DP18">
        <v>9.0934299999999996E-2</v>
      </c>
      <c r="DQ18">
        <v>7.1212600000000001E-2</v>
      </c>
      <c r="DR18">
        <v>25.513200000000001</v>
      </c>
      <c r="DS18">
        <v>25.612300000000001</v>
      </c>
      <c r="DT18">
        <v>61.5</v>
      </c>
      <c r="DU18">
        <v>26.5</v>
      </c>
      <c r="DV18">
        <v>21.6616</v>
      </c>
      <c r="DW18">
        <v>61.330100000000002</v>
      </c>
      <c r="DX18">
        <v>36.570500000000003</v>
      </c>
      <c r="DY18">
        <v>1</v>
      </c>
      <c r="DZ18">
        <v>-0.14798800000000001</v>
      </c>
      <c r="EA18">
        <v>-1.7764</v>
      </c>
      <c r="EB18">
        <v>20.2944</v>
      </c>
      <c r="EC18">
        <v>5.2409499999999998</v>
      </c>
      <c r="ED18">
        <v>12.039899999999999</v>
      </c>
      <c r="EE18">
        <v>5.0169499999999996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1.86876</v>
      </c>
      <c r="EL18">
        <v>1.8644700000000001</v>
      </c>
      <c r="EM18">
        <v>1.8690599999999999</v>
      </c>
      <c r="EN18">
        <v>1.8671</v>
      </c>
      <c r="EO18">
        <v>1.8632500000000001</v>
      </c>
      <c r="EP18">
        <v>1.8642799999999999</v>
      </c>
      <c r="EQ18">
        <v>1.8701000000000001</v>
      </c>
      <c r="ER18">
        <v>1.8693299999999999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-0.70899999999999996</v>
      </c>
      <c r="FG18">
        <v>0.2112</v>
      </c>
      <c r="FH18">
        <v>-0.150361779349652</v>
      </c>
      <c r="FI18">
        <v>-6.1462078757559423E-4</v>
      </c>
      <c r="FJ18">
        <v>-1.8861989874597051E-7</v>
      </c>
      <c r="FK18">
        <v>1.1980462299894961E-10</v>
      </c>
      <c r="FL18">
        <v>0.21114761904761539</v>
      </c>
      <c r="FM18">
        <v>0</v>
      </c>
      <c r="FN18">
        <v>0</v>
      </c>
      <c r="FO18">
        <v>0</v>
      </c>
      <c r="FP18">
        <v>3</v>
      </c>
      <c r="FQ18">
        <v>2158</v>
      </c>
      <c r="FR18">
        <v>1</v>
      </c>
      <c r="FS18">
        <v>19</v>
      </c>
      <c r="FT18">
        <v>8.4</v>
      </c>
      <c r="FU18">
        <v>8.6999999999999993</v>
      </c>
      <c r="FV18">
        <v>1.79565</v>
      </c>
      <c r="FW18">
        <v>2.5647000000000002</v>
      </c>
      <c r="FX18">
        <v>1.5490699999999999</v>
      </c>
      <c r="FY18">
        <v>2.33887</v>
      </c>
      <c r="FZ18">
        <v>1.50146</v>
      </c>
      <c r="GA18">
        <v>2.3852500000000001</v>
      </c>
      <c r="GB18">
        <v>31.564299999999999</v>
      </c>
      <c r="GC18">
        <v>24.026199999999999</v>
      </c>
      <c r="GD18">
        <v>19</v>
      </c>
      <c r="GE18">
        <v>260.74</v>
      </c>
      <c r="GF18">
        <v>618.26900000000001</v>
      </c>
      <c r="GG18">
        <v>28.828800000000001</v>
      </c>
      <c r="GH18">
        <v>25.576699999999999</v>
      </c>
      <c r="GI18">
        <v>30.0001</v>
      </c>
      <c r="GJ18">
        <v>25.633299999999998</v>
      </c>
      <c r="GK18">
        <v>25.595700000000001</v>
      </c>
      <c r="GL18">
        <v>35.907699999999998</v>
      </c>
      <c r="GM18">
        <v>0</v>
      </c>
      <c r="GN18">
        <v>100</v>
      </c>
      <c r="GO18">
        <v>28.821400000000001</v>
      </c>
      <c r="GP18">
        <v>800</v>
      </c>
      <c r="GQ18">
        <v>24.433199999999999</v>
      </c>
      <c r="GR18">
        <v>99.772300000000001</v>
      </c>
      <c r="GS18">
        <v>99.520200000000003</v>
      </c>
    </row>
    <row r="19" spans="1:201" x14ac:dyDescent="0.25">
      <c r="A19">
        <v>3</v>
      </c>
      <c r="B19">
        <v>1690376718</v>
      </c>
      <c r="C19">
        <v>1.5</v>
      </c>
      <c r="D19" t="s">
        <v>339</v>
      </c>
      <c r="E19" t="s">
        <v>340</v>
      </c>
      <c r="F19" t="s">
        <v>330</v>
      </c>
      <c r="H19">
        <v>1690376718</v>
      </c>
      <c r="I19">
        <f t="shared" si="0"/>
        <v>1.6241293256211476E-4</v>
      </c>
      <c r="J19">
        <f t="shared" si="1"/>
        <v>0.16241293256211475</v>
      </c>
      <c r="K19">
        <f t="shared" si="2"/>
        <v>-1.0646349536472728</v>
      </c>
      <c r="L19">
        <f t="shared" si="3"/>
        <v>810.68399999999997</v>
      </c>
      <c r="M19">
        <f t="shared" si="4"/>
        <v>923.80274648308341</v>
      </c>
      <c r="N19">
        <f t="shared" si="5"/>
        <v>91.23829925479383</v>
      </c>
      <c r="O19">
        <f t="shared" si="6"/>
        <v>80.066258381087991</v>
      </c>
      <c r="P19">
        <f t="shared" si="7"/>
        <v>1.3106937347174335E-2</v>
      </c>
      <c r="Q19">
        <f t="shared" si="8"/>
        <v>2.0086133276954561</v>
      </c>
      <c r="R19">
        <f t="shared" si="9"/>
        <v>1.3059607305151006E-2</v>
      </c>
      <c r="S19">
        <f t="shared" si="10"/>
        <v>8.1664926714176602E-3</v>
      </c>
      <c r="T19">
        <f t="shared" si="11"/>
        <v>0</v>
      </c>
      <c r="U19">
        <f t="shared" si="12"/>
        <v>26.750864054356416</v>
      </c>
      <c r="V19">
        <f t="shared" si="13"/>
        <v>26.750864054356416</v>
      </c>
      <c r="W19">
        <f t="shared" si="14"/>
        <v>3.5271213715940584</v>
      </c>
      <c r="X19">
        <f t="shared" si="15"/>
        <v>65.978104857863855</v>
      </c>
      <c r="Y19">
        <f t="shared" si="16"/>
        <v>2.3353201895559996</v>
      </c>
      <c r="Z19">
        <f t="shared" si="17"/>
        <v>3.5395381461576725</v>
      </c>
      <c r="AA19">
        <f t="shared" si="18"/>
        <v>1.1918011820380587</v>
      </c>
      <c r="AB19">
        <f t="shared" si="19"/>
        <v>-7.1624103259892609</v>
      </c>
      <c r="AC19">
        <f t="shared" si="20"/>
        <v>6.4687076897010796</v>
      </c>
      <c r="AD19">
        <f t="shared" si="21"/>
        <v>0.69349533801914542</v>
      </c>
      <c r="AE19">
        <f t="shared" si="22"/>
        <v>-2.0729826903576054E-4</v>
      </c>
      <c r="AF19">
        <v>17</v>
      </c>
      <c r="AG19">
        <v>6</v>
      </c>
      <c r="AH19">
        <f t="shared" si="23"/>
        <v>1</v>
      </c>
      <c r="AI19">
        <f t="shared" si="24"/>
        <v>0</v>
      </c>
      <c r="AJ19">
        <f t="shared" si="25"/>
        <v>52259.653607567314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34.5</v>
      </c>
      <c r="AP19">
        <v>0.5</v>
      </c>
      <c r="AQ19" t="s">
        <v>331</v>
      </c>
      <c r="AR19">
        <v>2</v>
      </c>
      <c r="AS19">
        <v>1690376718</v>
      </c>
      <c r="AT19">
        <v>810.68399999999997</v>
      </c>
      <c r="AU19">
        <v>799.96299999999997</v>
      </c>
      <c r="AV19">
        <v>23.645499999999998</v>
      </c>
      <c r="AW19">
        <v>21.8233</v>
      </c>
      <c r="AX19">
        <v>811.39400000000001</v>
      </c>
      <c r="AY19">
        <v>23.4343</v>
      </c>
      <c r="AZ19">
        <v>300.22800000000001</v>
      </c>
      <c r="BA19">
        <v>98.663799999999995</v>
      </c>
      <c r="BB19">
        <v>0.100032</v>
      </c>
      <c r="BC19">
        <v>26.810600000000001</v>
      </c>
      <c r="BD19">
        <v>27.000699999999998</v>
      </c>
      <c r="BE19">
        <v>26.778300000000002</v>
      </c>
      <c r="BF19">
        <v>0</v>
      </c>
      <c r="BG19">
        <v>0</v>
      </c>
      <c r="BH19">
        <v>10011.200000000001</v>
      </c>
      <c r="BI19">
        <v>0.72360800000000003</v>
      </c>
      <c r="BJ19">
        <v>1.1339399999999999</v>
      </c>
      <c r="BK19">
        <v>10.7219</v>
      </c>
      <c r="BL19">
        <v>830.31799999999998</v>
      </c>
      <c r="BM19">
        <v>817.81</v>
      </c>
      <c r="BN19">
        <v>1.8222100000000001</v>
      </c>
      <c r="BO19">
        <v>799.96299999999997</v>
      </c>
      <c r="BP19">
        <v>21.8233</v>
      </c>
      <c r="BQ19">
        <v>2.3329499999999999</v>
      </c>
      <c r="BR19">
        <v>2.1531699999999998</v>
      </c>
      <c r="BS19">
        <v>19.905799999999999</v>
      </c>
      <c r="BT19">
        <v>18.617999999999999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25</v>
      </c>
      <c r="CA19">
        <v>0</v>
      </c>
      <c r="CB19">
        <v>1690376213.5999999</v>
      </c>
      <c r="CC19" t="s">
        <v>332</v>
      </c>
      <c r="CD19">
        <v>1690376213.5999999</v>
      </c>
      <c r="CE19">
        <v>1690376198.0999999</v>
      </c>
      <c r="CF19">
        <v>2</v>
      </c>
      <c r="CG19">
        <v>0.66900000000000004</v>
      </c>
      <c r="CH19">
        <v>-2.1000000000000001E-2</v>
      </c>
      <c r="CI19">
        <v>-0.70099999999999996</v>
      </c>
      <c r="CJ19">
        <v>0.21099999999999999</v>
      </c>
      <c r="CK19">
        <v>799</v>
      </c>
      <c r="CL19">
        <v>21</v>
      </c>
      <c r="CM19">
        <v>0.11</v>
      </c>
      <c r="CN19">
        <v>0.17</v>
      </c>
      <c r="CO19">
        <v>10.683443902439031</v>
      </c>
      <c r="CP19">
        <v>-1.153379790938476E-2</v>
      </c>
      <c r="CQ19">
        <v>3.9020739006018927E-2</v>
      </c>
      <c r="CR19">
        <v>-1</v>
      </c>
      <c r="CS19">
        <v>1.8237636585365851</v>
      </c>
      <c r="CT19">
        <v>6.3154703832790102E-3</v>
      </c>
      <c r="CU19">
        <v>1.250029767640794E-3</v>
      </c>
      <c r="CV19">
        <v>-1</v>
      </c>
      <c r="CW19">
        <v>0</v>
      </c>
      <c r="CX19">
        <v>0</v>
      </c>
      <c r="CY19" t="s">
        <v>333</v>
      </c>
      <c r="CZ19">
        <v>2.3654000000000002</v>
      </c>
      <c r="DA19">
        <v>2.7138300000000002</v>
      </c>
      <c r="DB19">
        <v>0.14777100000000001</v>
      </c>
      <c r="DC19">
        <v>0.14604500000000001</v>
      </c>
      <c r="DD19">
        <v>0.112362</v>
      </c>
      <c r="DE19">
        <v>0.104713</v>
      </c>
      <c r="DF19">
        <v>31133</v>
      </c>
      <c r="DG19">
        <v>27517</v>
      </c>
      <c r="DH19">
        <v>31183.8</v>
      </c>
      <c r="DI19">
        <v>28074.9</v>
      </c>
      <c r="DJ19">
        <v>37577.5</v>
      </c>
      <c r="DK19">
        <v>35724.9</v>
      </c>
      <c r="DL19">
        <v>44375.7</v>
      </c>
      <c r="DM19">
        <v>42535.3</v>
      </c>
      <c r="DN19">
        <v>1.4298299999999999</v>
      </c>
      <c r="DO19">
        <v>2.0884299999999998</v>
      </c>
      <c r="DP19">
        <v>9.0844900000000006E-2</v>
      </c>
      <c r="DQ19">
        <v>7.1201500000000001E-2</v>
      </c>
      <c r="DR19">
        <v>25.513200000000001</v>
      </c>
      <c r="DS19">
        <v>25.612300000000001</v>
      </c>
      <c r="DT19">
        <v>61.5</v>
      </c>
      <c r="DU19">
        <v>26.5</v>
      </c>
      <c r="DV19">
        <v>21.662500000000001</v>
      </c>
      <c r="DW19">
        <v>61.110100000000003</v>
      </c>
      <c r="DX19">
        <v>36.073700000000002</v>
      </c>
      <c r="DY19">
        <v>1</v>
      </c>
      <c r="DZ19">
        <v>-0.14801600000000001</v>
      </c>
      <c r="EA19">
        <v>-1.7737099999999999</v>
      </c>
      <c r="EB19">
        <v>20.2944</v>
      </c>
      <c r="EC19">
        <v>5.2409499999999998</v>
      </c>
      <c r="ED19">
        <v>12.039899999999999</v>
      </c>
      <c r="EE19">
        <v>5.0169499999999996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1.86876</v>
      </c>
      <c r="EL19">
        <v>1.8644700000000001</v>
      </c>
      <c r="EM19">
        <v>1.86907</v>
      </c>
      <c r="EN19">
        <v>1.8670899999999999</v>
      </c>
      <c r="EO19">
        <v>1.8632500000000001</v>
      </c>
      <c r="EP19">
        <v>1.8642799999999999</v>
      </c>
      <c r="EQ19">
        <v>1.8701000000000001</v>
      </c>
      <c r="ER19">
        <v>1.8693200000000001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-0.71</v>
      </c>
      <c r="FG19">
        <v>0.2112</v>
      </c>
      <c r="FH19">
        <v>-0.150361779349652</v>
      </c>
      <c r="FI19">
        <v>-6.1462078757559423E-4</v>
      </c>
      <c r="FJ19">
        <v>-1.8861989874597051E-7</v>
      </c>
      <c r="FK19">
        <v>1.1980462299894961E-10</v>
      </c>
      <c r="FL19">
        <v>0.21114761904761539</v>
      </c>
      <c r="FM19">
        <v>0</v>
      </c>
      <c r="FN19">
        <v>0</v>
      </c>
      <c r="FO19">
        <v>0</v>
      </c>
      <c r="FP19">
        <v>3</v>
      </c>
      <c r="FQ19">
        <v>2158</v>
      </c>
      <c r="FR19">
        <v>1</v>
      </c>
      <c r="FS19">
        <v>19</v>
      </c>
      <c r="FT19">
        <v>8.4</v>
      </c>
      <c r="FU19">
        <v>8.6999999999999993</v>
      </c>
      <c r="FV19">
        <v>1.79565</v>
      </c>
      <c r="FW19">
        <v>2.5732400000000002</v>
      </c>
      <c r="FX19">
        <v>1.5490699999999999</v>
      </c>
      <c r="FY19">
        <v>2.33887</v>
      </c>
      <c r="FZ19">
        <v>1.50146</v>
      </c>
      <c r="GA19">
        <v>2.3034699999999999</v>
      </c>
      <c r="GB19">
        <v>31.564299999999999</v>
      </c>
      <c r="GC19">
        <v>24.017499999999998</v>
      </c>
      <c r="GD19">
        <v>19</v>
      </c>
      <c r="GE19">
        <v>260.70999999999998</v>
      </c>
      <c r="GF19">
        <v>618.37699999999995</v>
      </c>
      <c r="GG19">
        <v>28.828299999999999</v>
      </c>
      <c r="GH19">
        <v>25.576899999999998</v>
      </c>
      <c r="GI19">
        <v>30.0001</v>
      </c>
      <c r="GJ19">
        <v>25.633299999999998</v>
      </c>
      <c r="GK19">
        <v>25.595800000000001</v>
      </c>
      <c r="GL19">
        <v>35.908700000000003</v>
      </c>
      <c r="GM19">
        <v>0</v>
      </c>
      <c r="GN19">
        <v>100</v>
      </c>
      <c r="GO19">
        <v>28.821400000000001</v>
      </c>
      <c r="GP19">
        <v>800</v>
      </c>
      <c r="GQ19">
        <v>24.429200000000002</v>
      </c>
      <c r="GR19">
        <v>99.772599999999997</v>
      </c>
      <c r="GS19">
        <v>99.520200000000003</v>
      </c>
    </row>
    <row r="20" spans="1:201" x14ac:dyDescent="0.25">
      <c r="A20">
        <v>4</v>
      </c>
      <c r="B20">
        <v>1690376719</v>
      </c>
      <c r="C20">
        <v>2.5</v>
      </c>
      <c r="D20" t="s">
        <v>341</v>
      </c>
      <c r="E20" t="s">
        <v>342</v>
      </c>
      <c r="F20" t="s">
        <v>330</v>
      </c>
      <c r="H20">
        <v>1690376719</v>
      </c>
      <c r="I20">
        <f t="shared" si="0"/>
        <v>1.6231286989441582E-4</v>
      </c>
      <c r="J20">
        <f t="shared" si="1"/>
        <v>0.16231286989441582</v>
      </c>
      <c r="K20">
        <f t="shared" si="2"/>
        <v>-1.0632287914853127</v>
      </c>
      <c r="L20">
        <f t="shared" si="3"/>
        <v>810.69399999999996</v>
      </c>
      <c r="M20">
        <f t="shared" si="4"/>
        <v>923.69711254575225</v>
      </c>
      <c r="N20">
        <f t="shared" si="5"/>
        <v>91.228355355235436</v>
      </c>
      <c r="O20">
        <f t="shared" si="6"/>
        <v>80.067675119742205</v>
      </c>
      <c r="P20">
        <f t="shared" si="7"/>
        <v>1.3101728071302983E-2</v>
      </c>
      <c r="Q20">
        <f t="shared" si="8"/>
        <v>2.0074481321984639</v>
      </c>
      <c r="R20">
        <f t="shared" si="9"/>
        <v>1.3054408227381605E-2</v>
      </c>
      <c r="S20">
        <f t="shared" si="10"/>
        <v>8.1632423320507352E-3</v>
      </c>
      <c r="T20">
        <f t="shared" si="11"/>
        <v>0</v>
      </c>
      <c r="U20">
        <f t="shared" si="12"/>
        <v>26.749569488733698</v>
      </c>
      <c r="V20">
        <f t="shared" si="13"/>
        <v>26.749569488733698</v>
      </c>
      <c r="W20">
        <f t="shared" si="14"/>
        <v>3.5268527034008832</v>
      </c>
      <c r="X20">
        <f t="shared" si="15"/>
        <v>65.982666239303256</v>
      </c>
      <c r="Y20">
        <f t="shared" si="16"/>
        <v>2.33530307581076</v>
      </c>
      <c r="Z20">
        <f t="shared" si="17"/>
        <v>3.5392675211716629</v>
      </c>
      <c r="AA20">
        <f t="shared" si="18"/>
        <v>1.1915496275901232</v>
      </c>
      <c r="AB20">
        <f t="shared" si="19"/>
        <v>-7.1579975623437377</v>
      </c>
      <c r="AC20">
        <f t="shared" si="20"/>
        <v>6.4643670574587198</v>
      </c>
      <c r="AD20">
        <f t="shared" si="21"/>
        <v>0.69342324612706607</v>
      </c>
      <c r="AE20">
        <f t="shared" si="22"/>
        <v>-2.0725875795157833E-4</v>
      </c>
      <c r="AF20">
        <v>17</v>
      </c>
      <c r="AG20">
        <v>6</v>
      </c>
      <c r="AH20">
        <f t="shared" si="23"/>
        <v>1</v>
      </c>
      <c r="AI20">
        <f t="shared" si="24"/>
        <v>0</v>
      </c>
      <c r="AJ20">
        <f t="shared" si="25"/>
        <v>52204.128329545092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34.5</v>
      </c>
      <c r="AP20">
        <v>0.5</v>
      </c>
      <c r="AQ20" t="s">
        <v>331</v>
      </c>
      <c r="AR20">
        <v>2</v>
      </c>
      <c r="AS20">
        <v>1690376719</v>
      </c>
      <c r="AT20">
        <v>810.69399999999996</v>
      </c>
      <c r="AU20">
        <v>799.98400000000004</v>
      </c>
      <c r="AV20">
        <v>23.645199999999999</v>
      </c>
      <c r="AW20">
        <v>21.823399999999999</v>
      </c>
      <c r="AX20">
        <v>811.404</v>
      </c>
      <c r="AY20">
        <v>23.434000000000001</v>
      </c>
      <c r="AZ20">
        <v>300.10899999999998</v>
      </c>
      <c r="BA20">
        <v>98.664400000000001</v>
      </c>
      <c r="BB20">
        <v>9.9961300000000003E-2</v>
      </c>
      <c r="BC20">
        <v>26.8093</v>
      </c>
      <c r="BD20">
        <v>26.998000000000001</v>
      </c>
      <c r="BE20">
        <v>26.779399999999999</v>
      </c>
      <c r="BF20">
        <v>0</v>
      </c>
      <c r="BG20">
        <v>0</v>
      </c>
      <c r="BH20">
        <v>10000</v>
      </c>
      <c r="BI20">
        <v>0.71148100000000003</v>
      </c>
      <c r="BJ20">
        <v>1.1213200000000001</v>
      </c>
      <c r="BK20">
        <v>10.71</v>
      </c>
      <c r="BL20">
        <v>830.32799999999997</v>
      </c>
      <c r="BM20">
        <v>817.83199999999999</v>
      </c>
      <c r="BN20">
        <v>1.82175</v>
      </c>
      <c r="BO20">
        <v>799.98400000000004</v>
      </c>
      <c r="BP20">
        <v>21.823399999999999</v>
      </c>
      <c r="BQ20">
        <v>2.3329399999999998</v>
      </c>
      <c r="BR20">
        <v>2.1531899999999999</v>
      </c>
      <c r="BS20">
        <v>19.9056</v>
      </c>
      <c r="BT20">
        <v>18.618300000000001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25</v>
      </c>
      <c r="CA20">
        <v>0</v>
      </c>
      <c r="CB20">
        <v>1690376213.5999999</v>
      </c>
      <c r="CC20" t="s">
        <v>332</v>
      </c>
      <c r="CD20">
        <v>1690376213.5999999</v>
      </c>
      <c r="CE20">
        <v>1690376198.0999999</v>
      </c>
      <c r="CF20">
        <v>2</v>
      </c>
      <c r="CG20">
        <v>0.66900000000000004</v>
      </c>
      <c r="CH20">
        <v>-2.1000000000000001E-2</v>
      </c>
      <c r="CI20">
        <v>-0.70099999999999996</v>
      </c>
      <c r="CJ20">
        <v>0.21099999999999999</v>
      </c>
      <c r="CK20">
        <v>799</v>
      </c>
      <c r="CL20">
        <v>21</v>
      </c>
      <c r="CM20">
        <v>0.11</v>
      </c>
      <c r="CN20">
        <v>0.17</v>
      </c>
      <c r="CO20">
        <v>10.686132499999999</v>
      </c>
      <c r="CP20">
        <v>9.13542213883589E-2</v>
      </c>
      <c r="CQ20">
        <v>4.2097941680680748E-2</v>
      </c>
      <c r="CR20">
        <v>-1</v>
      </c>
      <c r="CS20">
        <v>1.8237602500000001</v>
      </c>
      <c r="CT20">
        <v>1.901876172606159E-3</v>
      </c>
      <c r="CU20">
        <v>1.283714313038537E-3</v>
      </c>
      <c r="CV20">
        <v>-1</v>
      </c>
      <c r="CW20">
        <v>0</v>
      </c>
      <c r="CX20">
        <v>0</v>
      </c>
      <c r="CY20" t="s">
        <v>333</v>
      </c>
      <c r="CZ20">
        <v>2.3650099999999998</v>
      </c>
      <c r="DA20">
        <v>2.7137500000000001</v>
      </c>
      <c r="DB20">
        <v>0.14777399999999999</v>
      </c>
      <c r="DC20">
        <v>0.14604900000000001</v>
      </c>
      <c r="DD20">
        <v>0.112361</v>
      </c>
      <c r="DE20">
        <v>0.104714</v>
      </c>
      <c r="DF20">
        <v>31132.9</v>
      </c>
      <c r="DG20">
        <v>27516.9</v>
      </c>
      <c r="DH20">
        <v>31183.8</v>
      </c>
      <c r="DI20">
        <v>28075</v>
      </c>
      <c r="DJ20">
        <v>37577.5</v>
      </c>
      <c r="DK20">
        <v>35725</v>
      </c>
      <c r="DL20">
        <v>44375.7</v>
      </c>
      <c r="DM20">
        <v>42535.4</v>
      </c>
      <c r="DN20">
        <v>1.4296</v>
      </c>
      <c r="DO20">
        <v>2.0885699999999998</v>
      </c>
      <c r="DP20">
        <v>9.0680999999999998E-2</v>
      </c>
      <c r="DQ20">
        <v>7.1272299999999997E-2</v>
      </c>
      <c r="DR20">
        <v>25.513200000000001</v>
      </c>
      <c r="DS20">
        <v>25.612300000000001</v>
      </c>
      <c r="DT20">
        <v>61.5</v>
      </c>
      <c r="DU20">
        <v>26.5</v>
      </c>
      <c r="DV20">
        <v>21.665199999999999</v>
      </c>
      <c r="DW20">
        <v>61.370100000000001</v>
      </c>
      <c r="DX20">
        <v>36.662700000000001</v>
      </c>
      <c r="DY20">
        <v>1</v>
      </c>
      <c r="DZ20">
        <v>-0.148059</v>
      </c>
      <c r="EA20">
        <v>-1.77014</v>
      </c>
      <c r="EB20">
        <v>20.2944</v>
      </c>
      <c r="EC20">
        <v>5.2411000000000003</v>
      </c>
      <c r="ED20">
        <v>12.039899999999999</v>
      </c>
      <c r="EE20">
        <v>5.0170000000000003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1.8687499999999999</v>
      </c>
      <c r="EL20">
        <v>1.8644700000000001</v>
      </c>
      <c r="EM20">
        <v>1.8690599999999999</v>
      </c>
      <c r="EN20">
        <v>1.8671</v>
      </c>
      <c r="EO20">
        <v>1.8632500000000001</v>
      </c>
      <c r="EP20">
        <v>1.8642799999999999</v>
      </c>
      <c r="EQ20">
        <v>1.87009</v>
      </c>
      <c r="ER20">
        <v>1.8693200000000001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-0.71</v>
      </c>
      <c r="FG20">
        <v>0.2112</v>
      </c>
      <c r="FH20">
        <v>-0.150361779349652</v>
      </c>
      <c r="FI20">
        <v>-6.1462078757559423E-4</v>
      </c>
      <c r="FJ20">
        <v>-1.8861989874597051E-7</v>
      </c>
      <c r="FK20">
        <v>1.1980462299894961E-10</v>
      </c>
      <c r="FL20">
        <v>0.21114761904761539</v>
      </c>
      <c r="FM20">
        <v>0</v>
      </c>
      <c r="FN20">
        <v>0</v>
      </c>
      <c r="FO20">
        <v>0</v>
      </c>
      <c r="FP20">
        <v>3</v>
      </c>
      <c r="FQ20">
        <v>2158</v>
      </c>
      <c r="FR20">
        <v>1</v>
      </c>
      <c r="FS20">
        <v>19</v>
      </c>
      <c r="FT20">
        <v>8.4</v>
      </c>
      <c r="FU20">
        <v>8.6999999999999993</v>
      </c>
      <c r="FV20">
        <v>1.79565</v>
      </c>
      <c r="FW20">
        <v>2.5671400000000002</v>
      </c>
      <c r="FX20">
        <v>1.5490699999999999</v>
      </c>
      <c r="FY20">
        <v>2.33887</v>
      </c>
      <c r="FZ20">
        <v>1.50146</v>
      </c>
      <c r="GA20">
        <v>2.34741</v>
      </c>
      <c r="GB20">
        <v>31.564299999999999</v>
      </c>
      <c r="GC20">
        <v>24.017499999999998</v>
      </c>
      <c r="GD20">
        <v>19</v>
      </c>
      <c r="GE20">
        <v>260.62</v>
      </c>
      <c r="GF20">
        <v>618.51300000000003</v>
      </c>
      <c r="GG20">
        <v>28.826899999999998</v>
      </c>
      <c r="GH20">
        <v>25.577500000000001</v>
      </c>
      <c r="GI20">
        <v>30.0001</v>
      </c>
      <c r="GJ20">
        <v>25.633299999999998</v>
      </c>
      <c r="GK20">
        <v>25.596299999999999</v>
      </c>
      <c r="GL20">
        <v>35.905500000000004</v>
      </c>
      <c r="GM20">
        <v>0</v>
      </c>
      <c r="GN20">
        <v>100</v>
      </c>
      <c r="GO20">
        <v>28.821400000000001</v>
      </c>
      <c r="GP20">
        <v>800</v>
      </c>
      <c r="GQ20">
        <v>24.424800000000001</v>
      </c>
      <c r="GR20">
        <v>99.772599999999997</v>
      </c>
      <c r="GS20">
        <v>99.520499999999998</v>
      </c>
    </row>
    <row r="21" spans="1:201" x14ac:dyDescent="0.25">
      <c r="A21">
        <v>5</v>
      </c>
      <c r="B21">
        <v>1690376720.5</v>
      </c>
      <c r="C21">
        <v>4</v>
      </c>
      <c r="D21" t="s">
        <v>343</v>
      </c>
      <c r="E21" t="s">
        <v>344</v>
      </c>
      <c r="F21" t="s">
        <v>330</v>
      </c>
      <c r="H21">
        <v>1690376720.5</v>
      </c>
      <c r="I21">
        <f t="shared" si="0"/>
        <v>1.6232532467817879E-4</v>
      </c>
      <c r="J21">
        <f t="shared" si="1"/>
        <v>0.16232532467817878</v>
      </c>
      <c r="K21">
        <f t="shared" si="2"/>
        <v>-1.0628381411166903</v>
      </c>
      <c r="L21">
        <f t="shared" si="3"/>
        <v>810.71699999999998</v>
      </c>
      <c r="M21">
        <f t="shared" si="4"/>
        <v>923.66949432062029</v>
      </c>
      <c r="N21">
        <f t="shared" si="5"/>
        <v>91.223819760568801</v>
      </c>
      <c r="O21">
        <f t="shared" si="6"/>
        <v>80.068359883668009</v>
      </c>
      <c r="P21">
        <f t="shared" si="7"/>
        <v>1.3101979906317163E-2</v>
      </c>
      <c r="Q21">
        <f t="shared" si="8"/>
        <v>2.0035597224125365</v>
      </c>
      <c r="R21">
        <f t="shared" si="9"/>
        <v>1.3054566766062916E-2</v>
      </c>
      <c r="S21">
        <f t="shared" si="10"/>
        <v>8.1633497450293857E-3</v>
      </c>
      <c r="T21">
        <f t="shared" si="11"/>
        <v>0</v>
      </c>
      <c r="U21">
        <f t="shared" si="12"/>
        <v>26.749460228224098</v>
      </c>
      <c r="V21">
        <f t="shared" si="13"/>
        <v>26.749460228224098</v>
      </c>
      <c r="W21">
        <f t="shared" si="14"/>
        <v>3.5268300287950476</v>
      </c>
      <c r="X21">
        <f t="shared" si="15"/>
        <v>65.980521460172952</v>
      </c>
      <c r="Y21">
        <f t="shared" si="16"/>
        <v>2.3352271663396</v>
      </c>
      <c r="Z21">
        <f t="shared" si="17"/>
        <v>3.5392675211716629</v>
      </c>
      <c r="AA21">
        <f t="shared" si="18"/>
        <v>1.1916028624554476</v>
      </c>
      <c r="AB21">
        <f t="shared" si="19"/>
        <v>-7.158546818307685</v>
      </c>
      <c r="AC21">
        <f t="shared" si="20"/>
        <v>6.4636475075675035</v>
      </c>
      <c r="AD21">
        <f t="shared" si="21"/>
        <v>0.69469129309359945</v>
      </c>
      <c r="AE21">
        <f t="shared" si="22"/>
        <v>-2.0801764658173738E-4</v>
      </c>
      <c r="AF21">
        <v>17</v>
      </c>
      <c r="AG21">
        <v>6</v>
      </c>
      <c r="AH21">
        <f t="shared" si="23"/>
        <v>1</v>
      </c>
      <c r="AI21">
        <f t="shared" si="24"/>
        <v>0</v>
      </c>
      <c r="AJ21">
        <f t="shared" si="25"/>
        <v>52018.314756604574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34.5</v>
      </c>
      <c r="AP21">
        <v>0.5</v>
      </c>
      <c r="AQ21" t="s">
        <v>331</v>
      </c>
      <c r="AR21">
        <v>2</v>
      </c>
      <c r="AS21">
        <v>1690376720.5</v>
      </c>
      <c r="AT21">
        <v>810.71699999999998</v>
      </c>
      <c r="AU21">
        <v>800.01599999999996</v>
      </c>
      <c r="AV21">
        <v>23.6449</v>
      </c>
      <c r="AW21">
        <v>21.823699999999999</v>
      </c>
      <c r="AX21">
        <v>811.42700000000002</v>
      </c>
      <c r="AY21">
        <v>23.433700000000002</v>
      </c>
      <c r="AZ21">
        <v>300.23099999999999</v>
      </c>
      <c r="BA21">
        <v>98.662400000000005</v>
      </c>
      <c r="BB21">
        <v>0.100004</v>
      </c>
      <c r="BC21">
        <v>26.8093</v>
      </c>
      <c r="BD21">
        <v>27.003599999999999</v>
      </c>
      <c r="BE21">
        <v>26.781099999999999</v>
      </c>
      <c r="BF21">
        <v>0</v>
      </c>
      <c r="BG21">
        <v>0</v>
      </c>
      <c r="BH21">
        <v>9963.1200000000008</v>
      </c>
      <c r="BI21">
        <v>0.70057199999999997</v>
      </c>
      <c r="BJ21">
        <v>1.1213200000000001</v>
      </c>
      <c r="BK21">
        <v>10.701000000000001</v>
      </c>
      <c r="BL21">
        <v>830.351</v>
      </c>
      <c r="BM21">
        <v>817.86500000000001</v>
      </c>
      <c r="BN21">
        <v>1.8211599999999999</v>
      </c>
      <c r="BO21">
        <v>800.01599999999996</v>
      </c>
      <c r="BP21">
        <v>21.823699999999999</v>
      </c>
      <c r="BQ21">
        <v>2.3328600000000002</v>
      </c>
      <c r="BR21">
        <v>2.1531799999999999</v>
      </c>
      <c r="BS21">
        <v>19.905100000000001</v>
      </c>
      <c r="BT21">
        <v>18.618099999999998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25</v>
      </c>
      <c r="CA21">
        <v>0</v>
      </c>
      <c r="CB21">
        <v>1690376213.5999999</v>
      </c>
      <c r="CC21" t="s">
        <v>332</v>
      </c>
      <c r="CD21">
        <v>1690376213.5999999</v>
      </c>
      <c r="CE21">
        <v>1690376198.0999999</v>
      </c>
      <c r="CF21">
        <v>2</v>
      </c>
      <c r="CG21">
        <v>0.66900000000000004</v>
      </c>
      <c r="CH21">
        <v>-2.1000000000000001E-2</v>
      </c>
      <c r="CI21">
        <v>-0.70099999999999996</v>
      </c>
      <c r="CJ21">
        <v>0.21099999999999999</v>
      </c>
      <c r="CK21">
        <v>799</v>
      </c>
      <c r="CL21">
        <v>21</v>
      </c>
      <c r="CM21">
        <v>0.11</v>
      </c>
      <c r="CN21">
        <v>0.17</v>
      </c>
      <c r="CO21">
        <v>10.687315</v>
      </c>
      <c r="CP21">
        <v>0.11760450281423861</v>
      </c>
      <c r="CQ21">
        <v>4.248708950963808E-2</v>
      </c>
      <c r="CR21">
        <v>-1</v>
      </c>
      <c r="CS21">
        <v>1.82375475</v>
      </c>
      <c r="CT21">
        <v>-1.486266416514483E-3</v>
      </c>
      <c r="CU21">
        <v>1.291222264948988E-3</v>
      </c>
      <c r="CV21">
        <v>-1</v>
      </c>
      <c r="CW21">
        <v>0</v>
      </c>
      <c r="CX21">
        <v>0</v>
      </c>
      <c r="CY21" t="s">
        <v>333</v>
      </c>
      <c r="CZ21">
        <v>2.3654000000000002</v>
      </c>
      <c r="DA21">
        <v>2.7137600000000002</v>
      </c>
      <c r="DB21">
        <v>0.14777299999999999</v>
      </c>
      <c r="DC21">
        <v>0.14604900000000001</v>
      </c>
      <c r="DD21">
        <v>0.112358</v>
      </c>
      <c r="DE21">
        <v>0.104713</v>
      </c>
      <c r="DF21">
        <v>31132.9</v>
      </c>
      <c r="DG21">
        <v>27517.1</v>
      </c>
      <c r="DH21">
        <v>31183.8</v>
      </c>
      <c r="DI21">
        <v>28075.1</v>
      </c>
      <c r="DJ21">
        <v>37577.599999999999</v>
      </c>
      <c r="DK21">
        <v>35725.199999999997</v>
      </c>
      <c r="DL21">
        <v>44375.7</v>
      </c>
      <c r="DM21">
        <v>42535.6</v>
      </c>
      <c r="DN21">
        <v>1.4295500000000001</v>
      </c>
      <c r="DO21">
        <v>2.08853</v>
      </c>
      <c r="DP21">
        <v>9.1023699999999999E-2</v>
      </c>
      <c r="DQ21">
        <v>7.1376599999999998E-2</v>
      </c>
      <c r="DR21">
        <v>25.513200000000001</v>
      </c>
      <c r="DS21">
        <v>25.612300000000001</v>
      </c>
      <c r="DT21">
        <v>61.5</v>
      </c>
      <c r="DU21">
        <v>26.5</v>
      </c>
      <c r="DV21">
        <v>21.664400000000001</v>
      </c>
      <c r="DW21">
        <v>62.080100000000002</v>
      </c>
      <c r="DX21">
        <v>35.717100000000002</v>
      </c>
      <c r="DY21">
        <v>1</v>
      </c>
      <c r="DZ21">
        <v>-0.148064</v>
      </c>
      <c r="EA21">
        <v>-1.7698499999999999</v>
      </c>
      <c r="EB21">
        <v>20.2943</v>
      </c>
      <c r="EC21">
        <v>5.2409499999999998</v>
      </c>
      <c r="ED21">
        <v>12.039899999999999</v>
      </c>
      <c r="EE21">
        <v>5.0170500000000002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1.8687499999999999</v>
      </c>
      <c r="EL21">
        <v>1.8644700000000001</v>
      </c>
      <c r="EM21">
        <v>1.86907</v>
      </c>
      <c r="EN21">
        <v>1.8671</v>
      </c>
      <c r="EO21">
        <v>1.8632500000000001</v>
      </c>
      <c r="EP21">
        <v>1.8642799999999999</v>
      </c>
      <c r="EQ21">
        <v>1.87009</v>
      </c>
      <c r="ER21">
        <v>1.8693299999999999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-0.71</v>
      </c>
      <c r="FG21">
        <v>0.2112</v>
      </c>
      <c r="FH21">
        <v>-0.150361779349652</v>
      </c>
      <c r="FI21">
        <v>-6.1462078757559423E-4</v>
      </c>
      <c r="FJ21">
        <v>-1.8861989874597051E-7</v>
      </c>
      <c r="FK21">
        <v>1.1980462299894961E-10</v>
      </c>
      <c r="FL21">
        <v>0.21114761904761539</v>
      </c>
      <c r="FM21">
        <v>0</v>
      </c>
      <c r="FN21">
        <v>0</v>
      </c>
      <c r="FO21">
        <v>0</v>
      </c>
      <c r="FP21">
        <v>3</v>
      </c>
      <c r="FQ21">
        <v>2158</v>
      </c>
      <c r="FR21">
        <v>1</v>
      </c>
      <c r="FS21">
        <v>19</v>
      </c>
      <c r="FT21">
        <v>8.4</v>
      </c>
      <c r="FU21">
        <v>8.6999999999999993</v>
      </c>
      <c r="FV21">
        <v>1.79565</v>
      </c>
      <c r="FW21">
        <v>2.5720200000000002</v>
      </c>
      <c r="FX21">
        <v>1.5490699999999999</v>
      </c>
      <c r="FY21">
        <v>2.33887</v>
      </c>
      <c r="FZ21">
        <v>1.50146</v>
      </c>
      <c r="GA21">
        <v>2.2924799999999999</v>
      </c>
      <c r="GB21">
        <v>31.542400000000001</v>
      </c>
      <c r="GC21">
        <v>24.017499999999998</v>
      </c>
      <c r="GD21">
        <v>19</v>
      </c>
      <c r="GE21">
        <v>260.60000000000002</v>
      </c>
      <c r="GF21">
        <v>618.47900000000004</v>
      </c>
      <c r="GG21">
        <v>28.824400000000001</v>
      </c>
      <c r="GH21">
        <v>25.578299999999999</v>
      </c>
      <c r="GI21">
        <v>30.0001</v>
      </c>
      <c r="GJ21">
        <v>25.633299999999998</v>
      </c>
      <c r="GK21">
        <v>25.597100000000001</v>
      </c>
      <c r="GL21">
        <v>35.9084</v>
      </c>
      <c r="GM21">
        <v>0</v>
      </c>
      <c r="GN21">
        <v>100</v>
      </c>
      <c r="GO21">
        <v>28.821400000000001</v>
      </c>
      <c r="GP21">
        <v>800</v>
      </c>
      <c r="GQ21">
        <v>24.4208</v>
      </c>
      <c r="GR21">
        <v>99.772499999999994</v>
      </c>
      <c r="GS21">
        <v>99.521000000000001</v>
      </c>
    </row>
    <row r="22" spans="1:201" x14ac:dyDescent="0.25">
      <c r="A22">
        <v>6</v>
      </c>
      <c r="B22">
        <v>1690376816</v>
      </c>
      <c r="C22">
        <v>99.5</v>
      </c>
      <c r="D22" t="s">
        <v>345</v>
      </c>
      <c r="E22" t="s">
        <v>346</v>
      </c>
      <c r="F22" t="s">
        <v>330</v>
      </c>
      <c r="H22">
        <v>1690376816</v>
      </c>
      <c r="I22">
        <f t="shared" si="0"/>
        <v>1.6545117426498932E-4</v>
      </c>
      <c r="J22">
        <f t="shared" si="1"/>
        <v>0.16545117426498931</v>
      </c>
      <c r="K22">
        <f t="shared" si="2"/>
        <v>-1.0293602087326044</v>
      </c>
      <c r="L22">
        <f t="shared" si="3"/>
        <v>810.31200000000001</v>
      </c>
      <c r="M22">
        <f t="shared" si="4"/>
        <v>972.96773069205142</v>
      </c>
      <c r="N22">
        <f t="shared" si="5"/>
        <v>96.099126267986847</v>
      </c>
      <c r="O22">
        <f t="shared" si="6"/>
        <v>80.033769618523209</v>
      </c>
      <c r="P22">
        <f t="shared" si="7"/>
        <v>8.6922418151170536E-3</v>
      </c>
      <c r="Q22">
        <f t="shared" si="8"/>
        <v>2.0091921354052076</v>
      </c>
      <c r="R22">
        <f t="shared" si="9"/>
        <v>8.6714043966879852E-3</v>
      </c>
      <c r="S22">
        <f t="shared" si="10"/>
        <v>5.4214957089902278E-3</v>
      </c>
      <c r="T22">
        <f t="shared" si="11"/>
        <v>276.06475785118261</v>
      </c>
      <c r="U22">
        <f t="shared" si="12"/>
        <v>29.581145323638218</v>
      </c>
      <c r="V22">
        <f t="shared" si="13"/>
        <v>29.581145323638218</v>
      </c>
      <c r="W22">
        <f t="shared" si="14"/>
        <v>4.159017295200254</v>
      </c>
      <c r="X22">
        <f t="shared" si="15"/>
        <v>63.985716290475892</v>
      </c>
      <c r="Y22">
        <f t="shared" si="16"/>
        <v>2.3364615695458801</v>
      </c>
      <c r="Z22">
        <f t="shared" si="17"/>
        <v>3.6515361630696574</v>
      </c>
      <c r="AA22">
        <f t="shared" si="18"/>
        <v>1.8225557256543738</v>
      </c>
      <c r="AB22">
        <f t="shared" si="19"/>
        <v>-7.2963967850860287</v>
      </c>
      <c r="AC22">
        <f t="shared" si="20"/>
        <v>-242.61907426844161</v>
      </c>
      <c r="AD22">
        <f t="shared" si="21"/>
        <v>-26.443262848261618</v>
      </c>
      <c r="AE22">
        <f t="shared" si="22"/>
        <v>-0.29397605060663068</v>
      </c>
      <c r="AF22">
        <v>15</v>
      </c>
      <c r="AG22">
        <v>5</v>
      </c>
      <c r="AH22">
        <f t="shared" si="23"/>
        <v>1</v>
      </c>
      <c r="AI22">
        <f t="shared" si="24"/>
        <v>0</v>
      </c>
      <c r="AJ22">
        <f t="shared" si="25"/>
        <v>52195.095702276616</v>
      </c>
      <c r="AK22">
        <f t="shared" si="26"/>
        <v>1799.67</v>
      </c>
      <c r="AL22">
        <f t="shared" si="27"/>
        <v>1498.8370242254098</v>
      </c>
      <c r="AM22">
        <f t="shared" si="28"/>
        <v>0.83283992299999987</v>
      </c>
      <c r="AN22">
        <f t="shared" si="29"/>
        <v>0.15339743278000001</v>
      </c>
      <c r="AO22">
        <v>34.5</v>
      </c>
      <c r="AP22">
        <v>0.5</v>
      </c>
      <c r="AQ22" t="s">
        <v>331</v>
      </c>
      <c r="AR22">
        <v>2</v>
      </c>
      <c r="AS22">
        <v>1690376816</v>
      </c>
      <c r="AT22">
        <v>810.31200000000001</v>
      </c>
      <c r="AU22">
        <v>800.02099999999996</v>
      </c>
      <c r="AV22">
        <v>23.655799999999999</v>
      </c>
      <c r="AW22">
        <v>21.798999999999999</v>
      </c>
      <c r="AX22">
        <v>811.02099999999996</v>
      </c>
      <c r="AY22">
        <v>23.444600000000001</v>
      </c>
      <c r="AZ22">
        <v>300.142</v>
      </c>
      <c r="BA22">
        <v>98.6691</v>
      </c>
      <c r="BB22">
        <v>9.9978600000000001E-2</v>
      </c>
      <c r="BC22">
        <v>27.3413</v>
      </c>
      <c r="BD22">
        <v>27.495000000000001</v>
      </c>
      <c r="BE22">
        <v>28.514800000000001</v>
      </c>
      <c r="BF22">
        <v>0</v>
      </c>
      <c r="BG22">
        <v>0</v>
      </c>
      <c r="BH22">
        <v>10016.200000000001</v>
      </c>
      <c r="BI22">
        <v>1078.1600000000001</v>
      </c>
      <c r="BJ22">
        <v>1.27691</v>
      </c>
      <c r="BK22">
        <v>10.2913</v>
      </c>
      <c r="BL22">
        <v>829.94500000000005</v>
      </c>
      <c r="BM22">
        <v>817.84900000000005</v>
      </c>
      <c r="BN22">
        <v>1.8568199999999999</v>
      </c>
      <c r="BO22">
        <v>800.02099999999996</v>
      </c>
      <c r="BP22">
        <v>21.798999999999999</v>
      </c>
      <c r="BQ22">
        <v>2.3340900000000002</v>
      </c>
      <c r="BR22">
        <v>2.1508799999999999</v>
      </c>
      <c r="BS22">
        <v>19.913599999999999</v>
      </c>
      <c r="BT22">
        <v>18.601099999999999</v>
      </c>
      <c r="BU22">
        <v>1799.67</v>
      </c>
      <c r="BV22">
        <v>0.909999</v>
      </c>
      <c r="BW22">
        <v>3.3998899999999999E-2</v>
      </c>
      <c r="BX22">
        <v>2.20009E-2</v>
      </c>
      <c r="BY22">
        <v>3.4001000000000003E-2</v>
      </c>
      <c r="BZ22">
        <v>25</v>
      </c>
      <c r="CA22">
        <v>33522.300000000003</v>
      </c>
      <c r="CB22">
        <v>1690376213.5999999</v>
      </c>
      <c r="CC22" t="s">
        <v>332</v>
      </c>
      <c r="CD22">
        <v>1690376213.5999999</v>
      </c>
      <c r="CE22">
        <v>1690376198.0999999</v>
      </c>
      <c r="CF22">
        <v>2</v>
      </c>
      <c r="CG22">
        <v>0.66900000000000004</v>
      </c>
      <c r="CH22">
        <v>-2.1000000000000001E-2</v>
      </c>
      <c r="CI22">
        <v>-0.70099999999999996</v>
      </c>
      <c r="CJ22">
        <v>0.21099999999999999</v>
      </c>
      <c r="CK22">
        <v>799</v>
      </c>
      <c r="CL22">
        <v>21</v>
      </c>
      <c r="CM22">
        <v>0.11</v>
      </c>
      <c r="CN22">
        <v>0.17</v>
      </c>
      <c r="CO22">
        <v>10.911658536585371</v>
      </c>
      <c r="CP22">
        <v>-0.41466898954703779</v>
      </c>
      <c r="CQ22">
        <v>9.5647153835766774E-2</v>
      </c>
      <c r="CR22">
        <v>-1</v>
      </c>
      <c r="CS22">
        <v>1.8100024390243901</v>
      </c>
      <c r="CT22">
        <v>4.8704529616726763E-2</v>
      </c>
      <c r="CU22">
        <v>7.4198437891938029E-3</v>
      </c>
      <c r="CV22">
        <v>-1</v>
      </c>
      <c r="CW22">
        <v>0</v>
      </c>
      <c r="CX22">
        <v>0</v>
      </c>
      <c r="CY22" t="s">
        <v>333</v>
      </c>
      <c r="CZ22">
        <v>2.3650799999999998</v>
      </c>
      <c r="DA22">
        <v>2.7137799999999999</v>
      </c>
      <c r="DB22">
        <v>0.147727</v>
      </c>
      <c r="DC22">
        <v>0.14605299999999999</v>
      </c>
      <c r="DD22">
        <v>0.112397</v>
      </c>
      <c r="DE22">
        <v>0.104631</v>
      </c>
      <c r="DF22">
        <v>31133.599999999999</v>
      </c>
      <c r="DG22">
        <v>27516.1</v>
      </c>
      <c r="DH22">
        <v>31182.9</v>
      </c>
      <c r="DI22">
        <v>28074.400000000001</v>
      </c>
      <c r="DJ22">
        <v>37575.1</v>
      </c>
      <c r="DK22">
        <v>35727.699999999997</v>
      </c>
      <c r="DL22">
        <v>44374.6</v>
      </c>
      <c r="DM22">
        <v>42534.7</v>
      </c>
      <c r="DN22">
        <v>1.43357</v>
      </c>
      <c r="DO22">
        <v>2.0875499999999998</v>
      </c>
      <c r="DP22">
        <v>0.119764</v>
      </c>
      <c r="DQ22">
        <v>0.176229</v>
      </c>
      <c r="DR22">
        <v>25.5349</v>
      </c>
      <c r="DS22">
        <v>25.633099999999999</v>
      </c>
      <c r="DT22">
        <v>61.6</v>
      </c>
      <c r="DU22">
        <v>26.5</v>
      </c>
      <c r="DV22">
        <v>21.697800000000001</v>
      </c>
      <c r="DW22">
        <v>61.240099999999998</v>
      </c>
      <c r="DX22">
        <v>36.750799999999998</v>
      </c>
      <c r="DY22">
        <v>1</v>
      </c>
      <c r="DZ22">
        <v>-0.14687800000000001</v>
      </c>
      <c r="EA22">
        <v>-1.78935</v>
      </c>
      <c r="EB22">
        <v>20.179200000000002</v>
      </c>
      <c r="EC22">
        <v>5.2413999999999996</v>
      </c>
      <c r="ED22">
        <v>12.039899999999999</v>
      </c>
      <c r="EE22">
        <v>5.0171999999999999</v>
      </c>
      <c r="EF22">
        <v>3.2879999999999998</v>
      </c>
      <c r="EG22">
        <v>9999</v>
      </c>
      <c r="EH22">
        <v>9999</v>
      </c>
      <c r="EI22">
        <v>9999</v>
      </c>
      <c r="EJ22">
        <v>999.9</v>
      </c>
      <c r="EK22">
        <v>1.86876</v>
      </c>
      <c r="EL22">
        <v>1.8644700000000001</v>
      </c>
      <c r="EM22">
        <v>1.8690800000000001</v>
      </c>
      <c r="EN22">
        <v>1.8671</v>
      </c>
      <c r="EO22">
        <v>1.8632500000000001</v>
      </c>
      <c r="EP22">
        <v>1.86432</v>
      </c>
      <c r="EQ22">
        <v>1.8700699999999999</v>
      </c>
      <c r="ER22">
        <v>1.86931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-0.70899999999999996</v>
      </c>
      <c r="FG22">
        <v>0.2112</v>
      </c>
      <c r="FH22">
        <v>-0.150361779349652</v>
      </c>
      <c r="FI22">
        <v>-6.1462078757559423E-4</v>
      </c>
      <c r="FJ22">
        <v>-1.8861989874597051E-7</v>
      </c>
      <c r="FK22">
        <v>1.1980462299894961E-10</v>
      </c>
      <c r="FL22">
        <v>0.21114761904761539</v>
      </c>
      <c r="FM22">
        <v>0</v>
      </c>
      <c r="FN22">
        <v>0</v>
      </c>
      <c r="FO22">
        <v>0</v>
      </c>
      <c r="FP22">
        <v>3</v>
      </c>
      <c r="FQ22">
        <v>2158</v>
      </c>
      <c r="FR22">
        <v>1</v>
      </c>
      <c r="FS22">
        <v>19</v>
      </c>
      <c r="FT22">
        <v>10</v>
      </c>
      <c r="FU22">
        <v>10.3</v>
      </c>
      <c r="FV22">
        <v>1.79688</v>
      </c>
      <c r="FW22">
        <v>2.5647000000000002</v>
      </c>
      <c r="FX22">
        <v>1.5490699999999999</v>
      </c>
      <c r="FY22">
        <v>2.33887</v>
      </c>
      <c r="FZ22">
        <v>1.50146</v>
      </c>
      <c r="GA22">
        <v>2.36206</v>
      </c>
      <c r="GB22">
        <v>31.586099999999998</v>
      </c>
      <c r="GC22">
        <v>23.982399999999998</v>
      </c>
      <c r="GD22">
        <v>19</v>
      </c>
      <c r="GE22">
        <v>262.31400000000002</v>
      </c>
      <c r="GF22">
        <v>617.93399999999997</v>
      </c>
      <c r="GG22">
        <v>28.8094</v>
      </c>
      <c r="GH22">
        <v>25.6006</v>
      </c>
      <c r="GI22">
        <v>30</v>
      </c>
      <c r="GJ22">
        <v>25.6587</v>
      </c>
      <c r="GK22">
        <v>25.621300000000002</v>
      </c>
      <c r="GL22">
        <v>35.9114</v>
      </c>
      <c r="GM22">
        <v>0</v>
      </c>
      <c r="GN22">
        <v>100</v>
      </c>
      <c r="GO22">
        <v>28.461099999999998</v>
      </c>
      <c r="GP22">
        <v>800</v>
      </c>
      <c r="GQ22">
        <v>24.026700000000002</v>
      </c>
      <c r="GR22">
        <v>99.77</v>
      </c>
      <c r="GS22">
        <v>99.518600000000006</v>
      </c>
    </row>
    <row r="23" spans="1:201" x14ac:dyDescent="0.25">
      <c r="A23">
        <v>7</v>
      </c>
      <c r="B23">
        <v>1690376826</v>
      </c>
      <c r="C23">
        <v>109.5</v>
      </c>
      <c r="D23" t="s">
        <v>347</v>
      </c>
      <c r="E23" t="s">
        <v>348</v>
      </c>
      <c r="F23" t="s">
        <v>330</v>
      </c>
      <c r="H23">
        <v>1690376826</v>
      </c>
      <c r="I23">
        <f t="shared" si="0"/>
        <v>1.784620270822913E-4</v>
      </c>
      <c r="J23">
        <f t="shared" si="1"/>
        <v>0.17846202708229131</v>
      </c>
      <c r="K23">
        <f t="shared" si="2"/>
        <v>-0.88391397647508663</v>
      </c>
      <c r="L23">
        <f t="shared" si="3"/>
        <v>808.54200000000003</v>
      </c>
      <c r="M23">
        <f t="shared" si="4"/>
        <v>937.98554331252365</v>
      </c>
      <c r="N23">
        <f t="shared" si="5"/>
        <v>92.631960137367074</v>
      </c>
      <c r="O23">
        <f t="shared" si="6"/>
        <v>79.848597718134002</v>
      </c>
      <c r="P23">
        <f t="shared" si="7"/>
        <v>9.018579792564714E-3</v>
      </c>
      <c r="Q23">
        <f t="shared" si="8"/>
        <v>2.0102364272824693</v>
      </c>
      <c r="R23">
        <f t="shared" si="9"/>
        <v>8.996162180298993E-3</v>
      </c>
      <c r="S23">
        <f t="shared" si="10"/>
        <v>5.6246108146928457E-3</v>
      </c>
      <c r="T23">
        <f t="shared" si="11"/>
        <v>276.10678423972985</v>
      </c>
      <c r="U23">
        <f t="shared" si="12"/>
        <v>29.934284801025083</v>
      </c>
      <c r="V23">
        <f t="shared" si="13"/>
        <v>29.934284801025083</v>
      </c>
      <c r="W23">
        <f t="shared" si="14"/>
        <v>4.244394589508337</v>
      </c>
      <c r="X23">
        <f t="shared" si="15"/>
        <v>63.036853686885472</v>
      </c>
      <c r="Y23">
        <f t="shared" si="16"/>
        <v>2.3507252883140999</v>
      </c>
      <c r="Z23">
        <f t="shared" si="17"/>
        <v>3.7291285189938939</v>
      </c>
      <c r="AA23">
        <f t="shared" si="18"/>
        <v>1.8936693011942372</v>
      </c>
      <c r="AB23">
        <f t="shared" si="19"/>
        <v>-7.8701753943290464</v>
      </c>
      <c r="AC23">
        <f t="shared" si="20"/>
        <v>-242.06668769335545</v>
      </c>
      <c r="AD23">
        <f t="shared" si="21"/>
        <v>-26.462950388478401</v>
      </c>
      <c r="AE23">
        <f t="shared" si="22"/>
        <v>-0.29302923643302847</v>
      </c>
      <c r="AF23">
        <v>17</v>
      </c>
      <c r="AG23">
        <v>6</v>
      </c>
      <c r="AH23">
        <f t="shared" si="23"/>
        <v>1</v>
      </c>
      <c r="AI23">
        <f t="shared" si="24"/>
        <v>0</v>
      </c>
      <c r="AJ23">
        <f t="shared" si="25"/>
        <v>52182.319929549798</v>
      </c>
      <c r="AK23">
        <f t="shared" si="26"/>
        <v>1799.94</v>
      </c>
      <c r="AL23">
        <f t="shared" si="27"/>
        <v>1499.0644901179801</v>
      </c>
      <c r="AM23">
        <f t="shared" si="28"/>
        <v>0.832841367</v>
      </c>
      <c r="AN23">
        <f t="shared" si="29"/>
        <v>0.15339777117000003</v>
      </c>
      <c r="AO23">
        <v>34.5</v>
      </c>
      <c r="AP23">
        <v>0.5</v>
      </c>
      <c r="AQ23" t="s">
        <v>331</v>
      </c>
      <c r="AR23">
        <v>2</v>
      </c>
      <c r="AS23">
        <v>1690376826</v>
      </c>
      <c r="AT23">
        <v>808.54200000000003</v>
      </c>
      <c r="AU23">
        <v>800.04300000000001</v>
      </c>
      <c r="AV23">
        <v>23.8033</v>
      </c>
      <c r="AW23">
        <v>21.801400000000001</v>
      </c>
      <c r="AX23">
        <v>809.25</v>
      </c>
      <c r="AY23">
        <v>23.592199999999998</v>
      </c>
      <c r="AZ23">
        <v>300.23399999999998</v>
      </c>
      <c r="BA23">
        <v>98.656300000000002</v>
      </c>
      <c r="BB23">
        <v>9.9976999999999996E-2</v>
      </c>
      <c r="BC23">
        <v>27.700700000000001</v>
      </c>
      <c r="BD23">
        <v>27.785299999999999</v>
      </c>
      <c r="BE23">
        <v>29.538699999999999</v>
      </c>
      <c r="BF23">
        <v>0</v>
      </c>
      <c r="BG23">
        <v>0</v>
      </c>
      <c r="BH23">
        <v>10027.5</v>
      </c>
      <c r="BI23">
        <v>1081.23</v>
      </c>
      <c r="BJ23">
        <v>1.37782</v>
      </c>
      <c r="BK23">
        <v>8.4988399999999995</v>
      </c>
      <c r="BL23">
        <v>828.25699999999995</v>
      </c>
      <c r="BM23">
        <v>817.87400000000002</v>
      </c>
      <c r="BN23">
        <v>2.0018899999999999</v>
      </c>
      <c r="BO23">
        <v>800.04300000000001</v>
      </c>
      <c r="BP23">
        <v>21.801400000000001</v>
      </c>
      <c r="BQ23">
        <v>2.3483499999999999</v>
      </c>
      <c r="BR23">
        <v>2.1508500000000002</v>
      </c>
      <c r="BS23">
        <v>20.011900000000001</v>
      </c>
      <c r="BT23">
        <v>18.6008</v>
      </c>
      <c r="BU23">
        <v>1799.94</v>
      </c>
      <c r="BV23">
        <v>0.91000599999999998</v>
      </c>
      <c r="BW23">
        <v>3.39963E-2</v>
      </c>
      <c r="BX23">
        <v>2.2006600000000001E-2</v>
      </c>
      <c r="BY23">
        <v>3.3990899999999998E-2</v>
      </c>
      <c r="BZ23">
        <v>25</v>
      </c>
      <c r="CA23">
        <v>33527.199999999997</v>
      </c>
      <c r="CB23">
        <v>1690376213.5999999</v>
      </c>
      <c r="CC23" t="s">
        <v>332</v>
      </c>
      <c r="CD23">
        <v>1690376213.5999999</v>
      </c>
      <c r="CE23">
        <v>1690376198.0999999</v>
      </c>
      <c r="CF23">
        <v>2</v>
      </c>
      <c r="CG23">
        <v>0.66900000000000004</v>
      </c>
      <c r="CH23">
        <v>-2.1000000000000001E-2</v>
      </c>
      <c r="CI23">
        <v>-0.70099999999999996</v>
      </c>
      <c r="CJ23">
        <v>0.21099999999999999</v>
      </c>
      <c r="CK23">
        <v>799</v>
      </c>
      <c r="CL23">
        <v>21</v>
      </c>
      <c r="CM23">
        <v>0.11</v>
      </c>
      <c r="CN23">
        <v>0.17</v>
      </c>
      <c r="CO23">
        <v>10.17429725</v>
      </c>
      <c r="CP23">
        <v>-7.8628551219512151</v>
      </c>
      <c r="CQ23">
        <v>0.78895577908076542</v>
      </c>
      <c r="CR23">
        <v>-1</v>
      </c>
      <c r="CS23">
        <v>1.8679797499999999</v>
      </c>
      <c r="CT23">
        <v>0.61365804878048946</v>
      </c>
      <c r="CU23">
        <v>6.1453180084007873E-2</v>
      </c>
      <c r="CV23">
        <v>-1</v>
      </c>
      <c r="CW23">
        <v>0</v>
      </c>
      <c r="CX23">
        <v>0</v>
      </c>
      <c r="CY23" t="s">
        <v>333</v>
      </c>
      <c r="CZ23">
        <v>2.3654000000000002</v>
      </c>
      <c r="DA23">
        <v>2.7137899999999999</v>
      </c>
      <c r="DB23">
        <v>0.14749399999999999</v>
      </c>
      <c r="DC23">
        <v>0.146035</v>
      </c>
      <c r="DD23">
        <v>0.112876</v>
      </c>
      <c r="DE23">
        <v>0.104625</v>
      </c>
      <c r="DF23">
        <v>31142.400000000001</v>
      </c>
      <c r="DG23">
        <v>27516.799999999999</v>
      </c>
      <c r="DH23">
        <v>31183.200000000001</v>
      </c>
      <c r="DI23">
        <v>28074.400000000001</v>
      </c>
      <c r="DJ23">
        <v>37554.5</v>
      </c>
      <c r="DK23">
        <v>35727.9</v>
      </c>
      <c r="DL23">
        <v>44374.6</v>
      </c>
      <c r="DM23">
        <v>42534.7</v>
      </c>
      <c r="DN23">
        <v>1.4307000000000001</v>
      </c>
      <c r="DO23">
        <v>2.0868699999999998</v>
      </c>
      <c r="DP23">
        <v>0.136074</v>
      </c>
      <c r="DQ23">
        <v>0.23724500000000001</v>
      </c>
      <c r="DR23">
        <v>25.558700000000002</v>
      </c>
      <c r="DS23">
        <v>25.662500000000001</v>
      </c>
      <c r="DT23">
        <v>61.6</v>
      </c>
      <c r="DU23">
        <v>26.5</v>
      </c>
      <c r="DV23">
        <v>21.702400000000001</v>
      </c>
      <c r="DW23">
        <v>61.110100000000003</v>
      </c>
      <c r="DX23">
        <v>36.097799999999999</v>
      </c>
      <c r="DY23">
        <v>1</v>
      </c>
      <c r="DZ23">
        <v>-0.14549500000000001</v>
      </c>
      <c r="EA23">
        <v>1.0654999999999999</v>
      </c>
      <c r="EB23">
        <v>20.182300000000001</v>
      </c>
      <c r="EC23">
        <v>5.24125</v>
      </c>
      <c r="ED23">
        <v>12.039899999999999</v>
      </c>
      <c r="EE23">
        <v>5.0171000000000001</v>
      </c>
      <c r="EF23">
        <v>3.2879999999999998</v>
      </c>
      <c r="EG23">
        <v>9999</v>
      </c>
      <c r="EH23">
        <v>9999</v>
      </c>
      <c r="EI23">
        <v>9999</v>
      </c>
      <c r="EJ23">
        <v>999.9</v>
      </c>
      <c r="EK23">
        <v>1.86877</v>
      </c>
      <c r="EL23">
        <v>1.8644700000000001</v>
      </c>
      <c r="EM23">
        <v>1.8690899999999999</v>
      </c>
      <c r="EN23">
        <v>1.8671199999999999</v>
      </c>
      <c r="EO23">
        <v>1.8632500000000001</v>
      </c>
      <c r="EP23">
        <v>1.8643099999999999</v>
      </c>
      <c r="EQ23">
        <v>1.87005</v>
      </c>
      <c r="ER23">
        <v>1.8693200000000001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-0.70799999999999996</v>
      </c>
      <c r="FG23">
        <v>0.21110000000000001</v>
      </c>
      <c r="FH23">
        <v>-0.150361779349652</v>
      </c>
      <c r="FI23">
        <v>-6.1462078757559423E-4</v>
      </c>
      <c r="FJ23">
        <v>-1.8861989874597051E-7</v>
      </c>
      <c r="FK23">
        <v>1.1980462299894961E-10</v>
      </c>
      <c r="FL23">
        <v>0.21114761904761539</v>
      </c>
      <c r="FM23">
        <v>0</v>
      </c>
      <c r="FN23">
        <v>0</v>
      </c>
      <c r="FO23">
        <v>0</v>
      </c>
      <c r="FP23">
        <v>3</v>
      </c>
      <c r="FQ23">
        <v>2158</v>
      </c>
      <c r="FR23">
        <v>1</v>
      </c>
      <c r="FS23">
        <v>19</v>
      </c>
      <c r="FT23">
        <v>10.199999999999999</v>
      </c>
      <c r="FU23">
        <v>10.5</v>
      </c>
      <c r="FV23">
        <v>1.79565</v>
      </c>
      <c r="FW23">
        <v>2.5744600000000002</v>
      </c>
      <c r="FX23">
        <v>1.5490699999999999</v>
      </c>
      <c r="FY23">
        <v>2.33887</v>
      </c>
      <c r="FZ23">
        <v>1.50146</v>
      </c>
      <c r="GA23">
        <v>2.2863799999999999</v>
      </c>
      <c r="GB23">
        <v>31.586099999999998</v>
      </c>
      <c r="GC23">
        <v>23.982399999999998</v>
      </c>
      <c r="GD23">
        <v>19</v>
      </c>
      <c r="GE23">
        <v>261.18200000000002</v>
      </c>
      <c r="GF23">
        <v>617.37800000000004</v>
      </c>
      <c r="GG23">
        <v>28.056999999999999</v>
      </c>
      <c r="GH23">
        <v>25.6038</v>
      </c>
      <c r="GI23">
        <v>30.001300000000001</v>
      </c>
      <c r="GJ23">
        <v>25.663599999999999</v>
      </c>
      <c r="GK23">
        <v>25.6235</v>
      </c>
      <c r="GL23">
        <v>35.908999999999999</v>
      </c>
      <c r="GM23">
        <v>0</v>
      </c>
      <c r="GN23">
        <v>100</v>
      </c>
      <c r="GO23">
        <v>27.100999999999999</v>
      </c>
      <c r="GP23">
        <v>800</v>
      </c>
      <c r="GQ23">
        <v>24.026700000000002</v>
      </c>
      <c r="GR23">
        <v>99.770200000000003</v>
      </c>
      <c r="GS23">
        <v>99.518699999999995</v>
      </c>
    </row>
    <row r="24" spans="1:201" x14ac:dyDescent="0.25">
      <c r="A24">
        <v>8</v>
      </c>
      <c r="B24">
        <v>1690376836</v>
      </c>
      <c r="C24">
        <v>119.5</v>
      </c>
      <c r="D24" t="s">
        <v>349</v>
      </c>
      <c r="E24" t="s">
        <v>350</v>
      </c>
      <c r="F24" t="s">
        <v>330</v>
      </c>
      <c r="H24">
        <v>1690376836</v>
      </c>
      <c r="I24">
        <f t="shared" si="0"/>
        <v>1.8434284790540015E-4</v>
      </c>
      <c r="J24">
        <f t="shared" si="1"/>
        <v>0.18434284790540015</v>
      </c>
      <c r="K24">
        <f t="shared" si="2"/>
        <v>-0.74072698671075154</v>
      </c>
      <c r="L24">
        <f t="shared" si="3"/>
        <v>806.75800000000004</v>
      </c>
      <c r="M24">
        <f t="shared" si="4"/>
        <v>906.87363461939276</v>
      </c>
      <c r="N24">
        <f t="shared" si="5"/>
        <v>89.564539998951943</v>
      </c>
      <c r="O24">
        <f t="shared" si="6"/>
        <v>79.676932267195198</v>
      </c>
      <c r="P24">
        <f t="shared" si="7"/>
        <v>9.3343158644782938E-3</v>
      </c>
      <c r="Q24">
        <f t="shared" si="8"/>
        <v>2.0052612023774063</v>
      </c>
      <c r="R24">
        <f t="shared" si="9"/>
        <v>9.3102439614606465E-3</v>
      </c>
      <c r="S24">
        <f t="shared" si="10"/>
        <v>5.8210600275673905E-3</v>
      </c>
      <c r="T24">
        <f t="shared" si="11"/>
        <v>276.10564052185498</v>
      </c>
      <c r="U24">
        <f t="shared" si="12"/>
        <v>29.946390433018642</v>
      </c>
      <c r="V24">
        <f t="shared" si="13"/>
        <v>29.946390433018642</v>
      </c>
      <c r="W24">
        <f t="shared" si="14"/>
        <v>4.2473482038485297</v>
      </c>
      <c r="X24">
        <f t="shared" si="15"/>
        <v>63.17744073982167</v>
      </c>
      <c r="Y24">
        <f t="shared" si="16"/>
        <v>2.3572484181791995</v>
      </c>
      <c r="Z24">
        <f t="shared" si="17"/>
        <v>3.7311552835558142</v>
      </c>
      <c r="AA24">
        <f t="shared" si="18"/>
        <v>1.8900997856693302</v>
      </c>
      <c r="AB24">
        <f t="shared" si="19"/>
        <v>-8.1295195926281476</v>
      </c>
      <c r="AC24">
        <f t="shared" si="20"/>
        <v>-241.77089617657001</v>
      </c>
      <c r="AD24">
        <f t="shared" si="21"/>
        <v>-26.499010557802603</v>
      </c>
      <c r="AE24">
        <f t="shared" si="22"/>
        <v>-0.29378580514577379</v>
      </c>
      <c r="AF24">
        <v>18</v>
      </c>
      <c r="AG24">
        <v>6</v>
      </c>
      <c r="AH24">
        <f t="shared" si="23"/>
        <v>1</v>
      </c>
      <c r="AI24">
        <f t="shared" si="24"/>
        <v>0</v>
      </c>
      <c r="AJ24">
        <f t="shared" si="25"/>
        <v>51943.481080689889</v>
      </c>
      <c r="AK24">
        <f t="shared" si="26"/>
        <v>1799.94</v>
      </c>
      <c r="AL24">
        <f t="shared" si="27"/>
        <v>1499.0613456227998</v>
      </c>
      <c r="AM24">
        <f t="shared" si="28"/>
        <v>0.83283961999999989</v>
      </c>
      <c r="AN24">
        <f t="shared" si="29"/>
        <v>0.15339713574999997</v>
      </c>
      <c r="AO24">
        <v>34.5</v>
      </c>
      <c r="AP24">
        <v>0.5</v>
      </c>
      <c r="AQ24" t="s">
        <v>331</v>
      </c>
      <c r="AR24">
        <v>2</v>
      </c>
      <c r="AS24">
        <v>1690376836</v>
      </c>
      <c r="AT24">
        <v>806.75800000000004</v>
      </c>
      <c r="AU24">
        <v>799.95500000000004</v>
      </c>
      <c r="AV24">
        <v>23.867999999999999</v>
      </c>
      <c r="AW24">
        <v>21.8002</v>
      </c>
      <c r="AX24">
        <v>807.46500000000003</v>
      </c>
      <c r="AY24">
        <v>23.6568</v>
      </c>
      <c r="AZ24">
        <v>300.22399999999999</v>
      </c>
      <c r="BA24">
        <v>98.661900000000003</v>
      </c>
      <c r="BB24">
        <v>9.9974400000000005E-2</v>
      </c>
      <c r="BC24">
        <v>27.71</v>
      </c>
      <c r="BD24">
        <v>27.760100000000001</v>
      </c>
      <c r="BE24">
        <v>29.7818</v>
      </c>
      <c r="BF24">
        <v>0</v>
      </c>
      <c r="BG24">
        <v>0</v>
      </c>
      <c r="BH24">
        <v>9979.3799999999992</v>
      </c>
      <c r="BI24">
        <v>1082.98</v>
      </c>
      <c r="BJ24">
        <v>1.4577199999999999</v>
      </c>
      <c r="BK24">
        <v>6.8034100000000004</v>
      </c>
      <c r="BL24">
        <v>826.48500000000001</v>
      </c>
      <c r="BM24">
        <v>817.78300000000002</v>
      </c>
      <c r="BN24">
        <v>2.06778</v>
      </c>
      <c r="BO24">
        <v>799.95500000000004</v>
      </c>
      <c r="BP24">
        <v>21.8002</v>
      </c>
      <c r="BQ24">
        <v>2.35486</v>
      </c>
      <c r="BR24">
        <v>2.1508500000000002</v>
      </c>
      <c r="BS24">
        <v>20.0566</v>
      </c>
      <c r="BT24">
        <v>18.6008</v>
      </c>
      <c r="BU24">
        <v>1799.94</v>
      </c>
      <c r="BV24">
        <v>0.91000099999999995</v>
      </c>
      <c r="BW24">
        <v>3.3999500000000002E-2</v>
      </c>
      <c r="BX24">
        <v>2.1996499999999999E-2</v>
      </c>
      <c r="BY24">
        <v>3.4002900000000003E-2</v>
      </c>
      <c r="BZ24">
        <v>25</v>
      </c>
      <c r="CA24">
        <v>33527.199999999997</v>
      </c>
      <c r="CB24">
        <v>1690376213.5999999</v>
      </c>
      <c r="CC24" t="s">
        <v>332</v>
      </c>
      <c r="CD24">
        <v>1690376213.5999999</v>
      </c>
      <c r="CE24">
        <v>1690376198.0999999</v>
      </c>
      <c r="CF24">
        <v>2</v>
      </c>
      <c r="CG24">
        <v>0.66900000000000004</v>
      </c>
      <c r="CH24">
        <v>-2.1000000000000001E-2</v>
      </c>
      <c r="CI24">
        <v>-0.70099999999999996</v>
      </c>
      <c r="CJ24">
        <v>0.21099999999999999</v>
      </c>
      <c r="CK24">
        <v>799</v>
      </c>
      <c r="CL24">
        <v>21</v>
      </c>
      <c r="CM24">
        <v>0.11</v>
      </c>
      <c r="CN24">
        <v>0.17</v>
      </c>
      <c r="CO24">
        <v>8.6796947499999995</v>
      </c>
      <c r="CP24">
        <v>-9.9822142964353073</v>
      </c>
      <c r="CQ24">
        <v>0.96220945193338081</v>
      </c>
      <c r="CR24">
        <v>-1</v>
      </c>
      <c r="CS24">
        <v>1.9799992500000001</v>
      </c>
      <c r="CT24">
        <v>0.70319178236397473</v>
      </c>
      <c r="CU24">
        <v>6.8542043279563064E-2</v>
      </c>
      <c r="CV24">
        <v>-1</v>
      </c>
      <c r="CW24">
        <v>0</v>
      </c>
      <c r="CX24">
        <v>0</v>
      </c>
      <c r="CY24" t="s">
        <v>333</v>
      </c>
      <c r="CZ24">
        <v>2.3653400000000002</v>
      </c>
      <c r="DA24">
        <v>2.7137500000000001</v>
      </c>
      <c r="DB24">
        <v>0.147286</v>
      </c>
      <c r="DC24">
        <v>0.14603099999999999</v>
      </c>
      <c r="DD24">
        <v>0.113098</v>
      </c>
      <c r="DE24">
        <v>0.104626</v>
      </c>
      <c r="DF24">
        <v>31148.7</v>
      </c>
      <c r="DG24">
        <v>27516</v>
      </c>
      <c r="DH24">
        <v>31181.8</v>
      </c>
      <c r="DI24">
        <v>28073.5</v>
      </c>
      <c r="DJ24">
        <v>37543.599999999999</v>
      </c>
      <c r="DK24">
        <v>35726.9</v>
      </c>
      <c r="DL24">
        <v>44373</v>
      </c>
      <c r="DM24">
        <v>42533.5</v>
      </c>
      <c r="DN24">
        <v>1.42858</v>
      </c>
      <c r="DO24">
        <v>2.0868000000000002</v>
      </c>
      <c r="DP24">
        <v>0.13229299999999999</v>
      </c>
      <c r="DQ24">
        <v>0.249665</v>
      </c>
      <c r="DR24">
        <v>25.595500000000001</v>
      </c>
      <c r="DS24">
        <v>25.703600000000002</v>
      </c>
      <c r="DT24">
        <v>61.7</v>
      </c>
      <c r="DU24">
        <v>26.5</v>
      </c>
      <c r="DV24">
        <v>21.729299999999999</v>
      </c>
      <c r="DW24">
        <v>61.970100000000002</v>
      </c>
      <c r="DX24">
        <v>35.5809</v>
      </c>
      <c r="DY24">
        <v>1</v>
      </c>
      <c r="DZ24">
        <v>-0.13874500000000001</v>
      </c>
      <c r="EA24">
        <v>3.6336599999999999</v>
      </c>
      <c r="EB24">
        <v>20.131399999999999</v>
      </c>
      <c r="EC24">
        <v>5.2416999999999998</v>
      </c>
      <c r="ED24">
        <v>12.039899999999999</v>
      </c>
      <c r="EE24">
        <v>5.01715</v>
      </c>
      <c r="EF24">
        <v>3.2879999999999998</v>
      </c>
      <c r="EG24">
        <v>9999</v>
      </c>
      <c r="EH24">
        <v>9999</v>
      </c>
      <c r="EI24">
        <v>9999</v>
      </c>
      <c r="EJ24">
        <v>999.9</v>
      </c>
      <c r="EK24">
        <v>1.86876</v>
      </c>
      <c r="EL24">
        <v>1.8644700000000001</v>
      </c>
      <c r="EM24">
        <v>1.8690800000000001</v>
      </c>
      <c r="EN24">
        <v>1.8671199999999999</v>
      </c>
      <c r="EO24">
        <v>1.8632500000000001</v>
      </c>
      <c r="EP24">
        <v>1.86429</v>
      </c>
      <c r="EQ24">
        <v>1.8700600000000001</v>
      </c>
      <c r="ER24">
        <v>1.86931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-0.70699999999999996</v>
      </c>
      <c r="FG24">
        <v>0.2112</v>
      </c>
      <c r="FH24">
        <v>-0.150361779349652</v>
      </c>
      <c r="FI24">
        <v>-6.1462078757559423E-4</v>
      </c>
      <c r="FJ24">
        <v>-1.8861989874597051E-7</v>
      </c>
      <c r="FK24">
        <v>1.1980462299894961E-10</v>
      </c>
      <c r="FL24">
        <v>0.21114761904761539</v>
      </c>
      <c r="FM24">
        <v>0</v>
      </c>
      <c r="FN24">
        <v>0</v>
      </c>
      <c r="FO24">
        <v>0</v>
      </c>
      <c r="FP24">
        <v>3</v>
      </c>
      <c r="FQ24">
        <v>2158</v>
      </c>
      <c r="FR24">
        <v>1</v>
      </c>
      <c r="FS24">
        <v>19</v>
      </c>
      <c r="FT24">
        <v>10.4</v>
      </c>
      <c r="FU24">
        <v>10.6</v>
      </c>
      <c r="FV24">
        <v>1.79565</v>
      </c>
      <c r="FW24">
        <v>2.5598100000000001</v>
      </c>
      <c r="FX24">
        <v>1.5490699999999999</v>
      </c>
      <c r="FY24">
        <v>2.33887</v>
      </c>
      <c r="FZ24">
        <v>1.50146</v>
      </c>
      <c r="GA24">
        <v>2.36938</v>
      </c>
      <c r="GB24">
        <v>31.586099999999998</v>
      </c>
      <c r="GC24">
        <v>23.982399999999998</v>
      </c>
      <c r="GD24">
        <v>19</v>
      </c>
      <c r="GE24">
        <v>260.34199999999998</v>
      </c>
      <c r="GF24">
        <v>617.346</v>
      </c>
      <c r="GG24">
        <v>26.457100000000001</v>
      </c>
      <c r="GH24">
        <v>25.606400000000001</v>
      </c>
      <c r="GI24">
        <v>30.003399999999999</v>
      </c>
      <c r="GJ24">
        <v>25.665600000000001</v>
      </c>
      <c r="GK24">
        <v>25.626200000000001</v>
      </c>
      <c r="GL24">
        <v>35.9114</v>
      </c>
      <c r="GM24">
        <v>0</v>
      </c>
      <c r="GN24">
        <v>100</v>
      </c>
      <c r="GO24">
        <v>25.499199999999998</v>
      </c>
      <c r="GP24">
        <v>800</v>
      </c>
      <c r="GQ24">
        <v>24.026700000000002</v>
      </c>
      <c r="GR24">
        <v>99.766300000000001</v>
      </c>
      <c r="GS24">
        <v>99.515699999999995</v>
      </c>
    </row>
    <row r="25" spans="1:201" x14ac:dyDescent="0.25">
      <c r="A25">
        <v>9</v>
      </c>
      <c r="B25">
        <v>1690376846</v>
      </c>
      <c r="C25">
        <v>129.5</v>
      </c>
      <c r="D25" t="s">
        <v>351</v>
      </c>
      <c r="E25" t="s">
        <v>352</v>
      </c>
      <c r="F25" t="s">
        <v>330</v>
      </c>
      <c r="H25">
        <v>1690376846</v>
      </c>
      <c r="I25">
        <f t="shared" si="0"/>
        <v>1.7641210416597186E-4</v>
      </c>
      <c r="J25">
        <f t="shared" si="1"/>
        <v>0.17641210416597186</v>
      </c>
      <c r="K25">
        <f t="shared" si="2"/>
        <v>-0.47432723718475833</v>
      </c>
      <c r="L25">
        <f t="shared" si="3"/>
        <v>803.76800000000003</v>
      </c>
      <c r="M25">
        <f t="shared" si="4"/>
        <v>861.70761762170878</v>
      </c>
      <c r="N25">
        <f t="shared" si="5"/>
        <v>85.105392651271714</v>
      </c>
      <c r="O25">
        <f t="shared" si="6"/>
        <v>79.38306432676481</v>
      </c>
      <c r="P25">
        <f t="shared" si="7"/>
        <v>9.0611513655836258E-3</v>
      </c>
      <c r="Q25">
        <f t="shared" si="8"/>
        <v>2.008424070240495</v>
      </c>
      <c r="R25">
        <f t="shared" si="9"/>
        <v>9.0385015337465617E-3</v>
      </c>
      <c r="S25">
        <f t="shared" si="10"/>
        <v>5.6510936998520516E-3</v>
      </c>
      <c r="T25">
        <f t="shared" si="11"/>
        <v>276.10833663093001</v>
      </c>
      <c r="U25">
        <f t="shared" si="12"/>
        <v>29.800766886355635</v>
      </c>
      <c r="V25">
        <f t="shared" si="13"/>
        <v>29.800766886355635</v>
      </c>
      <c r="W25">
        <f t="shared" si="14"/>
        <v>4.2119365413016414</v>
      </c>
      <c r="X25">
        <f t="shared" si="15"/>
        <v>63.476017209467692</v>
      </c>
      <c r="Y25">
        <f t="shared" si="16"/>
        <v>2.3483033916472005</v>
      </c>
      <c r="Z25">
        <f t="shared" si="17"/>
        <v>3.6995128158370685</v>
      </c>
      <c r="AA25">
        <f t="shared" si="18"/>
        <v>1.8636331496544409</v>
      </c>
      <c r="AB25">
        <f t="shared" si="19"/>
        <v>-7.7797737937193592</v>
      </c>
      <c r="AC25">
        <f t="shared" si="20"/>
        <v>-242.16051594447052</v>
      </c>
      <c r="AD25">
        <f t="shared" si="21"/>
        <v>-26.461568898600063</v>
      </c>
      <c r="AE25">
        <f t="shared" si="22"/>
        <v>-0.29352200585992705</v>
      </c>
      <c r="AF25">
        <v>18</v>
      </c>
      <c r="AG25">
        <v>6</v>
      </c>
      <c r="AH25">
        <f t="shared" si="23"/>
        <v>1</v>
      </c>
      <c r="AI25">
        <f t="shared" si="24"/>
        <v>0</v>
      </c>
      <c r="AJ25">
        <f t="shared" si="25"/>
        <v>52119.566335791977</v>
      </c>
      <c r="AK25">
        <f t="shared" si="26"/>
        <v>1799.95</v>
      </c>
      <c r="AL25">
        <f t="shared" si="27"/>
        <v>1499.0702860019999</v>
      </c>
      <c r="AM25">
        <f t="shared" si="28"/>
        <v>0.83283995999999993</v>
      </c>
      <c r="AN25">
        <f t="shared" si="29"/>
        <v>0.15339778139999999</v>
      </c>
      <c r="AO25">
        <v>34.5</v>
      </c>
      <c r="AP25">
        <v>0.5</v>
      </c>
      <c r="AQ25" t="s">
        <v>331</v>
      </c>
      <c r="AR25">
        <v>2</v>
      </c>
      <c r="AS25">
        <v>1690376846</v>
      </c>
      <c r="AT25">
        <v>803.76800000000003</v>
      </c>
      <c r="AU25">
        <v>799.94600000000003</v>
      </c>
      <c r="AV25">
        <v>23.777000000000001</v>
      </c>
      <c r="AW25">
        <v>21.797599999999999</v>
      </c>
      <c r="AX25">
        <v>804.47199999999998</v>
      </c>
      <c r="AY25">
        <v>23.565799999999999</v>
      </c>
      <c r="AZ25">
        <v>300.16699999999997</v>
      </c>
      <c r="BA25">
        <v>98.663700000000006</v>
      </c>
      <c r="BB25">
        <v>9.9953600000000004E-2</v>
      </c>
      <c r="BC25">
        <v>27.564299999999999</v>
      </c>
      <c r="BD25">
        <v>27.5732</v>
      </c>
      <c r="BE25">
        <v>29.703800000000001</v>
      </c>
      <c r="BF25">
        <v>0</v>
      </c>
      <c r="BG25">
        <v>0</v>
      </c>
      <c r="BH25">
        <v>10009.4</v>
      </c>
      <c r="BI25">
        <v>1084.05</v>
      </c>
      <c r="BJ25">
        <v>1.4577199999999999</v>
      </c>
      <c r="BK25">
        <v>3.8219599999999998</v>
      </c>
      <c r="BL25">
        <v>823.34400000000005</v>
      </c>
      <c r="BM25">
        <v>817.77099999999996</v>
      </c>
      <c r="BN25">
        <v>1.9794</v>
      </c>
      <c r="BO25">
        <v>799.94600000000003</v>
      </c>
      <c r="BP25">
        <v>21.797599999999999</v>
      </c>
      <c r="BQ25">
        <v>2.34592</v>
      </c>
      <c r="BR25">
        <v>2.15063</v>
      </c>
      <c r="BS25">
        <v>19.9953</v>
      </c>
      <c r="BT25">
        <v>18.5992</v>
      </c>
      <c r="BU25">
        <v>1799.95</v>
      </c>
      <c r="BV25">
        <v>0.90999600000000003</v>
      </c>
      <c r="BW25">
        <v>3.4001999999999998E-2</v>
      </c>
      <c r="BX25">
        <v>2.2006000000000001E-2</v>
      </c>
      <c r="BY25">
        <v>3.3995600000000001E-2</v>
      </c>
      <c r="BZ25">
        <v>25</v>
      </c>
      <c r="CA25">
        <v>33527.4</v>
      </c>
      <c r="CB25">
        <v>1690376213.5999999</v>
      </c>
      <c r="CC25" t="s">
        <v>332</v>
      </c>
      <c r="CD25">
        <v>1690376213.5999999</v>
      </c>
      <c r="CE25">
        <v>1690376198.0999999</v>
      </c>
      <c r="CF25">
        <v>2</v>
      </c>
      <c r="CG25">
        <v>0.66900000000000004</v>
      </c>
      <c r="CH25">
        <v>-2.1000000000000001E-2</v>
      </c>
      <c r="CI25">
        <v>-0.70099999999999996</v>
      </c>
      <c r="CJ25">
        <v>0.21099999999999999</v>
      </c>
      <c r="CK25">
        <v>799</v>
      </c>
      <c r="CL25">
        <v>21</v>
      </c>
      <c r="CM25">
        <v>0.11</v>
      </c>
      <c r="CN25">
        <v>0.17</v>
      </c>
      <c r="CO25">
        <v>6.7175784999999992</v>
      </c>
      <c r="CP25">
        <v>-13.774224540337711</v>
      </c>
      <c r="CQ25">
        <v>1.3397036255260899</v>
      </c>
      <c r="CR25">
        <v>-1</v>
      </c>
      <c r="CS25">
        <v>2.0420542500000001</v>
      </c>
      <c r="CT25">
        <v>2.727433395871957E-2</v>
      </c>
      <c r="CU25">
        <v>2.2397159070683469E-2</v>
      </c>
      <c r="CV25">
        <v>-1</v>
      </c>
      <c r="CW25">
        <v>0</v>
      </c>
      <c r="CX25">
        <v>0</v>
      </c>
      <c r="CY25" t="s">
        <v>333</v>
      </c>
      <c r="CZ25">
        <v>2.3651599999999999</v>
      </c>
      <c r="DA25">
        <v>2.7137500000000001</v>
      </c>
      <c r="DB25">
        <v>0.146922</v>
      </c>
      <c r="DC25">
        <v>0.146032</v>
      </c>
      <c r="DD25">
        <v>0.11279500000000001</v>
      </c>
      <c r="DE25">
        <v>0.104618</v>
      </c>
      <c r="DF25">
        <v>31160.9</v>
      </c>
      <c r="DG25">
        <v>27515.4</v>
      </c>
      <c r="DH25">
        <v>31180.799999999999</v>
      </c>
      <c r="DI25">
        <v>28073</v>
      </c>
      <c r="DJ25">
        <v>37555.4</v>
      </c>
      <c r="DK25">
        <v>35726.699999999997</v>
      </c>
      <c r="DL25">
        <v>44371.5</v>
      </c>
      <c r="DM25">
        <v>42532.9</v>
      </c>
      <c r="DN25">
        <v>1.4278999999999999</v>
      </c>
      <c r="DO25">
        <v>2.0871</v>
      </c>
      <c r="DP25">
        <v>0.11841599999999999</v>
      </c>
      <c r="DQ25">
        <v>0.24313899999999999</v>
      </c>
      <c r="DR25">
        <v>25.635400000000001</v>
      </c>
      <c r="DS25">
        <v>25.732099999999999</v>
      </c>
      <c r="DT25">
        <v>61.7</v>
      </c>
      <c r="DU25">
        <v>26.5</v>
      </c>
      <c r="DV25">
        <v>21.7318</v>
      </c>
      <c r="DW25">
        <v>61.960099999999997</v>
      </c>
      <c r="DX25">
        <v>35.857399999999998</v>
      </c>
      <c r="DY25">
        <v>1</v>
      </c>
      <c r="DZ25">
        <v>-0.13436999999999999</v>
      </c>
      <c r="EA25">
        <v>4.6761400000000002</v>
      </c>
      <c r="EB25">
        <v>20.099900000000002</v>
      </c>
      <c r="EC25">
        <v>5.2401999999999997</v>
      </c>
      <c r="ED25">
        <v>12.039899999999999</v>
      </c>
      <c r="EE25">
        <v>5.0164499999999999</v>
      </c>
      <c r="EF25">
        <v>3.2879999999999998</v>
      </c>
      <c r="EG25">
        <v>9999</v>
      </c>
      <c r="EH25">
        <v>9999</v>
      </c>
      <c r="EI25">
        <v>9999</v>
      </c>
      <c r="EJ25">
        <v>999.9</v>
      </c>
      <c r="EK25">
        <v>1.86877</v>
      </c>
      <c r="EL25">
        <v>1.8644700000000001</v>
      </c>
      <c r="EM25">
        <v>1.86907</v>
      </c>
      <c r="EN25">
        <v>1.8671199999999999</v>
      </c>
      <c r="EO25">
        <v>1.8632599999999999</v>
      </c>
      <c r="EP25">
        <v>1.86432</v>
      </c>
      <c r="EQ25">
        <v>1.8700399999999999</v>
      </c>
      <c r="ER25">
        <v>1.8693299999999999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-0.70399999999999996</v>
      </c>
      <c r="FG25">
        <v>0.2112</v>
      </c>
      <c r="FH25">
        <v>-0.150361779349652</v>
      </c>
      <c r="FI25">
        <v>-6.1462078757559423E-4</v>
      </c>
      <c r="FJ25">
        <v>-1.8861989874597051E-7</v>
      </c>
      <c r="FK25">
        <v>1.1980462299894961E-10</v>
      </c>
      <c r="FL25">
        <v>0.21114761904761539</v>
      </c>
      <c r="FM25">
        <v>0</v>
      </c>
      <c r="FN25">
        <v>0</v>
      </c>
      <c r="FO25">
        <v>0</v>
      </c>
      <c r="FP25">
        <v>3</v>
      </c>
      <c r="FQ25">
        <v>2158</v>
      </c>
      <c r="FR25">
        <v>1</v>
      </c>
      <c r="FS25">
        <v>19</v>
      </c>
      <c r="FT25">
        <v>10.5</v>
      </c>
      <c r="FU25">
        <v>10.8</v>
      </c>
      <c r="FV25">
        <v>1.79688</v>
      </c>
      <c r="FW25">
        <v>2.5610400000000002</v>
      </c>
      <c r="FX25">
        <v>1.5490699999999999</v>
      </c>
      <c r="FY25">
        <v>2.33887</v>
      </c>
      <c r="FZ25">
        <v>1.50146</v>
      </c>
      <c r="GA25">
        <v>2.4121100000000002</v>
      </c>
      <c r="GB25">
        <v>31.608000000000001</v>
      </c>
      <c r="GC25">
        <v>23.973700000000001</v>
      </c>
      <c r="GD25">
        <v>19</v>
      </c>
      <c r="GE25">
        <v>260.07299999999998</v>
      </c>
      <c r="GF25">
        <v>617.63</v>
      </c>
      <c r="GG25">
        <v>24.803699999999999</v>
      </c>
      <c r="GH25">
        <v>25.610299999999999</v>
      </c>
      <c r="GI25">
        <v>30.002400000000002</v>
      </c>
      <c r="GJ25">
        <v>25.665600000000001</v>
      </c>
      <c r="GK25">
        <v>25.628299999999999</v>
      </c>
      <c r="GL25">
        <v>35.914299999999997</v>
      </c>
      <c r="GM25">
        <v>0</v>
      </c>
      <c r="GN25">
        <v>100</v>
      </c>
      <c r="GO25">
        <v>24.155200000000001</v>
      </c>
      <c r="GP25">
        <v>800</v>
      </c>
      <c r="GQ25">
        <v>24.026700000000002</v>
      </c>
      <c r="GR25">
        <v>99.763099999999994</v>
      </c>
      <c r="GS25">
        <v>99.514099999999999</v>
      </c>
    </row>
    <row r="26" spans="1:201" x14ac:dyDescent="0.25">
      <c r="A26">
        <v>10</v>
      </c>
      <c r="B26">
        <v>1690376856</v>
      </c>
      <c r="C26">
        <v>139.5</v>
      </c>
      <c r="D26" t="s">
        <v>353</v>
      </c>
      <c r="E26" t="s">
        <v>354</v>
      </c>
      <c r="F26" t="s">
        <v>330</v>
      </c>
      <c r="H26">
        <v>1690376856</v>
      </c>
      <c r="I26">
        <f t="shared" si="0"/>
        <v>1.58875683229785E-4</v>
      </c>
      <c r="J26">
        <f t="shared" si="1"/>
        <v>0.15887568322978501</v>
      </c>
      <c r="K26">
        <f t="shared" si="2"/>
        <v>-0.16891431823619171</v>
      </c>
      <c r="L26">
        <f t="shared" si="3"/>
        <v>800.39800000000002</v>
      </c>
      <c r="M26">
        <f t="shared" si="4"/>
        <v>808.34528303075342</v>
      </c>
      <c r="N26">
        <f t="shared" si="5"/>
        <v>79.83261698190816</v>
      </c>
      <c r="O26">
        <f t="shared" si="6"/>
        <v>79.047739015079202</v>
      </c>
      <c r="P26">
        <f t="shared" si="7"/>
        <v>8.2946423353151295E-3</v>
      </c>
      <c r="Q26">
        <f t="shared" si="8"/>
        <v>2.0102820422722791</v>
      </c>
      <c r="R26">
        <f t="shared" si="9"/>
        <v>8.2756756201760821E-3</v>
      </c>
      <c r="S26">
        <f t="shared" si="10"/>
        <v>5.1739976996736659E-3</v>
      </c>
      <c r="T26">
        <f t="shared" si="11"/>
        <v>276.1120180366002</v>
      </c>
      <c r="U26">
        <f t="shared" si="12"/>
        <v>29.595630265354973</v>
      </c>
      <c r="V26">
        <f t="shared" si="13"/>
        <v>29.595630265354973</v>
      </c>
      <c r="W26">
        <f t="shared" si="14"/>
        <v>4.1624895961656669</v>
      </c>
      <c r="X26">
        <f t="shared" si="15"/>
        <v>63.728182283895407</v>
      </c>
      <c r="Y26">
        <f t="shared" si="16"/>
        <v>2.3288031707941199</v>
      </c>
      <c r="Z26">
        <f t="shared" si="17"/>
        <v>3.6542752159787022</v>
      </c>
      <c r="AA26">
        <f t="shared" si="18"/>
        <v>1.833686425371547</v>
      </c>
      <c r="AB26">
        <f t="shared" si="19"/>
        <v>-7.0064176304335186</v>
      </c>
      <c r="AC26">
        <f t="shared" si="20"/>
        <v>-242.93329663376835</v>
      </c>
      <c r="AD26">
        <f t="shared" si="21"/>
        <v>-26.466748414284034</v>
      </c>
      <c r="AE26">
        <f t="shared" si="22"/>
        <v>-0.29444464188571828</v>
      </c>
      <c r="AF26">
        <v>18</v>
      </c>
      <c r="AG26">
        <v>6</v>
      </c>
      <c r="AH26">
        <f t="shared" si="23"/>
        <v>1</v>
      </c>
      <c r="AI26">
        <f t="shared" si="24"/>
        <v>0</v>
      </c>
      <c r="AJ26">
        <f t="shared" si="25"/>
        <v>52244.81385263845</v>
      </c>
      <c r="AK26">
        <f t="shared" si="26"/>
        <v>1799.98</v>
      </c>
      <c r="AL26">
        <f t="shared" si="27"/>
        <v>1499.0935864195201</v>
      </c>
      <c r="AM26">
        <f t="shared" si="28"/>
        <v>0.83283902399999998</v>
      </c>
      <c r="AN26">
        <f t="shared" si="29"/>
        <v>0.15339726999</v>
      </c>
      <c r="AO26">
        <v>34.5</v>
      </c>
      <c r="AP26">
        <v>0.5</v>
      </c>
      <c r="AQ26" t="s">
        <v>331</v>
      </c>
      <c r="AR26">
        <v>2</v>
      </c>
      <c r="AS26">
        <v>1690376856</v>
      </c>
      <c r="AT26">
        <v>800.39800000000002</v>
      </c>
      <c r="AU26">
        <v>799.91800000000001</v>
      </c>
      <c r="AV26">
        <v>23.580300000000001</v>
      </c>
      <c r="AW26">
        <v>21.796800000000001</v>
      </c>
      <c r="AX26">
        <v>801.1</v>
      </c>
      <c r="AY26">
        <v>23.3691</v>
      </c>
      <c r="AZ26">
        <v>300.08199999999999</v>
      </c>
      <c r="BA26">
        <v>98.660600000000002</v>
      </c>
      <c r="BB26">
        <v>9.9940399999999999E-2</v>
      </c>
      <c r="BC26">
        <v>27.354099999999999</v>
      </c>
      <c r="BD26">
        <v>27.339600000000001</v>
      </c>
      <c r="BE26">
        <v>29.465599999999998</v>
      </c>
      <c r="BF26">
        <v>0</v>
      </c>
      <c r="BG26">
        <v>0</v>
      </c>
      <c r="BH26">
        <v>10027.5</v>
      </c>
      <c r="BI26">
        <v>1084.5</v>
      </c>
      <c r="BJ26">
        <v>1.4577199999999999</v>
      </c>
      <c r="BK26">
        <v>0.47991899999999998</v>
      </c>
      <c r="BL26">
        <v>819.72699999999998</v>
      </c>
      <c r="BM26">
        <v>817.74199999999996</v>
      </c>
      <c r="BN26">
        <v>1.7835300000000001</v>
      </c>
      <c r="BO26">
        <v>799.91800000000001</v>
      </c>
      <c r="BP26">
        <v>21.796800000000001</v>
      </c>
      <c r="BQ26">
        <v>2.3264399999999998</v>
      </c>
      <c r="BR26">
        <v>2.1504799999999999</v>
      </c>
      <c r="BS26">
        <v>19.860700000000001</v>
      </c>
      <c r="BT26">
        <v>18.598099999999999</v>
      </c>
      <c r="BU26">
        <v>1799.98</v>
      </c>
      <c r="BV26">
        <v>0.909995</v>
      </c>
      <c r="BW26">
        <v>3.4003499999999999E-2</v>
      </c>
      <c r="BX26">
        <v>2.1997699999999999E-2</v>
      </c>
      <c r="BY26">
        <v>3.4003699999999998E-2</v>
      </c>
      <c r="BZ26">
        <v>25</v>
      </c>
      <c r="CA26">
        <v>33528</v>
      </c>
      <c r="CB26">
        <v>1690376213.5999999</v>
      </c>
      <c r="CC26" t="s">
        <v>332</v>
      </c>
      <c r="CD26">
        <v>1690376213.5999999</v>
      </c>
      <c r="CE26">
        <v>1690376198.0999999</v>
      </c>
      <c r="CF26">
        <v>2</v>
      </c>
      <c r="CG26">
        <v>0.66900000000000004</v>
      </c>
      <c r="CH26">
        <v>-2.1000000000000001E-2</v>
      </c>
      <c r="CI26">
        <v>-0.70099999999999996</v>
      </c>
      <c r="CJ26">
        <v>0.21099999999999999</v>
      </c>
      <c r="CK26">
        <v>799</v>
      </c>
      <c r="CL26">
        <v>21</v>
      </c>
      <c r="CM26">
        <v>0.11</v>
      </c>
      <c r="CN26">
        <v>0.17</v>
      </c>
      <c r="CO26">
        <v>3.9804307499999991</v>
      </c>
      <c r="CP26">
        <v>-18.999703452157618</v>
      </c>
      <c r="CQ26">
        <v>1.8285292732266929</v>
      </c>
      <c r="CR26">
        <v>-1</v>
      </c>
      <c r="CS26">
        <v>1.9701997499999999</v>
      </c>
      <c r="CT26">
        <v>-0.87361744840526023</v>
      </c>
      <c r="CU26">
        <v>8.6089400145648018E-2</v>
      </c>
      <c r="CV26">
        <v>-1</v>
      </c>
      <c r="CW26">
        <v>0</v>
      </c>
      <c r="CX26">
        <v>0</v>
      </c>
      <c r="CY26" t="s">
        <v>333</v>
      </c>
      <c r="CZ26">
        <v>2.3648799999999999</v>
      </c>
      <c r="DA26">
        <v>2.7137500000000001</v>
      </c>
      <c r="DB26">
        <v>0.14650299999999999</v>
      </c>
      <c r="DC26">
        <v>0.14602299999999999</v>
      </c>
      <c r="DD26">
        <v>0.11212999999999999</v>
      </c>
      <c r="DE26">
        <v>0.104612</v>
      </c>
      <c r="DF26">
        <v>31176.1</v>
      </c>
      <c r="DG26">
        <v>27515.5</v>
      </c>
      <c r="DH26">
        <v>31180.799999999999</v>
      </c>
      <c r="DI26">
        <v>28072.799999999999</v>
      </c>
      <c r="DJ26">
        <v>37584.1</v>
      </c>
      <c r="DK26">
        <v>35726.5</v>
      </c>
      <c r="DL26">
        <v>44371.9</v>
      </c>
      <c r="DM26">
        <v>42532.3</v>
      </c>
      <c r="DN26">
        <v>1.42788</v>
      </c>
      <c r="DO26">
        <v>2.0873499999999998</v>
      </c>
      <c r="DP26">
        <v>0.102449</v>
      </c>
      <c r="DQ26">
        <v>0.22836400000000001</v>
      </c>
      <c r="DR26">
        <v>25.662800000000001</v>
      </c>
      <c r="DS26">
        <v>25.7346</v>
      </c>
      <c r="DT26">
        <v>61.7</v>
      </c>
      <c r="DU26">
        <v>26.5</v>
      </c>
      <c r="DV26">
        <v>21.735900000000001</v>
      </c>
      <c r="DW26">
        <v>61.5901</v>
      </c>
      <c r="DX26">
        <v>36.762799999999999</v>
      </c>
      <c r="DY26">
        <v>1</v>
      </c>
      <c r="DZ26">
        <v>-0.135244</v>
      </c>
      <c r="EA26">
        <v>4.3477899999999998</v>
      </c>
      <c r="EB26">
        <v>20.115100000000002</v>
      </c>
      <c r="EC26">
        <v>5.2404999999999999</v>
      </c>
      <c r="ED26">
        <v>12.039899999999999</v>
      </c>
      <c r="EE26">
        <v>5.0167999999999999</v>
      </c>
      <c r="EF26">
        <v>3.2879299999999998</v>
      </c>
      <c r="EG26">
        <v>9999</v>
      </c>
      <c r="EH26">
        <v>9999</v>
      </c>
      <c r="EI26">
        <v>9999</v>
      </c>
      <c r="EJ26">
        <v>999.9</v>
      </c>
      <c r="EK26">
        <v>1.86879</v>
      </c>
      <c r="EL26">
        <v>1.8644700000000001</v>
      </c>
      <c r="EM26">
        <v>1.8690899999999999</v>
      </c>
      <c r="EN26">
        <v>1.86713</v>
      </c>
      <c r="EO26">
        <v>1.8632500000000001</v>
      </c>
      <c r="EP26">
        <v>1.8643000000000001</v>
      </c>
      <c r="EQ26">
        <v>1.8700600000000001</v>
      </c>
      <c r="ER26">
        <v>1.86931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-0.70199999999999996</v>
      </c>
      <c r="FG26">
        <v>0.2112</v>
      </c>
      <c r="FH26">
        <v>-0.150361779349652</v>
      </c>
      <c r="FI26">
        <v>-6.1462078757559423E-4</v>
      </c>
      <c r="FJ26">
        <v>-1.8861989874597051E-7</v>
      </c>
      <c r="FK26">
        <v>1.1980462299894961E-10</v>
      </c>
      <c r="FL26">
        <v>0.21114761904761539</v>
      </c>
      <c r="FM26">
        <v>0</v>
      </c>
      <c r="FN26">
        <v>0</v>
      </c>
      <c r="FO26">
        <v>0</v>
      </c>
      <c r="FP26">
        <v>3</v>
      </c>
      <c r="FQ26">
        <v>2158</v>
      </c>
      <c r="FR26">
        <v>1</v>
      </c>
      <c r="FS26">
        <v>19</v>
      </c>
      <c r="FT26">
        <v>10.7</v>
      </c>
      <c r="FU26">
        <v>11</v>
      </c>
      <c r="FV26">
        <v>1.79688</v>
      </c>
      <c r="FW26">
        <v>2.5622600000000002</v>
      </c>
      <c r="FX26">
        <v>1.5490699999999999</v>
      </c>
      <c r="FY26">
        <v>2.33887</v>
      </c>
      <c r="FZ26">
        <v>1.50146</v>
      </c>
      <c r="GA26">
        <v>2.3913600000000002</v>
      </c>
      <c r="GB26">
        <v>31.608000000000001</v>
      </c>
      <c r="GC26">
        <v>23.973700000000001</v>
      </c>
      <c r="GD26">
        <v>19</v>
      </c>
      <c r="GE26">
        <v>260.06299999999999</v>
      </c>
      <c r="GF26">
        <v>617.89099999999996</v>
      </c>
      <c r="GG26">
        <v>23.563800000000001</v>
      </c>
      <c r="GH26">
        <v>25.615200000000002</v>
      </c>
      <c r="GI26">
        <v>30.0001</v>
      </c>
      <c r="GJ26">
        <v>25.665600000000001</v>
      </c>
      <c r="GK26">
        <v>25.632000000000001</v>
      </c>
      <c r="GL26">
        <v>35.915999999999997</v>
      </c>
      <c r="GM26">
        <v>0</v>
      </c>
      <c r="GN26">
        <v>100</v>
      </c>
      <c r="GO26">
        <v>23.260899999999999</v>
      </c>
      <c r="GP26">
        <v>800</v>
      </c>
      <c r="GQ26">
        <v>24.026700000000002</v>
      </c>
      <c r="GR26">
        <v>99.763499999999993</v>
      </c>
      <c r="GS26">
        <v>99.513099999999994</v>
      </c>
    </row>
    <row r="27" spans="1:201" x14ac:dyDescent="0.25">
      <c r="A27">
        <v>11</v>
      </c>
      <c r="B27">
        <v>1690376866</v>
      </c>
      <c r="C27">
        <v>149.5</v>
      </c>
      <c r="D27" t="s">
        <v>355</v>
      </c>
      <c r="E27" t="s">
        <v>356</v>
      </c>
      <c r="F27" t="s">
        <v>330</v>
      </c>
      <c r="H27">
        <v>1690376866</v>
      </c>
      <c r="I27">
        <f t="shared" si="0"/>
        <v>1.4385548393714513E-4</v>
      </c>
      <c r="J27">
        <f t="shared" si="1"/>
        <v>0.14385548393714512</v>
      </c>
      <c r="K27">
        <f t="shared" si="2"/>
        <v>0.12415632969775128</v>
      </c>
      <c r="L27">
        <f t="shared" si="3"/>
        <v>797.23599999999999</v>
      </c>
      <c r="M27">
        <f t="shared" si="4"/>
        <v>747.74954167028739</v>
      </c>
      <c r="N27">
        <f t="shared" si="5"/>
        <v>73.847192073671337</v>
      </c>
      <c r="O27">
        <f t="shared" si="6"/>
        <v>78.73443812287239</v>
      </c>
      <c r="P27">
        <f t="shared" si="7"/>
        <v>7.6209396198846256E-3</v>
      </c>
      <c r="Q27">
        <f t="shared" si="8"/>
        <v>2.0082414530815478</v>
      </c>
      <c r="R27">
        <f t="shared" si="9"/>
        <v>7.6049093439137985E-3</v>
      </c>
      <c r="S27">
        <f t="shared" si="10"/>
        <v>4.7545057582534436E-3</v>
      </c>
      <c r="T27">
        <f t="shared" si="11"/>
        <v>276.10806753481324</v>
      </c>
      <c r="U27">
        <f t="shared" si="12"/>
        <v>29.414788412699728</v>
      </c>
      <c r="V27">
        <f t="shared" si="13"/>
        <v>29.414788412699728</v>
      </c>
      <c r="W27">
        <f t="shared" si="14"/>
        <v>4.1193192041193321</v>
      </c>
      <c r="X27">
        <f t="shared" si="15"/>
        <v>63.972556330951413</v>
      </c>
      <c r="Y27">
        <f t="shared" si="16"/>
        <v>2.3120036772994501</v>
      </c>
      <c r="Z27">
        <f t="shared" si="17"/>
        <v>3.6140554792568902</v>
      </c>
      <c r="AA27">
        <f t="shared" si="18"/>
        <v>1.8073155268198819</v>
      </c>
      <c r="AB27">
        <f t="shared" si="19"/>
        <v>-6.3440268416281</v>
      </c>
      <c r="AC27">
        <f t="shared" si="20"/>
        <v>-243.54831604763365</v>
      </c>
      <c r="AD27">
        <f t="shared" si="21"/>
        <v>-26.511897210882569</v>
      </c>
      <c r="AE27">
        <f t="shared" si="22"/>
        <v>-0.29617256533109071</v>
      </c>
      <c r="AF27">
        <v>17</v>
      </c>
      <c r="AG27">
        <v>6</v>
      </c>
      <c r="AH27">
        <f t="shared" si="23"/>
        <v>1</v>
      </c>
      <c r="AI27">
        <f t="shared" si="24"/>
        <v>0</v>
      </c>
      <c r="AJ27">
        <f t="shared" si="25"/>
        <v>52180.020338543647</v>
      </c>
      <c r="AK27">
        <f t="shared" si="26"/>
        <v>1799.96</v>
      </c>
      <c r="AL27">
        <f t="shared" si="27"/>
        <v>1499.0787979975198</v>
      </c>
      <c r="AM27">
        <f t="shared" si="28"/>
        <v>0.83284006199999994</v>
      </c>
      <c r="AN27">
        <f t="shared" si="29"/>
        <v>0.15339677967000001</v>
      </c>
      <c r="AO27">
        <v>34.5</v>
      </c>
      <c r="AP27">
        <v>0.5</v>
      </c>
      <c r="AQ27" t="s">
        <v>331</v>
      </c>
      <c r="AR27">
        <v>2</v>
      </c>
      <c r="AS27">
        <v>1690376866</v>
      </c>
      <c r="AT27">
        <v>797.23599999999999</v>
      </c>
      <c r="AU27">
        <v>799.98199999999997</v>
      </c>
      <c r="AV27">
        <v>23.410499999999999</v>
      </c>
      <c r="AW27">
        <v>21.795300000000001</v>
      </c>
      <c r="AX27">
        <v>797.93600000000004</v>
      </c>
      <c r="AY27">
        <v>23.199400000000001</v>
      </c>
      <c r="AZ27">
        <v>300.07600000000002</v>
      </c>
      <c r="BA27">
        <v>98.659300000000002</v>
      </c>
      <c r="BB27">
        <v>9.9960900000000005E-2</v>
      </c>
      <c r="BC27">
        <v>27.165299999999998</v>
      </c>
      <c r="BD27">
        <v>27.106100000000001</v>
      </c>
      <c r="BE27">
        <v>29.254100000000001</v>
      </c>
      <c r="BF27">
        <v>0</v>
      </c>
      <c r="BG27">
        <v>0</v>
      </c>
      <c r="BH27">
        <v>10008.1</v>
      </c>
      <c r="BI27">
        <v>1084.3900000000001</v>
      </c>
      <c r="BJ27">
        <v>1.4577199999999999</v>
      </c>
      <c r="BK27">
        <v>-2.7464</v>
      </c>
      <c r="BL27">
        <v>816.34699999999998</v>
      </c>
      <c r="BM27">
        <v>817.80700000000002</v>
      </c>
      <c r="BN27">
        <v>1.6152299999999999</v>
      </c>
      <c r="BO27">
        <v>799.98199999999997</v>
      </c>
      <c r="BP27">
        <v>21.795300000000001</v>
      </c>
      <c r="BQ27">
        <v>2.3096700000000001</v>
      </c>
      <c r="BR27">
        <v>2.1503100000000002</v>
      </c>
      <c r="BS27">
        <v>19.744</v>
      </c>
      <c r="BT27">
        <v>18.596800000000002</v>
      </c>
      <c r="BU27">
        <v>1799.96</v>
      </c>
      <c r="BV27">
        <v>0.91001299999999996</v>
      </c>
      <c r="BW27">
        <v>3.3999599999999998E-2</v>
      </c>
      <c r="BX27">
        <v>2.1993100000000002E-2</v>
      </c>
      <c r="BY27">
        <v>3.3993900000000001E-2</v>
      </c>
      <c r="BZ27">
        <v>25</v>
      </c>
      <c r="CA27">
        <v>33527.800000000003</v>
      </c>
      <c r="CB27">
        <v>1690376213.5999999</v>
      </c>
      <c r="CC27" t="s">
        <v>332</v>
      </c>
      <c r="CD27">
        <v>1690376213.5999999</v>
      </c>
      <c r="CE27">
        <v>1690376198.0999999</v>
      </c>
      <c r="CF27">
        <v>2</v>
      </c>
      <c r="CG27">
        <v>0.66900000000000004</v>
      </c>
      <c r="CH27">
        <v>-2.1000000000000001E-2</v>
      </c>
      <c r="CI27">
        <v>-0.70099999999999996</v>
      </c>
      <c r="CJ27">
        <v>0.21099999999999999</v>
      </c>
      <c r="CK27">
        <v>799</v>
      </c>
      <c r="CL27">
        <v>21</v>
      </c>
      <c r="CM27">
        <v>0.11</v>
      </c>
      <c r="CN27">
        <v>0.17</v>
      </c>
      <c r="CO27">
        <v>0.64320261707317072</v>
      </c>
      <c r="CP27">
        <v>-19.839585884320559</v>
      </c>
      <c r="CQ27">
        <v>1.9566628978486109</v>
      </c>
      <c r="CR27">
        <v>-1</v>
      </c>
      <c r="CS27">
        <v>1.7957909756097561</v>
      </c>
      <c r="CT27">
        <v>-1.1319420209059221</v>
      </c>
      <c r="CU27">
        <v>0.1116941683698333</v>
      </c>
      <c r="CV27">
        <v>-1</v>
      </c>
      <c r="CW27">
        <v>0</v>
      </c>
      <c r="CX27">
        <v>0</v>
      </c>
      <c r="CY27" t="s">
        <v>333</v>
      </c>
      <c r="CZ27">
        <v>2.3648400000000001</v>
      </c>
      <c r="DA27">
        <v>2.7137600000000002</v>
      </c>
      <c r="DB27">
        <v>0.14610999999999999</v>
      </c>
      <c r="DC27">
        <v>0.14602799999999999</v>
      </c>
      <c r="DD27">
        <v>0.111556</v>
      </c>
      <c r="DE27">
        <v>0.104605</v>
      </c>
      <c r="DF27">
        <v>31191.4</v>
      </c>
      <c r="DG27">
        <v>27516.5</v>
      </c>
      <c r="DH27">
        <v>31181.8</v>
      </c>
      <c r="DI27">
        <v>28074.1</v>
      </c>
      <c r="DJ27">
        <v>37609.9</v>
      </c>
      <c r="DK27">
        <v>35728.400000000001</v>
      </c>
      <c r="DL27">
        <v>44373.3</v>
      </c>
      <c r="DM27">
        <v>42534.3</v>
      </c>
      <c r="DN27">
        <v>1.4285000000000001</v>
      </c>
      <c r="DO27">
        <v>2.0870000000000002</v>
      </c>
      <c r="DP27">
        <v>8.7778999999999996E-2</v>
      </c>
      <c r="DQ27">
        <v>0.21671499999999999</v>
      </c>
      <c r="DR27">
        <v>25.6691</v>
      </c>
      <c r="DS27">
        <v>25.712700000000002</v>
      </c>
      <c r="DT27">
        <v>61.7</v>
      </c>
      <c r="DU27">
        <v>26.5</v>
      </c>
      <c r="DV27">
        <v>21.736799999999999</v>
      </c>
      <c r="DW27">
        <v>61.670099999999998</v>
      </c>
      <c r="DX27">
        <v>36.730800000000002</v>
      </c>
      <c r="DY27">
        <v>1</v>
      </c>
      <c r="DZ27">
        <v>-0.13914599999999999</v>
      </c>
      <c r="EA27">
        <v>3.3852199999999999</v>
      </c>
      <c r="EB27">
        <v>20.1465</v>
      </c>
      <c r="EC27">
        <v>5.2413999999999996</v>
      </c>
      <c r="ED27">
        <v>12.039899999999999</v>
      </c>
      <c r="EE27">
        <v>5.0171000000000001</v>
      </c>
      <c r="EF27">
        <v>3.2879999999999998</v>
      </c>
      <c r="EG27">
        <v>9999</v>
      </c>
      <c r="EH27">
        <v>9999</v>
      </c>
      <c r="EI27">
        <v>9999</v>
      </c>
      <c r="EJ27">
        <v>999.9</v>
      </c>
      <c r="EK27">
        <v>1.86876</v>
      </c>
      <c r="EL27">
        <v>1.8644700000000001</v>
      </c>
      <c r="EM27">
        <v>1.8690800000000001</v>
      </c>
      <c r="EN27">
        <v>1.86713</v>
      </c>
      <c r="EO27">
        <v>1.8632500000000001</v>
      </c>
      <c r="EP27">
        <v>1.8643000000000001</v>
      </c>
      <c r="EQ27">
        <v>1.8701000000000001</v>
      </c>
      <c r="ER27">
        <v>1.8693200000000001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-0.7</v>
      </c>
      <c r="FG27">
        <v>0.21110000000000001</v>
      </c>
      <c r="FH27">
        <v>-0.150361779349652</v>
      </c>
      <c r="FI27">
        <v>-6.1462078757559423E-4</v>
      </c>
      <c r="FJ27">
        <v>-1.8861989874597051E-7</v>
      </c>
      <c r="FK27">
        <v>1.1980462299894961E-10</v>
      </c>
      <c r="FL27">
        <v>0.21114761904761539</v>
      </c>
      <c r="FM27">
        <v>0</v>
      </c>
      <c r="FN27">
        <v>0</v>
      </c>
      <c r="FO27">
        <v>0</v>
      </c>
      <c r="FP27">
        <v>3</v>
      </c>
      <c r="FQ27">
        <v>2158</v>
      </c>
      <c r="FR27">
        <v>1</v>
      </c>
      <c r="FS27">
        <v>19</v>
      </c>
      <c r="FT27">
        <v>10.9</v>
      </c>
      <c r="FU27">
        <v>11.1</v>
      </c>
      <c r="FV27">
        <v>1.79688</v>
      </c>
      <c r="FW27">
        <v>2.5671400000000002</v>
      </c>
      <c r="FX27">
        <v>1.5490699999999999</v>
      </c>
      <c r="FY27">
        <v>2.33887</v>
      </c>
      <c r="FZ27">
        <v>1.50146</v>
      </c>
      <c r="GA27">
        <v>2.3315399999999999</v>
      </c>
      <c r="GB27">
        <v>31.629799999999999</v>
      </c>
      <c r="GC27">
        <v>23.973700000000001</v>
      </c>
      <c r="GD27">
        <v>19</v>
      </c>
      <c r="GE27">
        <v>260.32</v>
      </c>
      <c r="GF27">
        <v>617.61500000000001</v>
      </c>
      <c r="GG27">
        <v>22.8659</v>
      </c>
      <c r="GH27">
        <v>25.621300000000002</v>
      </c>
      <c r="GI27">
        <v>29.9986</v>
      </c>
      <c r="GJ27">
        <v>25.6677</v>
      </c>
      <c r="GK27">
        <v>25.6341</v>
      </c>
      <c r="GL27">
        <v>35.914999999999999</v>
      </c>
      <c r="GM27">
        <v>0</v>
      </c>
      <c r="GN27">
        <v>100</v>
      </c>
      <c r="GO27">
        <v>22.8386</v>
      </c>
      <c r="GP27">
        <v>800</v>
      </c>
      <c r="GQ27">
        <v>24.026700000000002</v>
      </c>
      <c r="GR27">
        <v>99.7667</v>
      </c>
      <c r="GS27">
        <v>99.517600000000002</v>
      </c>
    </row>
    <row r="28" spans="1:201" x14ac:dyDescent="0.25">
      <c r="A28">
        <v>12</v>
      </c>
      <c r="B28">
        <v>1690376876</v>
      </c>
      <c r="C28">
        <v>159.5</v>
      </c>
      <c r="D28" t="s">
        <v>357</v>
      </c>
      <c r="E28" t="s">
        <v>358</v>
      </c>
      <c r="F28" t="s">
        <v>330</v>
      </c>
      <c r="H28">
        <v>1690376876</v>
      </c>
      <c r="I28">
        <f t="shared" si="0"/>
        <v>1.391108782088297E-4</v>
      </c>
      <c r="J28">
        <f t="shared" si="1"/>
        <v>0.1391108782088297</v>
      </c>
      <c r="K28">
        <f t="shared" si="2"/>
        <v>0.36154867845008065</v>
      </c>
      <c r="L28">
        <f t="shared" si="3"/>
        <v>794.49400000000003</v>
      </c>
      <c r="M28">
        <f t="shared" si="4"/>
        <v>695.02403982056023</v>
      </c>
      <c r="N28">
        <f t="shared" si="5"/>
        <v>68.640189615877304</v>
      </c>
      <c r="O28">
        <f t="shared" si="6"/>
        <v>78.463787846469799</v>
      </c>
      <c r="P28">
        <f t="shared" si="7"/>
        <v>7.4953666476377427E-3</v>
      </c>
      <c r="Q28">
        <f t="shared" si="8"/>
        <v>2.0109277013766267</v>
      </c>
      <c r="R28">
        <f t="shared" si="9"/>
        <v>7.4798803806941415E-3</v>
      </c>
      <c r="S28">
        <f t="shared" si="10"/>
        <v>4.6763139235667757E-3</v>
      </c>
      <c r="T28">
        <f t="shared" si="11"/>
        <v>276.11152660652431</v>
      </c>
      <c r="U28">
        <f t="shared" si="12"/>
        <v>29.264971967731537</v>
      </c>
      <c r="V28">
        <f t="shared" si="13"/>
        <v>29.264971967731537</v>
      </c>
      <c r="W28">
        <f t="shared" si="14"/>
        <v>4.0838513123095943</v>
      </c>
      <c r="X28">
        <f t="shared" si="15"/>
        <v>64.382898086126545</v>
      </c>
      <c r="Y28">
        <f t="shared" si="16"/>
        <v>2.3065466295678396</v>
      </c>
      <c r="Z28">
        <f t="shared" si="17"/>
        <v>3.582545517727886</v>
      </c>
      <c r="AA28">
        <f t="shared" si="18"/>
        <v>1.7773046827417547</v>
      </c>
      <c r="AB28">
        <f t="shared" si="19"/>
        <v>-6.1347897290093902</v>
      </c>
      <c r="AC28">
        <f t="shared" si="20"/>
        <v>-243.80725851864329</v>
      </c>
      <c r="AD28">
        <f t="shared" si="21"/>
        <v>-26.465194754444187</v>
      </c>
      <c r="AE28">
        <f t="shared" si="22"/>
        <v>-0.2957163955725548</v>
      </c>
      <c r="AF28">
        <v>17</v>
      </c>
      <c r="AG28">
        <v>6</v>
      </c>
      <c r="AH28">
        <f t="shared" si="23"/>
        <v>1</v>
      </c>
      <c r="AI28">
        <f t="shared" si="24"/>
        <v>0</v>
      </c>
      <c r="AJ28">
        <f t="shared" si="25"/>
        <v>52334.582895149499</v>
      </c>
      <c r="AK28">
        <f t="shared" si="26"/>
        <v>1799.97</v>
      </c>
      <c r="AL28">
        <f t="shared" si="27"/>
        <v>1499.0837910537298</v>
      </c>
      <c r="AM28">
        <f t="shared" si="28"/>
        <v>0.83283820899999983</v>
      </c>
      <c r="AN28">
        <f t="shared" si="29"/>
        <v>0.15339784918999999</v>
      </c>
      <c r="AO28">
        <v>34.5</v>
      </c>
      <c r="AP28">
        <v>0.5</v>
      </c>
      <c r="AQ28" t="s">
        <v>331</v>
      </c>
      <c r="AR28">
        <v>2</v>
      </c>
      <c r="AS28">
        <v>1690376876</v>
      </c>
      <c r="AT28">
        <v>794.49400000000003</v>
      </c>
      <c r="AU28">
        <v>799.92</v>
      </c>
      <c r="AV28">
        <v>23.3552</v>
      </c>
      <c r="AW28">
        <v>21.793600000000001</v>
      </c>
      <c r="AX28">
        <v>795.19200000000001</v>
      </c>
      <c r="AY28">
        <v>23.144100000000002</v>
      </c>
      <c r="AZ28">
        <v>300.15600000000001</v>
      </c>
      <c r="BA28">
        <v>98.659499999999994</v>
      </c>
      <c r="BB28">
        <v>9.9946699999999999E-2</v>
      </c>
      <c r="BC28">
        <v>27.016100000000002</v>
      </c>
      <c r="BD28">
        <v>26.927700000000002</v>
      </c>
      <c r="BE28">
        <v>29.029</v>
      </c>
      <c r="BF28">
        <v>0</v>
      </c>
      <c r="BG28">
        <v>0</v>
      </c>
      <c r="BH28">
        <v>10033.799999999999</v>
      </c>
      <c r="BI28">
        <v>1084.27</v>
      </c>
      <c r="BJ28">
        <v>1.4577199999999999</v>
      </c>
      <c r="BK28">
        <v>-5.4259599999999999</v>
      </c>
      <c r="BL28">
        <v>813.49300000000005</v>
      </c>
      <c r="BM28">
        <v>817.74199999999996</v>
      </c>
      <c r="BN28">
        <v>1.5616699999999999</v>
      </c>
      <c r="BO28">
        <v>799.92</v>
      </c>
      <c r="BP28">
        <v>21.793600000000001</v>
      </c>
      <c r="BQ28">
        <v>2.3042199999999999</v>
      </c>
      <c r="BR28">
        <v>2.1501399999999999</v>
      </c>
      <c r="BS28">
        <v>19.7059</v>
      </c>
      <c r="BT28">
        <v>18.595600000000001</v>
      </c>
      <c r="BU28">
        <v>1799.97</v>
      </c>
      <c r="BV28">
        <v>0.90997799999999995</v>
      </c>
      <c r="BW28">
        <v>3.4006300000000003E-2</v>
      </c>
      <c r="BX28">
        <v>2.2004200000000002E-2</v>
      </c>
      <c r="BY28">
        <v>3.40115E-2</v>
      </c>
      <c r="BZ28">
        <v>25</v>
      </c>
      <c r="CA28">
        <v>33527.699999999997</v>
      </c>
      <c r="CB28">
        <v>1690376213.5999999</v>
      </c>
      <c r="CC28" t="s">
        <v>332</v>
      </c>
      <c r="CD28">
        <v>1690376213.5999999</v>
      </c>
      <c r="CE28">
        <v>1690376198.0999999</v>
      </c>
      <c r="CF28">
        <v>2</v>
      </c>
      <c r="CG28">
        <v>0.66900000000000004</v>
      </c>
      <c r="CH28">
        <v>-2.1000000000000001E-2</v>
      </c>
      <c r="CI28">
        <v>-0.70099999999999996</v>
      </c>
      <c r="CJ28">
        <v>0.21099999999999999</v>
      </c>
      <c r="CK28">
        <v>799</v>
      </c>
      <c r="CL28">
        <v>21</v>
      </c>
      <c r="CM28">
        <v>0.11</v>
      </c>
      <c r="CN28">
        <v>0.17</v>
      </c>
      <c r="CO28">
        <v>-2.5162612853658541</v>
      </c>
      <c r="CP28">
        <v>-17.985404964459931</v>
      </c>
      <c r="CQ28">
        <v>1.7750482150431259</v>
      </c>
      <c r="CR28">
        <v>-1</v>
      </c>
      <c r="CS28">
        <v>1.641018536585366</v>
      </c>
      <c r="CT28">
        <v>-0.71832125435539673</v>
      </c>
      <c r="CU28">
        <v>7.2990145327513828E-2</v>
      </c>
      <c r="CV28">
        <v>-1</v>
      </c>
      <c r="CW28">
        <v>0</v>
      </c>
      <c r="CX28">
        <v>0</v>
      </c>
      <c r="CY28" t="s">
        <v>333</v>
      </c>
      <c r="CZ28">
        <v>2.3651</v>
      </c>
      <c r="DA28">
        <v>2.7137699999999998</v>
      </c>
      <c r="DB28">
        <v>0.14577200000000001</v>
      </c>
      <c r="DC28">
        <v>0.14602000000000001</v>
      </c>
      <c r="DD28">
        <v>0.11136799999999999</v>
      </c>
      <c r="DE28">
        <v>0.104598</v>
      </c>
      <c r="DF28">
        <v>31204.400000000001</v>
      </c>
      <c r="DG28">
        <v>27517.1</v>
      </c>
      <c r="DH28">
        <v>31182.400000000001</v>
      </c>
      <c r="DI28">
        <v>28074.400000000001</v>
      </c>
      <c r="DJ28">
        <v>37618.6</v>
      </c>
      <c r="DK28">
        <v>35729.300000000003</v>
      </c>
      <c r="DL28">
        <v>44374.1</v>
      </c>
      <c r="DM28">
        <v>42535</v>
      </c>
      <c r="DN28">
        <v>1.4290499999999999</v>
      </c>
      <c r="DO28">
        <v>2.0867</v>
      </c>
      <c r="DP28">
        <v>7.7515799999999996E-2</v>
      </c>
      <c r="DQ28">
        <v>0.20532700000000001</v>
      </c>
      <c r="DR28">
        <v>25.6586</v>
      </c>
      <c r="DS28">
        <v>25.672899999999998</v>
      </c>
      <c r="DT28">
        <v>61.7</v>
      </c>
      <c r="DU28">
        <v>26.5</v>
      </c>
      <c r="DV28">
        <v>21.735900000000001</v>
      </c>
      <c r="DW28">
        <v>61.540100000000002</v>
      </c>
      <c r="DX28">
        <v>35.885399999999997</v>
      </c>
      <c r="DY28">
        <v>1</v>
      </c>
      <c r="DZ28">
        <v>-0.14292199999999999</v>
      </c>
      <c r="EA28">
        <v>2.2979699999999998</v>
      </c>
      <c r="EB28">
        <v>20.171600000000002</v>
      </c>
      <c r="EC28">
        <v>5.2406499999999996</v>
      </c>
      <c r="ED28">
        <v>12.039899999999999</v>
      </c>
      <c r="EE28">
        <v>5.01675</v>
      </c>
      <c r="EF28">
        <v>3.2879700000000001</v>
      </c>
      <c r="EG28">
        <v>9999</v>
      </c>
      <c r="EH28">
        <v>9999</v>
      </c>
      <c r="EI28">
        <v>9999</v>
      </c>
      <c r="EJ28">
        <v>999.9</v>
      </c>
      <c r="EK28">
        <v>1.8687800000000001</v>
      </c>
      <c r="EL28">
        <v>1.8644700000000001</v>
      </c>
      <c r="EM28">
        <v>1.8690800000000001</v>
      </c>
      <c r="EN28">
        <v>1.8671199999999999</v>
      </c>
      <c r="EO28">
        <v>1.8632500000000001</v>
      </c>
      <c r="EP28">
        <v>1.8643099999999999</v>
      </c>
      <c r="EQ28">
        <v>1.8700600000000001</v>
      </c>
      <c r="ER28">
        <v>1.86934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-0.69799999999999995</v>
      </c>
      <c r="FG28">
        <v>0.21110000000000001</v>
      </c>
      <c r="FH28">
        <v>-0.150361779349652</v>
      </c>
      <c r="FI28">
        <v>-6.1462078757559423E-4</v>
      </c>
      <c r="FJ28">
        <v>-1.8861989874597051E-7</v>
      </c>
      <c r="FK28">
        <v>1.1980462299894961E-10</v>
      </c>
      <c r="FL28">
        <v>0.21114761904761539</v>
      </c>
      <c r="FM28">
        <v>0</v>
      </c>
      <c r="FN28">
        <v>0</v>
      </c>
      <c r="FO28">
        <v>0</v>
      </c>
      <c r="FP28">
        <v>3</v>
      </c>
      <c r="FQ28">
        <v>2158</v>
      </c>
      <c r="FR28">
        <v>1</v>
      </c>
      <c r="FS28">
        <v>19</v>
      </c>
      <c r="FT28">
        <v>11</v>
      </c>
      <c r="FU28">
        <v>11.3</v>
      </c>
      <c r="FV28">
        <v>1.79565</v>
      </c>
      <c r="FW28">
        <v>2.5695800000000002</v>
      </c>
      <c r="FX28">
        <v>1.5490699999999999</v>
      </c>
      <c r="FY28">
        <v>2.33887</v>
      </c>
      <c r="FZ28">
        <v>1.50146</v>
      </c>
      <c r="GA28">
        <v>2.2802699999999998</v>
      </c>
      <c r="GB28">
        <v>31.629799999999999</v>
      </c>
      <c r="GC28">
        <v>23.973700000000001</v>
      </c>
      <c r="GD28">
        <v>19</v>
      </c>
      <c r="GE28">
        <v>260.55900000000003</v>
      </c>
      <c r="GF28">
        <v>617.40200000000004</v>
      </c>
      <c r="GG28">
        <v>22.661000000000001</v>
      </c>
      <c r="GH28">
        <v>25.628599999999999</v>
      </c>
      <c r="GI28">
        <v>29.9983</v>
      </c>
      <c r="GJ28">
        <v>25.672699999999999</v>
      </c>
      <c r="GK28">
        <v>25.637899999999998</v>
      </c>
      <c r="GL28">
        <v>35.9178</v>
      </c>
      <c r="GM28">
        <v>0</v>
      </c>
      <c r="GN28">
        <v>100</v>
      </c>
      <c r="GO28">
        <v>25.7349</v>
      </c>
      <c r="GP28">
        <v>800</v>
      </c>
      <c r="GQ28">
        <v>24.026700000000002</v>
      </c>
      <c r="GR28">
        <v>99.768600000000006</v>
      </c>
      <c r="GS28">
        <v>99.519099999999995</v>
      </c>
    </row>
    <row r="29" spans="1:201" x14ac:dyDescent="0.25">
      <c r="A29">
        <v>13</v>
      </c>
      <c r="B29">
        <v>1690376886</v>
      </c>
      <c r="C29">
        <v>169.5</v>
      </c>
      <c r="D29" t="s">
        <v>359</v>
      </c>
      <c r="E29" t="s">
        <v>360</v>
      </c>
      <c r="F29" t="s">
        <v>330</v>
      </c>
      <c r="H29">
        <v>1690376886</v>
      </c>
      <c r="I29">
        <f t="shared" si="0"/>
        <v>1.6862146683959786E-4</v>
      </c>
      <c r="J29">
        <f t="shared" si="1"/>
        <v>0.16862146683959786</v>
      </c>
      <c r="K29">
        <f t="shared" si="2"/>
        <v>0.58240715532535681</v>
      </c>
      <c r="L29">
        <f t="shared" si="3"/>
        <v>791.851</v>
      </c>
      <c r="M29">
        <f t="shared" si="4"/>
        <v>669.07071659734652</v>
      </c>
      <c r="N29">
        <f t="shared" si="5"/>
        <v>66.076045819291906</v>
      </c>
      <c r="O29">
        <f t="shared" si="6"/>
        <v>78.20157370531021</v>
      </c>
      <c r="P29">
        <f t="shared" si="7"/>
        <v>9.2147662544033882E-3</v>
      </c>
      <c r="Q29">
        <f t="shared" si="8"/>
        <v>2.0063980316596588</v>
      </c>
      <c r="R29">
        <f t="shared" si="9"/>
        <v>9.19131942584301E-3</v>
      </c>
      <c r="S29">
        <f t="shared" si="10"/>
        <v>5.7466762347067671E-3</v>
      </c>
      <c r="T29">
        <f t="shared" si="11"/>
        <v>276.11030718084839</v>
      </c>
      <c r="U29">
        <f t="shared" si="12"/>
        <v>29.297498263796502</v>
      </c>
      <c r="V29">
        <f t="shared" si="13"/>
        <v>29.297498263796502</v>
      </c>
      <c r="W29">
        <f t="shared" si="14"/>
        <v>4.0915289521167466</v>
      </c>
      <c r="X29">
        <f t="shared" si="15"/>
        <v>65.132194822299653</v>
      </c>
      <c r="Y29">
        <f t="shared" si="16"/>
        <v>2.3387262850522803</v>
      </c>
      <c r="Z29">
        <f t="shared" si="17"/>
        <v>3.5907377164749841</v>
      </c>
      <c r="AA29">
        <f t="shared" si="18"/>
        <v>1.7528026670644663</v>
      </c>
      <c r="AB29">
        <f t="shared" si="19"/>
        <v>-7.4362066876262656</v>
      </c>
      <c r="AC29">
        <f t="shared" si="20"/>
        <v>-242.5686392529829</v>
      </c>
      <c r="AD29">
        <f t="shared" si="21"/>
        <v>-26.399575690986971</v>
      </c>
      <c r="AE29">
        <f t="shared" si="22"/>
        <v>-0.29411445074774178</v>
      </c>
      <c r="AF29">
        <v>15</v>
      </c>
      <c r="AG29">
        <v>5</v>
      </c>
      <c r="AH29">
        <f t="shared" si="23"/>
        <v>1</v>
      </c>
      <c r="AI29">
        <f t="shared" si="24"/>
        <v>0</v>
      </c>
      <c r="AJ29">
        <f t="shared" si="25"/>
        <v>52111.066505129944</v>
      </c>
      <c r="AK29">
        <f t="shared" si="26"/>
        <v>1799.97</v>
      </c>
      <c r="AL29">
        <f t="shared" si="27"/>
        <v>1499.08767538899</v>
      </c>
      <c r="AM29">
        <f t="shared" si="28"/>
        <v>0.83284036699999997</v>
      </c>
      <c r="AN29">
        <f t="shared" si="29"/>
        <v>0.15339717172</v>
      </c>
      <c r="AO29">
        <v>34.5</v>
      </c>
      <c r="AP29">
        <v>0.5</v>
      </c>
      <c r="AQ29" t="s">
        <v>331</v>
      </c>
      <c r="AR29">
        <v>2</v>
      </c>
      <c r="AS29">
        <v>1690376886</v>
      </c>
      <c r="AT29">
        <v>791.851</v>
      </c>
      <c r="AU29">
        <v>800.07799999999997</v>
      </c>
      <c r="AV29">
        <v>23.6814</v>
      </c>
      <c r="AW29">
        <v>21.7896</v>
      </c>
      <c r="AX29">
        <v>792.54700000000003</v>
      </c>
      <c r="AY29">
        <v>23.470300000000002</v>
      </c>
      <c r="AZ29">
        <v>300.226</v>
      </c>
      <c r="BA29">
        <v>98.658000000000001</v>
      </c>
      <c r="BB29">
        <v>9.9940200000000007E-2</v>
      </c>
      <c r="BC29">
        <v>27.055</v>
      </c>
      <c r="BD29">
        <v>26.9742</v>
      </c>
      <c r="BE29">
        <v>28.995100000000001</v>
      </c>
      <c r="BF29">
        <v>0</v>
      </c>
      <c r="BG29">
        <v>0</v>
      </c>
      <c r="BH29">
        <v>9990.6200000000008</v>
      </c>
      <c r="BI29">
        <v>1083.97</v>
      </c>
      <c r="BJ29">
        <v>1.4577199999999999</v>
      </c>
      <c r="BK29">
        <v>-8.2275399999999994</v>
      </c>
      <c r="BL29">
        <v>811.05799999999999</v>
      </c>
      <c r="BM29">
        <v>817.9</v>
      </c>
      <c r="BN29">
        <v>1.8917900000000001</v>
      </c>
      <c r="BO29">
        <v>800.07799999999997</v>
      </c>
      <c r="BP29">
        <v>21.7896</v>
      </c>
      <c r="BQ29">
        <v>2.33636</v>
      </c>
      <c r="BR29">
        <v>2.1497199999999999</v>
      </c>
      <c r="BS29">
        <v>19.929300000000001</v>
      </c>
      <c r="BT29">
        <v>18.592500000000001</v>
      </c>
      <c r="BU29">
        <v>1799.97</v>
      </c>
      <c r="BV29">
        <v>0.91000499999999995</v>
      </c>
      <c r="BW29">
        <v>3.3996199999999997E-2</v>
      </c>
      <c r="BX29">
        <v>2.1997099999999999E-2</v>
      </c>
      <c r="BY29">
        <v>3.4001799999999999E-2</v>
      </c>
      <c r="BZ29">
        <v>25</v>
      </c>
      <c r="CA29">
        <v>33528</v>
      </c>
      <c r="CB29">
        <v>1690376213.5999999</v>
      </c>
      <c r="CC29" t="s">
        <v>332</v>
      </c>
      <c r="CD29">
        <v>1690376213.5999999</v>
      </c>
      <c r="CE29">
        <v>1690376198.0999999</v>
      </c>
      <c r="CF29">
        <v>2</v>
      </c>
      <c r="CG29">
        <v>0.66900000000000004</v>
      </c>
      <c r="CH29">
        <v>-2.1000000000000001E-2</v>
      </c>
      <c r="CI29">
        <v>-0.70099999999999996</v>
      </c>
      <c r="CJ29">
        <v>0.21099999999999999</v>
      </c>
      <c r="CK29">
        <v>799</v>
      </c>
      <c r="CL29">
        <v>21</v>
      </c>
      <c r="CM29">
        <v>0.11</v>
      </c>
      <c r="CN29">
        <v>0.17</v>
      </c>
      <c r="CO29">
        <v>-5.069431707317074</v>
      </c>
      <c r="CP29">
        <v>-16.149098675958189</v>
      </c>
      <c r="CQ29">
        <v>1.593123988502146</v>
      </c>
      <c r="CR29">
        <v>-1</v>
      </c>
      <c r="CS29">
        <v>1.600901951219512</v>
      </c>
      <c r="CT29">
        <v>0.20889658536585401</v>
      </c>
      <c r="CU29">
        <v>5.1590444247516978E-2</v>
      </c>
      <c r="CV29">
        <v>-1</v>
      </c>
      <c r="CW29">
        <v>0</v>
      </c>
      <c r="CX29">
        <v>0</v>
      </c>
      <c r="CY29" t="s">
        <v>333</v>
      </c>
      <c r="CZ29">
        <v>2.3653200000000001</v>
      </c>
      <c r="DA29">
        <v>2.7137199999999999</v>
      </c>
      <c r="DB29">
        <v>0.14544899999999999</v>
      </c>
      <c r="DC29">
        <v>0.146036</v>
      </c>
      <c r="DD29">
        <v>0.11246299999999999</v>
      </c>
      <c r="DE29">
        <v>0.104583</v>
      </c>
      <c r="DF29">
        <v>31215.4</v>
      </c>
      <c r="DG29">
        <v>27515.599999999999</v>
      </c>
      <c r="DH29">
        <v>31181.7</v>
      </c>
      <c r="DI29">
        <v>28073.4</v>
      </c>
      <c r="DJ29">
        <v>37570.800000000003</v>
      </c>
      <c r="DK29">
        <v>35728.6</v>
      </c>
      <c r="DL29">
        <v>44373.1</v>
      </c>
      <c r="DM29">
        <v>42533.5</v>
      </c>
      <c r="DN29">
        <v>1.43442</v>
      </c>
      <c r="DO29">
        <v>2.08623</v>
      </c>
      <c r="DP29">
        <v>8.1743999999999997E-2</v>
      </c>
      <c r="DQ29">
        <v>0.20618400000000001</v>
      </c>
      <c r="DR29">
        <v>25.635899999999999</v>
      </c>
      <c r="DS29">
        <v>25.6249</v>
      </c>
      <c r="DT29">
        <v>61.7</v>
      </c>
      <c r="DU29">
        <v>26.5</v>
      </c>
      <c r="DV29">
        <v>21.7362</v>
      </c>
      <c r="DW29">
        <v>61.770099999999999</v>
      </c>
      <c r="DX29">
        <v>35.613</v>
      </c>
      <c r="DY29">
        <v>1</v>
      </c>
      <c r="DZ29">
        <v>-0.13324900000000001</v>
      </c>
      <c r="EA29">
        <v>-5.4068800000000001</v>
      </c>
      <c r="EB29">
        <v>20.063700000000001</v>
      </c>
      <c r="EC29">
        <v>5.2408000000000001</v>
      </c>
      <c r="ED29">
        <v>12.039899999999999</v>
      </c>
      <c r="EE29">
        <v>5.0169499999999996</v>
      </c>
      <c r="EF29">
        <v>3.2879999999999998</v>
      </c>
      <c r="EG29">
        <v>9999</v>
      </c>
      <c r="EH29">
        <v>9999</v>
      </c>
      <c r="EI29">
        <v>9999</v>
      </c>
      <c r="EJ29">
        <v>999.9</v>
      </c>
      <c r="EK29">
        <v>1.8687800000000001</v>
      </c>
      <c r="EL29">
        <v>1.8644700000000001</v>
      </c>
      <c r="EM29">
        <v>1.8691</v>
      </c>
      <c r="EN29">
        <v>1.8670899999999999</v>
      </c>
      <c r="EO29">
        <v>1.8632500000000001</v>
      </c>
      <c r="EP29">
        <v>1.8643000000000001</v>
      </c>
      <c r="EQ29">
        <v>1.8700600000000001</v>
      </c>
      <c r="ER29">
        <v>1.8693500000000001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-0.69599999999999995</v>
      </c>
      <c r="FG29">
        <v>0.21110000000000001</v>
      </c>
      <c r="FH29">
        <v>-0.150361779349652</v>
      </c>
      <c r="FI29">
        <v>-6.1462078757559423E-4</v>
      </c>
      <c r="FJ29">
        <v>-1.8861989874597051E-7</v>
      </c>
      <c r="FK29">
        <v>1.1980462299894961E-10</v>
      </c>
      <c r="FL29">
        <v>0.21114761904761539</v>
      </c>
      <c r="FM29">
        <v>0</v>
      </c>
      <c r="FN29">
        <v>0</v>
      </c>
      <c r="FO29">
        <v>0</v>
      </c>
      <c r="FP29">
        <v>3</v>
      </c>
      <c r="FQ29">
        <v>2158</v>
      </c>
      <c r="FR29">
        <v>1</v>
      </c>
      <c r="FS29">
        <v>19</v>
      </c>
      <c r="FT29">
        <v>11.2</v>
      </c>
      <c r="FU29">
        <v>11.5</v>
      </c>
      <c r="FV29">
        <v>1.79565</v>
      </c>
      <c r="FW29">
        <v>2.5598100000000001</v>
      </c>
      <c r="FX29">
        <v>1.5490699999999999</v>
      </c>
      <c r="FY29">
        <v>2.33887</v>
      </c>
      <c r="FZ29">
        <v>1.50146</v>
      </c>
      <c r="GA29">
        <v>2.36694</v>
      </c>
      <c r="GB29">
        <v>31.629799999999999</v>
      </c>
      <c r="GC29">
        <v>23.973700000000001</v>
      </c>
      <c r="GD29">
        <v>19</v>
      </c>
      <c r="GE29">
        <v>262.75400000000002</v>
      </c>
      <c r="GF29">
        <v>617.02599999999995</v>
      </c>
      <c r="GG29">
        <v>26.072500000000002</v>
      </c>
      <c r="GH29">
        <v>25.6373</v>
      </c>
      <c r="GI29">
        <v>30.003</v>
      </c>
      <c r="GJ29">
        <v>25.683299999999999</v>
      </c>
      <c r="GK29">
        <v>25.640599999999999</v>
      </c>
      <c r="GL29">
        <v>35.914299999999997</v>
      </c>
      <c r="GM29">
        <v>0</v>
      </c>
      <c r="GN29">
        <v>100</v>
      </c>
      <c r="GO29">
        <v>25.864000000000001</v>
      </c>
      <c r="GP29">
        <v>800</v>
      </c>
      <c r="GQ29">
        <v>23.349900000000002</v>
      </c>
      <c r="GR29">
        <v>99.766199999999998</v>
      </c>
      <c r="GS29">
        <v>99.515500000000003</v>
      </c>
    </row>
    <row r="30" spans="1:201" x14ac:dyDescent="0.25">
      <c r="A30">
        <v>14</v>
      </c>
      <c r="B30">
        <v>1690376896</v>
      </c>
      <c r="C30">
        <v>179.5</v>
      </c>
      <c r="D30" t="s">
        <v>361</v>
      </c>
      <c r="E30" t="s">
        <v>362</v>
      </c>
      <c r="F30" t="s">
        <v>330</v>
      </c>
      <c r="H30">
        <v>1690376896</v>
      </c>
      <c r="I30">
        <f t="shared" si="0"/>
        <v>2.177905057728047E-4</v>
      </c>
      <c r="J30">
        <f t="shared" si="1"/>
        <v>0.2177905057728047</v>
      </c>
      <c r="K30">
        <f t="shared" si="2"/>
        <v>0.77924063216542561</v>
      </c>
      <c r="L30">
        <f t="shared" si="3"/>
        <v>789.01800000000003</v>
      </c>
      <c r="M30">
        <f t="shared" si="4"/>
        <v>663.12611250469058</v>
      </c>
      <c r="N30">
        <f t="shared" si="5"/>
        <v>65.492321596796302</v>
      </c>
      <c r="O30">
        <f t="shared" si="6"/>
        <v>77.925781577927992</v>
      </c>
      <c r="P30">
        <f t="shared" si="7"/>
        <v>1.1947044078898248E-2</v>
      </c>
      <c r="Q30">
        <f t="shared" si="8"/>
        <v>2.0096486914084677</v>
      </c>
      <c r="R30">
        <f t="shared" si="9"/>
        <v>1.1907726911416994E-2</v>
      </c>
      <c r="S30">
        <f t="shared" si="10"/>
        <v>7.4458509692218941E-3</v>
      </c>
      <c r="T30">
        <f t="shared" si="11"/>
        <v>276.11130223855355</v>
      </c>
      <c r="U30">
        <f t="shared" si="12"/>
        <v>29.499576692996204</v>
      </c>
      <c r="V30">
        <f t="shared" si="13"/>
        <v>29.499576692996204</v>
      </c>
      <c r="W30">
        <f t="shared" si="14"/>
        <v>4.1395109318072549</v>
      </c>
      <c r="X30">
        <f t="shared" si="15"/>
        <v>65.77107513683346</v>
      </c>
      <c r="Y30">
        <f t="shared" si="16"/>
        <v>2.3928891248855999</v>
      </c>
      <c r="Z30">
        <f t="shared" si="17"/>
        <v>3.6382089237667361</v>
      </c>
      <c r="AA30">
        <f t="shared" si="18"/>
        <v>1.746621806921655</v>
      </c>
      <c r="AB30">
        <f t="shared" si="19"/>
        <v>-9.6045613045806881</v>
      </c>
      <c r="AC30">
        <f t="shared" si="20"/>
        <v>-240.59739590564899</v>
      </c>
      <c r="AD30">
        <f t="shared" si="21"/>
        <v>-26.198178866828023</v>
      </c>
      <c r="AE30">
        <f t="shared" si="22"/>
        <v>-0.28883383850416067</v>
      </c>
      <c r="AF30">
        <v>16</v>
      </c>
      <c r="AG30">
        <v>5</v>
      </c>
      <c r="AH30">
        <f t="shared" si="23"/>
        <v>1</v>
      </c>
      <c r="AI30">
        <f t="shared" si="24"/>
        <v>0</v>
      </c>
      <c r="AJ30">
        <f t="shared" si="25"/>
        <v>52227.643801802602</v>
      </c>
      <c r="AK30">
        <f t="shared" si="26"/>
        <v>1799.98</v>
      </c>
      <c r="AL30">
        <f t="shared" si="27"/>
        <v>1499.0937898172601</v>
      </c>
      <c r="AM30">
        <f t="shared" si="28"/>
        <v>0.83283913700000001</v>
      </c>
      <c r="AN30">
        <f t="shared" si="29"/>
        <v>0.15339687231999996</v>
      </c>
      <c r="AO30">
        <v>34.5</v>
      </c>
      <c r="AP30">
        <v>0.5</v>
      </c>
      <c r="AQ30" t="s">
        <v>331</v>
      </c>
      <c r="AR30">
        <v>2</v>
      </c>
      <c r="AS30">
        <v>1690376896</v>
      </c>
      <c r="AT30">
        <v>789.01800000000003</v>
      </c>
      <c r="AU30">
        <v>799.94600000000003</v>
      </c>
      <c r="AV30">
        <v>24.2286</v>
      </c>
      <c r="AW30">
        <v>21.786799999999999</v>
      </c>
      <c r="AX30">
        <v>789.71199999999999</v>
      </c>
      <c r="AY30">
        <v>24.017499999999998</v>
      </c>
      <c r="AZ30">
        <v>300.25900000000001</v>
      </c>
      <c r="BA30">
        <v>98.662899999999993</v>
      </c>
      <c r="BB30">
        <v>0.100096</v>
      </c>
      <c r="BC30">
        <v>27.2789</v>
      </c>
      <c r="BD30">
        <v>27.2195</v>
      </c>
      <c r="BE30">
        <v>29.178999999999998</v>
      </c>
      <c r="BF30">
        <v>0</v>
      </c>
      <c r="BG30">
        <v>0</v>
      </c>
      <c r="BH30">
        <v>10021.200000000001</v>
      </c>
      <c r="BI30">
        <v>1084.3599999999999</v>
      </c>
      <c r="BJ30">
        <v>1.4577199999999999</v>
      </c>
      <c r="BK30">
        <v>-10.9283</v>
      </c>
      <c r="BL30">
        <v>808.60900000000004</v>
      </c>
      <c r="BM30">
        <v>817.76300000000003</v>
      </c>
      <c r="BN30">
        <v>2.44184</v>
      </c>
      <c r="BO30">
        <v>799.94600000000003</v>
      </c>
      <c r="BP30">
        <v>21.786799999999999</v>
      </c>
      <c r="BQ30">
        <v>2.39046</v>
      </c>
      <c r="BR30">
        <v>2.1495500000000001</v>
      </c>
      <c r="BS30">
        <v>20.299299999999999</v>
      </c>
      <c r="BT30">
        <v>18.591200000000001</v>
      </c>
      <c r="BU30">
        <v>1799.98</v>
      </c>
      <c r="BV30">
        <v>0.91000499999999995</v>
      </c>
      <c r="BW30">
        <v>3.4008799999999999E-2</v>
      </c>
      <c r="BX30">
        <v>2.1992100000000001E-2</v>
      </c>
      <c r="BY30">
        <v>3.3994200000000002E-2</v>
      </c>
      <c r="BZ30">
        <v>25</v>
      </c>
      <c r="CA30">
        <v>33528.1</v>
      </c>
      <c r="CB30">
        <v>1690376213.5999999</v>
      </c>
      <c r="CC30" t="s">
        <v>332</v>
      </c>
      <c r="CD30">
        <v>1690376213.5999999</v>
      </c>
      <c r="CE30">
        <v>1690376198.0999999</v>
      </c>
      <c r="CF30">
        <v>2</v>
      </c>
      <c r="CG30">
        <v>0.66900000000000004</v>
      </c>
      <c r="CH30">
        <v>-2.1000000000000001E-2</v>
      </c>
      <c r="CI30">
        <v>-0.70099999999999996</v>
      </c>
      <c r="CJ30">
        <v>0.21099999999999999</v>
      </c>
      <c r="CK30">
        <v>799</v>
      </c>
      <c r="CL30">
        <v>21</v>
      </c>
      <c r="CM30">
        <v>0.11</v>
      </c>
      <c r="CN30">
        <v>0.17</v>
      </c>
      <c r="CO30">
        <v>-7.9682614999999997</v>
      </c>
      <c r="CP30">
        <v>-16.350341988742969</v>
      </c>
      <c r="CQ30">
        <v>1.5731737226821929</v>
      </c>
      <c r="CR30">
        <v>-1</v>
      </c>
      <c r="CS30">
        <v>1.9035567499999999</v>
      </c>
      <c r="CT30">
        <v>3.1181334709193211</v>
      </c>
      <c r="CU30">
        <v>0.30735175146229032</v>
      </c>
      <c r="CV30">
        <v>-1</v>
      </c>
      <c r="CW30">
        <v>0</v>
      </c>
      <c r="CX30">
        <v>0</v>
      </c>
      <c r="CY30" t="s">
        <v>333</v>
      </c>
      <c r="CZ30">
        <v>2.3654199999999999</v>
      </c>
      <c r="DA30">
        <v>2.7139099999999998</v>
      </c>
      <c r="DB30">
        <v>0.14511399999999999</v>
      </c>
      <c r="DC30">
        <v>0.14602499999999999</v>
      </c>
      <c r="DD30">
        <v>0.11429599999999999</v>
      </c>
      <c r="DE30">
        <v>0.104577</v>
      </c>
      <c r="DF30">
        <v>31227.9</v>
      </c>
      <c r="DG30">
        <v>27516.2</v>
      </c>
      <c r="DH30">
        <v>31182</v>
      </c>
      <c r="DI30">
        <v>28073.7</v>
      </c>
      <c r="DJ30">
        <v>37492.300000000003</v>
      </c>
      <c r="DK30">
        <v>35729.4</v>
      </c>
      <c r="DL30">
        <v>44373.1</v>
      </c>
      <c r="DM30">
        <v>42534.2</v>
      </c>
      <c r="DN30">
        <v>1.4323699999999999</v>
      </c>
      <c r="DO30">
        <v>2.0861200000000002</v>
      </c>
      <c r="DP30">
        <v>9.7889500000000004E-2</v>
      </c>
      <c r="DQ30">
        <v>0.21948999999999999</v>
      </c>
      <c r="DR30">
        <v>25.617100000000001</v>
      </c>
      <c r="DS30">
        <v>25.591699999999999</v>
      </c>
      <c r="DT30">
        <v>61.7</v>
      </c>
      <c r="DU30">
        <v>26.5</v>
      </c>
      <c r="DV30">
        <v>21.736599999999999</v>
      </c>
      <c r="DW30">
        <v>61.430100000000003</v>
      </c>
      <c r="DX30">
        <v>36.061700000000002</v>
      </c>
      <c r="DY30">
        <v>1</v>
      </c>
      <c r="DZ30">
        <v>-0.14477899999999999</v>
      </c>
      <c r="EA30">
        <v>-0.84287299999999998</v>
      </c>
      <c r="EB30">
        <v>20.1858</v>
      </c>
      <c r="EC30">
        <v>5.2404999999999999</v>
      </c>
      <c r="ED30">
        <v>12.039899999999999</v>
      </c>
      <c r="EE30">
        <v>5.0169499999999996</v>
      </c>
      <c r="EF30">
        <v>3.2879700000000001</v>
      </c>
      <c r="EG30">
        <v>9999</v>
      </c>
      <c r="EH30">
        <v>9999</v>
      </c>
      <c r="EI30">
        <v>9999</v>
      </c>
      <c r="EJ30">
        <v>999.9</v>
      </c>
      <c r="EK30">
        <v>1.8688</v>
      </c>
      <c r="EL30">
        <v>1.8644700000000001</v>
      </c>
      <c r="EM30">
        <v>1.86913</v>
      </c>
      <c r="EN30">
        <v>1.8671199999999999</v>
      </c>
      <c r="EO30">
        <v>1.8632500000000001</v>
      </c>
      <c r="EP30">
        <v>1.8643099999999999</v>
      </c>
      <c r="EQ30">
        <v>1.8700699999999999</v>
      </c>
      <c r="ER30">
        <v>1.86934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-0.69399999999999995</v>
      </c>
      <c r="FG30">
        <v>0.21110000000000001</v>
      </c>
      <c r="FH30">
        <v>-0.150361779349652</v>
      </c>
      <c r="FI30">
        <v>-6.1462078757559423E-4</v>
      </c>
      <c r="FJ30">
        <v>-1.8861989874597051E-7</v>
      </c>
      <c r="FK30">
        <v>1.1980462299894961E-10</v>
      </c>
      <c r="FL30">
        <v>0.21114761904761539</v>
      </c>
      <c r="FM30">
        <v>0</v>
      </c>
      <c r="FN30">
        <v>0</v>
      </c>
      <c r="FO30">
        <v>0</v>
      </c>
      <c r="FP30">
        <v>3</v>
      </c>
      <c r="FQ30">
        <v>2158</v>
      </c>
      <c r="FR30">
        <v>1</v>
      </c>
      <c r="FS30">
        <v>19</v>
      </c>
      <c r="FT30">
        <v>11.4</v>
      </c>
      <c r="FU30">
        <v>11.6</v>
      </c>
      <c r="FV30">
        <v>1.79688</v>
      </c>
      <c r="FW30">
        <v>2.5634800000000002</v>
      </c>
      <c r="FX30">
        <v>1.5490699999999999</v>
      </c>
      <c r="FY30">
        <v>2.33887</v>
      </c>
      <c r="FZ30">
        <v>1.50146</v>
      </c>
      <c r="GA30">
        <v>2.4072300000000002</v>
      </c>
      <c r="GB30">
        <v>31.629799999999999</v>
      </c>
      <c r="GC30">
        <v>23.991199999999999</v>
      </c>
      <c r="GD30">
        <v>19</v>
      </c>
      <c r="GE30">
        <v>261.98700000000002</v>
      </c>
      <c r="GF30">
        <v>616.99199999999996</v>
      </c>
      <c r="GG30">
        <v>26.444700000000001</v>
      </c>
      <c r="GH30">
        <v>25.645900000000001</v>
      </c>
      <c r="GI30">
        <v>29.9968</v>
      </c>
      <c r="GJ30">
        <v>25.696899999999999</v>
      </c>
      <c r="GK30">
        <v>25.6448</v>
      </c>
      <c r="GL30">
        <v>35.918799999999997</v>
      </c>
      <c r="GM30">
        <v>0</v>
      </c>
      <c r="GN30">
        <v>100</v>
      </c>
      <c r="GO30">
        <v>25.945399999999999</v>
      </c>
      <c r="GP30">
        <v>800</v>
      </c>
      <c r="GQ30">
        <v>23.1464</v>
      </c>
      <c r="GR30">
        <v>99.766599999999997</v>
      </c>
      <c r="GS30">
        <v>99.516999999999996</v>
      </c>
    </row>
    <row r="31" spans="1:201" x14ac:dyDescent="0.25">
      <c r="A31">
        <v>15</v>
      </c>
      <c r="B31">
        <v>1690376906</v>
      </c>
      <c r="C31">
        <v>189.5</v>
      </c>
      <c r="D31" t="s">
        <v>363</v>
      </c>
      <c r="E31" t="s">
        <v>364</v>
      </c>
      <c r="F31" t="s">
        <v>330</v>
      </c>
      <c r="H31">
        <v>1690376906</v>
      </c>
      <c r="I31">
        <f t="shared" si="0"/>
        <v>2.2474027867796018E-4</v>
      </c>
      <c r="J31">
        <f t="shared" si="1"/>
        <v>0.22474027867796018</v>
      </c>
      <c r="K31">
        <f t="shared" si="2"/>
        <v>1.0250293630045524</v>
      </c>
      <c r="L31">
        <f t="shared" si="3"/>
        <v>786.17499999999995</v>
      </c>
      <c r="M31">
        <f t="shared" si="4"/>
        <v>630.90683466333837</v>
      </c>
      <c r="N31">
        <f t="shared" si="5"/>
        <v>62.306749800378803</v>
      </c>
      <c r="O31">
        <f t="shared" si="6"/>
        <v>77.640637782045005</v>
      </c>
      <c r="P31">
        <f t="shared" si="7"/>
        <v>1.2239042456498019E-2</v>
      </c>
      <c r="Q31">
        <f t="shared" si="8"/>
        <v>2.0029823331048942</v>
      </c>
      <c r="R31">
        <f t="shared" si="9"/>
        <v>1.2197646661580193E-2</v>
      </c>
      <c r="S31">
        <f t="shared" si="10"/>
        <v>7.6272366821145384E-3</v>
      </c>
      <c r="T31">
        <f t="shared" si="11"/>
        <v>276.11311147045086</v>
      </c>
      <c r="U31">
        <f t="shared" si="12"/>
        <v>29.583127992730482</v>
      </c>
      <c r="V31">
        <f t="shared" si="13"/>
        <v>29.583127992730482</v>
      </c>
      <c r="W31">
        <f t="shared" si="14"/>
        <v>4.1594924274287539</v>
      </c>
      <c r="X31">
        <f t="shared" si="15"/>
        <v>65.668585942980997</v>
      </c>
      <c r="Y31">
        <f t="shared" si="16"/>
        <v>2.4003294349018196</v>
      </c>
      <c r="Z31">
        <f t="shared" si="17"/>
        <v>3.6552171794684112</v>
      </c>
      <c r="AA31">
        <f t="shared" si="18"/>
        <v>1.7591629925269343</v>
      </c>
      <c r="AB31">
        <f t="shared" si="19"/>
        <v>-9.911046289698044</v>
      </c>
      <c r="AC31">
        <f t="shared" si="20"/>
        <v>-240.22597225725607</v>
      </c>
      <c r="AD31">
        <f t="shared" si="21"/>
        <v>-26.266111393289155</v>
      </c>
      <c r="AE31">
        <f t="shared" si="22"/>
        <v>-0.29001846979241463</v>
      </c>
      <c r="AF31">
        <v>17</v>
      </c>
      <c r="AG31">
        <v>6</v>
      </c>
      <c r="AH31">
        <f t="shared" si="23"/>
        <v>1</v>
      </c>
      <c r="AI31">
        <f t="shared" si="24"/>
        <v>0</v>
      </c>
      <c r="AJ31">
        <f t="shared" si="25"/>
        <v>51895.60506645545</v>
      </c>
      <c r="AK31">
        <f t="shared" si="26"/>
        <v>1799.98</v>
      </c>
      <c r="AL31">
        <f t="shared" si="27"/>
        <v>1499.0968209835798</v>
      </c>
      <c r="AM31">
        <f t="shared" si="28"/>
        <v>0.8328408209999999</v>
      </c>
      <c r="AN31">
        <f t="shared" si="29"/>
        <v>0.15339787746000003</v>
      </c>
      <c r="AO31">
        <v>34.5</v>
      </c>
      <c r="AP31">
        <v>0.5</v>
      </c>
      <c r="AQ31" t="s">
        <v>331</v>
      </c>
      <c r="AR31">
        <v>2</v>
      </c>
      <c r="AS31">
        <v>1690376906</v>
      </c>
      <c r="AT31">
        <v>786.17499999999995</v>
      </c>
      <c r="AU31">
        <v>799.99199999999996</v>
      </c>
      <c r="AV31">
        <v>24.305299999999999</v>
      </c>
      <c r="AW31">
        <v>21.784099999999999</v>
      </c>
      <c r="AX31">
        <v>786.86699999999996</v>
      </c>
      <c r="AY31">
        <v>24.094100000000001</v>
      </c>
      <c r="AZ31">
        <v>300.05900000000003</v>
      </c>
      <c r="BA31">
        <v>98.657499999999999</v>
      </c>
      <c r="BB31">
        <v>9.9949399999999994E-2</v>
      </c>
      <c r="BC31">
        <v>27.358499999999999</v>
      </c>
      <c r="BD31">
        <v>27.2971</v>
      </c>
      <c r="BE31">
        <v>29.3504</v>
      </c>
      <c r="BF31">
        <v>0</v>
      </c>
      <c r="BG31">
        <v>0</v>
      </c>
      <c r="BH31">
        <v>9958.1200000000008</v>
      </c>
      <c r="BI31">
        <v>1084.5899999999999</v>
      </c>
      <c r="BJ31">
        <v>1.4577199999999999</v>
      </c>
      <c r="BK31">
        <v>-13.817399999999999</v>
      </c>
      <c r="BL31">
        <v>805.75900000000001</v>
      </c>
      <c r="BM31">
        <v>817.80700000000002</v>
      </c>
      <c r="BN31">
        <v>2.5211700000000001</v>
      </c>
      <c r="BO31">
        <v>799.99199999999996</v>
      </c>
      <c r="BP31">
        <v>21.784099999999999</v>
      </c>
      <c r="BQ31">
        <v>2.3978999999999999</v>
      </c>
      <c r="BR31">
        <v>2.1491600000000002</v>
      </c>
      <c r="BS31">
        <v>20.349599999999999</v>
      </c>
      <c r="BT31">
        <v>18.5883</v>
      </c>
      <c r="BU31">
        <v>1799.98</v>
      </c>
      <c r="BV31">
        <v>0.91000300000000001</v>
      </c>
      <c r="BW31">
        <v>3.4001400000000001E-2</v>
      </c>
      <c r="BX31">
        <v>2.2008300000000001E-2</v>
      </c>
      <c r="BY31">
        <v>3.3986799999999998E-2</v>
      </c>
      <c r="BZ31">
        <v>25</v>
      </c>
      <c r="CA31">
        <v>33527.800000000003</v>
      </c>
      <c r="CB31">
        <v>1690376213.5999999</v>
      </c>
      <c r="CC31" t="s">
        <v>332</v>
      </c>
      <c r="CD31">
        <v>1690376213.5999999</v>
      </c>
      <c r="CE31">
        <v>1690376198.0999999</v>
      </c>
      <c r="CF31">
        <v>2</v>
      </c>
      <c r="CG31">
        <v>0.66900000000000004</v>
      </c>
      <c r="CH31">
        <v>-2.1000000000000001E-2</v>
      </c>
      <c r="CI31">
        <v>-0.70099999999999996</v>
      </c>
      <c r="CJ31">
        <v>0.21099999999999999</v>
      </c>
      <c r="CK31">
        <v>799</v>
      </c>
      <c r="CL31">
        <v>21</v>
      </c>
      <c r="CM31">
        <v>0.11</v>
      </c>
      <c r="CN31">
        <v>0.17</v>
      </c>
      <c r="CO31">
        <v>-10.539820000000001</v>
      </c>
      <c r="CP31">
        <v>-16.929644111498281</v>
      </c>
      <c r="CQ31">
        <v>1.6697016205240049</v>
      </c>
      <c r="CR31">
        <v>-1</v>
      </c>
      <c r="CS31">
        <v>2.3055960975609748</v>
      </c>
      <c r="CT31">
        <v>2.1591192334494802</v>
      </c>
      <c r="CU31">
        <v>0.2282830466860892</v>
      </c>
      <c r="CV31">
        <v>-1</v>
      </c>
      <c r="CW31">
        <v>0</v>
      </c>
      <c r="CX31">
        <v>0</v>
      </c>
      <c r="CY31" t="s">
        <v>333</v>
      </c>
      <c r="CZ31">
        <v>2.3647499999999999</v>
      </c>
      <c r="DA31">
        <v>2.7136999999999998</v>
      </c>
      <c r="DB31">
        <v>0.144758</v>
      </c>
      <c r="DC31">
        <v>0.14602200000000001</v>
      </c>
      <c r="DD31">
        <v>0.11454499999999999</v>
      </c>
      <c r="DE31">
        <v>0.104562</v>
      </c>
      <c r="DF31">
        <v>31242</v>
      </c>
      <c r="DG31">
        <v>27516.799999999999</v>
      </c>
      <c r="DH31">
        <v>31183</v>
      </c>
      <c r="DI31">
        <v>28074.2</v>
      </c>
      <c r="DJ31">
        <v>37482.699999999997</v>
      </c>
      <c r="DK31">
        <v>35730.6</v>
      </c>
      <c r="DL31">
        <v>44374.3</v>
      </c>
      <c r="DM31">
        <v>42534.9</v>
      </c>
      <c r="DN31">
        <v>1.43045</v>
      </c>
      <c r="DO31">
        <v>2.0860500000000002</v>
      </c>
      <c r="DP31">
        <v>0.10292999999999999</v>
      </c>
      <c r="DQ31">
        <v>0.23042399999999999</v>
      </c>
      <c r="DR31">
        <v>25.612300000000001</v>
      </c>
      <c r="DS31">
        <v>25.584900000000001</v>
      </c>
      <c r="DT31">
        <v>61.7</v>
      </c>
      <c r="DU31">
        <v>26.5</v>
      </c>
      <c r="DV31">
        <v>21.7363</v>
      </c>
      <c r="DW31">
        <v>61.720100000000002</v>
      </c>
      <c r="DX31">
        <v>36.770800000000001</v>
      </c>
      <c r="DY31">
        <v>1</v>
      </c>
      <c r="DZ31">
        <v>-0.14341200000000001</v>
      </c>
      <c r="EA31">
        <v>1.3195600000000001</v>
      </c>
      <c r="EB31">
        <v>20.182400000000001</v>
      </c>
      <c r="EC31">
        <v>5.2403500000000003</v>
      </c>
      <c r="ED31">
        <v>12.039899999999999</v>
      </c>
      <c r="EE31">
        <v>5.01675</v>
      </c>
      <c r="EF31">
        <v>3.2879999999999998</v>
      </c>
      <c r="EG31">
        <v>9999</v>
      </c>
      <c r="EH31">
        <v>9999</v>
      </c>
      <c r="EI31">
        <v>9999</v>
      </c>
      <c r="EJ31">
        <v>999.9</v>
      </c>
      <c r="EK31">
        <v>1.8688100000000001</v>
      </c>
      <c r="EL31">
        <v>1.8644700000000001</v>
      </c>
      <c r="EM31">
        <v>1.86913</v>
      </c>
      <c r="EN31">
        <v>1.86713</v>
      </c>
      <c r="EO31">
        <v>1.8632500000000001</v>
      </c>
      <c r="EP31">
        <v>1.86432</v>
      </c>
      <c r="EQ31">
        <v>1.87008</v>
      </c>
      <c r="ER31">
        <v>1.86934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-0.69199999999999995</v>
      </c>
      <c r="FG31">
        <v>0.2112</v>
      </c>
      <c r="FH31">
        <v>-0.150361779349652</v>
      </c>
      <c r="FI31">
        <v>-6.1462078757559423E-4</v>
      </c>
      <c r="FJ31">
        <v>-1.8861989874597051E-7</v>
      </c>
      <c r="FK31">
        <v>1.1980462299894961E-10</v>
      </c>
      <c r="FL31">
        <v>0.21114761904761539</v>
      </c>
      <c r="FM31">
        <v>0</v>
      </c>
      <c r="FN31">
        <v>0</v>
      </c>
      <c r="FO31">
        <v>0</v>
      </c>
      <c r="FP31">
        <v>3</v>
      </c>
      <c r="FQ31">
        <v>2158</v>
      </c>
      <c r="FR31">
        <v>1</v>
      </c>
      <c r="FS31">
        <v>19</v>
      </c>
      <c r="FT31">
        <v>11.5</v>
      </c>
      <c r="FU31">
        <v>11.8</v>
      </c>
      <c r="FV31">
        <v>1.79688</v>
      </c>
      <c r="FW31">
        <v>2.5659200000000002</v>
      </c>
      <c r="FX31">
        <v>1.5490699999999999</v>
      </c>
      <c r="FY31">
        <v>2.33887</v>
      </c>
      <c r="FZ31">
        <v>1.50146</v>
      </c>
      <c r="GA31">
        <v>2.3889200000000002</v>
      </c>
      <c r="GB31">
        <v>31.651700000000002</v>
      </c>
      <c r="GC31">
        <v>23.991199999999999</v>
      </c>
      <c r="GD31">
        <v>19</v>
      </c>
      <c r="GE31">
        <v>261.221</v>
      </c>
      <c r="GF31">
        <v>616.97299999999996</v>
      </c>
      <c r="GG31">
        <v>25.855699999999999</v>
      </c>
      <c r="GH31">
        <v>25.652899999999999</v>
      </c>
      <c r="GI31">
        <v>30.000699999999998</v>
      </c>
      <c r="GJ31">
        <v>25.697800000000001</v>
      </c>
      <c r="GK31">
        <v>25.648599999999998</v>
      </c>
      <c r="GL31">
        <v>35.920200000000001</v>
      </c>
      <c r="GM31">
        <v>0</v>
      </c>
      <c r="GN31">
        <v>100</v>
      </c>
      <c r="GO31">
        <v>25.395199999999999</v>
      </c>
      <c r="GP31">
        <v>800</v>
      </c>
      <c r="GQ31">
        <v>23.1966</v>
      </c>
      <c r="GR31">
        <v>99.769599999999997</v>
      </c>
      <c r="GS31">
        <v>99.518699999999995</v>
      </c>
    </row>
    <row r="32" spans="1:201" x14ac:dyDescent="0.25">
      <c r="A32">
        <v>16</v>
      </c>
      <c r="B32">
        <v>1690376916</v>
      </c>
      <c r="C32">
        <v>199.5</v>
      </c>
      <c r="D32" t="s">
        <v>365</v>
      </c>
      <c r="E32" t="s">
        <v>366</v>
      </c>
      <c r="F32" t="s">
        <v>330</v>
      </c>
      <c r="H32">
        <v>1690376916</v>
      </c>
      <c r="I32">
        <f t="shared" si="0"/>
        <v>2.2248071584930965E-4</v>
      </c>
      <c r="J32">
        <f t="shared" si="1"/>
        <v>0.22248071584930965</v>
      </c>
      <c r="K32">
        <f t="shared" si="2"/>
        <v>1.3184669646934379</v>
      </c>
      <c r="L32">
        <f t="shared" si="3"/>
        <v>782.86400000000003</v>
      </c>
      <c r="M32">
        <f t="shared" si="4"/>
        <v>588.76178551538555</v>
      </c>
      <c r="N32">
        <f t="shared" si="5"/>
        <v>58.142918256280055</v>
      </c>
      <c r="O32">
        <f t="shared" si="6"/>
        <v>77.311399410780794</v>
      </c>
      <c r="P32">
        <f t="shared" si="7"/>
        <v>1.2160916133151364E-2</v>
      </c>
      <c r="Q32">
        <f t="shared" si="8"/>
        <v>2.0061660361610305</v>
      </c>
      <c r="R32">
        <f t="shared" si="9"/>
        <v>1.2120110812047719E-2</v>
      </c>
      <c r="S32">
        <f t="shared" si="10"/>
        <v>7.5787239827161158E-3</v>
      </c>
      <c r="T32">
        <f t="shared" si="11"/>
        <v>276.11283243755122</v>
      </c>
      <c r="U32">
        <f t="shared" si="12"/>
        <v>29.544150189259884</v>
      </c>
      <c r="V32">
        <f t="shared" si="13"/>
        <v>29.544150189259884</v>
      </c>
      <c r="W32">
        <f t="shared" si="14"/>
        <v>4.150160353494206</v>
      </c>
      <c r="X32">
        <f t="shared" si="15"/>
        <v>65.731926924315161</v>
      </c>
      <c r="Y32">
        <f t="shared" si="16"/>
        <v>2.3974845002138401</v>
      </c>
      <c r="Z32">
        <f t="shared" si="17"/>
        <v>3.6473668313030654</v>
      </c>
      <c r="AA32">
        <f t="shared" si="18"/>
        <v>1.7526758532803659</v>
      </c>
      <c r="AB32">
        <f t="shared" si="19"/>
        <v>-9.8113995689545561</v>
      </c>
      <c r="AC32">
        <f t="shared" si="20"/>
        <v>-240.3614478826847</v>
      </c>
      <c r="AD32">
        <f t="shared" si="21"/>
        <v>-26.229337847475456</v>
      </c>
      <c r="AE32">
        <f t="shared" si="22"/>
        <v>-0.28935286156348639</v>
      </c>
      <c r="AF32">
        <v>17</v>
      </c>
      <c r="AG32">
        <v>6</v>
      </c>
      <c r="AH32">
        <f t="shared" si="23"/>
        <v>1</v>
      </c>
      <c r="AI32">
        <f t="shared" si="24"/>
        <v>0</v>
      </c>
      <c r="AJ32">
        <f t="shared" si="25"/>
        <v>52053.628699995446</v>
      </c>
      <c r="AK32">
        <f t="shared" si="26"/>
        <v>1799.98</v>
      </c>
      <c r="AL32">
        <f t="shared" si="27"/>
        <v>1499.09546739862</v>
      </c>
      <c r="AM32">
        <f t="shared" si="28"/>
        <v>0.83284006899999996</v>
      </c>
      <c r="AN32">
        <f t="shared" si="29"/>
        <v>0.15339772244</v>
      </c>
      <c r="AO32">
        <v>34.5</v>
      </c>
      <c r="AP32">
        <v>0.5</v>
      </c>
      <c r="AQ32" t="s">
        <v>331</v>
      </c>
      <c r="AR32">
        <v>2</v>
      </c>
      <c r="AS32">
        <v>1690376916</v>
      </c>
      <c r="AT32">
        <v>782.86400000000003</v>
      </c>
      <c r="AU32">
        <v>800.02099999999996</v>
      </c>
      <c r="AV32">
        <v>24.277200000000001</v>
      </c>
      <c r="AW32">
        <v>21.782</v>
      </c>
      <c r="AX32">
        <v>783.55399999999997</v>
      </c>
      <c r="AY32">
        <v>24.065999999999999</v>
      </c>
      <c r="AZ32">
        <v>300.14600000000002</v>
      </c>
      <c r="BA32">
        <v>98.654600000000002</v>
      </c>
      <c r="BB32">
        <v>9.9972199999999997E-2</v>
      </c>
      <c r="BC32">
        <v>27.3218</v>
      </c>
      <c r="BD32">
        <v>27.258600000000001</v>
      </c>
      <c r="BE32">
        <v>29.345700000000001</v>
      </c>
      <c r="BF32">
        <v>0</v>
      </c>
      <c r="BG32">
        <v>0</v>
      </c>
      <c r="BH32">
        <v>9988.75</v>
      </c>
      <c r="BI32">
        <v>1084.9000000000001</v>
      </c>
      <c r="BJ32">
        <v>1.4577199999999999</v>
      </c>
      <c r="BK32">
        <v>-17.157</v>
      </c>
      <c r="BL32">
        <v>802.34199999999998</v>
      </c>
      <c r="BM32">
        <v>817.83500000000004</v>
      </c>
      <c r="BN32">
        <v>2.4952100000000002</v>
      </c>
      <c r="BO32">
        <v>800.02099999999996</v>
      </c>
      <c r="BP32">
        <v>21.782</v>
      </c>
      <c r="BQ32">
        <v>2.3950499999999999</v>
      </c>
      <c r="BR32">
        <v>2.1488900000000002</v>
      </c>
      <c r="BS32">
        <v>20.330400000000001</v>
      </c>
      <c r="BT32">
        <v>18.586300000000001</v>
      </c>
      <c r="BU32">
        <v>1799.98</v>
      </c>
      <c r="BV32">
        <v>0.90999099999999999</v>
      </c>
      <c r="BW32">
        <v>3.3994299999999998E-2</v>
      </c>
      <c r="BX32">
        <v>2.2003700000000001E-2</v>
      </c>
      <c r="BY32">
        <v>3.4011199999999998E-2</v>
      </c>
      <c r="BZ32">
        <v>25</v>
      </c>
      <c r="CA32">
        <v>33527.9</v>
      </c>
      <c r="CB32">
        <v>1690376213.5999999</v>
      </c>
      <c r="CC32" t="s">
        <v>332</v>
      </c>
      <c r="CD32">
        <v>1690376213.5999999</v>
      </c>
      <c r="CE32">
        <v>1690376198.0999999</v>
      </c>
      <c r="CF32">
        <v>2</v>
      </c>
      <c r="CG32">
        <v>0.66900000000000004</v>
      </c>
      <c r="CH32">
        <v>-2.1000000000000001E-2</v>
      </c>
      <c r="CI32">
        <v>-0.70099999999999996</v>
      </c>
      <c r="CJ32">
        <v>0.21099999999999999</v>
      </c>
      <c r="CK32">
        <v>799</v>
      </c>
      <c r="CL32">
        <v>21</v>
      </c>
      <c r="CM32">
        <v>0.11</v>
      </c>
      <c r="CN32">
        <v>0.17</v>
      </c>
      <c r="CO32">
        <v>-13.688594999999999</v>
      </c>
      <c r="CP32">
        <v>-18.453055159474669</v>
      </c>
      <c r="CQ32">
        <v>1.777383414172361</v>
      </c>
      <c r="CR32">
        <v>-1</v>
      </c>
      <c r="CS32">
        <v>2.5025837499999999</v>
      </c>
      <c r="CT32">
        <v>0.12859823639774681</v>
      </c>
      <c r="CU32">
        <v>2.2098367890808102E-2</v>
      </c>
      <c r="CV32">
        <v>-1</v>
      </c>
      <c r="CW32">
        <v>0</v>
      </c>
      <c r="CX32">
        <v>0</v>
      </c>
      <c r="CY32" t="s">
        <v>333</v>
      </c>
      <c r="CZ32">
        <v>2.3650500000000001</v>
      </c>
      <c r="DA32">
        <v>2.7137500000000001</v>
      </c>
      <c r="DB32">
        <v>0.144344</v>
      </c>
      <c r="DC32">
        <v>0.14602000000000001</v>
      </c>
      <c r="DD32">
        <v>0.11444799999999999</v>
      </c>
      <c r="DE32">
        <v>0.10455</v>
      </c>
      <c r="DF32">
        <v>31255.599999999999</v>
      </c>
      <c r="DG32">
        <v>27515.8</v>
      </c>
      <c r="DH32">
        <v>31181.599999999999</v>
      </c>
      <c r="DI32">
        <v>28073.1</v>
      </c>
      <c r="DJ32">
        <v>37485.199999999997</v>
      </c>
      <c r="DK32">
        <v>35729.800000000003</v>
      </c>
      <c r="DL32">
        <v>44372.4</v>
      </c>
      <c r="DM32">
        <v>42533.4</v>
      </c>
      <c r="DN32">
        <v>1.42977</v>
      </c>
      <c r="DO32">
        <v>2.08595</v>
      </c>
      <c r="DP32">
        <v>0.100568</v>
      </c>
      <c r="DQ32">
        <v>0.22991</v>
      </c>
      <c r="DR32">
        <v>25.612400000000001</v>
      </c>
      <c r="DS32">
        <v>25.5886</v>
      </c>
      <c r="DT32">
        <v>61.7</v>
      </c>
      <c r="DU32">
        <v>26.5</v>
      </c>
      <c r="DV32">
        <v>21.738199999999999</v>
      </c>
      <c r="DW32">
        <v>61.500100000000003</v>
      </c>
      <c r="DX32">
        <v>36.514400000000002</v>
      </c>
      <c r="DY32">
        <v>1</v>
      </c>
      <c r="DZ32">
        <v>-0.14103399999999999</v>
      </c>
      <c r="EA32">
        <v>1.8383</v>
      </c>
      <c r="EB32">
        <v>20.175699999999999</v>
      </c>
      <c r="EC32">
        <v>5.2404999999999999</v>
      </c>
      <c r="ED32">
        <v>12.039899999999999</v>
      </c>
      <c r="EE32">
        <v>5.0163500000000001</v>
      </c>
      <c r="EF32">
        <v>3.2879999999999998</v>
      </c>
      <c r="EG32">
        <v>9999</v>
      </c>
      <c r="EH32">
        <v>9999</v>
      </c>
      <c r="EI32">
        <v>9999</v>
      </c>
      <c r="EJ32">
        <v>999.9</v>
      </c>
      <c r="EK32">
        <v>1.86879</v>
      </c>
      <c r="EL32">
        <v>1.8644700000000001</v>
      </c>
      <c r="EM32">
        <v>1.8690899999999999</v>
      </c>
      <c r="EN32">
        <v>1.86711</v>
      </c>
      <c r="EO32">
        <v>1.8632599999999999</v>
      </c>
      <c r="EP32">
        <v>1.8643099999999999</v>
      </c>
      <c r="EQ32">
        <v>1.87009</v>
      </c>
      <c r="ER32">
        <v>1.86934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-0.69</v>
      </c>
      <c r="FG32">
        <v>0.2112</v>
      </c>
      <c r="FH32">
        <v>-0.150361779349652</v>
      </c>
      <c r="FI32">
        <v>-6.1462078757559423E-4</v>
      </c>
      <c r="FJ32">
        <v>-1.8861989874597051E-7</v>
      </c>
      <c r="FK32">
        <v>1.1980462299894961E-10</v>
      </c>
      <c r="FL32">
        <v>0.21114761904761539</v>
      </c>
      <c r="FM32">
        <v>0</v>
      </c>
      <c r="FN32">
        <v>0</v>
      </c>
      <c r="FO32">
        <v>0</v>
      </c>
      <c r="FP32">
        <v>3</v>
      </c>
      <c r="FQ32">
        <v>2158</v>
      </c>
      <c r="FR32">
        <v>1</v>
      </c>
      <c r="FS32">
        <v>19</v>
      </c>
      <c r="FT32">
        <v>11.7</v>
      </c>
      <c r="FU32">
        <v>12</v>
      </c>
      <c r="FV32">
        <v>1.79688</v>
      </c>
      <c r="FW32">
        <v>2.5683600000000002</v>
      </c>
      <c r="FX32">
        <v>1.5490699999999999</v>
      </c>
      <c r="FY32">
        <v>2.33887</v>
      </c>
      <c r="FZ32">
        <v>1.50146</v>
      </c>
      <c r="GA32">
        <v>2.33765</v>
      </c>
      <c r="GB32">
        <v>31.651700000000002</v>
      </c>
      <c r="GC32">
        <v>23.982399999999998</v>
      </c>
      <c r="GD32">
        <v>19</v>
      </c>
      <c r="GE32">
        <v>260.95800000000003</v>
      </c>
      <c r="GF32">
        <v>616.93200000000002</v>
      </c>
      <c r="GG32">
        <v>25.129100000000001</v>
      </c>
      <c r="GH32">
        <v>25.658899999999999</v>
      </c>
      <c r="GI32">
        <v>30.001200000000001</v>
      </c>
      <c r="GJ32">
        <v>25.6996</v>
      </c>
      <c r="GK32">
        <v>25.6524</v>
      </c>
      <c r="GL32">
        <v>35.918100000000003</v>
      </c>
      <c r="GM32">
        <v>0</v>
      </c>
      <c r="GN32">
        <v>100</v>
      </c>
      <c r="GO32">
        <v>24.8263</v>
      </c>
      <c r="GP32">
        <v>800</v>
      </c>
      <c r="GQ32">
        <v>23.172999999999998</v>
      </c>
      <c r="GR32">
        <v>99.765199999999993</v>
      </c>
      <c r="GS32">
        <v>99.515000000000001</v>
      </c>
    </row>
    <row r="33" spans="1:201" x14ac:dyDescent="0.25">
      <c r="A33">
        <v>17</v>
      </c>
      <c r="B33">
        <v>1690376926</v>
      </c>
      <c r="C33">
        <v>209.5</v>
      </c>
      <c r="D33" t="s">
        <v>367</v>
      </c>
      <c r="E33" t="s">
        <v>368</v>
      </c>
      <c r="F33" t="s">
        <v>330</v>
      </c>
      <c r="H33">
        <v>1690376926</v>
      </c>
      <c r="I33">
        <f t="shared" si="0"/>
        <v>2.2120770557500243E-4</v>
      </c>
      <c r="J33">
        <f t="shared" si="1"/>
        <v>0.22120770557500244</v>
      </c>
      <c r="K33">
        <f t="shared" si="2"/>
        <v>1.6607777236831689</v>
      </c>
      <c r="L33">
        <f t="shared" si="3"/>
        <v>778.899</v>
      </c>
      <c r="M33">
        <f t="shared" si="4"/>
        <v>541.47786705620422</v>
      </c>
      <c r="N33">
        <f t="shared" si="5"/>
        <v>53.474640914499368</v>
      </c>
      <c r="O33">
        <f t="shared" si="6"/>
        <v>76.921600803564019</v>
      </c>
      <c r="P33">
        <f t="shared" si="7"/>
        <v>1.2211507461524376E-2</v>
      </c>
      <c r="Q33">
        <f t="shared" si="8"/>
        <v>2.0074303043509065</v>
      </c>
      <c r="R33">
        <f t="shared" si="9"/>
        <v>1.2170388359779462E-2</v>
      </c>
      <c r="S33">
        <f t="shared" si="10"/>
        <v>7.6101755134779809E-3</v>
      </c>
      <c r="T33">
        <f t="shared" si="11"/>
        <v>276.11227802571136</v>
      </c>
      <c r="U33">
        <f t="shared" si="12"/>
        <v>29.464820426904254</v>
      </c>
      <c r="V33">
        <f t="shared" si="13"/>
        <v>29.464820426904254</v>
      </c>
      <c r="W33">
        <f t="shared" si="14"/>
        <v>4.1312235627720311</v>
      </c>
      <c r="X33">
        <f t="shared" si="15"/>
        <v>65.982383869186449</v>
      </c>
      <c r="Y33">
        <f t="shared" si="16"/>
        <v>2.395544570852</v>
      </c>
      <c r="Z33">
        <f t="shared" si="17"/>
        <v>3.6305820286840391</v>
      </c>
      <c r="AA33">
        <f t="shared" si="18"/>
        <v>1.7356789919200311</v>
      </c>
      <c r="AB33">
        <f t="shared" si="19"/>
        <v>-9.7552598158576078</v>
      </c>
      <c r="AC33">
        <f t="shared" si="20"/>
        <v>-240.44476578488079</v>
      </c>
      <c r="AD33">
        <f t="shared" si="21"/>
        <v>-26.201289742317915</v>
      </c>
      <c r="AE33">
        <f t="shared" si="22"/>
        <v>-0.28903731734496318</v>
      </c>
      <c r="AF33">
        <v>17</v>
      </c>
      <c r="AG33">
        <v>6</v>
      </c>
      <c r="AH33">
        <f t="shared" si="23"/>
        <v>1</v>
      </c>
      <c r="AI33">
        <f t="shared" si="24"/>
        <v>0</v>
      </c>
      <c r="AJ33">
        <f t="shared" si="25"/>
        <v>52127.686495301037</v>
      </c>
      <c r="AK33">
        <f t="shared" si="26"/>
        <v>1799.98</v>
      </c>
      <c r="AL33">
        <f t="shared" si="27"/>
        <v>1499.0921626353399</v>
      </c>
      <c r="AM33">
        <f t="shared" si="28"/>
        <v>0.83283823299999993</v>
      </c>
      <c r="AN33">
        <f t="shared" si="29"/>
        <v>0.15339741442999999</v>
      </c>
      <c r="AO33">
        <v>34.5</v>
      </c>
      <c r="AP33">
        <v>0.5</v>
      </c>
      <c r="AQ33" t="s">
        <v>331</v>
      </c>
      <c r="AR33">
        <v>2</v>
      </c>
      <c r="AS33">
        <v>1690376926</v>
      </c>
      <c r="AT33">
        <v>778.899</v>
      </c>
      <c r="AU33">
        <v>799.96</v>
      </c>
      <c r="AV33">
        <v>24.257000000000001</v>
      </c>
      <c r="AW33">
        <v>21.777100000000001</v>
      </c>
      <c r="AX33">
        <v>779.58699999999999</v>
      </c>
      <c r="AY33">
        <v>24.0459</v>
      </c>
      <c r="AZ33">
        <v>300.27600000000001</v>
      </c>
      <c r="BA33">
        <v>98.656800000000004</v>
      </c>
      <c r="BB33">
        <v>0.100036</v>
      </c>
      <c r="BC33">
        <v>27.243099999999998</v>
      </c>
      <c r="BD33">
        <v>27.164100000000001</v>
      </c>
      <c r="BE33">
        <v>29.300599999999999</v>
      </c>
      <c r="BF33">
        <v>0</v>
      </c>
      <c r="BG33">
        <v>0</v>
      </c>
      <c r="BH33">
        <v>10000.6</v>
      </c>
      <c r="BI33">
        <v>1084.98</v>
      </c>
      <c r="BJ33">
        <v>1.4577199999999999</v>
      </c>
      <c r="BK33">
        <v>-21.060500000000001</v>
      </c>
      <c r="BL33">
        <v>798.26300000000003</v>
      </c>
      <c r="BM33">
        <v>817.76800000000003</v>
      </c>
      <c r="BN33">
        <v>2.4799199999999999</v>
      </c>
      <c r="BO33">
        <v>799.96</v>
      </c>
      <c r="BP33">
        <v>21.777100000000001</v>
      </c>
      <c r="BQ33">
        <v>2.3931200000000001</v>
      </c>
      <c r="BR33">
        <v>2.14846</v>
      </c>
      <c r="BS33">
        <v>20.317299999999999</v>
      </c>
      <c r="BT33">
        <v>18.583100000000002</v>
      </c>
      <c r="BU33">
        <v>1799.98</v>
      </c>
      <c r="BV33">
        <v>0.90998800000000002</v>
      </c>
      <c r="BW33">
        <v>3.4007799999999998E-2</v>
      </c>
      <c r="BX33">
        <v>2.1999399999999999E-2</v>
      </c>
      <c r="BY33">
        <v>3.40045E-2</v>
      </c>
      <c r="BZ33">
        <v>25</v>
      </c>
      <c r="CA33">
        <v>33528</v>
      </c>
      <c r="CB33">
        <v>1690376213.5999999</v>
      </c>
      <c r="CC33" t="s">
        <v>332</v>
      </c>
      <c r="CD33">
        <v>1690376213.5999999</v>
      </c>
      <c r="CE33">
        <v>1690376198.0999999</v>
      </c>
      <c r="CF33">
        <v>2</v>
      </c>
      <c r="CG33">
        <v>0.66900000000000004</v>
      </c>
      <c r="CH33">
        <v>-2.1000000000000001E-2</v>
      </c>
      <c r="CI33">
        <v>-0.70099999999999996</v>
      </c>
      <c r="CJ33">
        <v>0.21099999999999999</v>
      </c>
      <c r="CK33">
        <v>799</v>
      </c>
      <c r="CL33">
        <v>21</v>
      </c>
      <c r="CM33">
        <v>0.11</v>
      </c>
      <c r="CN33">
        <v>0.17</v>
      </c>
      <c r="CO33">
        <v>-16.997634999999999</v>
      </c>
      <c r="CP33">
        <v>-21.565897936210089</v>
      </c>
      <c r="CQ33">
        <v>2.0758586791434048</v>
      </c>
      <c r="CR33">
        <v>-1</v>
      </c>
      <c r="CS33">
        <v>2.4988502499999998</v>
      </c>
      <c r="CT33">
        <v>-0.14577939962476899</v>
      </c>
      <c r="CU33">
        <v>1.4073110084039719E-2</v>
      </c>
      <c r="CV33">
        <v>-1</v>
      </c>
      <c r="CW33">
        <v>0</v>
      </c>
      <c r="CX33">
        <v>0</v>
      </c>
      <c r="CY33" t="s">
        <v>333</v>
      </c>
      <c r="CZ33">
        <v>2.3654799999999998</v>
      </c>
      <c r="DA33">
        <v>2.7138300000000002</v>
      </c>
      <c r="DB33">
        <v>0.14385500000000001</v>
      </c>
      <c r="DC33">
        <v>0.146014</v>
      </c>
      <c r="DD33">
        <v>0.114382</v>
      </c>
      <c r="DE33">
        <v>0.104535</v>
      </c>
      <c r="DF33">
        <v>31273.599999999999</v>
      </c>
      <c r="DG33">
        <v>27515.3</v>
      </c>
      <c r="DH33">
        <v>31181.7</v>
      </c>
      <c r="DI33">
        <v>28072.400000000001</v>
      </c>
      <c r="DJ33">
        <v>37488.1</v>
      </c>
      <c r="DK33">
        <v>35729.699999999997</v>
      </c>
      <c r="DL33">
        <v>44372.6</v>
      </c>
      <c r="DM33">
        <v>42532.5</v>
      </c>
      <c r="DN33">
        <v>1.4305300000000001</v>
      </c>
      <c r="DO33">
        <v>2.0855700000000001</v>
      </c>
      <c r="DP33">
        <v>9.4961400000000001E-2</v>
      </c>
      <c r="DQ33">
        <v>0.22734299999999999</v>
      </c>
      <c r="DR33">
        <v>25.6096</v>
      </c>
      <c r="DS33">
        <v>25.5853</v>
      </c>
      <c r="DT33">
        <v>61.7</v>
      </c>
      <c r="DU33">
        <v>26.5</v>
      </c>
      <c r="DV33">
        <v>21.735700000000001</v>
      </c>
      <c r="DW33">
        <v>61.6402</v>
      </c>
      <c r="DX33">
        <v>35.685099999999998</v>
      </c>
      <c r="DY33">
        <v>1</v>
      </c>
      <c r="DZ33">
        <v>-0.14100599999999999</v>
      </c>
      <c r="EA33">
        <v>1.7979400000000001</v>
      </c>
      <c r="EB33">
        <v>20.1768</v>
      </c>
      <c r="EC33">
        <v>5.2406499999999996</v>
      </c>
      <c r="ED33">
        <v>12.039899999999999</v>
      </c>
      <c r="EE33">
        <v>5.0165499999999996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1.8688400000000001</v>
      </c>
      <c r="EL33">
        <v>1.8644799999999999</v>
      </c>
      <c r="EM33">
        <v>1.8691199999999999</v>
      </c>
      <c r="EN33">
        <v>1.86713</v>
      </c>
      <c r="EO33">
        <v>1.8632599999999999</v>
      </c>
      <c r="EP33">
        <v>1.86432</v>
      </c>
      <c r="EQ33">
        <v>1.8701000000000001</v>
      </c>
      <c r="ER33">
        <v>1.8693500000000001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-0.68799999999999994</v>
      </c>
      <c r="FG33">
        <v>0.21110000000000001</v>
      </c>
      <c r="FH33">
        <v>-0.150361779349652</v>
      </c>
      <c r="FI33">
        <v>-6.1462078757559423E-4</v>
      </c>
      <c r="FJ33">
        <v>-1.8861989874597051E-7</v>
      </c>
      <c r="FK33">
        <v>1.1980462299894961E-10</v>
      </c>
      <c r="FL33">
        <v>0.21114761904761539</v>
      </c>
      <c r="FM33">
        <v>0</v>
      </c>
      <c r="FN33">
        <v>0</v>
      </c>
      <c r="FO33">
        <v>0</v>
      </c>
      <c r="FP33">
        <v>3</v>
      </c>
      <c r="FQ33">
        <v>2158</v>
      </c>
      <c r="FR33">
        <v>1</v>
      </c>
      <c r="FS33">
        <v>19</v>
      </c>
      <c r="FT33">
        <v>11.9</v>
      </c>
      <c r="FU33">
        <v>12.1</v>
      </c>
      <c r="FV33">
        <v>1.79688</v>
      </c>
      <c r="FW33">
        <v>2.5610400000000002</v>
      </c>
      <c r="FX33">
        <v>1.5490699999999999</v>
      </c>
      <c r="FY33">
        <v>2.33887</v>
      </c>
      <c r="FZ33">
        <v>1.50024</v>
      </c>
      <c r="GA33">
        <v>2.2802699999999998</v>
      </c>
      <c r="GB33">
        <v>31.6736</v>
      </c>
      <c r="GC33">
        <v>23.982399999999998</v>
      </c>
      <c r="GD33">
        <v>19</v>
      </c>
      <c r="GE33">
        <v>261.26799999999997</v>
      </c>
      <c r="GF33">
        <v>616.654</v>
      </c>
      <c r="GG33">
        <v>24.561800000000002</v>
      </c>
      <c r="GH33">
        <v>25.664300000000001</v>
      </c>
      <c r="GI33">
        <v>30.000299999999999</v>
      </c>
      <c r="GJ33">
        <v>25.702300000000001</v>
      </c>
      <c r="GK33">
        <v>25.656099999999999</v>
      </c>
      <c r="GL33">
        <v>35.919499999999999</v>
      </c>
      <c r="GM33">
        <v>0</v>
      </c>
      <c r="GN33">
        <v>100</v>
      </c>
      <c r="GO33">
        <v>24.3993</v>
      </c>
      <c r="GP33">
        <v>800</v>
      </c>
      <c r="GQ33">
        <v>23.145</v>
      </c>
      <c r="GR33">
        <v>99.765699999999995</v>
      </c>
      <c r="GS33">
        <v>99.512900000000002</v>
      </c>
    </row>
    <row r="34" spans="1:201" x14ac:dyDescent="0.25">
      <c r="A34">
        <v>18</v>
      </c>
      <c r="B34">
        <v>1690376936</v>
      </c>
      <c r="C34">
        <v>219.5</v>
      </c>
      <c r="D34" t="s">
        <v>369</v>
      </c>
      <c r="E34" t="s">
        <v>370</v>
      </c>
      <c r="F34" t="s">
        <v>330</v>
      </c>
      <c r="H34">
        <v>1690376936</v>
      </c>
      <c r="I34">
        <f t="shared" si="0"/>
        <v>2.2382416891363627E-4</v>
      </c>
      <c r="J34">
        <f t="shared" si="1"/>
        <v>0.22382416891363627</v>
      </c>
      <c r="K34">
        <f t="shared" si="2"/>
        <v>2.0545831701589332</v>
      </c>
      <c r="L34">
        <f t="shared" si="3"/>
        <v>774.43799999999999</v>
      </c>
      <c r="M34">
        <f t="shared" si="4"/>
        <v>492.78121501351501</v>
      </c>
      <c r="N34">
        <f t="shared" si="5"/>
        <v>48.665278184105908</v>
      </c>
      <c r="O34">
        <f t="shared" si="6"/>
        <v>76.4806765316916</v>
      </c>
      <c r="P34">
        <f t="shared" si="7"/>
        <v>1.2513994239934051E-2</v>
      </c>
      <c r="Q34">
        <f t="shared" si="8"/>
        <v>2.0089320181115258</v>
      </c>
      <c r="R34">
        <f t="shared" si="9"/>
        <v>1.2470848859684367E-2</v>
      </c>
      <c r="S34">
        <f t="shared" si="10"/>
        <v>7.7981445186212032E-3</v>
      </c>
      <c r="T34">
        <f t="shared" si="11"/>
        <v>276.11173126378662</v>
      </c>
      <c r="U34">
        <f t="shared" si="12"/>
        <v>29.384622652892215</v>
      </c>
      <c r="V34">
        <f t="shared" si="13"/>
        <v>29.384622652892215</v>
      </c>
      <c r="W34">
        <f t="shared" si="14"/>
        <v>4.1121561794048826</v>
      </c>
      <c r="X34">
        <f t="shared" si="15"/>
        <v>66.355773414301893</v>
      </c>
      <c r="Y34">
        <f t="shared" si="16"/>
        <v>2.39812039744224</v>
      </c>
      <c r="Z34">
        <f t="shared" si="17"/>
        <v>3.6140342792317823</v>
      </c>
      <c r="AA34">
        <f t="shared" si="18"/>
        <v>1.7140357819626426</v>
      </c>
      <c r="AB34">
        <f t="shared" si="19"/>
        <v>-9.8706458490913587</v>
      </c>
      <c r="AC34">
        <f t="shared" si="20"/>
        <v>-240.37577548016634</v>
      </c>
      <c r="AD34">
        <f t="shared" si="21"/>
        <v>-26.153598941371495</v>
      </c>
      <c r="AE34">
        <f t="shared" si="22"/>
        <v>-0.28828900684254677</v>
      </c>
      <c r="AF34">
        <v>16</v>
      </c>
      <c r="AG34">
        <v>5</v>
      </c>
      <c r="AH34">
        <f t="shared" si="23"/>
        <v>1</v>
      </c>
      <c r="AI34">
        <f t="shared" si="24"/>
        <v>0</v>
      </c>
      <c r="AJ34">
        <f t="shared" si="25"/>
        <v>52212.99712419034</v>
      </c>
      <c r="AK34">
        <f t="shared" si="26"/>
        <v>1799.98</v>
      </c>
      <c r="AL34">
        <f t="shared" si="27"/>
        <v>1499.0951398022598</v>
      </c>
      <c r="AM34">
        <f t="shared" si="28"/>
        <v>0.83283988699999989</v>
      </c>
      <c r="AN34">
        <f t="shared" si="29"/>
        <v>0.15339711067</v>
      </c>
      <c r="AO34">
        <v>34.5</v>
      </c>
      <c r="AP34">
        <v>0.5</v>
      </c>
      <c r="AQ34" t="s">
        <v>331</v>
      </c>
      <c r="AR34">
        <v>2</v>
      </c>
      <c r="AS34">
        <v>1690376936</v>
      </c>
      <c r="AT34">
        <v>774.43799999999999</v>
      </c>
      <c r="AU34">
        <v>800.04100000000005</v>
      </c>
      <c r="AV34">
        <v>24.283200000000001</v>
      </c>
      <c r="AW34">
        <v>21.773499999999999</v>
      </c>
      <c r="AX34">
        <v>775.12199999999996</v>
      </c>
      <c r="AY34">
        <v>24.071999999999999</v>
      </c>
      <c r="AZ34">
        <v>300.21199999999999</v>
      </c>
      <c r="BA34">
        <v>98.656400000000005</v>
      </c>
      <c r="BB34">
        <v>9.9958199999999997E-2</v>
      </c>
      <c r="BC34">
        <v>27.165199999999999</v>
      </c>
      <c r="BD34">
        <v>27.066199999999998</v>
      </c>
      <c r="BE34">
        <v>29.1938</v>
      </c>
      <c r="BF34">
        <v>0</v>
      </c>
      <c r="BG34">
        <v>0</v>
      </c>
      <c r="BH34">
        <v>10015</v>
      </c>
      <c r="BI34">
        <v>1084.8399999999999</v>
      </c>
      <c r="BJ34">
        <v>1.4577199999999999</v>
      </c>
      <c r="BK34">
        <v>-25.603200000000001</v>
      </c>
      <c r="BL34">
        <v>793.71199999999999</v>
      </c>
      <c r="BM34">
        <v>817.84900000000005</v>
      </c>
      <c r="BN34">
        <v>2.5096400000000001</v>
      </c>
      <c r="BO34">
        <v>800.04100000000005</v>
      </c>
      <c r="BP34">
        <v>21.773499999999999</v>
      </c>
      <c r="BQ34">
        <v>2.3956900000000001</v>
      </c>
      <c r="BR34">
        <v>2.1480999999999999</v>
      </c>
      <c r="BS34">
        <v>20.334700000000002</v>
      </c>
      <c r="BT34">
        <v>18.580400000000001</v>
      </c>
      <c r="BU34">
        <v>1799.98</v>
      </c>
      <c r="BV34">
        <v>0.91000400000000004</v>
      </c>
      <c r="BW34">
        <v>3.4001900000000002E-2</v>
      </c>
      <c r="BX34">
        <v>2.1995600000000001E-2</v>
      </c>
      <c r="BY34">
        <v>3.39987E-2</v>
      </c>
      <c r="BZ34">
        <v>25</v>
      </c>
      <c r="CA34">
        <v>33528</v>
      </c>
      <c r="CB34">
        <v>1690376213.5999999</v>
      </c>
      <c r="CC34" t="s">
        <v>332</v>
      </c>
      <c r="CD34">
        <v>1690376213.5999999</v>
      </c>
      <c r="CE34">
        <v>1690376198.0999999</v>
      </c>
      <c r="CF34">
        <v>2</v>
      </c>
      <c r="CG34">
        <v>0.66900000000000004</v>
      </c>
      <c r="CH34">
        <v>-2.1000000000000001E-2</v>
      </c>
      <c r="CI34">
        <v>-0.70099999999999996</v>
      </c>
      <c r="CJ34">
        <v>0.21099999999999999</v>
      </c>
      <c r="CK34">
        <v>799</v>
      </c>
      <c r="CL34">
        <v>21</v>
      </c>
      <c r="CM34">
        <v>0.11</v>
      </c>
      <c r="CN34">
        <v>0.17</v>
      </c>
      <c r="CO34">
        <v>-20.574678048780491</v>
      </c>
      <c r="CP34">
        <v>-24.829831358885031</v>
      </c>
      <c r="CQ34">
        <v>2.45032317843717</v>
      </c>
      <c r="CR34">
        <v>-1</v>
      </c>
      <c r="CS34">
        <v>2.4876965853658541</v>
      </c>
      <c r="CT34">
        <v>-3.0035540069747349E-3</v>
      </c>
      <c r="CU34">
        <v>6.6627752255443281E-3</v>
      </c>
      <c r="CV34">
        <v>-1</v>
      </c>
      <c r="CW34">
        <v>0</v>
      </c>
      <c r="CX34">
        <v>0</v>
      </c>
      <c r="CY34" t="s">
        <v>333</v>
      </c>
      <c r="CZ34">
        <v>2.3652500000000001</v>
      </c>
      <c r="DA34">
        <v>2.7137600000000002</v>
      </c>
      <c r="DB34">
        <v>0.14330100000000001</v>
      </c>
      <c r="DC34">
        <v>0.14602200000000001</v>
      </c>
      <c r="DD34">
        <v>0.114468</v>
      </c>
      <c r="DE34">
        <v>0.104522</v>
      </c>
      <c r="DF34">
        <v>31293.1</v>
      </c>
      <c r="DG34">
        <v>27514.6</v>
      </c>
      <c r="DH34">
        <v>31181</v>
      </c>
      <c r="DI34">
        <v>28072.1</v>
      </c>
      <c r="DJ34">
        <v>37483.699999999997</v>
      </c>
      <c r="DK34">
        <v>35729.800000000003</v>
      </c>
      <c r="DL34">
        <v>44371.8</v>
      </c>
      <c r="DM34">
        <v>42532</v>
      </c>
      <c r="DN34">
        <v>1.4308799999999999</v>
      </c>
      <c r="DO34">
        <v>2.0857999999999999</v>
      </c>
      <c r="DP34">
        <v>8.9537400000000003E-2</v>
      </c>
      <c r="DQ34">
        <v>0.22151299999999999</v>
      </c>
      <c r="DR34">
        <v>25.6004</v>
      </c>
      <c r="DS34">
        <v>25.5733</v>
      </c>
      <c r="DT34">
        <v>61.7</v>
      </c>
      <c r="DU34">
        <v>26.5</v>
      </c>
      <c r="DV34">
        <v>21.7331</v>
      </c>
      <c r="DW34">
        <v>61.810200000000002</v>
      </c>
      <c r="DX34">
        <v>35.508800000000001</v>
      </c>
      <c r="DY34">
        <v>1</v>
      </c>
      <c r="DZ34">
        <v>-0.141126</v>
      </c>
      <c r="EA34">
        <v>1.4396599999999999</v>
      </c>
      <c r="EB34">
        <v>20.181799999999999</v>
      </c>
      <c r="EC34">
        <v>5.2411000000000003</v>
      </c>
      <c r="ED34">
        <v>12.039899999999999</v>
      </c>
      <c r="EE34">
        <v>5.0162500000000003</v>
      </c>
      <c r="EF34">
        <v>3.2879700000000001</v>
      </c>
      <c r="EG34">
        <v>9999</v>
      </c>
      <c r="EH34">
        <v>9999</v>
      </c>
      <c r="EI34">
        <v>9999</v>
      </c>
      <c r="EJ34">
        <v>999.9</v>
      </c>
      <c r="EK34">
        <v>1.8688</v>
      </c>
      <c r="EL34">
        <v>1.8644700000000001</v>
      </c>
      <c r="EM34">
        <v>1.86913</v>
      </c>
      <c r="EN34">
        <v>1.8671500000000001</v>
      </c>
      <c r="EO34">
        <v>1.8632500000000001</v>
      </c>
      <c r="EP34">
        <v>1.86432</v>
      </c>
      <c r="EQ34">
        <v>1.87009</v>
      </c>
      <c r="ER34">
        <v>1.86934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-0.68400000000000005</v>
      </c>
      <c r="FG34">
        <v>0.2112</v>
      </c>
      <c r="FH34">
        <v>-0.150361779349652</v>
      </c>
      <c r="FI34">
        <v>-6.1462078757559423E-4</v>
      </c>
      <c r="FJ34">
        <v>-1.8861989874597051E-7</v>
      </c>
      <c r="FK34">
        <v>1.1980462299894961E-10</v>
      </c>
      <c r="FL34">
        <v>0.21114761904761539</v>
      </c>
      <c r="FM34">
        <v>0</v>
      </c>
      <c r="FN34">
        <v>0</v>
      </c>
      <c r="FO34">
        <v>0</v>
      </c>
      <c r="FP34">
        <v>3</v>
      </c>
      <c r="FQ34">
        <v>2158</v>
      </c>
      <c r="FR34">
        <v>1</v>
      </c>
      <c r="FS34">
        <v>19</v>
      </c>
      <c r="FT34">
        <v>12</v>
      </c>
      <c r="FU34">
        <v>12.3</v>
      </c>
      <c r="FV34">
        <v>1.79688</v>
      </c>
      <c r="FW34">
        <v>2.5573700000000001</v>
      </c>
      <c r="FX34">
        <v>1.5490699999999999</v>
      </c>
      <c r="FY34">
        <v>2.33887</v>
      </c>
      <c r="FZ34">
        <v>1.50146</v>
      </c>
      <c r="GA34">
        <v>2.3706100000000001</v>
      </c>
      <c r="GB34">
        <v>31.6736</v>
      </c>
      <c r="GC34">
        <v>23.991199999999999</v>
      </c>
      <c r="GD34">
        <v>19</v>
      </c>
      <c r="GE34">
        <v>261.428</v>
      </c>
      <c r="GF34">
        <v>616.89300000000003</v>
      </c>
      <c r="GG34">
        <v>24.217700000000001</v>
      </c>
      <c r="GH34">
        <v>25.669699999999999</v>
      </c>
      <c r="GI34">
        <v>29.9998</v>
      </c>
      <c r="GJ34">
        <v>25.707100000000001</v>
      </c>
      <c r="GK34">
        <v>25.659800000000001</v>
      </c>
      <c r="GL34">
        <v>35.918399999999998</v>
      </c>
      <c r="GM34">
        <v>0</v>
      </c>
      <c r="GN34">
        <v>100</v>
      </c>
      <c r="GO34">
        <v>24.181999999999999</v>
      </c>
      <c r="GP34">
        <v>800</v>
      </c>
      <c r="GQ34">
        <v>22.967700000000001</v>
      </c>
      <c r="GR34">
        <v>99.763599999999997</v>
      </c>
      <c r="GS34">
        <v>99.511499999999998</v>
      </c>
    </row>
    <row r="35" spans="1:201" x14ac:dyDescent="0.25">
      <c r="A35">
        <v>19</v>
      </c>
      <c r="B35">
        <v>1690376946</v>
      </c>
      <c r="C35">
        <v>229.5</v>
      </c>
      <c r="D35" t="s">
        <v>371</v>
      </c>
      <c r="E35" t="s">
        <v>372</v>
      </c>
      <c r="F35" t="s">
        <v>330</v>
      </c>
      <c r="H35">
        <v>1690376946</v>
      </c>
      <c r="I35">
        <f t="shared" si="0"/>
        <v>2.3120069438287494E-4</v>
      </c>
      <c r="J35">
        <f t="shared" si="1"/>
        <v>0.23120069438287494</v>
      </c>
      <c r="K35">
        <f t="shared" si="2"/>
        <v>2.472485774999317</v>
      </c>
      <c r="L35">
        <f t="shared" si="3"/>
        <v>769.57600000000002</v>
      </c>
      <c r="M35">
        <f t="shared" si="4"/>
        <v>449.96338170558607</v>
      </c>
      <c r="N35">
        <f t="shared" si="5"/>
        <v>44.436776758007618</v>
      </c>
      <c r="O35">
        <f t="shared" si="6"/>
        <v>76.000577604104009</v>
      </c>
      <c r="P35">
        <f t="shared" si="7"/>
        <v>1.3123812289986063E-2</v>
      </c>
      <c r="Q35">
        <f t="shared" si="8"/>
        <v>2.008806605738505</v>
      </c>
      <c r="R35">
        <f t="shared" si="9"/>
        <v>1.3076365082312863E-2</v>
      </c>
      <c r="S35">
        <f t="shared" si="10"/>
        <v>8.1769767566895555E-3</v>
      </c>
      <c r="T35">
        <f t="shared" si="11"/>
        <v>276.11242820354357</v>
      </c>
      <c r="U35">
        <f t="shared" si="12"/>
        <v>29.309997014803354</v>
      </c>
      <c r="V35">
        <f t="shared" si="13"/>
        <v>29.309997014803354</v>
      </c>
      <c r="W35">
        <f t="shared" si="14"/>
        <v>4.0944825534996498</v>
      </c>
      <c r="X35">
        <f t="shared" si="15"/>
        <v>66.852396671276708</v>
      </c>
      <c r="Y35">
        <f t="shared" si="16"/>
        <v>2.4058547450835004</v>
      </c>
      <c r="Z35">
        <f t="shared" si="17"/>
        <v>3.5987561626450737</v>
      </c>
      <c r="AA35">
        <f t="shared" si="18"/>
        <v>1.6886278084161495</v>
      </c>
      <c r="AB35">
        <f t="shared" si="19"/>
        <v>-10.195950622284785</v>
      </c>
      <c r="AC35">
        <f t="shared" si="20"/>
        <v>-240.09807579908923</v>
      </c>
      <c r="AD35">
        <f t="shared" si="21"/>
        <v>-26.105921409200313</v>
      </c>
      <c r="AE35">
        <f t="shared" si="22"/>
        <v>-0.28751962703074696</v>
      </c>
      <c r="AF35">
        <v>16</v>
      </c>
      <c r="AG35">
        <v>5</v>
      </c>
      <c r="AH35">
        <f t="shared" si="23"/>
        <v>1</v>
      </c>
      <c r="AI35">
        <f t="shared" si="24"/>
        <v>0</v>
      </c>
      <c r="AJ35">
        <f t="shared" si="25"/>
        <v>52219.559398727841</v>
      </c>
      <c r="AK35">
        <f t="shared" si="26"/>
        <v>1799.99</v>
      </c>
      <c r="AL35">
        <f t="shared" si="27"/>
        <v>1499.1045085953501</v>
      </c>
      <c r="AM35">
        <f t="shared" si="28"/>
        <v>0.83284046500000009</v>
      </c>
      <c r="AN35">
        <f t="shared" si="29"/>
        <v>0.15339664565000002</v>
      </c>
      <c r="AO35">
        <v>34.5</v>
      </c>
      <c r="AP35">
        <v>0.5</v>
      </c>
      <c r="AQ35" t="s">
        <v>331</v>
      </c>
      <c r="AR35">
        <v>2</v>
      </c>
      <c r="AS35">
        <v>1690376946</v>
      </c>
      <c r="AT35">
        <v>769.57600000000002</v>
      </c>
      <c r="AU35">
        <v>800.03300000000002</v>
      </c>
      <c r="AV35">
        <v>24.361499999999999</v>
      </c>
      <c r="AW35">
        <v>21.769400000000001</v>
      </c>
      <c r="AX35">
        <v>770.25699999999995</v>
      </c>
      <c r="AY35">
        <v>24.150400000000001</v>
      </c>
      <c r="AZ35">
        <v>300.22399999999999</v>
      </c>
      <c r="BA35">
        <v>98.656400000000005</v>
      </c>
      <c r="BB35">
        <v>0.10002900000000001</v>
      </c>
      <c r="BC35">
        <v>27.093</v>
      </c>
      <c r="BD35">
        <v>26.993300000000001</v>
      </c>
      <c r="BE35">
        <v>29.1435</v>
      </c>
      <c r="BF35">
        <v>0</v>
      </c>
      <c r="BG35">
        <v>0</v>
      </c>
      <c r="BH35">
        <v>10013.799999999999</v>
      </c>
      <c r="BI35">
        <v>1084.75</v>
      </c>
      <c r="BJ35">
        <v>1.4577199999999999</v>
      </c>
      <c r="BK35">
        <v>-30.4572</v>
      </c>
      <c r="BL35">
        <v>788.79200000000003</v>
      </c>
      <c r="BM35">
        <v>817.83699999999999</v>
      </c>
      <c r="BN35">
        <v>2.5921500000000002</v>
      </c>
      <c r="BO35">
        <v>800.03300000000002</v>
      </c>
      <c r="BP35">
        <v>21.769400000000001</v>
      </c>
      <c r="BQ35">
        <v>2.4034200000000001</v>
      </c>
      <c r="BR35">
        <v>2.1476899999999999</v>
      </c>
      <c r="BS35">
        <v>20.386800000000001</v>
      </c>
      <c r="BT35">
        <v>18.577400000000001</v>
      </c>
      <c r="BU35">
        <v>1799.99</v>
      </c>
      <c r="BV35">
        <v>0.91001799999999999</v>
      </c>
      <c r="BW35">
        <v>3.3996400000000003E-2</v>
      </c>
      <c r="BX35">
        <v>2.1992000000000001E-2</v>
      </c>
      <c r="BY35">
        <v>3.3993099999999998E-2</v>
      </c>
      <c r="BZ35">
        <v>25</v>
      </c>
      <c r="CA35">
        <v>33528.300000000003</v>
      </c>
      <c r="CB35">
        <v>1690376213.5999999</v>
      </c>
      <c r="CC35" t="s">
        <v>332</v>
      </c>
      <c r="CD35">
        <v>1690376213.5999999</v>
      </c>
      <c r="CE35">
        <v>1690376198.0999999</v>
      </c>
      <c r="CF35">
        <v>2</v>
      </c>
      <c r="CG35">
        <v>0.66900000000000004</v>
      </c>
      <c r="CH35">
        <v>-2.1000000000000001E-2</v>
      </c>
      <c r="CI35">
        <v>-0.70099999999999996</v>
      </c>
      <c r="CJ35">
        <v>0.21099999999999999</v>
      </c>
      <c r="CK35">
        <v>799</v>
      </c>
      <c r="CL35">
        <v>21</v>
      </c>
      <c r="CM35">
        <v>0.11</v>
      </c>
      <c r="CN35">
        <v>0.17</v>
      </c>
      <c r="CO35">
        <v>-25.297540000000001</v>
      </c>
      <c r="CP35">
        <v>-27.89125328330206</v>
      </c>
      <c r="CQ35">
        <v>2.6835543086362161</v>
      </c>
      <c r="CR35">
        <v>-1</v>
      </c>
      <c r="CS35">
        <v>2.5144137500000001</v>
      </c>
      <c r="CT35">
        <v>0.30767876172607789</v>
      </c>
      <c r="CU35">
        <v>3.054676829776759E-2</v>
      </c>
      <c r="CV35">
        <v>-1</v>
      </c>
      <c r="CW35">
        <v>0</v>
      </c>
      <c r="CX35">
        <v>0</v>
      </c>
      <c r="CY35" t="s">
        <v>333</v>
      </c>
      <c r="CZ35">
        <v>2.3652799999999998</v>
      </c>
      <c r="DA35">
        <v>2.7138300000000002</v>
      </c>
      <c r="DB35">
        <v>0.14269599999999999</v>
      </c>
      <c r="DC35">
        <v>0.14602000000000001</v>
      </c>
      <c r="DD35">
        <v>0.114727</v>
      </c>
      <c r="DE35">
        <v>0.104507</v>
      </c>
      <c r="DF35">
        <v>31315.1</v>
      </c>
      <c r="DG35">
        <v>27515.4</v>
      </c>
      <c r="DH35">
        <v>31181</v>
      </c>
      <c r="DI35">
        <v>28072.799999999999</v>
      </c>
      <c r="DJ35">
        <v>37472.5</v>
      </c>
      <c r="DK35">
        <v>35731.1</v>
      </c>
      <c r="DL35">
        <v>44371.7</v>
      </c>
      <c r="DM35">
        <v>42532.9</v>
      </c>
      <c r="DN35">
        <v>1.4310499999999999</v>
      </c>
      <c r="DO35">
        <v>2.0853799999999998</v>
      </c>
      <c r="DP35">
        <v>8.5670499999999997E-2</v>
      </c>
      <c r="DQ35">
        <v>0.21955</v>
      </c>
      <c r="DR35">
        <v>25.590699999999998</v>
      </c>
      <c r="DS35">
        <v>25.555</v>
      </c>
      <c r="DT35">
        <v>61.7</v>
      </c>
      <c r="DU35">
        <v>26.5</v>
      </c>
      <c r="DV35">
        <v>21.735399999999998</v>
      </c>
      <c r="DW35">
        <v>61.560200000000002</v>
      </c>
      <c r="DX35">
        <v>35.941499999999998</v>
      </c>
      <c r="DY35">
        <v>1</v>
      </c>
      <c r="DZ35">
        <v>-0.141433</v>
      </c>
      <c r="EA35">
        <v>1.04254</v>
      </c>
      <c r="EB35">
        <v>20.186299999999999</v>
      </c>
      <c r="EC35">
        <v>5.2406499999999996</v>
      </c>
      <c r="ED35">
        <v>12.039899999999999</v>
      </c>
      <c r="EE35">
        <v>5.0160499999999999</v>
      </c>
      <c r="EF35">
        <v>3.2879700000000001</v>
      </c>
      <c r="EG35">
        <v>9999</v>
      </c>
      <c r="EH35">
        <v>9999</v>
      </c>
      <c r="EI35">
        <v>9999</v>
      </c>
      <c r="EJ35">
        <v>999.9</v>
      </c>
      <c r="EK35">
        <v>1.8688100000000001</v>
      </c>
      <c r="EL35">
        <v>1.8644799999999999</v>
      </c>
      <c r="EM35">
        <v>1.8691500000000001</v>
      </c>
      <c r="EN35">
        <v>1.8671500000000001</v>
      </c>
      <c r="EO35">
        <v>1.86328</v>
      </c>
      <c r="EP35">
        <v>1.86432</v>
      </c>
      <c r="EQ35">
        <v>1.87012</v>
      </c>
      <c r="ER35">
        <v>1.86934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-0.68100000000000005</v>
      </c>
      <c r="FG35">
        <v>0.21110000000000001</v>
      </c>
      <c r="FH35">
        <v>-0.150361779349652</v>
      </c>
      <c r="FI35">
        <v>-6.1462078757559423E-4</v>
      </c>
      <c r="FJ35">
        <v>-1.8861989874597051E-7</v>
      </c>
      <c r="FK35">
        <v>1.1980462299894961E-10</v>
      </c>
      <c r="FL35">
        <v>0.21114761904761539</v>
      </c>
      <c r="FM35">
        <v>0</v>
      </c>
      <c r="FN35">
        <v>0</v>
      </c>
      <c r="FO35">
        <v>0</v>
      </c>
      <c r="FP35">
        <v>3</v>
      </c>
      <c r="FQ35">
        <v>2158</v>
      </c>
      <c r="FR35">
        <v>1</v>
      </c>
      <c r="FS35">
        <v>19</v>
      </c>
      <c r="FT35">
        <v>12.2</v>
      </c>
      <c r="FU35">
        <v>12.5</v>
      </c>
      <c r="FV35">
        <v>1.79688</v>
      </c>
      <c r="FW35">
        <v>2.5683600000000002</v>
      </c>
      <c r="FX35">
        <v>1.5490699999999999</v>
      </c>
      <c r="FY35">
        <v>2.33887</v>
      </c>
      <c r="FZ35">
        <v>1.50146</v>
      </c>
      <c r="GA35">
        <v>2.3889200000000002</v>
      </c>
      <c r="GB35">
        <v>31.6736</v>
      </c>
      <c r="GC35">
        <v>23.991199999999999</v>
      </c>
      <c r="GD35">
        <v>19</v>
      </c>
      <c r="GE35">
        <v>261.52199999999999</v>
      </c>
      <c r="GF35">
        <v>616.58000000000004</v>
      </c>
      <c r="GG35">
        <v>24.0898</v>
      </c>
      <c r="GH35">
        <v>25.6751</v>
      </c>
      <c r="GI35">
        <v>29.9999</v>
      </c>
      <c r="GJ35">
        <v>25.713100000000001</v>
      </c>
      <c r="GK35">
        <v>25.664100000000001</v>
      </c>
      <c r="GL35">
        <v>35.919600000000003</v>
      </c>
      <c r="GM35">
        <v>0</v>
      </c>
      <c r="GN35">
        <v>100</v>
      </c>
      <c r="GO35">
        <v>24.130400000000002</v>
      </c>
      <c r="GP35">
        <v>800</v>
      </c>
      <c r="GQ35">
        <v>22.720800000000001</v>
      </c>
      <c r="GR35">
        <v>99.763499999999993</v>
      </c>
      <c r="GS35">
        <v>99.513900000000007</v>
      </c>
    </row>
    <row r="36" spans="1:201" x14ac:dyDescent="0.25">
      <c r="A36">
        <v>20</v>
      </c>
      <c r="B36">
        <v>1690376956</v>
      </c>
      <c r="C36">
        <v>239.5</v>
      </c>
      <c r="D36" t="s">
        <v>373</v>
      </c>
      <c r="E36" t="s">
        <v>374</v>
      </c>
      <c r="F36" t="s">
        <v>330</v>
      </c>
      <c r="H36">
        <v>1690376956</v>
      </c>
      <c r="I36">
        <f t="shared" si="0"/>
        <v>2.4295727294859555E-4</v>
      </c>
      <c r="J36">
        <f t="shared" si="1"/>
        <v>0.24295727294859557</v>
      </c>
      <c r="K36">
        <f t="shared" si="2"/>
        <v>2.9008907595833615</v>
      </c>
      <c r="L36">
        <f t="shared" si="3"/>
        <v>764.54</v>
      </c>
      <c r="M36">
        <f t="shared" si="4"/>
        <v>414.68218852362776</v>
      </c>
      <c r="N36">
        <f t="shared" si="5"/>
        <v>40.951507014128225</v>
      </c>
      <c r="O36">
        <f t="shared" si="6"/>
        <v>75.501350284780003</v>
      </c>
      <c r="P36">
        <f t="shared" si="7"/>
        <v>1.3967804782726698E-2</v>
      </c>
      <c r="Q36">
        <f t="shared" si="8"/>
        <v>2.0070750511848021</v>
      </c>
      <c r="R36">
        <f t="shared" si="9"/>
        <v>1.3914026006495057E-2</v>
      </c>
      <c r="S36">
        <f t="shared" si="10"/>
        <v>8.7010807341971752E-3</v>
      </c>
      <c r="T36">
        <f t="shared" si="11"/>
        <v>276.11475713860494</v>
      </c>
      <c r="U36">
        <f t="shared" si="12"/>
        <v>29.274787680175059</v>
      </c>
      <c r="V36">
        <f t="shared" si="13"/>
        <v>29.274787680175059</v>
      </c>
      <c r="W36">
        <f t="shared" si="14"/>
        <v>4.0861669287537694</v>
      </c>
      <c r="X36">
        <f t="shared" si="15"/>
        <v>67.335208834556653</v>
      </c>
      <c r="Y36">
        <f t="shared" si="16"/>
        <v>2.4185831608869997</v>
      </c>
      <c r="Z36">
        <f t="shared" si="17"/>
        <v>3.591855141980008</v>
      </c>
      <c r="AA36">
        <f t="shared" si="18"/>
        <v>1.6675837678667698</v>
      </c>
      <c r="AB36">
        <f t="shared" si="19"/>
        <v>-10.714415737033065</v>
      </c>
      <c r="AC36">
        <f t="shared" si="20"/>
        <v>-239.61959201620013</v>
      </c>
      <c r="AD36">
        <f t="shared" si="21"/>
        <v>-26.067554557722701</v>
      </c>
      <c r="AE36">
        <f t="shared" si="22"/>
        <v>-0.28680517235093816</v>
      </c>
      <c r="AF36">
        <v>16</v>
      </c>
      <c r="AG36">
        <v>5</v>
      </c>
      <c r="AH36">
        <f t="shared" si="23"/>
        <v>1</v>
      </c>
      <c r="AI36">
        <f t="shared" si="24"/>
        <v>0</v>
      </c>
      <c r="AJ36">
        <f t="shared" si="25"/>
        <v>52142.40241038274</v>
      </c>
      <c r="AK36">
        <f t="shared" si="26"/>
        <v>1799.99</v>
      </c>
      <c r="AL36">
        <f t="shared" si="27"/>
        <v>1499.1071563806399</v>
      </c>
      <c r="AM36">
        <f t="shared" si="28"/>
        <v>0.832841936</v>
      </c>
      <c r="AN36">
        <f t="shared" si="29"/>
        <v>0.15339793951000003</v>
      </c>
      <c r="AO36">
        <v>34.5</v>
      </c>
      <c r="AP36">
        <v>0.5</v>
      </c>
      <c r="AQ36" t="s">
        <v>331</v>
      </c>
      <c r="AR36">
        <v>2</v>
      </c>
      <c r="AS36">
        <v>1690376956</v>
      </c>
      <c r="AT36">
        <v>764.54</v>
      </c>
      <c r="AU36">
        <v>800.02099999999996</v>
      </c>
      <c r="AV36">
        <v>24.491</v>
      </c>
      <c r="AW36">
        <v>21.7666</v>
      </c>
      <c r="AX36">
        <v>765.21699999999998</v>
      </c>
      <c r="AY36">
        <v>24.279900000000001</v>
      </c>
      <c r="AZ36">
        <v>300.13</v>
      </c>
      <c r="BA36">
        <v>98.653899999999993</v>
      </c>
      <c r="BB36">
        <v>0.10005699999999999</v>
      </c>
      <c r="BC36">
        <v>27.060300000000002</v>
      </c>
      <c r="BD36">
        <v>26.951599999999999</v>
      </c>
      <c r="BE36">
        <v>29.075500000000002</v>
      </c>
      <c r="BF36">
        <v>0</v>
      </c>
      <c r="BG36">
        <v>0</v>
      </c>
      <c r="BH36">
        <v>9997.5</v>
      </c>
      <c r="BI36">
        <v>1084.49</v>
      </c>
      <c r="BJ36">
        <v>1.4577199999999999</v>
      </c>
      <c r="BK36">
        <v>-35.481299999999997</v>
      </c>
      <c r="BL36">
        <v>783.73400000000004</v>
      </c>
      <c r="BM36">
        <v>817.822</v>
      </c>
      <c r="BN36">
        <v>2.7243499999999998</v>
      </c>
      <c r="BO36">
        <v>800.02099999999996</v>
      </c>
      <c r="BP36">
        <v>21.7666</v>
      </c>
      <c r="BQ36">
        <v>2.4161299999999999</v>
      </c>
      <c r="BR36">
        <v>2.1473599999999999</v>
      </c>
      <c r="BS36">
        <v>20.472300000000001</v>
      </c>
      <c r="BT36">
        <v>18.5749</v>
      </c>
      <c r="BU36">
        <v>1799.99</v>
      </c>
      <c r="BV36">
        <v>0.91000800000000004</v>
      </c>
      <c r="BW36">
        <v>3.3994999999999997E-2</v>
      </c>
      <c r="BX36">
        <v>2.2009299999999999E-2</v>
      </c>
      <c r="BY36">
        <v>3.3987499999999997E-2</v>
      </c>
      <c r="BZ36">
        <v>25</v>
      </c>
      <c r="CA36">
        <v>33528.1</v>
      </c>
      <c r="CB36">
        <v>1690376213.5999999</v>
      </c>
      <c r="CC36" t="s">
        <v>332</v>
      </c>
      <c r="CD36">
        <v>1690376213.5999999</v>
      </c>
      <c r="CE36">
        <v>1690376198.0999999</v>
      </c>
      <c r="CF36">
        <v>2</v>
      </c>
      <c r="CG36">
        <v>0.66900000000000004</v>
      </c>
      <c r="CH36">
        <v>-2.1000000000000001E-2</v>
      </c>
      <c r="CI36">
        <v>-0.70099999999999996</v>
      </c>
      <c r="CJ36">
        <v>0.21099999999999999</v>
      </c>
      <c r="CK36">
        <v>799</v>
      </c>
      <c r="CL36">
        <v>21</v>
      </c>
      <c r="CM36">
        <v>0.11</v>
      </c>
      <c r="CN36">
        <v>0.17</v>
      </c>
      <c r="CO36">
        <v>-29.722648780487798</v>
      </c>
      <c r="CP36">
        <v>-29.47884459930312</v>
      </c>
      <c r="CQ36">
        <v>2.907055624588172</v>
      </c>
      <c r="CR36">
        <v>-1</v>
      </c>
      <c r="CS36">
        <v>2.5842975609756098</v>
      </c>
      <c r="CT36">
        <v>0.58954850174216267</v>
      </c>
      <c r="CU36">
        <v>5.8565002692671529E-2</v>
      </c>
      <c r="CV36">
        <v>-1</v>
      </c>
      <c r="CW36">
        <v>0</v>
      </c>
      <c r="CX36">
        <v>0</v>
      </c>
      <c r="CY36" t="s">
        <v>333</v>
      </c>
      <c r="CZ36">
        <v>2.36496</v>
      </c>
      <c r="DA36">
        <v>2.7138499999999999</v>
      </c>
      <c r="DB36">
        <v>0.142064</v>
      </c>
      <c r="DC36">
        <v>0.146013</v>
      </c>
      <c r="DD36">
        <v>0.115152</v>
      </c>
      <c r="DE36">
        <v>0.104494</v>
      </c>
      <c r="DF36">
        <v>31337.599999999999</v>
      </c>
      <c r="DG36">
        <v>27515.200000000001</v>
      </c>
      <c r="DH36">
        <v>31180.400000000001</v>
      </c>
      <c r="DI36">
        <v>28072.400000000001</v>
      </c>
      <c r="DJ36">
        <v>37453.599999999999</v>
      </c>
      <c r="DK36">
        <v>35731.300000000003</v>
      </c>
      <c r="DL36">
        <v>44371</v>
      </c>
      <c r="DM36">
        <v>42532.5</v>
      </c>
      <c r="DN36">
        <v>1.4327000000000001</v>
      </c>
      <c r="DO36">
        <v>2.0852499999999998</v>
      </c>
      <c r="DP36">
        <v>8.3915900000000002E-2</v>
      </c>
      <c r="DQ36">
        <v>0.216696</v>
      </c>
      <c r="DR36">
        <v>25.5777</v>
      </c>
      <c r="DS36">
        <v>25.5334</v>
      </c>
      <c r="DT36">
        <v>61.7</v>
      </c>
      <c r="DU36">
        <v>26.5</v>
      </c>
      <c r="DV36">
        <v>21.734200000000001</v>
      </c>
      <c r="DW36">
        <v>61.310200000000002</v>
      </c>
      <c r="DX36">
        <v>36.614600000000003</v>
      </c>
      <c r="DY36">
        <v>1</v>
      </c>
      <c r="DZ36">
        <v>-0.13883599999999999</v>
      </c>
      <c r="EA36">
        <v>-2.60215</v>
      </c>
      <c r="EB36">
        <v>20.158200000000001</v>
      </c>
      <c r="EC36">
        <v>5.2409499999999998</v>
      </c>
      <c r="ED36">
        <v>12.039899999999999</v>
      </c>
      <c r="EE36">
        <v>5.0159500000000001</v>
      </c>
      <c r="EF36">
        <v>3.2879700000000001</v>
      </c>
      <c r="EG36">
        <v>9999</v>
      </c>
      <c r="EH36">
        <v>9999</v>
      </c>
      <c r="EI36">
        <v>9999</v>
      </c>
      <c r="EJ36">
        <v>999.9</v>
      </c>
      <c r="EK36">
        <v>1.8688100000000001</v>
      </c>
      <c r="EL36">
        <v>1.8644799999999999</v>
      </c>
      <c r="EM36">
        <v>1.86914</v>
      </c>
      <c r="EN36">
        <v>1.86714</v>
      </c>
      <c r="EO36">
        <v>1.8632599999999999</v>
      </c>
      <c r="EP36">
        <v>1.86432</v>
      </c>
      <c r="EQ36">
        <v>1.87008</v>
      </c>
      <c r="ER36">
        <v>1.86934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-0.67700000000000005</v>
      </c>
      <c r="FG36">
        <v>0.21110000000000001</v>
      </c>
      <c r="FH36">
        <v>-0.150361779349652</v>
      </c>
      <c r="FI36">
        <v>-6.1462078757559423E-4</v>
      </c>
      <c r="FJ36">
        <v>-1.8861989874597051E-7</v>
      </c>
      <c r="FK36">
        <v>1.1980462299894961E-10</v>
      </c>
      <c r="FL36">
        <v>0.21114761904761539</v>
      </c>
      <c r="FM36">
        <v>0</v>
      </c>
      <c r="FN36">
        <v>0</v>
      </c>
      <c r="FO36">
        <v>0</v>
      </c>
      <c r="FP36">
        <v>3</v>
      </c>
      <c r="FQ36">
        <v>2158</v>
      </c>
      <c r="FR36">
        <v>1</v>
      </c>
      <c r="FS36">
        <v>19</v>
      </c>
      <c r="FT36">
        <v>12.4</v>
      </c>
      <c r="FU36">
        <v>12.6</v>
      </c>
      <c r="FV36">
        <v>1.79688</v>
      </c>
      <c r="FW36">
        <v>2.5647000000000002</v>
      </c>
      <c r="FX36">
        <v>1.5490699999999999</v>
      </c>
      <c r="FY36">
        <v>2.33887</v>
      </c>
      <c r="FZ36">
        <v>1.50146</v>
      </c>
      <c r="GA36">
        <v>2.3828100000000001</v>
      </c>
      <c r="GB36">
        <v>31.6736</v>
      </c>
      <c r="GC36">
        <v>23.991199999999999</v>
      </c>
      <c r="GD36">
        <v>19</v>
      </c>
      <c r="GE36">
        <v>262.20499999999998</v>
      </c>
      <c r="GF36">
        <v>616.51700000000005</v>
      </c>
      <c r="GG36">
        <v>24.749700000000001</v>
      </c>
      <c r="GH36">
        <v>25.68</v>
      </c>
      <c r="GI36">
        <v>30.001799999999999</v>
      </c>
      <c r="GJ36">
        <v>25.718499999999999</v>
      </c>
      <c r="GK36">
        <v>25.667899999999999</v>
      </c>
      <c r="GL36">
        <v>35.918599999999998</v>
      </c>
      <c r="GM36">
        <v>0</v>
      </c>
      <c r="GN36">
        <v>100</v>
      </c>
      <c r="GO36">
        <v>25.139399999999998</v>
      </c>
      <c r="GP36">
        <v>800</v>
      </c>
      <c r="GQ36">
        <v>22.490600000000001</v>
      </c>
      <c r="GR36">
        <v>99.761799999999994</v>
      </c>
      <c r="GS36">
        <v>99.512799999999999</v>
      </c>
    </row>
    <row r="37" spans="1:201" x14ac:dyDescent="0.25">
      <c r="A37">
        <v>21</v>
      </c>
      <c r="B37">
        <v>1690376966</v>
      </c>
      <c r="C37">
        <v>249.5</v>
      </c>
      <c r="D37" t="s">
        <v>375</v>
      </c>
      <c r="E37" t="s">
        <v>376</v>
      </c>
      <c r="F37" t="s">
        <v>330</v>
      </c>
      <c r="H37">
        <v>1690376966</v>
      </c>
      <c r="I37">
        <f t="shared" si="0"/>
        <v>2.7138145599562576E-4</v>
      </c>
      <c r="J37">
        <f t="shared" si="1"/>
        <v>0.27138145599562574</v>
      </c>
      <c r="K37">
        <f t="shared" si="2"/>
        <v>3.330157583061037</v>
      </c>
      <c r="L37">
        <f t="shared" si="3"/>
        <v>759.34900000000005</v>
      </c>
      <c r="M37">
        <f t="shared" si="4"/>
        <v>404.90859275415232</v>
      </c>
      <c r="N37">
        <f t="shared" si="5"/>
        <v>39.986912875233557</v>
      </c>
      <c r="O37">
        <f t="shared" si="6"/>
        <v>74.989819550042995</v>
      </c>
      <c r="P37">
        <f t="shared" si="7"/>
        <v>1.5804955046246766E-2</v>
      </c>
      <c r="Q37">
        <f t="shared" si="8"/>
        <v>2.0074143910220994</v>
      </c>
      <c r="R37">
        <f t="shared" si="9"/>
        <v>1.5736148350710522E-2</v>
      </c>
      <c r="S37">
        <f t="shared" si="10"/>
        <v>9.8412496772112661E-3</v>
      </c>
      <c r="T37">
        <f t="shared" si="11"/>
        <v>276.11480825832086</v>
      </c>
      <c r="U37">
        <f t="shared" si="12"/>
        <v>29.317777164253371</v>
      </c>
      <c r="V37">
        <f t="shared" si="13"/>
        <v>29.317777164253371</v>
      </c>
      <c r="W37">
        <f t="shared" si="14"/>
        <v>4.0963220325512237</v>
      </c>
      <c r="X37">
        <f t="shared" si="15"/>
        <v>67.984923140729563</v>
      </c>
      <c r="Y37">
        <f t="shared" si="16"/>
        <v>2.4496574972570997</v>
      </c>
      <c r="Z37">
        <f t="shared" si="17"/>
        <v>3.6032364002034405</v>
      </c>
      <c r="AA37">
        <f t="shared" si="18"/>
        <v>1.646664535294124</v>
      </c>
      <c r="AB37">
        <f t="shared" si="19"/>
        <v>-11.967922209407096</v>
      </c>
      <c r="AC37">
        <f t="shared" si="20"/>
        <v>-238.47932826650384</v>
      </c>
      <c r="AD37">
        <f t="shared" si="21"/>
        <v>-25.951638714028238</v>
      </c>
      <c r="AE37">
        <f t="shared" si="22"/>
        <v>-0.28408093161831971</v>
      </c>
      <c r="AF37">
        <v>16</v>
      </c>
      <c r="AG37">
        <v>5</v>
      </c>
      <c r="AH37">
        <f t="shared" si="23"/>
        <v>1</v>
      </c>
      <c r="AI37">
        <f t="shared" si="24"/>
        <v>0</v>
      </c>
      <c r="AJ37">
        <f t="shared" si="25"/>
        <v>52149.282600466118</v>
      </c>
      <c r="AK37">
        <f t="shared" si="26"/>
        <v>1799.99</v>
      </c>
      <c r="AL37">
        <f t="shared" si="27"/>
        <v>1499.1004784177401</v>
      </c>
      <c r="AM37">
        <f t="shared" si="28"/>
        <v>0.83283822600000001</v>
      </c>
      <c r="AN37">
        <f t="shared" si="29"/>
        <v>0.15339796790999999</v>
      </c>
      <c r="AO37">
        <v>34.5</v>
      </c>
      <c r="AP37">
        <v>0.5</v>
      </c>
      <c r="AQ37" t="s">
        <v>331</v>
      </c>
      <c r="AR37">
        <v>2</v>
      </c>
      <c r="AS37">
        <v>1690376966</v>
      </c>
      <c r="AT37">
        <v>759.34900000000005</v>
      </c>
      <c r="AU37">
        <v>800.00400000000002</v>
      </c>
      <c r="AV37">
        <v>24.805299999999999</v>
      </c>
      <c r="AW37">
        <v>21.762699999999999</v>
      </c>
      <c r="AX37">
        <v>760.02300000000002</v>
      </c>
      <c r="AY37">
        <v>24.594100000000001</v>
      </c>
      <c r="AZ37">
        <v>300.08600000000001</v>
      </c>
      <c r="BA37">
        <v>98.655299999999997</v>
      </c>
      <c r="BB37">
        <v>0.100107</v>
      </c>
      <c r="BC37">
        <v>27.1142</v>
      </c>
      <c r="BD37">
        <v>27.017299999999999</v>
      </c>
      <c r="BE37">
        <v>29.097999999999999</v>
      </c>
      <c r="BF37">
        <v>0</v>
      </c>
      <c r="BG37">
        <v>0</v>
      </c>
      <c r="BH37">
        <v>10000.6</v>
      </c>
      <c r="BI37">
        <v>1084.5999999999999</v>
      </c>
      <c r="BJ37">
        <v>1.47174</v>
      </c>
      <c r="BK37">
        <v>-40.655200000000001</v>
      </c>
      <c r="BL37">
        <v>778.66399999999999</v>
      </c>
      <c r="BM37">
        <v>817.80100000000004</v>
      </c>
      <c r="BN37">
        <v>3.0425900000000001</v>
      </c>
      <c r="BO37">
        <v>800.00400000000002</v>
      </c>
      <c r="BP37">
        <v>21.762699999999999</v>
      </c>
      <c r="BQ37">
        <v>2.4471699999999998</v>
      </c>
      <c r="BR37">
        <v>2.1469999999999998</v>
      </c>
      <c r="BS37">
        <v>20.679400000000001</v>
      </c>
      <c r="BT37">
        <v>18.572299999999998</v>
      </c>
      <c r="BU37">
        <v>1799.99</v>
      </c>
      <c r="BV37">
        <v>0.90997700000000004</v>
      </c>
      <c r="BW37">
        <v>3.40062E-2</v>
      </c>
      <c r="BX37">
        <v>2.2006299999999999E-2</v>
      </c>
      <c r="BY37">
        <v>3.40103E-2</v>
      </c>
      <c r="BZ37">
        <v>25</v>
      </c>
      <c r="CA37">
        <v>33528</v>
      </c>
      <c r="CB37">
        <v>1690376213.5999999</v>
      </c>
      <c r="CC37" t="s">
        <v>332</v>
      </c>
      <c r="CD37">
        <v>1690376213.5999999</v>
      </c>
      <c r="CE37">
        <v>1690376198.0999999</v>
      </c>
      <c r="CF37">
        <v>2</v>
      </c>
      <c r="CG37">
        <v>0.66900000000000004</v>
      </c>
      <c r="CH37">
        <v>-2.1000000000000001E-2</v>
      </c>
      <c r="CI37">
        <v>-0.70099999999999996</v>
      </c>
      <c r="CJ37">
        <v>0.21099999999999999</v>
      </c>
      <c r="CK37">
        <v>799</v>
      </c>
      <c r="CL37">
        <v>21</v>
      </c>
      <c r="CM37">
        <v>0.11</v>
      </c>
      <c r="CN37">
        <v>0.17</v>
      </c>
      <c r="CO37">
        <v>-34.725026829268288</v>
      </c>
      <c r="CP37">
        <v>-30.406488501742171</v>
      </c>
      <c r="CQ37">
        <v>2.9983460627831171</v>
      </c>
      <c r="CR37">
        <v>-1</v>
      </c>
      <c r="CS37">
        <v>2.735173170731708</v>
      </c>
      <c r="CT37">
        <v>1.236276376306624</v>
      </c>
      <c r="CU37">
        <v>0.12570674187712089</v>
      </c>
      <c r="CV37">
        <v>-1</v>
      </c>
      <c r="CW37">
        <v>0</v>
      </c>
      <c r="CX37">
        <v>0</v>
      </c>
      <c r="CY37" t="s">
        <v>333</v>
      </c>
      <c r="CZ37">
        <v>2.3648099999999999</v>
      </c>
      <c r="DA37">
        <v>2.7139000000000002</v>
      </c>
      <c r="DB37">
        <v>0.14141899999999999</v>
      </c>
      <c r="DC37">
        <v>0.146012</v>
      </c>
      <c r="DD37">
        <v>0.116191</v>
      </c>
      <c r="DE37">
        <v>0.10448200000000001</v>
      </c>
      <c r="DF37">
        <v>31361.1</v>
      </c>
      <c r="DG37">
        <v>27515.599999999999</v>
      </c>
      <c r="DH37">
        <v>31180.400000000001</v>
      </c>
      <c r="DI37">
        <v>28072.799999999999</v>
      </c>
      <c r="DJ37">
        <v>37408.9</v>
      </c>
      <c r="DK37">
        <v>35732.300000000003</v>
      </c>
      <c r="DL37">
        <v>44370.7</v>
      </c>
      <c r="DM37">
        <v>42533.1</v>
      </c>
      <c r="DN37">
        <v>1.43208</v>
      </c>
      <c r="DO37">
        <v>2.08507</v>
      </c>
      <c r="DP37">
        <v>8.8781100000000002E-2</v>
      </c>
      <c r="DQ37">
        <v>0.219412</v>
      </c>
      <c r="DR37">
        <v>25.563700000000001</v>
      </c>
      <c r="DS37">
        <v>25.511399999999998</v>
      </c>
      <c r="DT37">
        <v>61.7</v>
      </c>
      <c r="DU37">
        <v>26.5</v>
      </c>
      <c r="DV37">
        <v>21.734300000000001</v>
      </c>
      <c r="DW37">
        <v>61.540199999999999</v>
      </c>
      <c r="DX37">
        <v>36.714700000000001</v>
      </c>
      <c r="DY37">
        <v>1</v>
      </c>
      <c r="DZ37">
        <v>-0.142066</v>
      </c>
      <c r="EA37">
        <v>-0.36651099999999998</v>
      </c>
      <c r="EB37">
        <v>20.189800000000002</v>
      </c>
      <c r="EC37">
        <v>5.2408000000000001</v>
      </c>
      <c r="ED37">
        <v>12.039899999999999</v>
      </c>
      <c r="EE37">
        <v>5.0160999999999998</v>
      </c>
      <c r="EF37">
        <v>3.2879999999999998</v>
      </c>
      <c r="EG37">
        <v>9999</v>
      </c>
      <c r="EH37">
        <v>9999</v>
      </c>
      <c r="EI37">
        <v>9999</v>
      </c>
      <c r="EJ37">
        <v>999.9</v>
      </c>
      <c r="EK37">
        <v>1.8688</v>
      </c>
      <c r="EL37">
        <v>1.8644700000000001</v>
      </c>
      <c r="EM37">
        <v>1.8691199999999999</v>
      </c>
      <c r="EN37">
        <v>1.8671599999999999</v>
      </c>
      <c r="EO37">
        <v>1.86327</v>
      </c>
      <c r="EP37">
        <v>1.86432</v>
      </c>
      <c r="EQ37">
        <v>1.8701000000000001</v>
      </c>
      <c r="ER37">
        <v>1.8693500000000001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-0.67400000000000004</v>
      </c>
      <c r="FG37">
        <v>0.2112</v>
      </c>
      <c r="FH37">
        <v>-0.150361779349652</v>
      </c>
      <c r="FI37">
        <v>-6.1462078757559423E-4</v>
      </c>
      <c r="FJ37">
        <v>-1.8861989874597051E-7</v>
      </c>
      <c r="FK37">
        <v>1.1980462299894961E-10</v>
      </c>
      <c r="FL37">
        <v>0.21114761904761539</v>
      </c>
      <c r="FM37">
        <v>0</v>
      </c>
      <c r="FN37">
        <v>0</v>
      </c>
      <c r="FO37">
        <v>0</v>
      </c>
      <c r="FP37">
        <v>3</v>
      </c>
      <c r="FQ37">
        <v>2158</v>
      </c>
      <c r="FR37">
        <v>1</v>
      </c>
      <c r="FS37">
        <v>19</v>
      </c>
      <c r="FT37">
        <v>12.5</v>
      </c>
      <c r="FU37">
        <v>12.8</v>
      </c>
      <c r="FV37">
        <v>1.79688</v>
      </c>
      <c r="FW37">
        <v>2.5683600000000002</v>
      </c>
      <c r="FX37">
        <v>1.5490699999999999</v>
      </c>
      <c r="FY37">
        <v>2.33887</v>
      </c>
      <c r="FZ37">
        <v>1.50146</v>
      </c>
      <c r="GA37">
        <v>2.35107</v>
      </c>
      <c r="GB37">
        <v>31.695499999999999</v>
      </c>
      <c r="GC37">
        <v>23.973700000000001</v>
      </c>
      <c r="GD37">
        <v>19</v>
      </c>
      <c r="GE37">
        <v>261.98899999999998</v>
      </c>
      <c r="GF37">
        <v>616.40499999999997</v>
      </c>
      <c r="GG37">
        <v>25.268000000000001</v>
      </c>
      <c r="GH37">
        <v>25.6843</v>
      </c>
      <c r="GI37">
        <v>29.999400000000001</v>
      </c>
      <c r="GJ37">
        <v>25.7271</v>
      </c>
      <c r="GK37">
        <v>25.671099999999999</v>
      </c>
      <c r="GL37">
        <v>35.9206</v>
      </c>
      <c r="GM37">
        <v>0</v>
      </c>
      <c r="GN37">
        <v>100</v>
      </c>
      <c r="GO37">
        <v>25.1874</v>
      </c>
      <c r="GP37">
        <v>800</v>
      </c>
      <c r="GQ37">
        <v>22.096599999999999</v>
      </c>
      <c r="GR37">
        <v>99.761399999999995</v>
      </c>
      <c r="GS37">
        <v>99.514200000000002</v>
      </c>
    </row>
    <row r="38" spans="1:201" x14ac:dyDescent="0.25">
      <c r="A38">
        <v>22</v>
      </c>
      <c r="B38">
        <v>1690376976</v>
      </c>
      <c r="C38">
        <v>259.5</v>
      </c>
      <c r="D38" t="s">
        <v>377</v>
      </c>
      <c r="E38" t="s">
        <v>378</v>
      </c>
      <c r="F38" t="s">
        <v>330</v>
      </c>
      <c r="H38">
        <v>1690376976</v>
      </c>
      <c r="I38">
        <f t="shared" si="0"/>
        <v>2.8924818248049169E-4</v>
      </c>
      <c r="J38">
        <f t="shared" si="1"/>
        <v>0.28924818248049167</v>
      </c>
      <c r="K38">
        <f t="shared" si="2"/>
        <v>3.7569882000403028</v>
      </c>
      <c r="L38">
        <f t="shared" si="3"/>
        <v>754.33299999999997</v>
      </c>
      <c r="M38">
        <f t="shared" si="4"/>
        <v>383.19424194599389</v>
      </c>
      <c r="N38">
        <f t="shared" si="5"/>
        <v>37.842105184615711</v>
      </c>
      <c r="O38">
        <f t="shared" si="6"/>
        <v>74.493678676543993</v>
      </c>
      <c r="P38">
        <f t="shared" si="7"/>
        <v>1.6973824384531322E-2</v>
      </c>
      <c r="Q38">
        <f t="shared" si="8"/>
        <v>2.0064907709468787</v>
      </c>
      <c r="R38">
        <f t="shared" si="9"/>
        <v>1.6894455272192049E-2</v>
      </c>
      <c r="S38">
        <f t="shared" si="10"/>
        <v>1.0566134521302489E-2</v>
      </c>
      <c r="T38">
        <f t="shared" si="11"/>
        <v>276.11454328179303</v>
      </c>
      <c r="U38">
        <f t="shared" si="12"/>
        <v>29.347439301777126</v>
      </c>
      <c r="V38">
        <f t="shared" si="13"/>
        <v>29.347439301777126</v>
      </c>
      <c r="W38">
        <f t="shared" si="14"/>
        <v>4.1033417328755837</v>
      </c>
      <c r="X38">
        <f t="shared" si="15"/>
        <v>68.37510808626827</v>
      </c>
      <c r="Y38">
        <f t="shared" si="16"/>
        <v>2.4688394491263996</v>
      </c>
      <c r="Z38">
        <f t="shared" si="17"/>
        <v>3.6107284042776016</v>
      </c>
      <c r="AA38">
        <f t="shared" si="18"/>
        <v>1.634502283749184</v>
      </c>
      <c r="AB38">
        <f t="shared" si="19"/>
        <v>-12.755844847389683</v>
      </c>
      <c r="AC38">
        <f t="shared" si="20"/>
        <v>-237.74891575596379</v>
      </c>
      <c r="AD38">
        <f t="shared" si="21"/>
        <v>-25.892449019724864</v>
      </c>
      <c r="AE38">
        <f t="shared" si="22"/>
        <v>-0.28266634128530654</v>
      </c>
      <c r="AF38">
        <v>16</v>
      </c>
      <c r="AG38">
        <v>5</v>
      </c>
      <c r="AH38">
        <f t="shared" si="23"/>
        <v>1</v>
      </c>
      <c r="AI38">
        <f t="shared" si="24"/>
        <v>0</v>
      </c>
      <c r="AJ38">
        <f t="shared" si="25"/>
        <v>52098.991301039299</v>
      </c>
      <c r="AK38">
        <f t="shared" si="26"/>
        <v>1799.99</v>
      </c>
      <c r="AL38">
        <f t="shared" si="27"/>
        <v>1499.10249260655</v>
      </c>
      <c r="AM38">
        <f t="shared" si="28"/>
        <v>0.83283934500000001</v>
      </c>
      <c r="AN38">
        <f t="shared" si="29"/>
        <v>0.15339782070000002</v>
      </c>
      <c r="AO38">
        <v>34.5</v>
      </c>
      <c r="AP38">
        <v>0.5</v>
      </c>
      <c r="AQ38" t="s">
        <v>331</v>
      </c>
      <c r="AR38">
        <v>2</v>
      </c>
      <c r="AS38">
        <v>1690376976</v>
      </c>
      <c r="AT38">
        <v>754.33299999999997</v>
      </c>
      <c r="AU38">
        <v>800.01800000000003</v>
      </c>
      <c r="AV38">
        <v>24.9998</v>
      </c>
      <c r="AW38">
        <v>21.758700000000001</v>
      </c>
      <c r="AX38">
        <v>755.00400000000002</v>
      </c>
      <c r="AY38">
        <v>24.788699999999999</v>
      </c>
      <c r="AZ38">
        <v>300.19400000000002</v>
      </c>
      <c r="BA38">
        <v>98.654300000000006</v>
      </c>
      <c r="BB38">
        <v>0.100068</v>
      </c>
      <c r="BC38">
        <v>27.1496</v>
      </c>
      <c r="BD38">
        <v>27.051600000000001</v>
      </c>
      <c r="BE38">
        <v>29.146999999999998</v>
      </c>
      <c r="BF38">
        <v>0</v>
      </c>
      <c r="BG38">
        <v>0</v>
      </c>
      <c r="BH38">
        <v>9991.8799999999992</v>
      </c>
      <c r="BI38">
        <v>1084.67</v>
      </c>
      <c r="BJ38">
        <v>1.4577199999999999</v>
      </c>
      <c r="BK38">
        <v>-45.684100000000001</v>
      </c>
      <c r="BL38">
        <v>773.67499999999995</v>
      </c>
      <c r="BM38">
        <v>817.81200000000001</v>
      </c>
      <c r="BN38">
        <v>3.2410999999999999</v>
      </c>
      <c r="BO38">
        <v>800.01800000000003</v>
      </c>
      <c r="BP38">
        <v>21.758700000000001</v>
      </c>
      <c r="BQ38">
        <v>2.4663400000000002</v>
      </c>
      <c r="BR38">
        <v>2.1465900000000002</v>
      </c>
      <c r="BS38">
        <v>20.806100000000001</v>
      </c>
      <c r="BT38">
        <v>18.569199999999999</v>
      </c>
      <c r="BU38">
        <v>1799.99</v>
      </c>
      <c r="BV38">
        <v>0.90998500000000004</v>
      </c>
      <c r="BW38">
        <v>3.4001999999999998E-2</v>
      </c>
      <c r="BX38">
        <v>2.2003499999999999E-2</v>
      </c>
      <c r="BY38">
        <v>3.4009999999999999E-2</v>
      </c>
      <c r="BZ38">
        <v>25</v>
      </c>
      <c r="CA38">
        <v>33528.1</v>
      </c>
      <c r="CB38">
        <v>1690376213.5999999</v>
      </c>
      <c r="CC38" t="s">
        <v>332</v>
      </c>
      <c r="CD38">
        <v>1690376213.5999999</v>
      </c>
      <c r="CE38">
        <v>1690376198.0999999</v>
      </c>
      <c r="CF38">
        <v>2</v>
      </c>
      <c r="CG38">
        <v>0.66900000000000004</v>
      </c>
      <c r="CH38">
        <v>-2.1000000000000001E-2</v>
      </c>
      <c r="CI38">
        <v>-0.70099999999999996</v>
      </c>
      <c r="CJ38">
        <v>0.21099999999999999</v>
      </c>
      <c r="CK38">
        <v>799</v>
      </c>
      <c r="CL38">
        <v>21</v>
      </c>
      <c r="CM38">
        <v>0.11</v>
      </c>
      <c r="CN38">
        <v>0.17</v>
      </c>
      <c r="CO38">
        <v>-40.235894999999999</v>
      </c>
      <c r="CP38">
        <v>-30.89688855534704</v>
      </c>
      <c r="CQ38">
        <v>2.9724648170289591</v>
      </c>
      <c r="CR38">
        <v>-1</v>
      </c>
      <c r="CS38">
        <v>2.9976867500000002</v>
      </c>
      <c r="CT38">
        <v>1.666011894934325</v>
      </c>
      <c r="CU38">
        <v>0.16137388734531219</v>
      </c>
      <c r="CV38">
        <v>-1</v>
      </c>
      <c r="CW38">
        <v>0</v>
      </c>
      <c r="CX38">
        <v>0</v>
      </c>
      <c r="CY38" t="s">
        <v>333</v>
      </c>
      <c r="CZ38">
        <v>2.3651800000000001</v>
      </c>
      <c r="DA38">
        <v>2.7138499999999999</v>
      </c>
      <c r="DB38">
        <v>0.14079</v>
      </c>
      <c r="DC38">
        <v>0.146011</v>
      </c>
      <c r="DD38">
        <v>0.116829</v>
      </c>
      <c r="DE38">
        <v>0.104466</v>
      </c>
      <c r="DF38">
        <v>31384</v>
      </c>
      <c r="DG38">
        <v>27515.7</v>
      </c>
      <c r="DH38">
        <v>31180.3</v>
      </c>
      <c r="DI38">
        <v>28072.799999999999</v>
      </c>
      <c r="DJ38">
        <v>37381.699999999997</v>
      </c>
      <c r="DK38">
        <v>35732.9</v>
      </c>
      <c r="DL38">
        <v>44371</v>
      </c>
      <c r="DM38">
        <v>42533.1</v>
      </c>
      <c r="DN38">
        <v>1.43198</v>
      </c>
      <c r="DO38">
        <v>2.085</v>
      </c>
      <c r="DP38">
        <v>9.1601199999999994E-2</v>
      </c>
      <c r="DQ38">
        <v>0.22323799999999999</v>
      </c>
      <c r="DR38">
        <v>25.5518</v>
      </c>
      <c r="DS38">
        <v>25.498000000000001</v>
      </c>
      <c r="DT38">
        <v>61.7</v>
      </c>
      <c r="DU38">
        <v>26.5</v>
      </c>
      <c r="DV38">
        <v>21.738</v>
      </c>
      <c r="DW38">
        <v>61.680199999999999</v>
      </c>
      <c r="DX38">
        <v>36.246000000000002</v>
      </c>
      <c r="DY38">
        <v>1</v>
      </c>
      <c r="DZ38">
        <v>-0.14203499999999999</v>
      </c>
      <c r="EA38">
        <v>0.158192</v>
      </c>
      <c r="EB38">
        <v>20.190899999999999</v>
      </c>
      <c r="EC38">
        <v>5.2411000000000003</v>
      </c>
      <c r="ED38">
        <v>12.039899999999999</v>
      </c>
      <c r="EE38">
        <v>5.0160999999999998</v>
      </c>
      <c r="EF38">
        <v>3.2879999999999998</v>
      </c>
      <c r="EG38">
        <v>9999</v>
      </c>
      <c r="EH38">
        <v>9999</v>
      </c>
      <c r="EI38">
        <v>9999</v>
      </c>
      <c r="EJ38">
        <v>999.9</v>
      </c>
      <c r="EK38">
        <v>1.8688400000000001</v>
      </c>
      <c r="EL38">
        <v>1.86449</v>
      </c>
      <c r="EM38">
        <v>1.86913</v>
      </c>
      <c r="EN38">
        <v>1.8671800000000001</v>
      </c>
      <c r="EO38">
        <v>1.86327</v>
      </c>
      <c r="EP38">
        <v>1.86432</v>
      </c>
      <c r="EQ38">
        <v>1.87012</v>
      </c>
      <c r="ER38">
        <v>1.8693500000000001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-0.67100000000000004</v>
      </c>
      <c r="FG38">
        <v>0.21110000000000001</v>
      </c>
      <c r="FH38">
        <v>-0.150361779349652</v>
      </c>
      <c r="FI38">
        <v>-6.1462078757559423E-4</v>
      </c>
      <c r="FJ38">
        <v>-1.8861989874597051E-7</v>
      </c>
      <c r="FK38">
        <v>1.1980462299894961E-10</v>
      </c>
      <c r="FL38">
        <v>0.21114761904761539</v>
      </c>
      <c r="FM38">
        <v>0</v>
      </c>
      <c r="FN38">
        <v>0</v>
      </c>
      <c r="FO38">
        <v>0</v>
      </c>
      <c r="FP38">
        <v>3</v>
      </c>
      <c r="FQ38">
        <v>2158</v>
      </c>
      <c r="FR38">
        <v>1</v>
      </c>
      <c r="FS38">
        <v>19</v>
      </c>
      <c r="FT38">
        <v>12.7</v>
      </c>
      <c r="FU38">
        <v>13</v>
      </c>
      <c r="FV38">
        <v>1.79688</v>
      </c>
      <c r="FW38">
        <v>2.5695800000000002</v>
      </c>
      <c r="FX38">
        <v>1.5490699999999999</v>
      </c>
      <c r="FY38">
        <v>2.33887</v>
      </c>
      <c r="FZ38">
        <v>1.50146</v>
      </c>
      <c r="GA38">
        <v>2.2863799999999999</v>
      </c>
      <c r="GB38">
        <v>31.695499999999999</v>
      </c>
      <c r="GC38">
        <v>23.982399999999998</v>
      </c>
      <c r="GD38">
        <v>19</v>
      </c>
      <c r="GE38">
        <v>261.96800000000002</v>
      </c>
      <c r="GF38">
        <v>616.38699999999994</v>
      </c>
      <c r="GG38">
        <v>25.2181</v>
      </c>
      <c r="GH38">
        <v>25.688400000000001</v>
      </c>
      <c r="GI38">
        <v>30</v>
      </c>
      <c r="GJ38">
        <v>25.7319</v>
      </c>
      <c r="GK38">
        <v>25.674900000000001</v>
      </c>
      <c r="GL38">
        <v>35.921500000000002</v>
      </c>
      <c r="GM38">
        <v>0</v>
      </c>
      <c r="GN38">
        <v>100</v>
      </c>
      <c r="GO38">
        <v>25.1233</v>
      </c>
      <c r="GP38">
        <v>800</v>
      </c>
      <c r="GQ38">
        <v>21.763200000000001</v>
      </c>
      <c r="GR38">
        <v>99.761700000000005</v>
      </c>
      <c r="GS38">
        <v>99.514200000000002</v>
      </c>
    </row>
    <row r="39" spans="1:201" x14ac:dyDescent="0.25">
      <c r="A39">
        <v>23</v>
      </c>
      <c r="B39">
        <v>1690376986</v>
      </c>
      <c r="C39">
        <v>269.5</v>
      </c>
      <c r="D39" t="s">
        <v>379</v>
      </c>
      <c r="E39" t="s">
        <v>380</v>
      </c>
      <c r="F39" t="s">
        <v>330</v>
      </c>
      <c r="H39">
        <v>1690376986</v>
      </c>
      <c r="I39">
        <f t="shared" si="0"/>
        <v>3.0017759404730689E-4</v>
      </c>
      <c r="J39">
        <f t="shared" si="1"/>
        <v>0.30017759404730687</v>
      </c>
      <c r="K39">
        <f t="shared" si="2"/>
        <v>4.1699548867154261</v>
      </c>
      <c r="L39">
        <f t="shared" si="3"/>
        <v>749.48299999999995</v>
      </c>
      <c r="M39">
        <f t="shared" si="4"/>
        <v>357.0391785132702</v>
      </c>
      <c r="N39">
        <f t="shared" si="5"/>
        <v>35.258135513876738</v>
      </c>
      <c r="O39">
        <f t="shared" si="6"/>
        <v>74.012530751900997</v>
      </c>
      <c r="P39">
        <f t="shared" si="7"/>
        <v>1.7752380149784242E-2</v>
      </c>
      <c r="Q39">
        <f t="shared" si="8"/>
        <v>2.0083563208740149</v>
      </c>
      <c r="R39">
        <f t="shared" si="9"/>
        <v>1.7665663341312532E-2</v>
      </c>
      <c r="S39">
        <f t="shared" si="10"/>
        <v>1.1048795348444787E-2</v>
      </c>
      <c r="T39">
        <f t="shared" si="11"/>
        <v>276.1139130692942</v>
      </c>
      <c r="U39">
        <f t="shared" si="12"/>
        <v>29.342569707740264</v>
      </c>
      <c r="V39">
        <f t="shared" si="13"/>
        <v>29.342569707740264</v>
      </c>
      <c r="W39">
        <f t="shared" si="14"/>
        <v>4.1021885989089713</v>
      </c>
      <c r="X39">
        <f t="shared" si="15"/>
        <v>68.683301329811712</v>
      </c>
      <c r="Y39">
        <f t="shared" si="16"/>
        <v>2.4801129659708998</v>
      </c>
      <c r="Z39">
        <f t="shared" si="17"/>
        <v>3.6109402401343469</v>
      </c>
      <c r="AA39">
        <f t="shared" si="18"/>
        <v>1.6220756329380714</v>
      </c>
      <c r="AB39">
        <f t="shared" si="19"/>
        <v>-13.237831897486235</v>
      </c>
      <c r="AC39">
        <f t="shared" si="20"/>
        <v>-237.33443720888636</v>
      </c>
      <c r="AD39">
        <f t="shared" si="21"/>
        <v>-25.822800739267812</v>
      </c>
      <c r="AE39">
        <f t="shared" si="22"/>
        <v>-0.28115677634622216</v>
      </c>
      <c r="AF39">
        <v>16</v>
      </c>
      <c r="AG39">
        <v>5</v>
      </c>
      <c r="AH39">
        <f t="shared" si="23"/>
        <v>1</v>
      </c>
      <c r="AI39">
        <f t="shared" si="24"/>
        <v>0</v>
      </c>
      <c r="AJ39">
        <f t="shared" si="25"/>
        <v>52187.896230230872</v>
      </c>
      <c r="AK39">
        <f t="shared" si="26"/>
        <v>1799.99</v>
      </c>
      <c r="AL39">
        <f t="shared" si="27"/>
        <v>1499.10310100317</v>
      </c>
      <c r="AM39">
        <f t="shared" si="28"/>
        <v>0.832839683</v>
      </c>
      <c r="AN39">
        <f t="shared" si="29"/>
        <v>0.15339747058</v>
      </c>
      <c r="AO39">
        <v>34.5</v>
      </c>
      <c r="AP39">
        <v>0.5</v>
      </c>
      <c r="AQ39" t="s">
        <v>331</v>
      </c>
      <c r="AR39">
        <v>2</v>
      </c>
      <c r="AS39">
        <v>1690376986</v>
      </c>
      <c r="AT39">
        <v>749.48299999999995</v>
      </c>
      <c r="AU39">
        <v>799.98500000000001</v>
      </c>
      <c r="AV39">
        <v>25.114699999999999</v>
      </c>
      <c r="AW39">
        <v>21.751999999999999</v>
      </c>
      <c r="AX39">
        <v>750.15</v>
      </c>
      <c r="AY39">
        <v>24.903500000000001</v>
      </c>
      <c r="AZ39">
        <v>300.23599999999999</v>
      </c>
      <c r="BA39">
        <v>98.651399999999995</v>
      </c>
      <c r="BB39">
        <v>0.100047</v>
      </c>
      <c r="BC39">
        <v>27.150600000000001</v>
      </c>
      <c r="BD39">
        <v>27.0627</v>
      </c>
      <c r="BE39">
        <v>29.1708</v>
      </c>
      <c r="BF39">
        <v>0</v>
      </c>
      <c r="BG39">
        <v>0</v>
      </c>
      <c r="BH39">
        <v>10010</v>
      </c>
      <c r="BI39">
        <v>1084.73</v>
      </c>
      <c r="BJ39">
        <v>1.49977</v>
      </c>
      <c r="BK39">
        <v>-50.502600000000001</v>
      </c>
      <c r="BL39">
        <v>768.79100000000005</v>
      </c>
      <c r="BM39">
        <v>817.77300000000002</v>
      </c>
      <c r="BN39">
        <v>3.3627099999999999</v>
      </c>
      <c r="BO39">
        <v>799.98500000000001</v>
      </c>
      <c r="BP39">
        <v>21.751999999999999</v>
      </c>
      <c r="BQ39">
        <v>2.4775999999999998</v>
      </c>
      <c r="BR39">
        <v>2.1458599999999999</v>
      </c>
      <c r="BS39">
        <v>20.880099999999999</v>
      </c>
      <c r="BT39">
        <v>18.563800000000001</v>
      </c>
      <c r="BU39">
        <v>1799.99</v>
      </c>
      <c r="BV39">
        <v>0.909995</v>
      </c>
      <c r="BW39">
        <v>3.3998E-2</v>
      </c>
      <c r="BX39">
        <v>2.20009E-2</v>
      </c>
      <c r="BY39">
        <v>3.4006000000000002E-2</v>
      </c>
      <c r="BZ39">
        <v>25</v>
      </c>
      <c r="CA39">
        <v>33528.199999999997</v>
      </c>
      <c r="CB39">
        <v>1690376213.5999999</v>
      </c>
      <c r="CC39" t="s">
        <v>332</v>
      </c>
      <c r="CD39">
        <v>1690376213.5999999</v>
      </c>
      <c r="CE39">
        <v>1690376198.0999999</v>
      </c>
      <c r="CF39">
        <v>2</v>
      </c>
      <c r="CG39">
        <v>0.66900000000000004</v>
      </c>
      <c r="CH39">
        <v>-2.1000000000000001E-2</v>
      </c>
      <c r="CI39">
        <v>-0.70099999999999996</v>
      </c>
      <c r="CJ39">
        <v>0.21099999999999999</v>
      </c>
      <c r="CK39">
        <v>799</v>
      </c>
      <c r="CL39">
        <v>21</v>
      </c>
      <c r="CM39">
        <v>0.11</v>
      </c>
      <c r="CN39">
        <v>0.17</v>
      </c>
      <c r="CO39">
        <v>-45.418651219512199</v>
      </c>
      <c r="CP39">
        <v>-29.576512891986201</v>
      </c>
      <c r="CQ39">
        <v>2.9166092403740169</v>
      </c>
      <c r="CR39">
        <v>-1</v>
      </c>
      <c r="CS39">
        <v>3.2201243902439032</v>
      </c>
      <c r="CT39">
        <v>0.94579045296167807</v>
      </c>
      <c r="CU39">
        <v>9.417595076598366E-2</v>
      </c>
      <c r="CV39">
        <v>-1</v>
      </c>
      <c r="CW39">
        <v>0</v>
      </c>
      <c r="CX39">
        <v>0</v>
      </c>
      <c r="CY39" t="s">
        <v>333</v>
      </c>
      <c r="CZ39">
        <v>2.3653</v>
      </c>
      <c r="DA39">
        <v>2.7138499999999999</v>
      </c>
      <c r="DB39">
        <v>0.140176</v>
      </c>
      <c r="DC39">
        <v>0.14600199999999999</v>
      </c>
      <c r="DD39">
        <v>0.117202</v>
      </c>
      <c r="DE39">
        <v>0.104439</v>
      </c>
      <c r="DF39">
        <v>31406.400000000001</v>
      </c>
      <c r="DG39">
        <v>27515.4</v>
      </c>
      <c r="DH39">
        <v>31180.3</v>
      </c>
      <c r="DI39">
        <v>28072.2</v>
      </c>
      <c r="DJ39">
        <v>37365.300000000003</v>
      </c>
      <c r="DK39">
        <v>35733.300000000003</v>
      </c>
      <c r="DL39">
        <v>44370.6</v>
      </c>
      <c r="DM39">
        <v>42532.2</v>
      </c>
      <c r="DN39">
        <v>1.4317</v>
      </c>
      <c r="DO39">
        <v>2.0847500000000001</v>
      </c>
      <c r="DP39">
        <v>9.3005599999999994E-2</v>
      </c>
      <c r="DQ39">
        <v>0.22529099999999999</v>
      </c>
      <c r="DR39">
        <v>25.54</v>
      </c>
      <c r="DS39">
        <v>25.488399999999999</v>
      </c>
      <c r="DT39">
        <v>61.7</v>
      </c>
      <c r="DU39">
        <v>26.5</v>
      </c>
      <c r="DV39">
        <v>21.735299999999999</v>
      </c>
      <c r="DW39">
        <v>61.160200000000003</v>
      </c>
      <c r="DX39">
        <v>35.673099999999998</v>
      </c>
      <c r="DY39">
        <v>1</v>
      </c>
      <c r="DZ39">
        <v>-0.14085900000000001</v>
      </c>
      <c r="EA39">
        <v>0.32590400000000003</v>
      </c>
      <c r="EB39">
        <v>20.1905</v>
      </c>
      <c r="EC39">
        <v>5.24125</v>
      </c>
      <c r="ED39">
        <v>12.039899999999999</v>
      </c>
      <c r="EE39">
        <v>5.0162500000000003</v>
      </c>
      <c r="EF39">
        <v>3.2879999999999998</v>
      </c>
      <c r="EG39">
        <v>9999</v>
      </c>
      <c r="EH39">
        <v>9999</v>
      </c>
      <c r="EI39">
        <v>9999</v>
      </c>
      <c r="EJ39">
        <v>999.9</v>
      </c>
      <c r="EK39">
        <v>1.8688499999999999</v>
      </c>
      <c r="EL39">
        <v>1.86449</v>
      </c>
      <c r="EM39">
        <v>1.8691500000000001</v>
      </c>
      <c r="EN39">
        <v>1.8671800000000001</v>
      </c>
      <c r="EO39">
        <v>1.86327</v>
      </c>
      <c r="EP39">
        <v>1.86432</v>
      </c>
      <c r="EQ39">
        <v>1.8701099999999999</v>
      </c>
      <c r="ER39">
        <v>1.8693500000000001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-0.66700000000000004</v>
      </c>
      <c r="FG39">
        <v>0.2112</v>
      </c>
      <c r="FH39">
        <v>-0.150361779349652</v>
      </c>
      <c r="FI39">
        <v>-6.1462078757559423E-4</v>
      </c>
      <c r="FJ39">
        <v>-1.8861989874597051E-7</v>
      </c>
      <c r="FK39">
        <v>1.1980462299894961E-10</v>
      </c>
      <c r="FL39">
        <v>0.21114761904761539</v>
      </c>
      <c r="FM39">
        <v>0</v>
      </c>
      <c r="FN39">
        <v>0</v>
      </c>
      <c r="FO39">
        <v>0</v>
      </c>
      <c r="FP39">
        <v>3</v>
      </c>
      <c r="FQ39">
        <v>2158</v>
      </c>
      <c r="FR39">
        <v>1</v>
      </c>
      <c r="FS39">
        <v>19</v>
      </c>
      <c r="FT39">
        <v>12.9</v>
      </c>
      <c r="FU39">
        <v>13.1</v>
      </c>
      <c r="FV39">
        <v>1.79688</v>
      </c>
      <c r="FW39">
        <v>2.5610400000000002</v>
      </c>
      <c r="FX39">
        <v>1.5490699999999999</v>
      </c>
      <c r="FY39">
        <v>2.33887</v>
      </c>
      <c r="FZ39">
        <v>1.50146</v>
      </c>
      <c r="GA39">
        <v>2.35107</v>
      </c>
      <c r="GB39">
        <v>31.695499999999999</v>
      </c>
      <c r="GC39">
        <v>23.991199999999999</v>
      </c>
      <c r="GD39">
        <v>19</v>
      </c>
      <c r="GE39">
        <v>261.86900000000003</v>
      </c>
      <c r="GF39">
        <v>616.22299999999996</v>
      </c>
      <c r="GG39">
        <v>25.089099999999998</v>
      </c>
      <c r="GH39">
        <v>25.6906</v>
      </c>
      <c r="GI39">
        <v>30.000599999999999</v>
      </c>
      <c r="GJ39">
        <v>25.734500000000001</v>
      </c>
      <c r="GK39">
        <v>25.678999999999998</v>
      </c>
      <c r="GL39">
        <v>35.919499999999999</v>
      </c>
      <c r="GM39">
        <v>1.3181799999999999</v>
      </c>
      <c r="GN39">
        <v>100</v>
      </c>
      <c r="GO39">
        <v>25.017900000000001</v>
      </c>
      <c r="GP39">
        <v>800</v>
      </c>
      <c r="GQ39">
        <v>21.4511</v>
      </c>
      <c r="GR39">
        <v>99.761099999999999</v>
      </c>
      <c r="GS39">
        <v>99.512200000000007</v>
      </c>
    </row>
    <row r="40" spans="1:201" x14ac:dyDescent="0.25">
      <c r="A40">
        <v>24</v>
      </c>
      <c r="B40">
        <v>1690376996</v>
      </c>
      <c r="C40">
        <v>279.5</v>
      </c>
      <c r="D40" t="s">
        <v>381</v>
      </c>
      <c r="E40" t="s">
        <v>382</v>
      </c>
      <c r="F40" t="s">
        <v>330</v>
      </c>
      <c r="H40">
        <v>1690376996</v>
      </c>
      <c r="I40">
        <f t="shared" si="0"/>
        <v>3.1466471897882611E-4</v>
      </c>
      <c r="J40">
        <f t="shared" si="1"/>
        <v>0.31466471897882609</v>
      </c>
      <c r="K40">
        <f t="shared" si="2"/>
        <v>4.570947313039019</v>
      </c>
      <c r="L40">
        <f t="shared" si="3"/>
        <v>744.87199999999996</v>
      </c>
      <c r="M40">
        <f t="shared" si="4"/>
        <v>339.36062655268057</v>
      </c>
      <c r="N40">
        <f t="shared" si="5"/>
        <v>33.512661643265808</v>
      </c>
      <c r="O40">
        <f t="shared" si="6"/>
        <v>73.557865439842402</v>
      </c>
      <c r="P40">
        <f t="shared" si="7"/>
        <v>1.8791618321439843E-2</v>
      </c>
      <c r="Q40">
        <f t="shared" si="8"/>
        <v>2.0078440119702434</v>
      </c>
      <c r="R40">
        <f t="shared" si="9"/>
        <v>1.8694456730199895E-2</v>
      </c>
      <c r="S40">
        <f t="shared" si="10"/>
        <v>1.1692723067423253E-2</v>
      </c>
      <c r="T40">
        <f t="shared" si="11"/>
        <v>276.11198245099558</v>
      </c>
      <c r="U40">
        <f t="shared" si="12"/>
        <v>29.316774660902233</v>
      </c>
      <c r="V40">
        <f t="shared" si="13"/>
        <v>29.316774660902233</v>
      </c>
      <c r="W40">
        <f t="shared" si="14"/>
        <v>4.0960849678940701</v>
      </c>
      <c r="X40">
        <f t="shared" si="15"/>
        <v>69.022988289539526</v>
      </c>
      <c r="Y40">
        <f t="shared" si="16"/>
        <v>2.4893099067509201</v>
      </c>
      <c r="Z40">
        <f t="shared" si="17"/>
        <v>3.6064939644581808</v>
      </c>
      <c r="AA40">
        <f t="shared" si="18"/>
        <v>1.6067750611431499</v>
      </c>
      <c r="AB40">
        <f t="shared" si="19"/>
        <v>-13.876714106966231</v>
      </c>
      <c r="AC40">
        <f t="shared" si="20"/>
        <v>-236.75484699733198</v>
      </c>
      <c r="AD40">
        <f t="shared" si="21"/>
        <v>-25.760307327449464</v>
      </c>
      <c r="AE40">
        <f t="shared" si="22"/>
        <v>-0.27988598075208415</v>
      </c>
      <c r="AF40">
        <v>16</v>
      </c>
      <c r="AG40">
        <v>5</v>
      </c>
      <c r="AH40">
        <f t="shared" si="23"/>
        <v>1</v>
      </c>
      <c r="AI40">
        <f t="shared" si="24"/>
        <v>0</v>
      </c>
      <c r="AJ40">
        <f t="shared" si="25"/>
        <v>52167.076886858384</v>
      </c>
      <c r="AK40">
        <f t="shared" si="26"/>
        <v>1799.98</v>
      </c>
      <c r="AL40">
        <f t="shared" si="27"/>
        <v>1499.0970477810597</v>
      </c>
      <c r="AM40">
        <f t="shared" si="28"/>
        <v>0.83284094699999989</v>
      </c>
      <c r="AN40">
        <f t="shared" si="29"/>
        <v>0.15339725021999998</v>
      </c>
      <c r="AO40">
        <v>34.5</v>
      </c>
      <c r="AP40">
        <v>0.5</v>
      </c>
      <c r="AQ40" t="s">
        <v>331</v>
      </c>
      <c r="AR40">
        <v>2</v>
      </c>
      <c r="AS40">
        <v>1690376996</v>
      </c>
      <c r="AT40">
        <v>744.87199999999996</v>
      </c>
      <c r="AU40">
        <v>800.1</v>
      </c>
      <c r="AV40">
        <v>25.207599999999999</v>
      </c>
      <c r="AW40">
        <v>21.682300000000001</v>
      </c>
      <c r="AX40">
        <v>745.53599999999994</v>
      </c>
      <c r="AY40">
        <v>24.996400000000001</v>
      </c>
      <c r="AZ40">
        <v>300.18099999999998</v>
      </c>
      <c r="BA40">
        <v>98.6524</v>
      </c>
      <c r="BB40">
        <v>9.9956699999999996E-2</v>
      </c>
      <c r="BC40">
        <v>27.1296</v>
      </c>
      <c r="BD40">
        <v>27.031500000000001</v>
      </c>
      <c r="BE40">
        <v>29.171399999999998</v>
      </c>
      <c r="BF40">
        <v>0</v>
      </c>
      <c r="BG40">
        <v>0</v>
      </c>
      <c r="BH40">
        <v>10005</v>
      </c>
      <c r="BI40">
        <v>1084.68</v>
      </c>
      <c r="BJ40">
        <v>1.5137799999999999</v>
      </c>
      <c r="BK40">
        <v>-55.228000000000002</v>
      </c>
      <c r="BL40">
        <v>764.13400000000001</v>
      </c>
      <c r="BM40">
        <v>817.83299999999997</v>
      </c>
      <c r="BN40">
        <v>3.5253000000000001</v>
      </c>
      <c r="BO40">
        <v>800.1</v>
      </c>
      <c r="BP40">
        <v>21.682300000000001</v>
      </c>
      <c r="BQ40">
        <v>2.4867900000000001</v>
      </c>
      <c r="BR40">
        <v>2.1390099999999999</v>
      </c>
      <c r="BS40">
        <v>20.940300000000001</v>
      </c>
      <c r="BT40">
        <v>18.512699999999999</v>
      </c>
      <c r="BU40">
        <v>1799.98</v>
      </c>
      <c r="BV40">
        <v>0.91000700000000001</v>
      </c>
      <c r="BW40">
        <v>3.3993599999999999E-2</v>
      </c>
      <c r="BX40">
        <v>2.19981E-2</v>
      </c>
      <c r="BY40">
        <v>3.40016E-2</v>
      </c>
      <c r="BZ40">
        <v>25</v>
      </c>
      <c r="CA40">
        <v>33528.199999999997</v>
      </c>
      <c r="CB40">
        <v>1690376213.5999999</v>
      </c>
      <c r="CC40" t="s">
        <v>332</v>
      </c>
      <c r="CD40">
        <v>1690376213.5999999</v>
      </c>
      <c r="CE40">
        <v>1690376198.0999999</v>
      </c>
      <c r="CF40">
        <v>2</v>
      </c>
      <c r="CG40">
        <v>0.66900000000000004</v>
      </c>
      <c r="CH40">
        <v>-2.1000000000000001E-2</v>
      </c>
      <c r="CI40">
        <v>-0.70099999999999996</v>
      </c>
      <c r="CJ40">
        <v>0.21099999999999999</v>
      </c>
      <c r="CK40">
        <v>799</v>
      </c>
      <c r="CL40">
        <v>21</v>
      </c>
      <c r="CM40">
        <v>0.11</v>
      </c>
      <c r="CN40">
        <v>0.17</v>
      </c>
      <c r="CO40">
        <v>-49.788248780487812</v>
      </c>
      <c r="CP40">
        <v>-28.743976306620208</v>
      </c>
      <c r="CQ40">
        <v>2.834383293367011</v>
      </c>
      <c r="CR40">
        <v>-1</v>
      </c>
      <c r="CS40">
        <v>3.3489070731707309</v>
      </c>
      <c r="CT40">
        <v>0.77244000000000135</v>
      </c>
      <c r="CU40">
        <v>7.6311138983093954E-2</v>
      </c>
      <c r="CV40">
        <v>-1</v>
      </c>
      <c r="CW40">
        <v>0</v>
      </c>
      <c r="CX40">
        <v>0</v>
      </c>
      <c r="CY40" t="s">
        <v>333</v>
      </c>
      <c r="CZ40">
        <v>2.3651200000000001</v>
      </c>
      <c r="DA40">
        <v>2.7137500000000001</v>
      </c>
      <c r="DB40">
        <v>0.139595</v>
      </c>
      <c r="DC40">
        <v>0.14601500000000001</v>
      </c>
      <c r="DD40">
        <v>0.117507</v>
      </c>
      <c r="DE40">
        <v>0.10420500000000001</v>
      </c>
      <c r="DF40">
        <v>31427</v>
      </c>
      <c r="DG40">
        <v>27514.799999999999</v>
      </c>
      <c r="DH40">
        <v>31179.7</v>
      </c>
      <c r="DI40">
        <v>28072.1</v>
      </c>
      <c r="DJ40">
        <v>37351.4</v>
      </c>
      <c r="DK40">
        <v>35742.6</v>
      </c>
      <c r="DL40">
        <v>44369.7</v>
      </c>
      <c r="DM40">
        <v>42532.1</v>
      </c>
      <c r="DN40">
        <v>1.4312499999999999</v>
      </c>
      <c r="DO40">
        <v>2.08453</v>
      </c>
      <c r="DP40">
        <v>9.1817200000000002E-2</v>
      </c>
      <c r="DQ40">
        <v>0.22584199999999999</v>
      </c>
      <c r="DR40">
        <v>25.528099999999998</v>
      </c>
      <c r="DS40">
        <v>25.479800000000001</v>
      </c>
      <c r="DT40">
        <v>61.7</v>
      </c>
      <c r="DU40">
        <v>26.5</v>
      </c>
      <c r="DV40">
        <v>21.736799999999999</v>
      </c>
      <c r="DW40">
        <v>61.5702</v>
      </c>
      <c r="DX40">
        <v>35.508800000000001</v>
      </c>
      <c r="DY40">
        <v>1</v>
      </c>
      <c r="DZ40">
        <v>-0.140399</v>
      </c>
      <c r="EA40">
        <v>0.383129</v>
      </c>
      <c r="EB40">
        <v>20.190200000000001</v>
      </c>
      <c r="EC40">
        <v>5.2409499999999998</v>
      </c>
      <c r="ED40">
        <v>12.039899999999999</v>
      </c>
      <c r="EE40">
        <v>5.0160999999999998</v>
      </c>
      <c r="EF40">
        <v>3.2879999999999998</v>
      </c>
      <c r="EG40">
        <v>9999</v>
      </c>
      <c r="EH40">
        <v>9999</v>
      </c>
      <c r="EI40">
        <v>9999</v>
      </c>
      <c r="EJ40">
        <v>999.9</v>
      </c>
      <c r="EK40">
        <v>1.8688499999999999</v>
      </c>
      <c r="EL40">
        <v>1.8644700000000001</v>
      </c>
      <c r="EM40">
        <v>1.86913</v>
      </c>
      <c r="EN40">
        <v>1.8671599999999999</v>
      </c>
      <c r="EO40">
        <v>1.86328</v>
      </c>
      <c r="EP40">
        <v>1.86432</v>
      </c>
      <c r="EQ40">
        <v>1.87012</v>
      </c>
      <c r="ER40">
        <v>1.8693500000000001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-0.66400000000000003</v>
      </c>
      <c r="FG40">
        <v>0.2112</v>
      </c>
      <c r="FH40">
        <v>-0.150361779349652</v>
      </c>
      <c r="FI40">
        <v>-6.1462078757559423E-4</v>
      </c>
      <c r="FJ40">
        <v>-1.8861989874597051E-7</v>
      </c>
      <c r="FK40">
        <v>1.1980462299894961E-10</v>
      </c>
      <c r="FL40">
        <v>0.21114761904761539</v>
      </c>
      <c r="FM40">
        <v>0</v>
      </c>
      <c r="FN40">
        <v>0</v>
      </c>
      <c r="FO40">
        <v>0</v>
      </c>
      <c r="FP40">
        <v>3</v>
      </c>
      <c r="FQ40">
        <v>2158</v>
      </c>
      <c r="FR40">
        <v>1</v>
      </c>
      <c r="FS40">
        <v>19</v>
      </c>
      <c r="FT40">
        <v>13</v>
      </c>
      <c r="FU40">
        <v>13.3</v>
      </c>
      <c r="FV40">
        <v>1.79688</v>
      </c>
      <c r="FW40">
        <v>2.5585900000000001</v>
      </c>
      <c r="FX40">
        <v>1.5490699999999999</v>
      </c>
      <c r="FY40">
        <v>2.33887</v>
      </c>
      <c r="FZ40">
        <v>1.50146</v>
      </c>
      <c r="GA40">
        <v>2.4035600000000001</v>
      </c>
      <c r="GB40">
        <v>31.717300000000002</v>
      </c>
      <c r="GC40">
        <v>23.991199999999999</v>
      </c>
      <c r="GD40">
        <v>19</v>
      </c>
      <c r="GE40">
        <v>261.69799999999998</v>
      </c>
      <c r="GF40">
        <v>616.05499999999995</v>
      </c>
      <c r="GG40">
        <v>24.960999999999999</v>
      </c>
      <c r="GH40">
        <v>25.692699999999999</v>
      </c>
      <c r="GI40">
        <v>30.000299999999999</v>
      </c>
      <c r="GJ40">
        <v>25.736599999999999</v>
      </c>
      <c r="GK40">
        <v>25.6812</v>
      </c>
      <c r="GL40">
        <v>35.9146</v>
      </c>
      <c r="GM40">
        <v>5.0888999999999998</v>
      </c>
      <c r="GN40">
        <v>100</v>
      </c>
      <c r="GO40">
        <v>24.9282</v>
      </c>
      <c r="GP40">
        <v>800</v>
      </c>
      <c r="GQ40">
        <v>21.132100000000001</v>
      </c>
      <c r="GR40">
        <v>99.759</v>
      </c>
      <c r="GS40">
        <v>99.511799999999994</v>
      </c>
    </row>
    <row r="41" spans="1:201" x14ac:dyDescent="0.25">
      <c r="A41">
        <v>25</v>
      </c>
      <c r="B41">
        <v>1690377006</v>
      </c>
      <c r="C41">
        <v>289.5</v>
      </c>
      <c r="D41" t="s">
        <v>383</v>
      </c>
      <c r="E41" t="s">
        <v>384</v>
      </c>
      <c r="F41" t="s">
        <v>330</v>
      </c>
      <c r="H41">
        <v>1690377006</v>
      </c>
      <c r="I41">
        <f t="shared" si="0"/>
        <v>3.4666798760642697E-4</v>
      </c>
      <c r="J41">
        <f t="shared" si="1"/>
        <v>0.34666798760642697</v>
      </c>
      <c r="K41">
        <f t="shared" si="2"/>
        <v>4.9415506460915397</v>
      </c>
      <c r="L41">
        <f t="shared" si="3"/>
        <v>740.57600000000002</v>
      </c>
      <c r="M41">
        <f t="shared" si="4"/>
        <v>345.56784635367381</v>
      </c>
      <c r="N41">
        <f t="shared" si="5"/>
        <v>34.127195802975905</v>
      </c>
      <c r="O41">
        <f t="shared" si="6"/>
        <v>73.136961165993611</v>
      </c>
      <c r="P41">
        <f t="shared" si="7"/>
        <v>2.0881494418712638E-2</v>
      </c>
      <c r="Q41">
        <f t="shared" si="8"/>
        <v>2.0046175043454371</v>
      </c>
      <c r="R41">
        <f t="shared" si="9"/>
        <v>2.0761402424349436E-2</v>
      </c>
      <c r="S41">
        <f t="shared" si="10"/>
        <v>1.29866086293951E-2</v>
      </c>
      <c r="T41">
        <f t="shared" si="11"/>
        <v>276.11314686755088</v>
      </c>
      <c r="U41">
        <f t="shared" si="12"/>
        <v>29.296698113451487</v>
      </c>
      <c r="V41">
        <f t="shared" si="13"/>
        <v>29.296698113451487</v>
      </c>
      <c r="W41">
        <f t="shared" si="14"/>
        <v>4.0913399304914231</v>
      </c>
      <c r="X41">
        <f t="shared" si="15"/>
        <v>69.29221758296508</v>
      </c>
      <c r="Y41">
        <f t="shared" si="16"/>
        <v>2.4973338764384696</v>
      </c>
      <c r="Z41">
        <f t="shared" si="17"/>
        <v>3.604061124827413</v>
      </c>
      <c r="AA41">
        <f t="shared" si="18"/>
        <v>1.5940060540529535</v>
      </c>
      <c r="AB41">
        <f t="shared" si="19"/>
        <v>-15.288058253443429</v>
      </c>
      <c r="AC41">
        <f t="shared" si="20"/>
        <v>-235.4475007902173</v>
      </c>
      <c r="AD41">
        <f t="shared" si="21"/>
        <v>-25.655256567413936</v>
      </c>
      <c r="AE41">
        <f t="shared" si="22"/>
        <v>-0.27766874352380455</v>
      </c>
      <c r="AF41">
        <v>16</v>
      </c>
      <c r="AG41">
        <v>5</v>
      </c>
      <c r="AH41">
        <f t="shared" si="23"/>
        <v>1</v>
      </c>
      <c r="AI41">
        <f t="shared" si="24"/>
        <v>0</v>
      </c>
      <c r="AJ41">
        <f t="shared" si="25"/>
        <v>52015.109885584432</v>
      </c>
      <c r="AK41">
        <f t="shared" si="26"/>
        <v>1799.99</v>
      </c>
      <c r="AL41">
        <f t="shared" si="27"/>
        <v>1499.1018644100398</v>
      </c>
      <c r="AM41">
        <f t="shared" si="28"/>
        <v>0.83283899599999989</v>
      </c>
      <c r="AN41">
        <f t="shared" si="29"/>
        <v>0.15339704491</v>
      </c>
      <c r="AO41">
        <v>34.5</v>
      </c>
      <c r="AP41">
        <v>0.5</v>
      </c>
      <c r="AQ41" t="s">
        <v>331</v>
      </c>
      <c r="AR41">
        <v>2</v>
      </c>
      <c r="AS41">
        <v>1690377006</v>
      </c>
      <c r="AT41">
        <v>740.57600000000002</v>
      </c>
      <c r="AU41">
        <v>800.32600000000002</v>
      </c>
      <c r="AV41">
        <v>25.287700000000001</v>
      </c>
      <c r="AW41">
        <v>21.4038</v>
      </c>
      <c r="AX41">
        <v>741.23699999999997</v>
      </c>
      <c r="AY41">
        <v>25.076499999999999</v>
      </c>
      <c r="AZ41">
        <v>300.15199999999999</v>
      </c>
      <c r="BA41">
        <v>98.656899999999993</v>
      </c>
      <c r="BB41">
        <v>9.9961099999999997E-2</v>
      </c>
      <c r="BC41">
        <v>27.118099999999998</v>
      </c>
      <c r="BD41">
        <v>27.006699999999999</v>
      </c>
      <c r="BE41">
        <v>29.136399999999998</v>
      </c>
      <c r="BF41">
        <v>0</v>
      </c>
      <c r="BG41">
        <v>0</v>
      </c>
      <c r="BH41">
        <v>9973.75</v>
      </c>
      <c r="BI41">
        <v>1084.6600000000001</v>
      </c>
      <c r="BJ41">
        <v>1.5137799999999999</v>
      </c>
      <c r="BK41">
        <v>-59.749400000000001</v>
      </c>
      <c r="BL41">
        <v>759.79</v>
      </c>
      <c r="BM41">
        <v>817.83100000000002</v>
      </c>
      <c r="BN41">
        <v>3.8838400000000002</v>
      </c>
      <c r="BO41">
        <v>800.32600000000002</v>
      </c>
      <c r="BP41">
        <v>21.4038</v>
      </c>
      <c r="BQ41">
        <v>2.4948000000000001</v>
      </c>
      <c r="BR41">
        <v>2.11164</v>
      </c>
      <c r="BS41">
        <v>20.992599999999999</v>
      </c>
      <c r="BT41">
        <v>18.307200000000002</v>
      </c>
      <c r="BU41">
        <v>1799.99</v>
      </c>
      <c r="BV41">
        <v>0.91000099999999995</v>
      </c>
      <c r="BW41">
        <v>3.4006099999999997E-2</v>
      </c>
      <c r="BX41">
        <v>2.1995299999999999E-2</v>
      </c>
      <c r="BY41">
        <v>3.3997300000000001E-2</v>
      </c>
      <c r="BZ41">
        <v>25</v>
      </c>
      <c r="CA41">
        <v>33528.199999999997</v>
      </c>
      <c r="CB41">
        <v>1690376213.5999999</v>
      </c>
      <c r="CC41" t="s">
        <v>332</v>
      </c>
      <c r="CD41">
        <v>1690376213.5999999</v>
      </c>
      <c r="CE41">
        <v>1690376198.0999999</v>
      </c>
      <c r="CF41">
        <v>2</v>
      </c>
      <c r="CG41">
        <v>0.66900000000000004</v>
      </c>
      <c r="CH41">
        <v>-2.1000000000000001E-2</v>
      </c>
      <c r="CI41">
        <v>-0.70099999999999996</v>
      </c>
      <c r="CJ41">
        <v>0.21099999999999999</v>
      </c>
      <c r="CK41">
        <v>799</v>
      </c>
      <c r="CL41">
        <v>21</v>
      </c>
      <c r="CM41">
        <v>0.11</v>
      </c>
      <c r="CN41">
        <v>0.17</v>
      </c>
      <c r="CO41">
        <v>-54.863537500000007</v>
      </c>
      <c r="CP41">
        <v>-28.1005272045028</v>
      </c>
      <c r="CQ41">
        <v>2.703452879715817</v>
      </c>
      <c r="CR41">
        <v>-1</v>
      </c>
      <c r="CS41">
        <v>3.54010925</v>
      </c>
      <c r="CT41">
        <v>1.426203939962474</v>
      </c>
      <c r="CU41">
        <v>0.14016458178490571</v>
      </c>
      <c r="CV41">
        <v>-1</v>
      </c>
      <c r="CW41">
        <v>0</v>
      </c>
      <c r="CX41">
        <v>0</v>
      </c>
      <c r="CY41" t="s">
        <v>333</v>
      </c>
      <c r="CZ41">
        <v>2.3649900000000001</v>
      </c>
      <c r="DA41">
        <v>2.71373</v>
      </c>
      <c r="DB41">
        <v>0.13905699999999999</v>
      </c>
      <c r="DC41">
        <v>0.14604300000000001</v>
      </c>
      <c r="DD41">
        <v>0.117774</v>
      </c>
      <c r="DE41">
        <v>0.103266</v>
      </c>
      <c r="DF41">
        <v>31446.400000000001</v>
      </c>
      <c r="DG41">
        <v>27513.7</v>
      </c>
      <c r="DH41">
        <v>31179.5</v>
      </c>
      <c r="DI41">
        <v>28071.9</v>
      </c>
      <c r="DJ41">
        <v>37339.800000000003</v>
      </c>
      <c r="DK41">
        <v>35779.800000000003</v>
      </c>
      <c r="DL41">
        <v>44369.5</v>
      </c>
      <c r="DM41">
        <v>42531.8</v>
      </c>
      <c r="DN41">
        <v>1.4314199999999999</v>
      </c>
      <c r="DO41">
        <v>2.0840200000000002</v>
      </c>
      <c r="DP41">
        <v>9.0826299999999999E-2</v>
      </c>
      <c r="DQ41">
        <v>0.22406100000000001</v>
      </c>
      <c r="DR41">
        <v>25.519500000000001</v>
      </c>
      <c r="DS41">
        <v>25.4739</v>
      </c>
      <c r="DT41">
        <v>61.7</v>
      </c>
      <c r="DU41">
        <v>26.5</v>
      </c>
      <c r="DV41">
        <v>21.7347</v>
      </c>
      <c r="DW41">
        <v>61.830199999999998</v>
      </c>
      <c r="DX41">
        <v>35.901400000000002</v>
      </c>
      <c r="DY41">
        <v>1</v>
      </c>
      <c r="DZ41">
        <v>-0.14025899999999999</v>
      </c>
      <c r="EA41">
        <v>0.26055600000000001</v>
      </c>
      <c r="EB41">
        <v>20.190799999999999</v>
      </c>
      <c r="EC41">
        <v>5.24125</v>
      </c>
      <c r="ED41">
        <v>12.039899999999999</v>
      </c>
      <c r="EE41">
        <v>5.0160499999999999</v>
      </c>
      <c r="EF41">
        <v>3.2879999999999998</v>
      </c>
      <c r="EG41">
        <v>9999</v>
      </c>
      <c r="EH41">
        <v>9999</v>
      </c>
      <c r="EI41">
        <v>9999</v>
      </c>
      <c r="EJ41">
        <v>999.9</v>
      </c>
      <c r="EK41">
        <v>1.86883</v>
      </c>
      <c r="EL41">
        <v>1.8644799999999999</v>
      </c>
      <c r="EM41">
        <v>1.8691199999999999</v>
      </c>
      <c r="EN41">
        <v>1.86717</v>
      </c>
      <c r="EO41">
        <v>1.86327</v>
      </c>
      <c r="EP41">
        <v>1.86432</v>
      </c>
      <c r="EQ41">
        <v>1.8701099999999999</v>
      </c>
      <c r="ER41">
        <v>1.8693500000000001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-0.66100000000000003</v>
      </c>
      <c r="FG41">
        <v>0.2112</v>
      </c>
      <c r="FH41">
        <v>-0.150361779349652</v>
      </c>
      <c r="FI41">
        <v>-6.1462078757559423E-4</v>
      </c>
      <c r="FJ41">
        <v>-1.8861989874597051E-7</v>
      </c>
      <c r="FK41">
        <v>1.1980462299894961E-10</v>
      </c>
      <c r="FL41">
        <v>0.21114761904761539</v>
      </c>
      <c r="FM41">
        <v>0</v>
      </c>
      <c r="FN41">
        <v>0</v>
      </c>
      <c r="FO41">
        <v>0</v>
      </c>
      <c r="FP41">
        <v>3</v>
      </c>
      <c r="FQ41">
        <v>2158</v>
      </c>
      <c r="FR41">
        <v>1</v>
      </c>
      <c r="FS41">
        <v>19</v>
      </c>
      <c r="FT41">
        <v>13.2</v>
      </c>
      <c r="FU41">
        <v>13.5</v>
      </c>
      <c r="FV41">
        <v>1.79565</v>
      </c>
      <c r="FW41">
        <v>2.5647000000000002</v>
      </c>
      <c r="FX41">
        <v>1.5490699999999999</v>
      </c>
      <c r="FY41">
        <v>2.33887</v>
      </c>
      <c r="FZ41">
        <v>1.50146</v>
      </c>
      <c r="GA41">
        <v>2.3877000000000002</v>
      </c>
      <c r="GB41">
        <v>31.717300000000002</v>
      </c>
      <c r="GC41">
        <v>23.991199999999999</v>
      </c>
      <c r="GD41">
        <v>19</v>
      </c>
      <c r="GE41">
        <v>261.77600000000001</v>
      </c>
      <c r="GF41">
        <v>615.65099999999995</v>
      </c>
      <c r="GG41">
        <v>24.892099999999999</v>
      </c>
      <c r="GH41">
        <v>25.694900000000001</v>
      </c>
      <c r="GI41">
        <v>30</v>
      </c>
      <c r="GJ41">
        <v>25.738900000000001</v>
      </c>
      <c r="GK41">
        <v>25.683299999999999</v>
      </c>
      <c r="GL41">
        <v>35.890500000000003</v>
      </c>
      <c r="GM41">
        <v>9.6317199999999996</v>
      </c>
      <c r="GN41">
        <v>100</v>
      </c>
      <c r="GO41">
        <v>24.891999999999999</v>
      </c>
      <c r="GP41">
        <v>800</v>
      </c>
      <c r="GQ41">
        <v>20.8063</v>
      </c>
      <c r="GR41">
        <v>99.758600000000001</v>
      </c>
      <c r="GS41">
        <v>99.511099999999999</v>
      </c>
    </row>
    <row r="42" spans="1:201" x14ac:dyDescent="0.25">
      <c r="A42">
        <v>26</v>
      </c>
      <c r="B42">
        <v>1690377016</v>
      </c>
      <c r="C42">
        <v>299.5</v>
      </c>
      <c r="D42" t="s">
        <v>385</v>
      </c>
      <c r="E42" t="s">
        <v>386</v>
      </c>
      <c r="F42" t="s">
        <v>330</v>
      </c>
      <c r="H42">
        <v>1690377016</v>
      </c>
      <c r="I42">
        <f t="shared" si="0"/>
        <v>3.9097260622629319E-4</v>
      </c>
      <c r="J42">
        <f t="shared" si="1"/>
        <v>0.39097260622629321</v>
      </c>
      <c r="K42">
        <f t="shared" si="2"/>
        <v>5.2696514650242596</v>
      </c>
      <c r="L42">
        <f t="shared" si="3"/>
        <v>736.471</v>
      </c>
      <c r="M42">
        <f t="shared" si="4"/>
        <v>365.87874212127286</v>
      </c>
      <c r="N42">
        <f t="shared" si="5"/>
        <v>36.131906464496964</v>
      </c>
      <c r="O42">
        <f t="shared" si="6"/>
        <v>72.729290396965609</v>
      </c>
      <c r="P42">
        <f t="shared" si="7"/>
        <v>2.3815268747665815E-2</v>
      </c>
      <c r="Q42">
        <f t="shared" si="8"/>
        <v>2.006812232759251</v>
      </c>
      <c r="R42">
        <f t="shared" si="9"/>
        <v>2.3659366835718173E-2</v>
      </c>
      <c r="S42">
        <f t="shared" si="10"/>
        <v>1.4801026260630196E-2</v>
      </c>
      <c r="T42">
        <f t="shared" si="11"/>
        <v>276.11282101536125</v>
      </c>
      <c r="U42">
        <f t="shared" si="12"/>
        <v>29.248902381763013</v>
      </c>
      <c r="V42">
        <f t="shared" si="13"/>
        <v>29.248902381763013</v>
      </c>
      <c r="W42">
        <f t="shared" si="14"/>
        <v>4.0800628194896049</v>
      </c>
      <c r="X42">
        <f t="shared" si="15"/>
        <v>69.556554575144048</v>
      </c>
      <c r="Y42">
        <f t="shared" si="16"/>
        <v>2.5025391275523203</v>
      </c>
      <c r="Z42">
        <f t="shared" si="17"/>
        <v>3.5978480286121011</v>
      </c>
      <c r="AA42">
        <f t="shared" si="18"/>
        <v>1.5775236919372846</v>
      </c>
      <c r="AB42">
        <f t="shared" si="19"/>
        <v>-17.241891934579531</v>
      </c>
      <c r="AC42">
        <f t="shared" si="20"/>
        <v>-233.71501989799881</v>
      </c>
      <c r="AD42">
        <f t="shared" si="21"/>
        <v>-25.428844047505326</v>
      </c>
      <c r="AE42">
        <f t="shared" si="22"/>
        <v>-0.27293486472242989</v>
      </c>
      <c r="AF42">
        <v>16</v>
      </c>
      <c r="AG42">
        <v>5</v>
      </c>
      <c r="AH42">
        <f t="shared" si="23"/>
        <v>1</v>
      </c>
      <c r="AI42">
        <f t="shared" si="24"/>
        <v>0</v>
      </c>
      <c r="AJ42">
        <f t="shared" si="25"/>
        <v>52124.908901419556</v>
      </c>
      <c r="AK42">
        <f t="shared" si="26"/>
        <v>1799.99</v>
      </c>
      <c r="AL42">
        <f t="shared" si="27"/>
        <v>1499.1034700011201</v>
      </c>
      <c r="AM42">
        <f t="shared" si="28"/>
        <v>0.83283988799999997</v>
      </c>
      <c r="AN42">
        <f t="shared" si="29"/>
        <v>0.15339686388000001</v>
      </c>
      <c r="AO42">
        <v>34.5</v>
      </c>
      <c r="AP42">
        <v>0.5</v>
      </c>
      <c r="AQ42" t="s">
        <v>331</v>
      </c>
      <c r="AR42">
        <v>2</v>
      </c>
      <c r="AS42">
        <v>1690377016</v>
      </c>
      <c r="AT42">
        <v>736.471</v>
      </c>
      <c r="AU42">
        <v>800.35199999999998</v>
      </c>
      <c r="AV42">
        <v>25.341200000000001</v>
      </c>
      <c r="AW42">
        <v>20.961099999999998</v>
      </c>
      <c r="AX42">
        <v>737.12900000000002</v>
      </c>
      <c r="AY42">
        <v>25.130099999999999</v>
      </c>
      <c r="AZ42">
        <v>300.14699999999999</v>
      </c>
      <c r="BA42">
        <v>98.653800000000004</v>
      </c>
      <c r="BB42">
        <v>9.9973599999999996E-2</v>
      </c>
      <c r="BC42">
        <v>27.088699999999999</v>
      </c>
      <c r="BD42">
        <v>26.990500000000001</v>
      </c>
      <c r="BE42">
        <v>29.119399999999999</v>
      </c>
      <c r="BF42">
        <v>0</v>
      </c>
      <c r="BG42">
        <v>0</v>
      </c>
      <c r="BH42">
        <v>9995</v>
      </c>
      <c r="BI42">
        <v>1084.57</v>
      </c>
      <c r="BJ42">
        <v>1.4969699999999999</v>
      </c>
      <c r="BK42">
        <v>-63.881700000000002</v>
      </c>
      <c r="BL42">
        <v>755.61900000000003</v>
      </c>
      <c r="BM42">
        <v>817.48800000000006</v>
      </c>
      <c r="BN42">
        <v>4.3801300000000003</v>
      </c>
      <c r="BO42">
        <v>800.35199999999998</v>
      </c>
      <c r="BP42">
        <v>20.961099999999998</v>
      </c>
      <c r="BQ42">
        <v>2.5000100000000001</v>
      </c>
      <c r="BR42">
        <v>2.0678899999999998</v>
      </c>
      <c r="BS42">
        <v>21.026599999999998</v>
      </c>
      <c r="BT42">
        <v>17.974</v>
      </c>
      <c r="BU42">
        <v>1799.99</v>
      </c>
      <c r="BV42">
        <v>0.91000999999999999</v>
      </c>
      <c r="BW42">
        <v>3.4005000000000001E-2</v>
      </c>
      <c r="BX42">
        <v>2.1992399999999999E-2</v>
      </c>
      <c r="BY42">
        <v>3.3992799999999997E-2</v>
      </c>
      <c r="BZ42">
        <v>25</v>
      </c>
      <c r="CA42">
        <v>33528.300000000003</v>
      </c>
      <c r="CB42">
        <v>1690376213.5999999</v>
      </c>
      <c r="CC42" t="s">
        <v>332</v>
      </c>
      <c r="CD42">
        <v>1690376213.5999999</v>
      </c>
      <c r="CE42">
        <v>1690376198.0999999</v>
      </c>
      <c r="CF42">
        <v>2</v>
      </c>
      <c r="CG42">
        <v>0.66900000000000004</v>
      </c>
      <c r="CH42">
        <v>-2.1000000000000001E-2</v>
      </c>
      <c r="CI42">
        <v>-0.70099999999999996</v>
      </c>
      <c r="CJ42">
        <v>0.21099999999999999</v>
      </c>
      <c r="CK42">
        <v>799</v>
      </c>
      <c r="CL42">
        <v>21</v>
      </c>
      <c r="CM42">
        <v>0.11</v>
      </c>
      <c r="CN42">
        <v>0.17</v>
      </c>
      <c r="CO42">
        <v>-59.346002500000012</v>
      </c>
      <c r="CP42">
        <v>-25.974609005628391</v>
      </c>
      <c r="CQ42">
        <v>2.499857977414667</v>
      </c>
      <c r="CR42">
        <v>-1</v>
      </c>
      <c r="CS42">
        <v>3.8742974999999999</v>
      </c>
      <c r="CT42">
        <v>2.5830434521575878</v>
      </c>
      <c r="CU42">
        <v>0.24963453449743281</v>
      </c>
      <c r="CV42">
        <v>-1</v>
      </c>
      <c r="CW42">
        <v>0</v>
      </c>
      <c r="CX42">
        <v>0</v>
      </c>
      <c r="CY42" t="s">
        <v>333</v>
      </c>
      <c r="CZ42">
        <v>2.36497</v>
      </c>
      <c r="DA42">
        <v>2.7137600000000002</v>
      </c>
      <c r="DB42">
        <v>0.13853099999999999</v>
      </c>
      <c r="DC42">
        <v>0.146032</v>
      </c>
      <c r="DD42">
        <v>0.11794499999999999</v>
      </c>
      <c r="DE42">
        <v>0.101753</v>
      </c>
      <c r="DF42">
        <v>31465.5</v>
      </c>
      <c r="DG42">
        <v>27514.2</v>
      </c>
      <c r="DH42">
        <v>31179.3</v>
      </c>
      <c r="DI42">
        <v>28072</v>
      </c>
      <c r="DJ42">
        <v>37332.300000000003</v>
      </c>
      <c r="DK42">
        <v>35840.6</v>
      </c>
      <c r="DL42">
        <v>44369.4</v>
      </c>
      <c r="DM42">
        <v>42532.1</v>
      </c>
      <c r="DN42">
        <v>1.4319999999999999</v>
      </c>
      <c r="DO42">
        <v>2.0832299999999999</v>
      </c>
      <c r="DP42">
        <v>9.0561799999999998E-2</v>
      </c>
      <c r="DQ42">
        <v>0.223577</v>
      </c>
      <c r="DR42">
        <v>25.5077</v>
      </c>
      <c r="DS42">
        <v>25.4648</v>
      </c>
      <c r="DT42">
        <v>61.7</v>
      </c>
      <c r="DU42">
        <v>26.6</v>
      </c>
      <c r="DV42">
        <v>21.8642</v>
      </c>
      <c r="DW42">
        <v>61.580199999999998</v>
      </c>
      <c r="DX42">
        <v>36.258000000000003</v>
      </c>
      <c r="DY42">
        <v>1</v>
      </c>
      <c r="DZ42">
        <v>-0.14069899999999999</v>
      </c>
      <c r="EA42">
        <v>0.16025900000000001</v>
      </c>
      <c r="EB42">
        <v>20.190999999999999</v>
      </c>
      <c r="EC42">
        <v>5.2413999999999996</v>
      </c>
      <c r="ED42">
        <v>12.039899999999999</v>
      </c>
      <c r="EE42">
        <v>5.0163000000000002</v>
      </c>
      <c r="EF42">
        <v>3.2879999999999998</v>
      </c>
      <c r="EG42">
        <v>9999</v>
      </c>
      <c r="EH42">
        <v>9999</v>
      </c>
      <c r="EI42">
        <v>9999</v>
      </c>
      <c r="EJ42">
        <v>999.9</v>
      </c>
      <c r="EK42">
        <v>1.8688400000000001</v>
      </c>
      <c r="EL42">
        <v>1.86449</v>
      </c>
      <c r="EM42">
        <v>1.8691199999999999</v>
      </c>
      <c r="EN42">
        <v>1.8671800000000001</v>
      </c>
      <c r="EO42">
        <v>1.86328</v>
      </c>
      <c r="EP42">
        <v>1.86432</v>
      </c>
      <c r="EQ42">
        <v>1.8701000000000001</v>
      </c>
      <c r="ER42">
        <v>1.86934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-0.65800000000000003</v>
      </c>
      <c r="FG42">
        <v>0.21110000000000001</v>
      </c>
      <c r="FH42">
        <v>-0.150361779349652</v>
      </c>
      <c r="FI42">
        <v>-6.1462078757559423E-4</v>
      </c>
      <c r="FJ42">
        <v>-1.8861989874597051E-7</v>
      </c>
      <c r="FK42">
        <v>1.1980462299894961E-10</v>
      </c>
      <c r="FL42">
        <v>0.21114761904761539</v>
      </c>
      <c r="FM42">
        <v>0</v>
      </c>
      <c r="FN42">
        <v>0</v>
      </c>
      <c r="FO42">
        <v>0</v>
      </c>
      <c r="FP42">
        <v>3</v>
      </c>
      <c r="FQ42">
        <v>2158</v>
      </c>
      <c r="FR42">
        <v>1</v>
      </c>
      <c r="FS42">
        <v>19</v>
      </c>
      <c r="FT42">
        <v>13.4</v>
      </c>
      <c r="FU42">
        <v>13.6</v>
      </c>
      <c r="FV42">
        <v>1.79321</v>
      </c>
      <c r="FW42">
        <v>2.5634800000000002</v>
      </c>
      <c r="FX42">
        <v>1.5490699999999999</v>
      </c>
      <c r="FY42">
        <v>2.33887</v>
      </c>
      <c r="FZ42">
        <v>1.50146</v>
      </c>
      <c r="GA42">
        <v>2.3864700000000001</v>
      </c>
      <c r="GB42">
        <v>31.717300000000002</v>
      </c>
      <c r="GC42">
        <v>23.991199999999999</v>
      </c>
      <c r="GD42">
        <v>19</v>
      </c>
      <c r="GE42">
        <v>262.01499999999999</v>
      </c>
      <c r="GF42">
        <v>614.98299999999995</v>
      </c>
      <c r="GG42">
        <v>24.875299999999999</v>
      </c>
      <c r="GH42">
        <v>25.6967</v>
      </c>
      <c r="GI42">
        <v>30</v>
      </c>
      <c r="GJ42">
        <v>25.7409</v>
      </c>
      <c r="GK42">
        <v>25.684999999999999</v>
      </c>
      <c r="GL42">
        <v>35.863799999999998</v>
      </c>
      <c r="GM42">
        <v>13.196300000000001</v>
      </c>
      <c r="GN42">
        <v>100</v>
      </c>
      <c r="GO42">
        <v>25.031300000000002</v>
      </c>
      <c r="GP42">
        <v>800</v>
      </c>
      <c r="GQ42">
        <v>20.495100000000001</v>
      </c>
      <c r="GR42">
        <v>99.758200000000002</v>
      </c>
      <c r="GS42">
        <v>99.511600000000001</v>
      </c>
    </row>
    <row r="43" spans="1:201" x14ac:dyDescent="0.25">
      <c r="A43">
        <v>27</v>
      </c>
      <c r="B43">
        <v>1690377026</v>
      </c>
      <c r="C43">
        <v>309.5</v>
      </c>
      <c r="D43" t="s">
        <v>387</v>
      </c>
      <c r="E43" t="s">
        <v>388</v>
      </c>
      <c r="F43" t="s">
        <v>330</v>
      </c>
      <c r="H43">
        <v>1690377026</v>
      </c>
      <c r="I43">
        <f t="shared" si="0"/>
        <v>4.2871421135641481E-4</v>
      </c>
      <c r="J43">
        <f t="shared" si="1"/>
        <v>0.4287142113564148</v>
      </c>
      <c r="K43">
        <f t="shared" si="2"/>
        <v>5.5690683293814986</v>
      </c>
      <c r="L43">
        <f t="shared" si="3"/>
        <v>732.62900000000002</v>
      </c>
      <c r="M43">
        <f t="shared" si="4"/>
        <v>375.50941306396567</v>
      </c>
      <c r="N43">
        <f t="shared" si="5"/>
        <v>37.082680692796394</v>
      </c>
      <c r="O43">
        <f t="shared" si="6"/>
        <v>72.349310904370995</v>
      </c>
      <c r="P43">
        <f t="shared" si="7"/>
        <v>2.6176833480846352E-2</v>
      </c>
      <c r="Q43">
        <f t="shared" si="8"/>
        <v>2.0043126792461496</v>
      </c>
      <c r="R43">
        <f t="shared" si="9"/>
        <v>2.5988378505112809E-2</v>
      </c>
      <c r="S43">
        <f t="shared" si="10"/>
        <v>1.6259555299431912E-2</v>
      </c>
      <c r="T43">
        <f t="shared" si="11"/>
        <v>276.11426988131188</v>
      </c>
      <c r="U43">
        <f t="shared" si="12"/>
        <v>29.23983674201509</v>
      </c>
      <c r="V43">
        <f t="shared" si="13"/>
        <v>29.23983674201509</v>
      </c>
      <c r="W43">
        <f t="shared" si="14"/>
        <v>4.0779268975265035</v>
      </c>
      <c r="X43">
        <f t="shared" si="15"/>
        <v>69.563501460193137</v>
      </c>
      <c r="Y43">
        <f t="shared" si="16"/>
        <v>2.5031416421524999</v>
      </c>
      <c r="Z43">
        <f t="shared" si="17"/>
        <v>3.5983548694495955</v>
      </c>
      <c r="AA43">
        <f t="shared" si="18"/>
        <v>1.5747852553740036</v>
      </c>
      <c r="AB43">
        <f t="shared" si="19"/>
        <v>-18.906296720817892</v>
      </c>
      <c r="AC43">
        <f t="shared" si="20"/>
        <v>-232.18498285859522</v>
      </c>
      <c r="AD43">
        <f t="shared" si="21"/>
        <v>-25.293032998482531</v>
      </c>
      <c r="AE43">
        <f t="shared" si="22"/>
        <v>-0.27004269658377211</v>
      </c>
      <c r="AF43">
        <v>16</v>
      </c>
      <c r="AG43">
        <v>5</v>
      </c>
      <c r="AH43">
        <f t="shared" si="23"/>
        <v>1</v>
      </c>
      <c r="AI43">
        <f t="shared" si="24"/>
        <v>0</v>
      </c>
      <c r="AJ43">
        <f t="shared" si="25"/>
        <v>52005.166272454102</v>
      </c>
      <c r="AK43">
        <f t="shared" si="26"/>
        <v>1799.99</v>
      </c>
      <c r="AL43">
        <f t="shared" si="27"/>
        <v>1499.1058243880402</v>
      </c>
      <c r="AM43">
        <f t="shared" si="28"/>
        <v>0.83284119600000006</v>
      </c>
      <c r="AN43">
        <f t="shared" si="29"/>
        <v>0.15339766881</v>
      </c>
      <c r="AO43">
        <v>34.5</v>
      </c>
      <c r="AP43">
        <v>0.5</v>
      </c>
      <c r="AQ43" t="s">
        <v>331</v>
      </c>
      <c r="AR43">
        <v>2</v>
      </c>
      <c r="AS43">
        <v>1690377026</v>
      </c>
      <c r="AT43">
        <v>732.62900000000002</v>
      </c>
      <c r="AU43">
        <v>800.27200000000005</v>
      </c>
      <c r="AV43">
        <v>25.3475</v>
      </c>
      <c r="AW43">
        <v>20.543199999999999</v>
      </c>
      <c r="AX43">
        <v>733.28499999999997</v>
      </c>
      <c r="AY43">
        <v>25.136399999999998</v>
      </c>
      <c r="AZ43">
        <v>300.05900000000003</v>
      </c>
      <c r="BA43">
        <v>98.652900000000002</v>
      </c>
      <c r="BB43">
        <v>0.10009899999999999</v>
      </c>
      <c r="BC43">
        <v>27.091100000000001</v>
      </c>
      <c r="BD43">
        <v>26.9893</v>
      </c>
      <c r="BE43">
        <v>29.125599999999999</v>
      </c>
      <c r="BF43">
        <v>0</v>
      </c>
      <c r="BG43">
        <v>0</v>
      </c>
      <c r="BH43">
        <v>9971.25</v>
      </c>
      <c r="BI43">
        <v>1084.43</v>
      </c>
      <c r="BJ43">
        <v>1.3455900000000001</v>
      </c>
      <c r="BK43">
        <v>-67.642200000000003</v>
      </c>
      <c r="BL43">
        <v>751.68299999999999</v>
      </c>
      <c r="BM43">
        <v>817.05700000000002</v>
      </c>
      <c r="BN43">
        <v>4.8043100000000001</v>
      </c>
      <c r="BO43">
        <v>800.27200000000005</v>
      </c>
      <c r="BP43">
        <v>20.543199999999999</v>
      </c>
      <c r="BQ43">
        <v>2.50061</v>
      </c>
      <c r="BR43">
        <v>2.0266500000000001</v>
      </c>
      <c r="BS43">
        <v>21.0305</v>
      </c>
      <c r="BT43">
        <v>17.6541</v>
      </c>
      <c r="BU43">
        <v>1799.99</v>
      </c>
      <c r="BV43">
        <v>0.91000700000000001</v>
      </c>
      <c r="BW43">
        <v>3.4000500000000003E-2</v>
      </c>
      <c r="BX43">
        <v>2.2004300000000001E-2</v>
      </c>
      <c r="BY43">
        <v>3.3988299999999999E-2</v>
      </c>
      <c r="BZ43">
        <v>25</v>
      </c>
      <c r="CA43">
        <v>33528.199999999997</v>
      </c>
      <c r="CB43">
        <v>1690376213.5999999</v>
      </c>
      <c r="CC43" t="s">
        <v>332</v>
      </c>
      <c r="CD43">
        <v>1690376213.5999999</v>
      </c>
      <c r="CE43">
        <v>1690376198.0999999</v>
      </c>
      <c r="CF43">
        <v>2</v>
      </c>
      <c r="CG43">
        <v>0.66900000000000004</v>
      </c>
      <c r="CH43">
        <v>-2.1000000000000001E-2</v>
      </c>
      <c r="CI43">
        <v>-0.70099999999999996</v>
      </c>
      <c r="CJ43">
        <v>0.21099999999999999</v>
      </c>
      <c r="CK43">
        <v>799</v>
      </c>
      <c r="CL43">
        <v>21</v>
      </c>
      <c r="CM43">
        <v>0.11</v>
      </c>
      <c r="CN43">
        <v>0.17</v>
      </c>
      <c r="CO43">
        <v>-63.59706585365852</v>
      </c>
      <c r="CP43">
        <v>-23.91180836236931</v>
      </c>
      <c r="CQ43">
        <v>2.358971193344495</v>
      </c>
      <c r="CR43">
        <v>-1</v>
      </c>
      <c r="CS43">
        <v>4.3441141463414636</v>
      </c>
      <c r="CT43">
        <v>2.859482926829275</v>
      </c>
      <c r="CU43">
        <v>0.28227654266067947</v>
      </c>
      <c r="CV43">
        <v>-1</v>
      </c>
      <c r="CW43">
        <v>0</v>
      </c>
      <c r="CX43">
        <v>0</v>
      </c>
      <c r="CY43" t="s">
        <v>333</v>
      </c>
      <c r="CZ43">
        <v>2.36469</v>
      </c>
      <c r="DA43">
        <v>2.7138599999999999</v>
      </c>
      <c r="DB43">
        <v>0.138039</v>
      </c>
      <c r="DC43">
        <v>0.146012</v>
      </c>
      <c r="DD43">
        <v>0.117964</v>
      </c>
      <c r="DE43">
        <v>0.100314</v>
      </c>
      <c r="DF43">
        <v>31483.599999999999</v>
      </c>
      <c r="DG43">
        <v>27515.200000000001</v>
      </c>
      <c r="DH43">
        <v>31179.5</v>
      </c>
      <c r="DI43">
        <v>28072.400000000001</v>
      </c>
      <c r="DJ43">
        <v>37331.699999999997</v>
      </c>
      <c r="DK43">
        <v>35898.5</v>
      </c>
      <c r="DL43">
        <v>44369.599999999999</v>
      </c>
      <c r="DM43">
        <v>42532.6</v>
      </c>
      <c r="DN43">
        <v>1.43228</v>
      </c>
      <c r="DO43">
        <v>2.0830199999999999</v>
      </c>
      <c r="DP43">
        <v>9.1209999999999999E-2</v>
      </c>
      <c r="DQ43">
        <v>0.22461300000000001</v>
      </c>
      <c r="DR43">
        <v>25.495899999999999</v>
      </c>
      <c r="DS43">
        <v>25.454000000000001</v>
      </c>
      <c r="DT43">
        <v>61.7</v>
      </c>
      <c r="DU43">
        <v>26.6</v>
      </c>
      <c r="DV43">
        <v>21.863199999999999</v>
      </c>
      <c r="DW43">
        <v>61.600200000000001</v>
      </c>
      <c r="DX43">
        <v>36.750799999999998</v>
      </c>
      <c r="DY43">
        <v>1</v>
      </c>
      <c r="DZ43">
        <v>-0.140574</v>
      </c>
      <c r="EA43">
        <v>-0.18899199999999999</v>
      </c>
      <c r="EB43">
        <v>20.190799999999999</v>
      </c>
      <c r="EC43">
        <v>5.2416999999999998</v>
      </c>
      <c r="ED43">
        <v>12.039899999999999</v>
      </c>
      <c r="EE43">
        <v>5.0163000000000002</v>
      </c>
      <c r="EF43">
        <v>3.2879999999999998</v>
      </c>
      <c r="EG43">
        <v>9999</v>
      </c>
      <c r="EH43">
        <v>9999</v>
      </c>
      <c r="EI43">
        <v>9999</v>
      </c>
      <c r="EJ43">
        <v>999.9</v>
      </c>
      <c r="EK43">
        <v>1.8688199999999999</v>
      </c>
      <c r="EL43">
        <v>1.86449</v>
      </c>
      <c r="EM43">
        <v>1.86913</v>
      </c>
      <c r="EN43">
        <v>1.8671599999999999</v>
      </c>
      <c r="EO43">
        <v>1.86328</v>
      </c>
      <c r="EP43">
        <v>1.86432</v>
      </c>
      <c r="EQ43">
        <v>1.8701000000000001</v>
      </c>
      <c r="ER43">
        <v>1.8693500000000001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-0.65600000000000003</v>
      </c>
      <c r="FG43">
        <v>0.21110000000000001</v>
      </c>
      <c r="FH43">
        <v>-0.150361779349652</v>
      </c>
      <c r="FI43">
        <v>-6.1462078757559423E-4</v>
      </c>
      <c r="FJ43">
        <v>-1.8861989874597051E-7</v>
      </c>
      <c r="FK43">
        <v>1.1980462299894961E-10</v>
      </c>
      <c r="FL43">
        <v>0.21114761904761539</v>
      </c>
      <c r="FM43">
        <v>0</v>
      </c>
      <c r="FN43">
        <v>0</v>
      </c>
      <c r="FO43">
        <v>0</v>
      </c>
      <c r="FP43">
        <v>3</v>
      </c>
      <c r="FQ43">
        <v>2158</v>
      </c>
      <c r="FR43">
        <v>1</v>
      </c>
      <c r="FS43">
        <v>19</v>
      </c>
      <c r="FT43">
        <v>13.5</v>
      </c>
      <c r="FU43">
        <v>13.8</v>
      </c>
      <c r="FV43">
        <v>1.79321</v>
      </c>
      <c r="FW43">
        <v>2.5671400000000002</v>
      </c>
      <c r="FX43">
        <v>1.5490699999999999</v>
      </c>
      <c r="FY43">
        <v>2.33887</v>
      </c>
      <c r="FZ43">
        <v>1.50146</v>
      </c>
      <c r="GA43">
        <v>2.3742700000000001</v>
      </c>
      <c r="GB43">
        <v>31.717300000000002</v>
      </c>
      <c r="GC43">
        <v>23.991199999999999</v>
      </c>
      <c r="GD43">
        <v>19</v>
      </c>
      <c r="GE43">
        <v>262.13400000000001</v>
      </c>
      <c r="GF43">
        <v>614.83699999999999</v>
      </c>
      <c r="GG43">
        <v>25.047599999999999</v>
      </c>
      <c r="GH43">
        <v>25.697099999999999</v>
      </c>
      <c r="GI43">
        <v>30.0001</v>
      </c>
      <c r="GJ43">
        <v>25.743099999999998</v>
      </c>
      <c r="GK43">
        <v>25.687200000000001</v>
      </c>
      <c r="GL43">
        <v>35.841700000000003</v>
      </c>
      <c r="GM43">
        <v>15.2239</v>
      </c>
      <c r="GN43">
        <v>100</v>
      </c>
      <c r="GO43">
        <v>25.0549</v>
      </c>
      <c r="GP43">
        <v>800</v>
      </c>
      <c r="GQ43">
        <v>20.212499999999999</v>
      </c>
      <c r="GR43">
        <v>99.758700000000005</v>
      </c>
      <c r="GS43">
        <v>99.513000000000005</v>
      </c>
    </row>
    <row r="44" spans="1:201" x14ac:dyDescent="0.25">
      <c r="A44">
        <v>28</v>
      </c>
      <c r="B44">
        <v>1690377036</v>
      </c>
      <c r="C44">
        <v>319.5</v>
      </c>
      <c r="D44" t="s">
        <v>389</v>
      </c>
      <c r="E44" t="s">
        <v>390</v>
      </c>
      <c r="F44" t="s">
        <v>330</v>
      </c>
      <c r="H44">
        <v>1690377036</v>
      </c>
      <c r="I44">
        <f t="shared" si="0"/>
        <v>4.5470460195180828E-4</v>
      </c>
      <c r="J44">
        <f t="shared" si="1"/>
        <v>0.45470460195180828</v>
      </c>
      <c r="K44">
        <f t="shared" si="2"/>
        <v>5.8693464809869358</v>
      </c>
      <c r="L44">
        <f t="shared" si="3"/>
        <v>728.95</v>
      </c>
      <c r="M44">
        <f t="shared" si="4"/>
        <v>374.11069720893488</v>
      </c>
      <c r="N44">
        <f t="shared" si="5"/>
        <v>36.945909458640628</v>
      </c>
      <c r="O44">
        <f t="shared" si="6"/>
        <v>71.988641064800007</v>
      </c>
      <c r="P44">
        <f t="shared" si="7"/>
        <v>2.7777439590916927E-2</v>
      </c>
      <c r="Q44">
        <f t="shared" si="8"/>
        <v>2.0106246499486877</v>
      </c>
      <c r="R44">
        <f t="shared" si="9"/>
        <v>2.756599467111041E-2</v>
      </c>
      <c r="S44">
        <f t="shared" si="10"/>
        <v>1.7247609891221937E-2</v>
      </c>
      <c r="T44">
        <f t="shared" si="11"/>
        <v>276.11476073858495</v>
      </c>
      <c r="U44">
        <f t="shared" si="12"/>
        <v>29.22949060552099</v>
      </c>
      <c r="V44">
        <f t="shared" si="13"/>
        <v>29.22949060552099</v>
      </c>
      <c r="W44">
        <f t="shared" si="14"/>
        <v>4.075490473657422</v>
      </c>
      <c r="X44">
        <f t="shared" si="15"/>
        <v>69.474730359826012</v>
      </c>
      <c r="Y44">
        <f t="shared" si="16"/>
        <v>2.5007251085903994</v>
      </c>
      <c r="Z44">
        <f t="shared" si="17"/>
        <v>3.599474363755792</v>
      </c>
      <c r="AA44">
        <f t="shared" si="18"/>
        <v>1.5747653650670226</v>
      </c>
      <c r="AB44">
        <f t="shared" si="19"/>
        <v>-20.052472946074744</v>
      </c>
      <c r="AC44">
        <f t="shared" si="20"/>
        <v>-231.22018748928269</v>
      </c>
      <c r="AD44">
        <f t="shared" si="21"/>
        <v>-25.108224797108008</v>
      </c>
      <c r="AE44">
        <f t="shared" si="22"/>
        <v>-0.26612449388048276</v>
      </c>
      <c r="AF44">
        <v>15</v>
      </c>
      <c r="AG44">
        <v>5</v>
      </c>
      <c r="AH44">
        <f t="shared" si="23"/>
        <v>1</v>
      </c>
      <c r="AI44">
        <f t="shared" si="24"/>
        <v>0</v>
      </c>
      <c r="AJ44">
        <f t="shared" si="25"/>
        <v>52305.995747682406</v>
      </c>
      <c r="AK44">
        <f t="shared" si="26"/>
        <v>1799.99</v>
      </c>
      <c r="AL44">
        <f t="shared" si="27"/>
        <v>1499.1062023859399</v>
      </c>
      <c r="AM44">
        <f t="shared" si="28"/>
        <v>0.8328414059999999</v>
      </c>
      <c r="AN44">
        <f t="shared" si="29"/>
        <v>0.15339794151000002</v>
      </c>
      <c r="AO44">
        <v>34.5</v>
      </c>
      <c r="AP44">
        <v>0.5</v>
      </c>
      <c r="AQ44" t="s">
        <v>331</v>
      </c>
      <c r="AR44">
        <v>2</v>
      </c>
      <c r="AS44">
        <v>1690377036</v>
      </c>
      <c r="AT44">
        <v>728.95</v>
      </c>
      <c r="AU44">
        <v>800.202</v>
      </c>
      <c r="AV44">
        <v>25.322099999999999</v>
      </c>
      <c r="AW44">
        <v>20.229500000000002</v>
      </c>
      <c r="AX44">
        <v>729.60299999999995</v>
      </c>
      <c r="AY44">
        <v>25.110900000000001</v>
      </c>
      <c r="AZ44">
        <v>300.24099999999999</v>
      </c>
      <c r="BA44">
        <v>98.656499999999994</v>
      </c>
      <c r="BB44">
        <v>0.100124</v>
      </c>
      <c r="BC44">
        <v>27.096399999999999</v>
      </c>
      <c r="BD44">
        <v>26.98</v>
      </c>
      <c r="BE44">
        <v>29.1006</v>
      </c>
      <c r="BF44">
        <v>0</v>
      </c>
      <c r="BG44">
        <v>0</v>
      </c>
      <c r="BH44">
        <v>10031.200000000001</v>
      </c>
      <c r="BI44">
        <v>1084.55</v>
      </c>
      <c r="BJ44">
        <v>1.3455900000000001</v>
      </c>
      <c r="BK44">
        <v>-71.251999999999995</v>
      </c>
      <c r="BL44">
        <v>747.88800000000003</v>
      </c>
      <c r="BM44">
        <v>816.72400000000005</v>
      </c>
      <c r="BN44">
        <v>5.0925500000000001</v>
      </c>
      <c r="BO44">
        <v>800.202</v>
      </c>
      <c r="BP44">
        <v>20.229500000000002</v>
      </c>
      <c r="BQ44">
        <v>2.4981900000000001</v>
      </c>
      <c r="BR44">
        <v>1.99577</v>
      </c>
      <c r="BS44">
        <v>21.014700000000001</v>
      </c>
      <c r="BT44">
        <v>17.410799999999998</v>
      </c>
      <c r="BU44">
        <v>1799.99</v>
      </c>
      <c r="BV44">
        <v>0.91000300000000001</v>
      </c>
      <c r="BW44">
        <v>3.3997199999999998E-2</v>
      </c>
      <c r="BX44">
        <v>2.2008300000000001E-2</v>
      </c>
      <c r="BY44">
        <v>3.3991500000000001E-2</v>
      </c>
      <c r="BZ44">
        <v>25</v>
      </c>
      <c r="CA44">
        <v>33528.1</v>
      </c>
      <c r="CB44">
        <v>1690376213.5999999</v>
      </c>
      <c r="CC44" t="s">
        <v>332</v>
      </c>
      <c r="CD44">
        <v>1690376213.5999999</v>
      </c>
      <c r="CE44">
        <v>1690376198.0999999</v>
      </c>
      <c r="CF44">
        <v>2</v>
      </c>
      <c r="CG44">
        <v>0.66900000000000004</v>
      </c>
      <c r="CH44">
        <v>-2.1000000000000001E-2</v>
      </c>
      <c r="CI44">
        <v>-0.70099999999999996</v>
      </c>
      <c r="CJ44">
        <v>0.21099999999999999</v>
      </c>
      <c r="CK44">
        <v>799</v>
      </c>
      <c r="CL44">
        <v>21</v>
      </c>
      <c r="CM44">
        <v>0.11</v>
      </c>
      <c r="CN44">
        <v>0.17</v>
      </c>
      <c r="CO44">
        <v>-67.075726829268291</v>
      </c>
      <c r="CP44">
        <v>-22.263363763066241</v>
      </c>
      <c r="CQ44">
        <v>2.1955796711135349</v>
      </c>
      <c r="CR44">
        <v>-1</v>
      </c>
      <c r="CS44">
        <v>4.7274207317073174</v>
      </c>
      <c r="CT44">
        <v>2.23992731707316</v>
      </c>
      <c r="CU44">
        <v>0.22209486731959491</v>
      </c>
      <c r="CV44">
        <v>-1</v>
      </c>
      <c r="CW44">
        <v>0</v>
      </c>
      <c r="CX44">
        <v>0</v>
      </c>
      <c r="CY44" t="s">
        <v>333</v>
      </c>
      <c r="CZ44">
        <v>2.3652899999999999</v>
      </c>
      <c r="DA44">
        <v>2.71394</v>
      </c>
      <c r="DB44">
        <v>0.137573</v>
      </c>
      <c r="DC44">
        <v>0.14600199999999999</v>
      </c>
      <c r="DD44">
        <v>0.117885</v>
      </c>
      <c r="DE44">
        <v>9.9231E-2</v>
      </c>
      <c r="DF44">
        <v>31500.9</v>
      </c>
      <c r="DG44">
        <v>27515.3</v>
      </c>
      <c r="DH44">
        <v>31179.8</v>
      </c>
      <c r="DI44">
        <v>28072.3</v>
      </c>
      <c r="DJ44">
        <v>37335.199999999997</v>
      </c>
      <c r="DK44">
        <v>35941.699999999997</v>
      </c>
      <c r="DL44">
        <v>44369.9</v>
      </c>
      <c r="DM44">
        <v>42532.5</v>
      </c>
      <c r="DN44">
        <v>1.4331</v>
      </c>
      <c r="DO44">
        <v>2.0819700000000001</v>
      </c>
      <c r="DP44">
        <v>9.1195100000000001E-2</v>
      </c>
      <c r="DQ44">
        <v>0.22356200000000001</v>
      </c>
      <c r="DR44">
        <v>25.486799999999999</v>
      </c>
      <c r="DS44">
        <v>25.446000000000002</v>
      </c>
      <c r="DT44">
        <v>61.7</v>
      </c>
      <c r="DU44">
        <v>26.6</v>
      </c>
      <c r="DV44">
        <v>21.862300000000001</v>
      </c>
      <c r="DW44">
        <v>61.620199999999997</v>
      </c>
      <c r="DX44">
        <v>36.7468</v>
      </c>
      <c r="DY44">
        <v>1</v>
      </c>
      <c r="DZ44">
        <v>-0.140765</v>
      </c>
      <c r="EA44">
        <v>-5.0479299999999998E-2</v>
      </c>
      <c r="EB44">
        <v>20.191299999999998</v>
      </c>
      <c r="EC44">
        <v>5.2415500000000002</v>
      </c>
      <c r="ED44">
        <v>12.039899999999999</v>
      </c>
      <c r="EE44">
        <v>5.0164499999999999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1.86879</v>
      </c>
      <c r="EL44">
        <v>1.8644700000000001</v>
      </c>
      <c r="EM44">
        <v>1.86913</v>
      </c>
      <c r="EN44">
        <v>1.8671500000000001</v>
      </c>
      <c r="EO44">
        <v>1.86327</v>
      </c>
      <c r="EP44">
        <v>1.86432</v>
      </c>
      <c r="EQ44">
        <v>1.87012</v>
      </c>
      <c r="ER44">
        <v>1.8693500000000001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-0.65300000000000002</v>
      </c>
      <c r="FG44">
        <v>0.2112</v>
      </c>
      <c r="FH44">
        <v>-0.150361779349652</v>
      </c>
      <c r="FI44">
        <v>-6.1462078757559423E-4</v>
      </c>
      <c r="FJ44">
        <v>-1.8861989874597051E-7</v>
      </c>
      <c r="FK44">
        <v>1.1980462299894961E-10</v>
      </c>
      <c r="FL44">
        <v>0.21114761904761539</v>
      </c>
      <c r="FM44">
        <v>0</v>
      </c>
      <c r="FN44">
        <v>0</v>
      </c>
      <c r="FO44">
        <v>0</v>
      </c>
      <c r="FP44">
        <v>3</v>
      </c>
      <c r="FQ44">
        <v>2158</v>
      </c>
      <c r="FR44">
        <v>1</v>
      </c>
      <c r="FS44">
        <v>19</v>
      </c>
      <c r="FT44">
        <v>13.7</v>
      </c>
      <c r="FU44">
        <v>14</v>
      </c>
      <c r="FV44">
        <v>1.79199</v>
      </c>
      <c r="FW44">
        <v>2.5683600000000002</v>
      </c>
      <c r="FX44">
        <v>1.5490699999999999</v>
      </c>
      <c r="FY44">
        <v>2.33887</v>
      </c>
      <c r="FZ44">
        <v>1.50146</v>
      </c>
      <c r="GA44">
        <v>2.33887</v>
      </c>
      <c r="GB44">
        <v>31.7392</v>
      </c>
      <c r="GC44">
        <v>23.991199999999999</v>
      </c>
      <c r="GD44">
        <v>19</v>
      </c>
      <c r="GE44">
        <v>262.46499999999997</v>
      </c>
      <c r="GF44">
        <v>613.96799999999996</v>
      </c>
      <c r="GG44">
        <v>25.071999999999999</v>
      </c>
      <c r="GH44">
        <v>25.699200000000001</v>
      </c>
      <c r="GI44">
        <v>30</v>
      </c>
      <c r="GJ44">
        <v>25.743099999999998</v>
      </c>
      <c r="GK44">
        <v>25.689800000000002</v>
      </c>
      <c r="GL44">
        <v>35.8217</v>
      </c>
      <c r="GM44">
        <v>17.079499999999999</v>
      </c>
      <c r="GN44">
        <v>100</v>
      </c>
      <c r="GO44">
        <v>25.074300000000001</v>
      </c>
      <c r="GP44">
        <v>800</v>
      </c>
      <c r="GQ44">
        <v>19.952200000000001</v>
      </c>
      <c r="GR44">
        <v>99.759399999999999</v>
      </c>
      <c r="GS44">
        <v>99.512600000000006</v>
      </c>
    </row>
    <row r="45" spans="1:201" x14ac:dyDescent="0.25">
      <c r="A45">
        <v>29</v>
      </c>
      <c r="B45">
        <v>1690377046</v>
      </c>
      <c r="C45">
        <v>329.5</v>
      </c>
      <c r="D45" t="s">
        <v>391</v>
      </c>
      <c r="E45" t="s">
        <v>392</v>
      </c>
      <c r="F45" t="s">
        <v>330</v>
      </c>
      <c r="H45">
        <v>1690377046</v>
      </c>
      <c r="I45">
        <f t="shared" si="0"/>
        <v>4.7178633966287191E-4</v>
      </c>
      <c r="J45">
        <f t="shared" si="1"/>
        <v>0.47178633966287192</v>
      </c>
      <c r="K45">
        <f t="shared" si="2"/>
        <v>6.1509840351310494</v>
      </c>
      <c r="L45">
        <f t="shared" si="3"/>
        <v>725.51400000000001</v>
      </c>
      <c r="M45">
        <f t="shared" si="4"/>
        <v>366.39981952564222</v>
      </c>
      <c r="N45">
        <f t="shared" si="5"/>
        <v>36.18369249587473</v>
      </c>
      <c r="O45">
        <f t="shared" si="6"/>
        <v>71.647894126800608</v>
      </c>
      <c r="P45">
        <f t="shared" si="7"/>
        <v>2.8746984405574917E-2</v>
      </c>
      <c r="Q45">
        <f t="shared" si="8"/>
        <v>2.009039380446922</v>
      </c>
      <c r="R45">
        <f t="shared" si="9"/>
        <v>2.8520409107756928E-2</v>
      </c>
      <c r="S45">
        <f t="shared" si="10"/>
        <v>1.7845463631473886E-2</v>
      </c>
      <c r="T45">
        <f t="shared" si="11"/>
        <v>276.11298721783135</v>
      </c>
      <c r="U45">
        <f t="shared" si="12"/>
        <v>29.223019309451921</v>
      </c>
      <c r="V45">
        <f t="shared" si="13"/>
        <v>29.223019309451921</v>
      </c>
      <c r="W45">
        <f t="shared" si="14"/>
        <v>4.0739671857883266</v>
      </c>
      <c r="X45">
        <f t="shared" si="15"/>
        <v>69.314008348160073</v>
      </c>
      <c r="Y45">
        <f t="shared" si="16"/>
        <v>2.4946910431558504</v>
      </c>
      <c r="Z45">
        <f t="shared" si="17"/>
        <v>3.5991152475631885</v>
      </c>
      <c r="AA45">
        <f t="shared" si="18"/>
        <v>1.5792761426324762</v>
      </c>
      <c r="AB45">
        <f t="shared" si="19"/>
        <v>-20.805777579132652</v>
      </c>
      <c r="AC45">
        <f t="shared" si="20"/>
        <v>-230.52109736714027</v>
      </c>
      <c r="AD45">
        <f t="shared" si="21"/>
        <v>-25.051041763308294</v>
      </c>
      <c r="AE45">
        <f t="shared" si="22"/>
        <v>-0.2649294917498537</v>
      </c>
      <c r="AF45">
        <v>16</v>
      </c>
      <c r="AG45">
        <v>5</v>
      </c>
      <c r="AH45">
        <f t="shared" si="23"/>
        <v>1</v>
      </c>
      <c r="AI45">
        <f t="shared" si="24"/>
        <v>0</v>
      </c>
      <c r="AJ45">
        <f t="shared" si="25"/>
        <v>52230.362797397822</v>
      </c>
      <c r="AK45">
        <f t="shared" si="26"/>
        <v>1799.98</v>
      </c>
      <c r="AL45">
        <f t="shared" si="27"/>
        <v>1499.0955465977399</v>
      </c>
      <c r="AM45">
        <f t="shared" si="28"/>
        <v>0.83284011299999994</v>
      </c>
      <c r="AN45">
        <f t="shared" si="29"/>
        <v>0.15339780842999998</v>
      </c>
      <c r="AO45">
        <v>34.5</v>
      </c>
      <c r="AP45">
        <v>0.5</v>
      </c>
      <c r="AQ45" t="s">
        <v>331</v>
      </c>
      <c r="AR45">
        <v>2</v>
      </c>
      <c r="AS45">
        <v>1690377046</v>
      </c>
      <c r="AT45">
        <v>725.51400000000001</v>
      </c>
      <c r="AU45">
        <v>800.16</v>
      </c>
      <c r="AV45">
        <v>25.261500000000002</v>
      </c>
      <c r="AW45">
        <v>19.974900000000002</v>
      </c>
      <c r="AX45">
        <v>726.16499999999996</v>
      </c>
      <c r="AY45">
        <v>25.0503</v>
      </c>
      <c r="AZ45">
        <v>300.10700000000003</v>
      </c>
      <c r="BA45">
        <v>98.654700000000005</v>
      </c>
      <c r="BB45">
        <v>9.9967899999999998E-2</v>
      </c>
      <c r="BC45">
        <v>27.0947</v>
      </c>
      <c r="BD45">
        <v>26.981999999999999</v>
      </c>
      <c r="BE45">
        <v>29.116499999999998</v>
      </c>
      <c r="BF45">
        <v>0</v>
      </c>
      <c r="BG45">
        <v>0</v>
      </c>
      <c r="BH45">
        <v>10016.200000000001</v>
      </c>
      <c r="BI45">
        <v>1084.4100000000001</v>
      </c>
      <c r="BJ45">
        <v>1.3455900000000001</v>
      </c>
      <c r="BK45">
        <v>-74.645600000000002</v>
      </c>
      <c r="BL45">
        <v>744.31700000000001</v>
      </c>
      <c r="BM45">
        <v>816.46900000000005</v>
      </c>
      <c r="BN45">
        <v>5.2865500000000001</v>
      </c>
      <c r="BO45">
        <v>800.16</v>
      </c>
      <c r="BP45">
        <v>19.974900000000002</v>
      </c>
      <c r="BQ45">
        <v>2.4921700000000002</v>
      </c>
      <c r="BR45">
        <v>1.97062</v>
      </c>
      <c r="BS45">
        <v>20.9754</v>
      </c>
      <c r="BT45">
        <v>17.2102</v>
      </c>
      <c r="BU45">
        <v>1799.98</v>
      </c>
      <c r="BV45">
        <v>0.90998999999999997</v>
      </c>
      <c r="BW45">
        <v>3.3992700000000001E-2</v>
      </c>
      <c r="BX45">
        <v>2.2005400000000001E-2</v>
      </c>
      <c r="BY45">
        <v>3.4011899999999998E-2</v>
      </c>
      <c r="BZ45">
        <v>25</v>
      </c>
      <c r="CA45">
        <v>33528</v>
      </c>
      <c r="CB45">
        <v>1690376213.5999999</v>
      </c>
      <c r="CC45" t="s">
        <v>332</v>
      </c>
      <c r="CD45">
        <v>1690376213.5999999</v>
      </c>
      <c r="CE45">
        <v>1690376198.0999999</v>
      </c>
      <c r="CF45">
        <v>2</v>
      </c>
      <c r="CG45">
        <v>0.66900000000000004</v>
      </c>
      <c r="CH45">
        <v>-2.1000000000000001E-2</v>
      </c>
      <c r="CI45">
        <v>-0.70099999999999996</v>
      </c>
      <c r="CJ45">
        <v>0.21099999999999999</v>
      </c>
      <c r="CK45">
        <v>799</v>
      </c>
      <c r="CL45">
        <v>21</v>
      </c>
      <c r="CM45">
        <v>0.11</v>
      </c>
      <c r="CN45">
        <v>0.17</v>
      </c>
      <c r="CO45">
        <v>-70.952917500000012</v>
      </c>
      <c r="CP45">
        <v>-20.962825891181971</v>
      </c>
      <c r="CQ45">
        <v>2.0169540613121928</v>
      </c>
      <c r="CR45">
        <v>-1</v>
      </c>
      <c r="CS45">
        <v>5.0588827500000004</v>
      </c>
      <c r="CT45">
        <v>1.4541238649155559</v>
      </c>
      <c r="CU45">
        <v>0.1406397629048681</v>
      </c>
      <c r="CV45">
        <v>-1</v>
      </c>
      <c r="CW45">
        <v>0</v>
      </c>
      <c r="CX45">
        <v>0</v>
      </c>
      <c r="CY45" t="s">
        <v>333</v>
      </c>
      <c r="CZ45">
        <v>2.3648500000000001</v>
      </c>
      <c r="DA45">
        <v>2.7137699999999998</v>
      </c>
      <c r="DB45">
        <v>0.137128</v>
      </c>
      <c r="DC45">
        <v>0.14598800000000001</v>
      </c>
      <c r="DD45">
        <v>0.117684</v>
      </c>
      <c r="DE45">
        <v>9.8342200000000005E-2</v>
      </c>
      <c r="DF45">
        <v>31516.7</v>
      </c>
      <c r="DG45">
        <v>27515.599999999999</v>
      </c>
      <c r="DH45">
        <v>31179.4</v>
      </c>
      <c r="DI45">
        <v>28072.1</v>
      </c>
      <c r="DJ45">
        <v>37343.4</v>
      </c>
      <c r="DK45">
        <v>35977</v>
      </c>
      <c r="DL45">
        <v>44369.5</v>
      </c>
      <c r="DM45">
        <v>42532.1</v>
      </c>
      <c r="DN45">
        <v>1.43235</v>
      </c>
      <c r="DO45">
        <v>2.0816499999999998</v>
      </c>
      <c r="DP45">
        <v>9.1608599999999998E-2</v>
      </c>
      <c r="DQ45">
        <v>0.22486600000000001</v>
      </c>
      <c r="DR45">
        <v>25.481999999999999</v>
      </c>
      <c r="DS45">
        <v>25.4406</v>
      </c>
      <c r="DT45">
        <v>61.7</v>
      </c>
      <c r="DU45">
        <v>26.6</v>
      </c>
      <c r="DV45">
        <v>21.865600000000001</v>
      </c>
      <c r="DW45">
        <v>61.6402</v>
      </c>
      <c r="DX45">
        <v>36.847000000000001</v>
      </c>
      <c r="DY45">
        <v>1</v>
      </c>
      <c r="DZ45">
        <v>-0.14080799999999999</v>
      </c>
      <c r="EA45">
        <v>-7.7638899999999997E-2</v>
      </c>
      <c r="EB45">
        <v>20.191199999999998</v>
      </c>
      <c r="EC45">
        <v>5.2415500000000002</v>
      </c>
      <c r="ED45">
        <v>12.039899999999999</v>
      </c>
      <c r="EE45">
        <v>5.0170500000000002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1.8688499999999999</v>
      </c>
      <c r="EL45">
        <v>1.86449</v>
      </c>
      <c r="EM45">
        <v>1.8691500000000001</v>
      </c>
      <c r="EN45">
        <v>1.8671800000000001</v>
      </c>
      <c r="EO45">
        <v>1.86328</v>
      </c>
      <c r="EP45">
        <v>1.86432</v>
      </c>
      <c r="EQ45">
        <v>1.87012</v>
      </c>
      <c r="ER45">
        <v>1.8693500000000001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-0.65100000000000002</v>
      </c>
      <c r="FG45">
        <v>0.2112</v>
      </c>
      <c r="FH45">
        <v>-0.150361779349652</v>
      </c>
      <c r="FI45">
        <v>-6.1462078757559423E-4</v>
      </c>
      <c r="FJ45">
        <v>-1.8861989874597051E-7</v>
      </c>
      <c r="FK45">
        <v>1.1980462299894961E-10</v>
      </c>
      <c r="FL45">
        <v>0.21114761904761539</v>
      </c>
      <c r="FM45">
        <v>0</v>
      </c>
      <c r="FN45">
        <v>0</v>
      </c>
      <c r="FO45">
        <v>0</v>
      </c>
      <c r="FP45">
        <v>3</v>
      </c>
      <c r="FQ45">
        <v>2158</v>
      </c>
      <c r="FR45">
        <v>1</v>
      </c>
      <c r="FS45">
        <v>19</v>
      </c>
      <c r="FT45">
        <v>13.9</v>
      </c>
      <c r="FU45">
        <v>14.1</v>
      </c>
      <c r="FV45">
        <v>1.79077</v>
      </c>
      <c r="FW45">
        <v>2.5720200000000002</v>
      </c>
      <c r="FX45">
        <v>1.5490699999999999</v>
      </c>
      <c r="FY45">
        <v>2.33887</v>
      </c>
      <c r="FZ45">
        <v>1.50146</v>
      </c>
      <c r="GA45">
        <v>2.32178</v>
      </c>
      <c r="GB45">
        <v>31.7392</v>
      </c>
      <c r="GC45">
        <v>23.982399999999998</v>
      </c>
      <c r="GD45">
        <v>19</v>
      </c>
      <c r="GE45">
        <v>262.16899999999998</v>
      </c>
      <c r="GF45">
        <v>613.71500000000003</v>
      </c>
      <c r="GG45">
        <v>25.083100000000002</v>
      </c>
      <c r="GH45">
        <v>25.699200000000001</v>
      </c>
      <c r="GI45">
        <v>30</v>
      </c>
      <c r="GJ45">
        <v>25.744299999999999</v>
      </c>
      <c r="GK45">
        <v>25.6919</v>
      </c>
      <c r="GL45">
        <v>35.809699999999999</v>
      </c>
      <c r="GM45">
        <v>18.602699999999999</v>
      </c>
      <c r="GN45">
        <v>100</v>
      </c>
      <c r="GO45">
        <v>25.097799999999999</v>
      </c>
      <c r="GP45">
        <v>800</v>
      </c>
      <c r="GQ45">
        <v>19.7255</v>
      </c>
      <c r="GR45">
        <v>99.758399999999995</v>
      </c>
      <c r="GS45">
        <v>99.511799999999994</v>
      </c>
    </row>
    <row r="46" spans="1:201" x14ac:dyDescent="0.25">
      <c r="A46">
        <v>30</v>
      </c>
      <c r="B46">
        <v>1690377056</v>
      </c>
      <c r="C46">
        <v>339.5</v>
      </c>
      <c r="D46" t="s">
        <v>393</v>
      </c>
      <c r="E46" t="s">
        <v>394</v>
      </c>
      <c r="F46" t="s">
        <v>330</v>
      </c>
      <c r="H46">
        <v>1690377056</v>
      </c>
      <c r="I46">
        <f t="shared" si="0"/>
        <v>4.8822299490317597E-4</v>
      </c>
      <c r="J46">
        <f t="shared" si="1"/>
        <v>0.488222994903176</v>
      </c>
      <c r="K46">
        <f t="shared" si="2"/>
        <v>6.421495685279206</v>
      </c>
      <c r="L46">
        <f t="shared" si="3"/>
        <v>722.28099999999995</v>
      </c>
      <c r="M46">
        <f t="shared" si="4"/>
        <v>359.11898231066419</v>
      </c>
      <c r="N46">
        <f t="shared" si="5"/>
        <v>35.464224458026749</v>
      </c>
      <c r="O46">
        <f t="shared" si="6"/>
        <v>71.327712450490992</v>
      </c>
      <c r="P46">
        <f t="shared" si="7"/>
        <v>2.9661631969362029E-2</v>
      </c>
      <c r="Q46">
        <f t="shared" si="8"/>
        <v>2.0055632107012693</v>
      </c>
      <c r="R46">
        <f t="shared" si="9"/>
        <v>2.9420060276801413E-2</v>
      </c>
      <c r="S46">
        <f t="shared" si="10"/>
        <v>1.8409077845867202E-2</v>
      </c>
      <c r="T46">
        <f t="shared" si="11"/>
        <v>276.11426669532966</v>
      </c>
      <c r="U46">
        <f t="shared" si="12"/>
        <v>29.214919311169417</v>
      </c>
      <c r="V46">
        <f t="shared" si="13"/>
        <v>29.214919311169417</v>
      </c>
      <c r="W46">
        <f t="shared" si="14"/>
        <v>4.072061214864183</v>
      </c>
      <c r="X46">
        <f t="shared" si="15"/>
        <v>69.141322154314778</v>
      </c>
      <c r="Y46">
        <f t="shared" si="16"/>
        <v>2.4876873011598999</v>
      </c>
      <c r="Z46">
        <f t="shared" si="17"/>
        <v>3.5979747329790617</v>
      </c>
      <c r="AA46">
        <f t="shared" si="18"/>
        <v>1.5843739137042832</v>
      </c>
      <c r="AB46">
        <f t="shared" si="19"/>
        <v>-21.530634075230061</v>
      </c>
      <c r="AC46">
        <f t="shared" si="20"/>
        <v>-229.83030046126942</v>
      </c>
      <c r="AD46">
        <f t="shared" si="21"/>
        <v>-25.017578823881649</v>
      </c>
      <c r="AE46">
        <f t="shared" si="22"/>
        <v>-0.26424666505147343</v>
      </c>
      <c r="AF46">
        <v>15</v>
      </c>
      <c r="AG46">
        <v>5</v>
      </c>
      <c r="AH46">
        <f t="shared" si="23"/>
        <v>1</v>
      </c>
      <c r="AI46">
        <f t="shared" si="24"/>
        <v>0</v>
      </c>
      <c r="AJ46">
        <f t="shared" si="25"/>
        <v>52065.152844472053</v>
      </c>
      <c r="AK46">
        <f t="shared" si="26"/>
        <v>1799.99</v>
      </c>
      <c r="AL46">
        <f t="shared" si="27"/>
        <v>1499.1005378174098</v>
      </c>
      <c r="AM46">
        <f t="shared" si="28"/>
        <v>0.83283825899999986</v>
      </c>
      <c r="AN46">
        <f t="shared" si="29"/>
        <v>0.15339766704000002</v>
      </c>
      <c r="AO46">
        <v>34.5</v>
      </c>
      <c r="AP46">
        <v>0.5</v>
      </c>
      <c r="AQ46" t="s">
        <v>331</v>
      </c>
      <c r="AR46">
        <v>2</v>
      </c>
      <c r="AS46">
        <v>1690377056</v>
      </c>
      <c r="AT46">
        <v>722.28099999999995</v>
      </c>
      <c r="AU46">
        <v>800.12900000000002</v>
      </c>
      <c r="AV46">
        <v>25.190899999999999</v>
      </c>
      <c r="AW46">
        <v>19.721599999999999</v>
      </c>
      <c r="AX46">
        <v>722.92899999999997</v>
      </c>
      <c r="AY46">
        <v>24.979700000000001</v>
      </c>
      <c r="AZ46">
        <v>300.20999999999998</v>
      </c>
      <c r="BA46">
        <v>98.653400000000005</v>
      </c>
      <c r="BB46">
        <v>0.100011</v>
      </c>
      <c r="BC46">
        <v>27.089300000000001</v>
      </c>
      <c r="BD46">
        <v>26.976500000000001</v>
      </c>
      <c r="BE46">
        <v>29.133199999999999</v>
      </c>
      <c r="BF46">
        <v>0</v>
      </c>
      <c r="BG46">
        <v>0</v>
      </c>
      <c r="BH46">
        <v>9983.1200000000008</v>
      </c>
      <c r="BI46">
        <v>1084.33</v>
      </c>
      <c r="BJ46">
        <v>1.3441799999999999</v>
      </c>
      <c r="BK46">
        <v>-77.848200000000006</v>
      </c>
      <c r="BL46">
        <v>740.94600000000003</v>
      </c>
      <c r="BM46">
        <v>816.226</v>
      </c>
      <c r="BN46">
        <v>5.4693100000000001</v>
      </c>
      <c r="BO46">
        <v>800.12900000000002</v>
      </c>
      <c r="BP46">
        <v>19.721599999999999</v>
      </c>
      <c r="BQ46">
        <v>2.4851700000000001</v>
      </c>
      <c r="BR46">
        <v>1.9456</v>
      </c>
      <c r="BS46">
        <v>20.9297</v>
      </c>
      <c r="BT46">
        <v>17.008400000000002</v>
      </c>
      <c r="BU46">
        <v>1799.99</v>
      </c>
      <c r="BV46">
        <v>0.90998299999999999</v>
      </c>
      <c r="BW46">
        <v>3.40062E-2</v>
      </c>
      <c r="BX46">
        <v>2.20027E-2</v>
      </c>
      <c r="BY46">
        <v>3.4007799999999998E-2</v>
      </c>
      <c r="BZ46">
        <v>25</v>
      </c>
      <c r="CA46">
        <v>33528</v>
      </c>
      <c r="CB46">
        <v>1690376213.5999999</v>
      </c>
      <c r="CC46" t="s">
        <v>332</v>
      </c>
      <c r="CD46">
        <v>1690376213.5999999</v>
      </c>
      <c r="CE46">
        <v>1690376198.0999999</v>
      </c>
      <c r="CF46">
        <v>2</v>
      </c>
      <c r="CG46">
        <v>0.66900000000000004</v>
      </c>
      <c r="CH46">
        <v>-2.1000000000000001E-2</v>
      </c>
      <c r="CI46">
        <v>-0.70099999999999996</v>
      </c>
      <c r="CJ46">
        <v>0.21099999999999999</v>
      </c>
      <c r="CK46">
        <v>799</v>
      </c>
      <c r="CL46">
        <v>21</v>
      </c>
      <c r="CM46">
        <v>0.11</v>
      </c>
      <c r="CN46">
        <v>0.17</v>
      </c>
      <c r="CO46">
        <v>-74.467495121951217</v>
      </c>
      <c r="CP46">
        <v>-20.12390383275272</v>
      </c>
      <c r="CQ46">
        <v>1.98477012737314</v>
      </c>
      <c r="CR46">
        <v>-1</v>
      </c>
      <c r="CS46">
        <v>5.2758158536585356</v>
      </c>
      <c r="CT46">
        <v>1.102337979094081</v>
      </c>
      <c r="CU46">
        <v>0.1087681780932948</v>
      </c>
      <c r="CV46">
        <v>-1</v>
      </c>
      <c r="CW46">
        <v>0</v>
      </c>
      <c r="CX46">
        <v>0</v>
      </c>
      <c r="CY46" t="s">
        <v>333</v>
      </c>
      <c r="CZ46">
        <v>2.3651800000000001</v>
      </c>
      <c r="DA46">
        <v>2.7137899999999999</v>
      </c>
      <c r="DB46">
        <v>0.136709</v>
      </c>
      <c r="DC46">
        <v>0.145977</v>
      </c>
      <c r="DD46">
        <v>0.117451</v>
      </c>
      <c r="DE46">
        <v>9.7453499999999998E-2</v>
      </c>
      <c r="DF46">
        <v>31532.2</v>
      </c>
      <c r="DG46">
        <v>27515.9</v>
      </c>
      <c r="DH46">
        <v>31179.5</v>
      </c>
      <c r="DI46">
        <v>28072.1</v>
      </c>
      <c r="DJ46">
        <v>37353.4</v>
      </c>
      <c r="DK46">
        <v>36012.699999999997</v>
      </c>
      <c r="DL46">
        <v>44369.5</v>
      </c>
      <c r="DM46">
        <v>42532.3</v>
      </c>
      <c r="DN46">
        <v>1.43285</v>
      </c>
      <c r="DO46">
        <v>2.0812200000000001</v>
      </c>
      <c r="DP46">
        <v>9.1500600000000001E-2</v>
      </c>
      <c r="DQ46">
        <v>0.22628899999999999</v>
      </c>
      <c r="DR46">
        <v>25.478200000000001</v>
      </c>
      <c r="DS46">
        <v>25.434200000000001</v>
      </c>
      <c r="DT46">
        <v>61.7</v>
      </c>
      <c r="DU46">
        <v>26.6</v>
      </c>
      <c r="DV46">
        <v>21.865100000000002</v>
      </c>
      <c r="DW46">
        <v>61.690199999999997</v>
      </c>
      <c r="DX46">
        <v>36.454300000000003</v>
      </c>
      <c r="DY46">
        <v>1</v>
      </c>
      <c r="DZ46">
        <v>-0.140704</v>
      </c>
      <c r="EA46">
        <v>-0.12782099999999999</v>
      </c>
      <c r="EB46">
        <v>20.191099999999999</v>
      </c>
      <c r="EC46">
        <v>5.2413999999999996</v>
      </c>
      <c r="ED46">
        <v>12.039899999999999</v>
      </c>
      <c r="EE46">
        <v>5.0173500000000004</v>
      </c>
      <c r="EF46">
        <v>3.2879999999999998</v>
      </c>
      <c r="EG46">
        <v>9999</v>
      </c>
      <c r="EH46">
        <v>9999</v>
      </c>
      <c r="EI46">
        <v>9999</v>
      </c>
      <c r="EJ46">
        <v>999.9</v>
      </c>
      <c r="EK46">
        <v>1.8688400000000001</v>
      </c>
      <c r="EL46">
        <v>1.8644700000000001</v>
      </c>
      <c r="EM46">
        <v>1.86913</v>
      </c>
      <c r="EN46">
        <v>1.8671199999999999</v>
      </c>
      <c r="EO46">
        <v>1.8632599999999999</v>
      </c>
      <c r="EP46">
        <v>1.86432</v>
      </c>
      <c r="EQ46">
        <v>1.87012</v>
      </c>
      <c r="ER46">
        <v>1.8693500000000001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-0.64800000000000002</v>
      </c>
      <c r="FG46">
        <v>0.2112</v>
      </c>
      <c r="FH46">
        <v>-0.150361779349652</v>
      </c>
      <c r="FI46">
        <v>-6.1462078757559423E-4</v>
      </c>
      <c r="FJ46">
        <v>-1.8861989874597051E-7</v>
      </c>
      <c r="FK46">
        <v>1.1980462299894961E-10</v>
      </c>
      <c r="FL46">
        <v>0.21114761904761539</v>
      </c>
      <c r="FM46">
        <v>0</v>
      </c>
      <c r="FN46">
        <v>0</v>
      </c>
      <c r="FO46">
        <v>0</v>
      </c>
      <c r="FP46">
        <v>3</v>
      </c>
      <c r="FQ46">
        <v>2158</v>
      </c>
      <c r="FR46">
        <v>1</v>
      </c>
      <c r="FS46">
        <v>19</v>
      </c>
      <c r="FT46">
        <v>14</v>
      </c>
      <c r="FU46">
        <v>14.3</v>
      </c>
      <c r="FV46">
        <v>1.79077</v>
      </c>
      <c r="FW46">
        <v>2.5708000000000002</v>
      </c>
      <c r="FX46">
        <v>1.5490699999999999</v>
      </c>
      <c r="FY46">
        <v>2.33765</v>
      </c>
      <c r="FZ46">
        <v>1.50146</v>
      </c>
      <c r="GA46">
        <v>2.2961399999999998</v>
      </c>
      <c r="GB46">
        <v>31.7392</v>
      </c>
      <c r="GC46">
        <v>23.982399999999998</v>
      </c>
      <c r="GD46">
        <v>19</v>
      </c>
      <c r="GE46">
        <v>262.37299999999999</v>
      </c>
      <c r="GF46">
        <v>613.37699999999995</v>
      </c>
      <c r="GG46">
        <v>25.109200000000001</v>
      </c>
      <c r="GH46">
        <v>25.699200000000001</v>
      </c>
      <c r="GI46">
        <v>30.0001</v>
      </c>
      <c r="GJ46">
        <v>25.745200000000001</v>
      </c>
      <c r="GK46">
        <v>25.693999999999999</v>
      </c>
      <c r="GL46">
        <v>35.796900000000001</v>
      </c>
      <c r="GM46">
        <v>19.8066</v>
      </c>
      <c r="GN46">
        <v>100</v>
      </c>
      <c r="GO46">
        <v>25.122800000000002</v>
      </c>
      <c r="GP46">
        <v>800</v>
      </c>
      <c r="GQ46">
        <v>19.514199999999999</v>
      </c>
      <c r="GR46">
        <v>99.758700000000005</v>
      </c>
      <c r="GS46">
        <v>99.512</v>
      </c>
    </row>
    <row r="47" spans="1:201" x14ac:dyDescent="0.25">
      <c r="A47">
        <v>31</v>
      </c>
      <c r="B47">
        <v>1690377066</v>
      </c>
      <c r="C47">
        <v>349.5</v>
      </c>
      <c r="D47" t="s">
        <v>395</v>
      </c>
      <c r="E47" t="s">
        <v>396</v>
      </c>
      <c r="F47" t="s">
        <v>330</v>
      </c>
      <c r="H47">
        <v>1690377066</v>
      </c>
      <c r="I47">
        <f t="shared" si="0"/>
        <v>5.0056553416464819E-4</v>
      </c>
      <c r="J47">
        <f t="shared" si="1"/>
        <v>0.50056553416464822</v>
      </c>
      <c r="K47">
        <f t="shared" si="2"/>
        <v>6.6853698700547337</v>
      </c>
      <c r="L47">
        <f t="shared" si="3"/>
        <v>719.173</v>
      </c>
      <c r="M47">
        <f t="shared" si="4"/>
        <v>349.48968471612244</v>
      </c>
      <c r="N47">
        <f t="shared" si="5"/>
        <v>34.513271005142443</v>
      </c>
      <c r="O47">
        <f t="shared" si="6"/>
        <v>71.020730322105194</v>
      </c>
      <c r="P47">
        <f t="shared" si="7"/>
        <v>3.0308381350418013E-2</v>
      </c>
      <c r="Q47">
        <f t="shared" si="8"/>
        <v>2.0046464829930404</v>
      </c>
      <c r="R47">
        <f t="shared" si="9"/>
        <v>3.0056094271116905E-2</v>
      </c>
      <c r="S47">
        <f t="shared" si="10"/>
        <v>1.8807550777681353E-2</v>
      </c>
      <c r="T47">
        <f t="shared" si="11"/>
        <v>276.11401275274039</v>
      </c>
      <c r="U47">
        <f t="shared" si="12"/>
        <v>29.207755406995929</v>
      </c>
      <c r="V47">
        <f t="shared" si="13"/>
        <v>29.207755406995929</v>
      </c>
      <c r="W47">
        <f t="shared" si="14"/>
        <v>4.0703761595713921</v>
      </c>
      <c r="X47">
        <f t="shared" si="15"/>
        <v>68.948754446439224</v>
      </c>
      <c r="Y47">
        <f t="shared" si="16"/>
        <v>2.48024919522544</v>
      </c>
      <c r="Z47">
        <f t="shared" si="17"/>
        <v>3.5972356790754612</v>
      </c>
      <c r="AA47">
        <f t="shared" si="18"/>
        <v>1.5901269643459521</v>
      </c>
      <c r="AB47">
        <f t="shared" si="19"/>
        <v>-22.074940056660985</v>
      </c>
      <c r="AC47">
        <f t="shared" si="20"/>
        <v>-229.32927216088689</v>
      </c>
      <c r="AD47">
        <f t="shared" si="21"/>
        <v>-24.973128758767206</v>
      </c>
      <c r="AE47">
        <f t="shared" si="22"/>
        <v>-0.26332822357468899</v>
      </c>
      <c r="AF47">
        <v>16</v>
      </c>
      <c r="AG47">
        <v>5</v>
      </c>
      <c r="AH47">
        <f t="shared" si="23"/>
        <v>1</v>
      </c>
      <c r="AI47">
        <f t="shared" si="24"/>
        <v>0</v>
      </c>
      <c r="AJ47">
        <f t="shared" si="25"/>
        <v>52022.016630581267</v>
      </c>
      <c r="AK47">
        <f t="shared" si="26"/>
        <v>1799.99</v>
      </c>
      <c r="AL47">
        <f t="shared" si="27"/>
        <v>1499.1021074086898</v>
      </c>
      <c r="AM47">
        <f t="shared" si="28"/>
        <v>0.83283913099999984</v>
      </c>
      <c r="AN47">
        <f t="shared" si="29"/>
        <v>0.15339752596</v>
      </c>
      <c r="AO47">
        <v>34.5</v>
      </c>
      <c r="AP47">
        <v>0.5</v>
      </c>
      <c r="AQ47" t="s">
        <v>331</v>
      </c>
      <c r="AR47">
        <v>2</v>
      </c>
      <c r="AS47">
        <v>1690377066</v>
      </c>
      <c r="AT47">
        <v>719.173</v>
      </c>
      <c r="AU47">
        <v>800.13800000000003</v>
      </c>
      <c r="AV47">
        <v>25.115600000000001</v>
      </c>
      <c r="AW47">
        <v>19.5076</v>
      </c>
      <c r="AX47">
        <v>719.81899999999996</v>
      </c>
      <c r="AY47">
        <v>24.904499999999999</v>
      </c>
      <c r="AZ47">
        <v>300.20999999999998</v>
      </c>
      <c r="BA47">
        <v>98.653400000000005</v>
      </c>
      <c r="BB47">
        <v>9.9932400000000005E-2</v>
      </c>
      <c r="BC47">
        <v>27.085799999999999</v>
      </c>
      <c r="BD47">
        <v>26.9923</v>
      </c>
      <c r="BE47">
        <v>29.098500000000001</v>
      </c>
      <c r="BF47">
        <v>0</v>
      </c>
      <c r="BG47">
        <v>0</v>
      </c>
      <c r="BH47">
        <v>9974.3799999999992</v>
      </c>
      <c r="BI47">
        <v>1084.25</v>
      </c>
      <c r="BJ47">
        <v>1.3455900000000001</v>
      </c>
      <c r="BK47">
        <v>-80.965000000000003</v>
      </c>
      <c r="BL47">
        <v>737.70100000000002</v>
      </c>
      <c r="BM47">
        <v>816.05700000000002</v>
      </c>
      <c r="BN47">
        <v>5.6080800000000002</v>
      </c>
      <c r="BO47">
        <v>800.13800000000003</v>
      </c>
      <c r="BP47">
        <v>19.5076</v>
      </c>
      <c r="BQ47">
        <v>2.4777399999999998</v>
      </c>
      <c r="BR47">
        <v>1.92449</v>
      </c>
      <c r="BS47">
        <v>20.881</v>
      </c>
      <c r="BT47">
        <v>16.836400000000001</v>
      </c>
      <c r="BU47">
        <v>1799.99</v>
      </c>
      <c r="BV47">
        <v>0.90999099999999999</v>
      </c>
      <c r="BW47">
        <v>3.4004899999999998E-2</v>
      </c>
      <c r="BX47">
        <v>2.20003E-2</v>
      </c>
      <c r="BY47">
        <v>3.4004E-2</v>
      </c>
      <c r="BZ47">
        <v>25</v>
      </c>
      <c r="CA47">
        <v>33528.1</v>
      </c>
      <c r="CB47">
        <v>1690376213.5999999</v>
      </c>
      <c r="CC47" t="s">
        <v>332</v>
      </c>
      <c r="CD47">
        <v>1690376213.5999999</v>
      </c>
      <c r="CE47">
        <v>1690376198.0999999</v>
      </c>
      <c r="CF47">
        <v>2</v>
      </c>
      <c r="CG47">
        <v>0.66900000000000004</v>
      </c>
      <c r="CH47">
        <v>-2.1000000000000001E-2</v>
      </c>
      <c r="CI47">
        <v>-0.70099999999999996</v>
      </c>
      <c r="CJ47">
        <v>0.21099999999999999</v>
      </c>
      <c r="CK47">
        <v>799</v>
      </c>
      <c r="CL47">
        <v>21</v>
      </c>
      <c r="CM47">
        <v>0.11</v>
      </c>
      <c r="CN47">
        <v>0.17</v>
      </c>
      <c r="CO47">
        <v>-77.394904878048777</v>
      </c>
      <c r="CP47">
        <v>-18.904965156794511</v>
      </c>
      <c r="CQ47">
        <v>1.864676467451897</v>
      </c>
      <c r="CR47">
        <v>-1</v>
      </c>
      <c r="CS47">
        <v>5.4334463414634149</v>
      </c>
      <c r="CT47">
        <v>1.0060143554007031</v>
      </c>
      <c r="CU47">
        <v>9.9382240445078526E-2</v>
      </c>
      <c r="CV47">
        <v>-1</v>
      </c>
      <c r="CW47">
        <v>0</v>
      </c>
      <c r="CX47">
        <v>0</v>
      </c>
      <c r="CY47" t="s">
        <v>333</v>
      </c>
      <c r="CZ47">
        <v>2.36517</v>
      </c>
      <c r="DA47">
        <v>2.7136999999999998</v>
      </c>
      <c r="DB47">
        <v>0.13630800000000001</v>
      </c>
      <c r="DC47">
        <v>0.14597299999999999</v>
      </c>
      <c r="DD47">
        <v>0.117204</v>
      </c>
      <c r="DE47">
        <v>9.6700300000000003E-2</v>
      </c>
      <c r="DF47">
        <v>31546.7</v>
      </c>
      <c r="DG47">
        <v>27516</v>
      </c>
      <c r="DH47">
        <v>31179.4</v>
      </c>
      <c r="DI47">
        <v>28072.1</v>
      </c>
      <c r="DJ47">
        <v>37363.9</v>
      </c>
      <c r="DK47">
        <v>36042.6</v>
      </c>
      <c r="DL47">
        <v>44369.5</v>
      </c>
      <c r="DM47">
        <v>42532.1</v>
      </c>
      <c r="DN47">
        <v>1.43268</v>
      </c>
      <c r="DO47">
        <v>2.0810200000000001</v>
      </c>
      <c r="DP47">
        <v>9.2696399999999998E-2</v>
      </c>
      <c r="DQ47">
        <v>0.224546</v>
      </c>
      <c r="DR47">
        <v>25.474499999999999</v>
      </c>
      <c r="DS47">
        <v>25.427800000000001</v>
      </c>
      <c r="DT47">
        <v>61.7</v>
      </c>
      <c r="DU47">
        <v>26.6</v>
      </c>
      <c r="DV47">
        <v>21.862400000000001</v>
      </c>
      <c r="DW47">
        <v>61.920200000000001</v>
      </c>
      <c r="DX47">
        <v>36.149799999999999</v>
      </c>
      <c r="DY47">
        <v>1</v>
      </c>
      <c r="DZ47">
        <v>-0.140379</v>
      </c>
      <c r="EA47">
        <v>-0.17193600000000001</v>
      </c>
      <c r="EB47">
        <v>20.190899999999999</v>
      </c>
      <c r="EC47">
        <v>5.2411000000000003</v>
      </c>
      <c r="ED47">
        <v>12.039899999999999</v>
      </c>
      <c r="EE47">
        <v>5.0171000000000001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1.8688100000000001</v>
      </c>
      <c r="EL47">
        <v>1.8644799999999999</v>
      </c>
      <c r="EM47">
        <v>1.8691199999999999</v>
      </c>
      <c r="EN47">
        <v>1.86713</v>
      </c>
      <c r="EO47">
        <v>1.8632599999999999</v>
      </c>
      <c r="EP47">
        <v>1.86432</v>
      </c>
      <c r="EQ47">
        <v>1.8701099999999999</v>
      </c>
      <c r="ER47">
        <v>1.8693500000000001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-0.64600000000000002</v>
      </c>
      <c r="FG47">
        <v>0.21110000000000001</v>
      </c>
      <c r="FH47">
        <v>-0.150361779349652</v>
      </c>
      <c r="FI47">
        <v>-6.1462078757559423E-4</v>
      </c>
      <c r="FJ47">
        <v>-1.8861989874597051E-7</v>
      </c>
      <c r="FK47">
        <v>1.1980462299894961E-10</v>
      </c>
      <c r="FL47">
        <v>0.21114761904761539</v>
      </c>
      <c r="FM47">
        <v>0</v>
      </c>
      <c r="FN47">
        <v>0</v>
      </c>
      <c r="FO47">
        <v>0</v>
      </c>
      <c r="FP47">
        <v>3</v>
      </c>
      <c r="FQ47">
        <v>2158</v>
      </c>
      <c r="FR47">
        <v>1</v>
      </c>
      <c r="FS47">
        <v>19</v>
      </c>
      <c r="FT47">
        <v>14.2</v>
      </c>
      <c r="FU47">
        <v>14.5</v>
      </c>
      <c r="FV47">
        <v>1.78955</v>
      </c>
      <c r="FW47">
        <v>2.5744600000000002</v>
      </c>
      <c r="FX47">
        <v>1.5490699999999999</v>
      </c>
      <c r="FY47">
        <v>2.33887</v>
      </c>
      <c r="FZ47">
        <v>1.50146</v>
      </c>
      <c r="GA47">
        <v>2.2790499999999998</v>
      </c>
      <c r="GB47">
        <v>31.761099999999999</v>
      </c>
      <c r="GC47">
        <v>23.982399999999998</v>
      </c>
      <c r="GD47">
        <v>19</v>
      </c>
      <c r="GE47">
        <v>262.30399999999997</v>
      </c>
      <c r="GF47">
        <v>613.23099999999999</v>
      </c>
      <c r="GG47">
        <v>25.136600000000001</v>
      </c>
      <c r="GH47">
        <v>25.699200000000001</v>
      </c>
      <c r="GI47">
        <v>30.000299999999999</v>
      </c>
      <c r="GJ47">
        <v>25.745200000000001</v>
      </c>
      <c r="GK47">
        <v>25.696200000000001</v>
      </c>
      <c r="GL47">
        <v>35.784300000000002</v>
      </c>
      <c r="GM47">
        <v>20.665700000000001</v>
      </c>
      <c r="GN47">
        <v>100</v>
      </c>
      <c r="GO47">
        <v>25.146699999999999</v>
      </c>
      <c r="GP47">
        <v>800</v>
      </c>
      <c r="GQ47">
        <v>19.322500000000002</v>
      </c>
      <c r="GR47">
        <v>99.758600000000001</v>
      </c>
      <c r="GS47">
        <v>99.511700000000005</v>
      </c>
    </row>
    <row r="48" spans="1:201" x14ac:dyDescent="0.25">
      <c r="A48">
        <v>32</v>
      </c>
      <c r="B48">
        <v>1690377076</v>
      </c>
      <c r="C48">
        <v>359.5</v>
      </c>
      <c r="D48" t="s">
        <v>397</v>
      </c>
      <c r="E48" t="s">
        <v>398</v>
      </c>
      <c r="F48" t="s">
        <v>330</v>
      </c>
      <c r="H48">
        <v>1690377076</v>
      </c>
      <c r="I48">
        <f t="shared" si="0"/>
        <v>5.1174460034220451E-4</v>
      </c>
      <c r="J48">
        <f t="shared" si="1"/>
        <v>0.51174460034220448</v>
      </c>
      <c r="K48">
        <f t="shared" si="2"/>
        <v>6.9365476323155466</v>
      </c>
      <c r="L48">
        <f t="shared" si="3"/>
        <v>716.22500000000002</v>
      </c>
      <c r="M48">
        <f t="shared" si="4"/>
        <v>340.38688972487847</v>
      </c>
      <c r="N48">
        <f t="shared" si="5"/>
        <v>33.615526798919674</v>
      </c>
      <c r="O48">
        <f t="shared" si="6"/>
        <v>70.732103404500009</v>
      </c>
      <c r="P48">
        <f t="shared" si="7"/>
        <v>3.0904671870962939E-2</v>
      </c>
      <c r="Q48">
        <f t="shared" si="8"/>
        <v>2.0144080897110479</v>
      </c>
      <c r="R48">
        <f t="shared" si="9"/>
        <v>3.0643665763283468E-2</v>
      </c>
      <c r="S48">
        <f t="shared" si="10"/>
        <v>1.9175557640101957E-2</v>
      </c>
      <c r="T48">
        <f t="shared" si="11"/>
        <v>276.1135379153784</v>
      </c>
      <c r="U48">
        <f t="shared" si="12"/>
        <v>29.197558044313944</v>
      </c>
      <c r="V48">
        <f t="shared" si="13"/>
        <v>29.197558044313944</v>
      </c>
      <c r="W48">
        <f t="shared" si="14"/>
        <v>4.0679786389712289</v>
      </c>
      <c r="X48">
        <f t="shared" si="15"/>
        <v>68.744729125867607</v>
      </c>
      <c r="Y48">
        <f t="shared" si="16"/>
        <v>2.4733744325820002</v>
      </c>
      <c r="Z48">
        <f t="shared" si="17"/>
        <v>3.5979113803087288</v>
      </c>
      <c r="AA48">
        <f t="shared" si="18"/>
        <v>1.5946042063892287</v>
      </c>
      <c r="AB48">
        <f t="shared" si="19"/>
        <v>-22.56793687509122</v>
      </c>
      <c r="AC48">
        <f t="shared" si="20"/>
        <v>-228.99102495130708</v>
      </c>
      <c r="AD48">
        <f t="shared" si="21"/>
        <v>-24.814587468048323</v>
      </c>
      <c r="AE48">
        <f t="shared" si="22"/>
        <v>-0.26001137906823146</v>
      </c>
      <c r="AF48">
        <v>15</v>
      </c>
      <c r="AG48">
        <v>5</v>
      </c>
      <c r="AH48">
        <f t="shared" si="23"/>
        <v>1</v>
      </c>
      <c r="AI48">
        <f t="shared" si="24"/>
        <v>0</v>
      </c>
      <c r="AJ48">
        <f t="shared" si="25"/>
        <v>52488.755534484662</v>
      </c>
      <c r="AK48">
        <f t="shared" si="26"/>
        <v>1799.99</v>
      </c>
      <c r="AL48">
        <f t="shared" si="27"/>
        <v>1499.1033944015398</v>
      </c>
      <c r="AM48">
        <f t="shared" si="28"/>
        <v>0.83283984599999994</v>
      </c>
      <c r="AN48">
        <f t="shared" si="29"/>
        <v>0.15339726215999999</v>
      </c>
      <c r="AO48">
        <v>34.5</v>
      </c>
      <c r="AP48">
        <v>0.5</v>
      </c>
      <c r="AQ48" t="s">
        <v>331</v>
      </c>
      <c r="AR48">
        <v>2</v>
      </c>
      <c r="AS48">
        <v>1690377076</v>
      </c>
      <c r="AT48">
        <v>716.22500000000002</v>
      </c>
      <c r="AU48">
        <v>800.12</v>
      </c>
      <c r="AV48">
        <v>25.045100000000001</v>
      </c>
      <c r="AW48">
        <v>19.313600000000001</v>
      </c>
      <c r="AX48">
        <v>716.86900000000003</v>
      </c>
      <c r="AY48">
        <v>24.834</v>
      </c>
      <c r="AZ48">
        <v>300.32299999999998</v>
      </c>
      <c r="BA48">
        <v>98.656800000000004</v>
      </c>
      <c r="BB48">
        <v>0.10002</v>
      </c>
      <c r="BC48">
        <v>27.088999999999999</v>
      </c>
      <c r="BD48">
        <v>26.978000000000002</v>
      </c>
      <c r="BE48">
        <v>29.119</v>
      </c>
      <c r="BF48">
        <v>0</v>
      </c>
      <c r="BG48">
        <v>0</v>
      </c>
      <c r="BH48">
        <v>10067.5</v>
      </c>
      <c r="BI48">
        <v>1084.04</v>
      </c>
      <c r="BJ48">
        <v>1.3161499999999999</v>
      </c>
      <c r="BK48">
        <v>-83.894199999999998</v>
      </c>
      <c r="BL48">
        <v>734.62400000000002</v>
      </c>
      <c r="BM48">
        <v>815.87699999999995</v>
      </c>
      <c r="BN48">
        <v>5.7314999999999996</v>
      </c>
      <c r="BO48">
        <v>800.12</v>
      </c>
      <c r="BP48">
        <v>19.313600000000001</v>
      </c>
      <c r="BQ48">
        <v>2.4708700000000001</v>
      </c>
      <c r="BR48">
        <v>1.9054199999999999</v>
      </c>
      <c r="BS48">
        <v>20.835899999999999</v>
      </c>
      <c r="BT48">
        <v>16.679500000000001</v>
      </c>
      <c r="BU48">
        <v>1799.99</v>
      </c>
      <c r="BV48">
        <v>0.91000099999999995</v>
      </c>
      <c r="BW48">
        <v>3.4001099999999999E-2</v>
      </c>
      <c r="BX48">
        <v>2.1997800000000001E-2</v>
      </c>
      <c r="BY48">
        <v>3.4000200000000001E-2</v>
      </c>
      <c r="BZ48">
        <v>25</v>
      </c>
      <c r="CA48">
        <v>33528.199999999997</v>
      </c>
      <c r="CB48">
        <v>1690376213.5999999</v>
      </c>
      <c r="CC48" t="s">
        <v>332</v>
      </c>
      <c r="CD48">
        <v>1690376213.5999999</v>
      </c>
      <c r="CE48">
        <v>1690376198.0999999</v>
      </c>
      <c r="CF48">
        <v>2</v>
      </c>
      <c r="CG48">
        <v>0.66900000000000004</v>
      </c>
      <c r="CH48">
        <v>-2.1000000000000001E-2</v>
      </c>
      <c r="CI48">
        <v>-0.70099999999999996</v>
      </c>
      <c r="CJ48">
        <v>0.21099999999999999</v>
      </c>
      <c r="CK48">
        <v>799</v>
      </c>
      <c r="CL48">
        <v>21</v>
      </c>
      <c r="CM48">
        <v>0.11</v>
      </c>
      <c r="CN48">
        <v>0.17</v>
      </c>
      <c r="CO48">
        <v>-80.771697560975596</v>
      </c>
      <c r="CP48">
        <v>-18.032615331010579</v>
      </c>
      <c r="CQ48">
        <v>1.7782844992401969</v>
      </c>
      <c r="CR48">
        <v>-1</v>
      </c>
      <c r="CS48">
        <v>5.5983595121951213</v>
      </c>
      <c r="CT48">
        <v>0.78996815331009651</v>
      </c>
      <c r="CU48">
        <v>7.7948447220918315E-2</v>
      </c>
      <c r="CV48">
        <v>-1</v>
      </c>
      <c r="CW48">
        <v>0</v>
      </c>
      <c r="CX48">
        <v>0</v>
      </c>
      <c r="CY48" t="s">
        <v>333</v>
      </c>
      <c r="CZ48">
        <v>2.3655200000000001</v>
      </c>
      <c r="DA48">
        <v>2.71387</v>
      </c>
      <c r="DB48">
        <v>0.13593</v>
      </c>
      <c r="DC48">
        <v>0.14597099999999999</v>
      </c>
      <c r="DD48">
        <v>0.116976</v>
      </c>
      <c r="DE48">
        <v>9.60178E-2</v>
      </c>
      <c r="DF48">
        <v>31560.7</v>
      </c>
      <c r="DG48">
        <v>27516.2</v>
      </c>
      <c r="DH48">
        <v>31179.599999999999</v>
      </c>
      <c r="DI48">
        <v>28072.2</v>
      </c>
      <c r="DJ48">
        <v>37373.800000000003</v>
      </c>
      <c r="DK48">
        <v>36070.300000000003</v>
      </c>
      <c r="DL48">
        <v>44369.7</v>
      </c>
      <c r="DM48">
        <v>42532.5</v>
      </c>
      <c r="DN48">
        <v>1.43333</v>
      </c>
      <c r="DO48">
        <v>2.0802499999999999</v>
      </c>
      <c r="DP48">
        <v>9.1988600000000004E-2</v>
      </c>
      <c r="DQ48">
        <v>0.225961</v>
      </c>
      <c r="DR48">
        <v>25.471699999999998</v>
      </c>
      <c r="DS48">
        <v>25.4252</v>
      </c>
      <c r="DT48">
        <v>61.7</v>
      </c>
      <c r="DU48">
        <v>26.6</v>
      </c>
      <c r="DV48">
        <v>21.864000000000001</v>
      </c>
      <c r="DW48">
        <v>61.0702</v>
      </c>
      <c r="DX48">
        <v>35.813299999999998</v>
      </c>
      <c r="DY48">
        <v>1</v>
      </c>
      <c r="DZ48">
        <v>-0.14005100000000001</v>
      </c>
      <c r="EA48">
        <v>-0.168268</v>
      </c>
      <c r="EB48">
        <v>20.190799999999999</v>
      </c>
      <c r="EC48">
        <v>5.2416999999999998</v>
      </c>
      <c r="ED48">
        <v>12.039899999999999</v>
      </c>
      <c r="EE48">
        <v>5.0171999999999999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1.8688</v>
      </c>
      <c r="EL48">
        <v>1.8644799999999999</v>
      </c>
      <c r="EM48">
        <v>1.8691199999999999</v>
      </c>
      <c r="EN48">
        <v>1.86713</v>
      </c>
      <c r="EO48">
        <v>1.86327</v>
      </c>
      <c r="EP48">
        <v>1.86432</v>
      </c>
      <c r="EQ48">
        <v>1.8701000000000001</v>
      </c>
      <c r="ER48">
        <v>1.86934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-0.64400000000000002</v>
      </c>
      <c r="FG48">
        <v>0.21110000000000001</v>
      </c>
      <c r="FH48">
        <v>-0.150361779349652</v>
      </c>
      <c r="FI48">
        <v>-6.1462078757559423E-4</v>
      </c>
      <c r="FJ48">
        <v>-1.8861989874597051E-7</v>
      </c>
      <c r="FK48">
        <v>1.1980462299894961E-10</v>
      </c>
      <c r="FL48">
        <v>0.21114761904761539</v>
      </c>
      <c r="FM48">
        <v>0</v>
      </c>
      <c r="FN48">
        <v>0</v>
      </c>
      <c r="FO48">
        <v>0</v>
      </c>
      <c r="FP48">
        <v>3</v>
      </c>
      <c r="FQ48">
        <v>2158</v>
      </c>
      <c r="FR48">
        <v>1</v>
      </c>
      <c r="FS48">
        <v>19</v>
      </c>
      <c r="FT48">
        <v>14.4</v>
      </c>
      <c r="FU48">
        <v>14.6</v>
      </c>
      <c r="FV48">
        <v>1.78955</v>
      </c>
      <c r="FW48">
        <v>2.5610400000000002</v>
      </c>
      <c r="FX48">
        <v>1.5490699999999999</v>
      </c>
      <c r="FY48">
        <v>2.33887</v>
      </c>
      <c r="FZ48">
        <v>1.50024</v>
      </c>
      <c r="GA48">
        <v>2.34497</v>
      </c>
      <c r="GB48">
        <v>31.761099999999999</v>
      </c>
      <c r="GC48">
        <v>23.991199999999999</v>
      </c>
      <c r="GD48">
        <v>19</v>
      </c>
      <c r="GE48">
        <v>262.57400000000001</v>
      </c>
      <c r="GF48">
        <v>612.6</v>
      </c>
      <c r="GG48">
        <v>25.1584</v>
      </c>
      <c r="GH48">
        <v>25.698499999999999</v>
      </c>
      <c r="GI48">
        <v>30.0001</v>
      </c>
      <c r="GJ48">
        <v>25.747399999999999</v>
      </c>
      <c r="GK48">
        <v>25.698899999999998</v>
      </c>
      <c r="GL48">
        <v>35.7761</v>
      </c>
      <c r="GM48">
        <v>21.541399999999999</v>
      </c>
      <c r="GN48">
        <v>100</v>
      </c>
      <c r="GO48">
        <v>25.173500000000001</v>
      </c>
      <c r="GP48">
        <v>800</v>
      </c>
      <c r="GQ48">
        <v>19.1341</v>
      </c>
      <c r="GR48">
        <v>99.759</v>
      </c>
      <c r="GS48">
        <v>99.512500000000003</v>
      </c>
    </row>
    <row r="49" spans="1:201" x14ac:dyDescent="0.25">
      <c r="A49">
        <v>33</v>
      </c>
      <c r="B49">
        <v>1690377086</v>
      </c>
      <c r="C49">
        <v>369.5</v>
      </c>
      <c r="D49" t="s">
        <v>399</v>
      </c>
      <c r="E49" t="s">
        <v>400</v>
      </c>
      <c r="F49" t="s">
        <v>330</v>
      </c>
      <c r="H49">
        <v>1690377086</v>
      </c>
      <c r="I49">
        <f t="shared" si="0"/>
        <v>5.2065562410505309E-4</v>
      </c>
      <c r="J49">
        <f t="shared" si="1"/>
        <v>0.52065562410505306</v>
      </c>
      <c r="K49">
        <f t="shared" si="2"/>
        <v>7.1662385544784417</v>
      </c>
      <c r="L49">
        <f t="shared" si="3"/>
        <v>713.428</v>
      </c>
      <c r="M49">
        <f t="shared" si="4"/>
        <v>330.83641457270818</v>
      </c>
      <c r="N49">
        <f t="shared" si="5"/>
        <v>32.672470252751395</v>
      </c>
      <c r="O49">
        <f t="shared" si="6"/>
        <v>70.456135058727597</v>
      </c>
      <c r="P49">
        <f t="shared" si="7"/>
        <v>3.1337125063681449E-2</v>
      </c>
      <c r="Q49">
        <f t="shared" si="8"/>
        <v>2.0061936197343817</v>
      </c>
      <c r="R49">
        <f t="shared" si="9"/>
        <v>3.1067708989074603E-2</v>
      </c>
      <c r="S49">
        <f t="shared" si="10"/>
        <v>1.9441330933667417E-2</v>
      </c>
      <c r="T49">
        <f t="shared" si="11"/>
        <v>276.1130534660698</v>
      </c>
      <c r="U49">
        <f t="shared" si="12"/>
        <v>29.19258771972985</v>
      </c>
      <c r="V49">
        <f t="shared" si="13"/>
        <v>29.19258771972985</v>
      </c>
      <c r="W49">
        <f t="shared" si="14"/>
        <v>4.0668105032493598</v>
      </c>
      <c r="X49">
        <f t="shared" si="15"/>
        <v>68.592172918114912</v>
      </c>
      <c r="Y49">
        <f t="shared" si="16"/>
        <v>2.46650986667085</v>
      </c>
      <c r="Z49">
        <f t="shared" si="17"/>
        <v>3.5959057159704804</v>
      </c>
      <c r="AA49">
        <f t="shared" si="18"/>
        <v>1.6003006365785097</v>
      </c>
      <c r="AB49">
        <f t="shared" si="19"/>
        <v>-22.960913023032841</v>
      </c>
      <c r="AC49">
        <f t="shared" si="20"/>
        <v>-228.54715231518847</v>
      </c>
      <c r="AD49">
        <f t="shared" si="21"/>
        <v>-24.866103967459917</v>
      </c>
      <c r="AE49">
        <f t="shared" si="22"/>
        <v>-0.2611158396114206</v>
      </c>
      <c r="AF49">
        <v>15</v>
      </c>
      <c r="AG49">
        <v>5</v>
      </c>
      <c r="AH49">
        <f t="shared" si="23"/>
        <v>1</v>
      </c>
      <c r="AI49">
        <f t="shared" si="24"/>
        <v>0</v>
      </c>
      <c r="AJ49">
        <f t="shared" si="25"/>
        <v>52097.032501539841</v>
      </c>
      <c r="AK49">
        <f t="shared" si="26"/>
        <v>1799.99</v>
      </c>
      <c r="AL49">
        <f t="shared" si="27"/>
        <v>1499.10496219283</v>
      </c>
      <c r="AM49">
        <f t="shared" si="28"/>
        <v>0.83284071700000006</v>
      </c>
      <c r="AN49">
        <f t="shared" si="29"/>
        <v>0.15339699302000001</v>
      </c>
      <c r="AO49">
        <v>34.5</v>
      </c>
      <c r="AP49">
        <v>0.5</v>
      </c>
      <c r="AQ49" t="s">
        <v>331</v>
      </c>
      <c r="AR49">
        <v>2</v>
      </c>
      <c r="AS49">
        <v>1690377086</v>
      </c>
      <c r="AT49">
        <v>713.428</v>
      </c>
      <c r="AU49">
        <v>800.05799999999999</v>
      </c>
      <c r="AV49">
        <v>24.9755</v>
      </c>
      <c r="AW49">
        <v>19.141100000000002</v>
      </c>
      <c r="AX49">
        <v>714.07</v>
      </c>
      <c r="AY49">
        <v>24.764299999999999</v>
      </c>
      <c r="AZ49">
        <v>300.185</v>
      </c>
      <c r="BA49">
        <v>98.657200000000003</v>
      </c>
      <c r="BB49">
        <v>9.9976700000000002E-2</v>
      </c>
      <c r="BC49">
        <v>27.079499999999999</v>
      </c>
      <c r="BD49">
        <v>26.9817</v>
      </c>
      <c r="BE49">
        <v>29.093299999999999</v>
      </c>
      <c r="BF49">
        <v>0</v>
      </c>
      <c r="BG49">
        <v>0</v>
      </c>
      <c r="BH49">
        <v>9988.75</v>
      </c>
      <c r="BI49">
        <v>1084</v>
      </c>
      <c r="BJ49">
        <v>1.2334499999999999</v>
      </c>
      <c r="BK49">
        <v>-86.63</v>
      </c>
      <c r="BL49">
        <v>731.70299999999997</v>
      </c>
      <c r="BM49">
        <v>815.67100000000005</v>
      </c>
      <c r="BN49">
        <v>5.83439</v>
      </c>
      <c r="BO49">
        <v>800.05799999999999</v>
      </c>
      <c r="BP49">
        <v>19.141100000000002</v>
      </c>
      <c r="BQ49">
        <v>2.46401</v>
      </c>
      <c r="BR49">
        <v>1.8884000000000001</v>
      </c>
      <c r="BS49">
        <v>20.790700000000001</v>
      </c>
      <c r="BT49">
        <v>16.538399999999999</v>
      </c>
      <c r="BU49">
        <v>1799.99</v>
      </c>
      <c r="BV49">
        <v>0.91001200000000004</v>
      </c>
      <c r="BW49">
        <v>3.3996999999999999E-2</v>
      </c>
      <c r="BX49">
        <v>2.19951E-2</v>
      </c>
      <c r="BY49">
        <v>3.3995999999999998E-2</v>
      </c>
      <c r="BZ49">
        <v>25</v>
      </c>
      <c r="CA49">
        <v>33528.300000000003</v>
      </c>
      <c r="CB49">
        <v>1690376213.5999999</v>
      </c>
      <c r="CC49" t="s">
        <v>332</v>
      </c>
      <c r="CD49">
        <v>1690376213.5999999</v>
      </c>
      <c r="CE49">
        <v>1690376198.0999999</v>
      </c>
      <c r="CF49">
        <v>2</v>
      </c>
      <c r="CG49">
        <v>0.66900000000000004</v>
      </c>
      <c r="CH49">
        <v>-2.1000000000000001E-2</v>
      </c>
      <c r="CI49">
        <v>-0.70099999999999996</v>
      </c>
      <c r="CJ49">
        <v>0.21099999999999999</v>
      </c>
      <c r="CK49">
        <v>799</v>
      </c>
      <c r="CL49">
        <v>21</v>
      </c>
      <c r="CM49">
        <v>0.11</v>
      </c>
      <c r="CN49">
        <v>0.17</v>
      </c>
      <c r="CO49">
        <v>-83.416158536585371</v>
      </c>
      <c r="CP49">
        <v>-17.208390940766581</v>
      </c>
      <c r="CQ49">
        <v>1.6981617001887961</v>
      </c>
      <c r="CR49">
        <v>-1</v>
      </c>
      <c r="CS49">
        <v>5.7138178048780484</v>
      </c>
      <c r="CT49">
        <v>0.74672153310104949</v>
      </c>
      <c r="CU49">
        <v>7.3758981016194117E-2</v>
      </c>
      <c r="CV49">
        <v>-1</v>
      </c>
      <c r="CW49">
        <v>0</v>
      </c>
      <c r="CX49">
        <v>0</v>
      </c>
      <c r="CY49" t="s">
        <v>333</v>
      </c>
      <c r="CZ49">
        <v>2.3650500000000001</v>
      </c>
      <c r="DA49">
        <v>2.7137600000000002</v>
      </c>
      <c r="DB49">
        <v>0.13556799999999999</v>
      </c>
      <c r="DC49">
        <v>0.14595900000000001</v>
      </c>
      <c r="DD49">
        <v>0.116748</v>
      </c>
      <c r="DE49">
        <v>9.5405799999999999E-2</v>
      </c>
      <c r="DF49">
        <v>31573.7</v>
      </c>
      <c r="DG49">
        <v>27517.1</v>
      </c>
      <c r="DH49">
        <v>31179.4</v>
      </c>
      <c r="DI49">
        <v>28072.799999999999</v>
      </c>
      <c r="DJ49">
        <v>37383.300000000003</v>
      </c>
      <c r="DK49">
        <v>36095.5</v>
      </c>
      <c r="DL49">
        <v>44369.4</v>
      </c>
      <c r="DM49">
        <v>42533.5</v>
      </c>
      <c r="DN49">
        <v>1.4332</v>
      </c>
      <c r="DO49">
        <v>2.0804299999999998</v>
      </c>
      <c r="DP49">
        <v>9.2439400000000005E-2</v>
      </c>
      <c r="DQ49">
        <v>0.22425899999999999</v>
      </c>
      <c r="DR49">
        <v>25.468</v>
      </c>
      <c r="DS49">
        <v>25.427299999999999</v>
      </c>
      <c r="DT49">
        <v>61.7</v>
      </c>
      <c r="DU49">
        <v>26.6</v>
      </c>
      <c r="DV49">
        <v>21.863800000000001</v>
      </c>
      <c r="DW49">
        <v>61.870199999999997</v>
      </c>
      <c r="DX49">
        <v>35.869399999999999</v>
      </c>
      <c r="DY49">
        <v>1</v>
      </c>
      <c r="DZ49">
        <v>-0.140206</v>
      </c>
      <c r="EA49">
        <v>-0.21421799999999999</v>
      </c>
      <c r="EB49">
        <v>20.190799999999999</v>
      </c>
      <c r="EC49">
        <v>5.242</v>
      </c>
      <c r="ED49">
        <v>12.039899999999999</v>
      </c>
      <c r="EE49">
        <v>5.0171000000000001</v>
      </c>
      <c r="EF49">
        <v>3.2879999999999998</v>
      </c>
      <c r="EG49">
        <v>9999</v>
      </c>
      <c r="EH49">
        <v>9999</v>
      </c>
      <c r="EI49">
        <v>9999</v>
      </c>
      <c r="EJ49">
        <v>999.9</v>
      </c>
      <c r="EK49">
        <v>1.8688100000000001</v>
      </c>
      <c r="EL49">
        <v>1.8644700000000001</v>
      </c>
      <c r="EM49">
        <v>1.8691</v>
      </c>
      <c r="EN49">
        <v>1.8671199999999999</v>
      </c>
      <c r="EO49">
        <v>1.86327</v>
      </c>
      <c r="EP49">
        <v>1.86432</v>
      </c>
      <c r="EQ49">
        <v>1.8701099999999999</v>
      </c>
      <c r="ER49">
        <v>1.86934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-0.64200000000000002</v>
      </c>
      <c r="FG49">
        <v>0.2112</v>
      </c>
      <c r="FH49">
        <v>-0.150361779349652</v>
      </c>
      <c r="FI49">
        <v>-6.1462078757559423E-4</v>
      </c>
      <c r="FJ49">
        <v>-1.8861989874597051E-7</v>
      </c>
      <c r="FK49">
        <v>1.1980462299894961E-10</v>
      </c>
      <c r="FL49">
        <v>0.21114761904761539</v>
      </c>
      <c r="FM49">
        <v>0</v>
      </c>
      <c r="FN49">
        <v>0</v>
      </c>
      <c r="FO49">
        <v>0</v>
      </c>
      <c r="FP49">
        <v>3</v>
      </c>
      <c r="FQ49">
        <v>2158</v>
      </c>
      <c r="FR49">
        <v>1</v>
      </c>
      <c r="FS49">
        <v>19</v>
      </c>
      <c r="FT49">
        <v>14.5</v>
      </c>
      <c r="FU49">
        <v>14.8</v>
      </c>
      <c r="FV49">
        <v>1.78955</v>
      </c>
      <c r="FW49">
        <v>2.5647000000000002</v>
      </c>
      <c r="FX49">
        <v>1.5490699999999999</v>
      </c>
      <c r="FY49">
        <v>2.33887</v>
      </c>
      <c r="FZ49">
        <v>1.50146</v>
      </c>
      <c r="GA49">
        <v>2.3559600000000001</v>
      </c>
      <c r="GB49">
        <v>31.761099999999999</v>
      </c>
      <c r="GC49">
        <v>23.991199999999999</v>
      </c>
      <c r="GD49">
        <v>19</v>
      </c>
      <c r="GE49">
        <v>262.52300000000002</v>
      </c>
      <c r="GF49">
        <v>612.78099999999995</v>
      </c>
      <c r="GG49">
        <v>25.1877</v>
      </c>
      <c r="GH49">
        <v>25.697099999999999</v>
      </c>
      <c r="GI49">
        <v>30</v>
      </c>
      <c r="GJ49">
        <v>25.747399999999999</v>
      </c>
      <c r="GK49">
        <v>25.701599999999999</v>
      </c>
      <c r="GL49">
        <v>35.769100000000002</v>
      </c>
      <c r="GM49">
        <v>22.414300000000001</v>
      </c>
      <c r="GN49">
        <v>100</v>
      </c>
      <c r="GO49">
        <v>25.206900000000001</v>
      </c>
      <c r="GP49">
        <v>800</v>
      </c>
      <c r="GQ49">
        <v>18.9634</v>
      </c>
      <c r="GR49">
        <v>99.758399999999995</v>
      </c>
      <c r="GS49">
        <v>99.514700000000005</v>
      </c>
    </row>
    <row r="50" spans="1:201" x14ac:dyDescent="0.25">
      <c r="A50">
        <v>34</v>
      </c>
      <c r="B50">
        <v>1690377096</v>
      </c>
      <c r="C50">
        <v>379.5</v>
      </c>
      <c r="D50" t="s">
        <v>401</v>
      </c>
      <c r="E50" t="s">
        <v>402</v>
      </c>
      <c r="F50" t="s">
        <v>330</v>
      </c>
      <c r="H50">
        <v>1690377096</v>
      </c>
      <c r="I50">
        <f t="shared" si="0"/>
        <v>5.3165052007155553E-4</v>
      </c>
      <c r="J50">
        <f t="shared" si="1"/>
        <v>0.53165052007155555</v>
      </c>
      <c r="K50">
        <f t="shared" si="2"/>
        <v>7.37794630050601</v>
      </c>
      <c r="L50">
        <f t="shared" si="3"/>
        <v>710.88699999999994</v>
      </c>
      <c r="M50">
        <f t="shared" si="4"/>
        <v>324.04957423370416</v>
      </c>
      <c r="N50">
        <f t="shared" si="5"/>
        <v>32.001546844613536</v>
      </c>
      <c r="O50">
        <f t="shared" si="6"/>
        <v>70.203714001240698</v>
      </c>
      <c r="P50">
        <f t="shared" si="7"/>
        <v>3.1892777524576803E-2</v>
      </c>
      <c r="Q50">
        <f t="shared" si="8"/>
        <v>2.0087196501360278</v>
      </c>
      <c r="R50">
        <f t="shared" si="9"/>
        <v>3.1614115921205416E-2</v>
      </c>
      <c r="S50">
        <f t="shared" si="10"/>
        <v>1.9783656065108204E-2</v>
      </c>
      <c r="T50">
        <f t="shared" si="11"/>
        <v>276.11261934448157</v>
      </c>
      <c r="U50">
        <f t="shared" si="12"/>
        <v>29.190233712901282</v>
      </c>
      <c r="V50">
        <f t="shared" si="13"/>
        <v>29.190233712901282</v>
      </c>
      <c r="W50">
        <f t="shared" si="14"/>
        <v>4.0662573618748414</v>
      </c>
      <c r="X50">
        <f t="shared" si="15"/>
        <v>68.405364931226615</v>
      </c>
      <c r="Y50">
        <f t="shared" si="16"/>
        <v>2.4603844642354002</v>
      </c>
      <c r="Z50">
        <f t="shared" si="17"/>
        <v>3.5967711987342246</v>
      </c>
      <c r="AA50">
        <f t="shared" si="18"/>
        <v>1.6058728976394412</v>
      </c>
      <c r="AB50">
        <f t="shared" si="19"/>
        <v>-23.4457879351556</v>
      </c>
      <c r="AC50">
        <f t="shared" si="20"/>
        <v>-228.13598886110901</v>
      </c>
      <c r="AD50">
        <f t="shared" si="21"/>
        <v>-24.790369129120268</v>
      </c>
      <c r="AE50">
        <f t="shared" si="22"/>
        <v>-0.25952658090332648</v>
      </c>
      <c r="AF50">
        <v>15</v>
      </c>
      <c r="AG50">
        <v>5</v>
      </c>
      <c r="AH50">
        <f t="shared" si="23"/>
        <v>1</v>
      </c>
      <c r="AI50">
        <f t="shared" si="24"/>
        <v>0</v>
      </c>
      <c r="AJ50">
        <f t="shared" si="25"/>
        <v>52217.007014535739</v>
      </c>
      <c r="AK50">
        <f t="shared" si="26"/>
        <v>1799.99</v>
      </c>
      <c r="AL50">
        <f t="shared" si="27"/>
        <v>1499.10640578481</v>
      </c>
      <c r="AM50">
        <f t="shared" si="28"/>
        <v>0.83284151900000003</v>
      </c>
      <c r="AN50">
        <f t="shared" si="29"/>
        <v>0.15339675183999998</v>
      </c>
      <c r="AO50">
        <v>34.5</v>
      </c>
      <c r="AP50">
        <v>0.5</v>
      </c>
      <c r="AQ50" t="s">
        <v>331</v>
      </c>
      <c r="AR50">
        <v>2</v>
      </c>
      <c r="AS50">
        <v>1690377096</v>
      </c>
      <c r="AT50">
        <v>710.88699999999994</v>
      </c>
      <c r="AU50">
        <v>800.03099999999995</v>
      </c>
      <c r="AV50">
        <v>24.914000000000001</v>
      </c>
      <c r="AW50">
        <v>18.9556</v>
      </c>
      <c r="AX50">
        <v>711.52700000000004</v>
      </c>
      <c r="AY50">
        <v>24.7029</v>
      </c>
      <c r="AZ50">
        <v>300.16399999999999</v>
      </c>
      <c r="BA50">
        <v>98.655100000000004</v>
      </c>
      <c r="BB50">
        <v>9.9996100000000004E-2</v>
      </c>
      <c r="BC50">
        <v>27.083600000000001</v>
      </c>
      <c r="BD50">
        <v>26.979900000000001</v>
      </c>
      <c r="BE50">
        <v>29.095300000000002</v>
      </c>
      <c r="BF50">
        <v>0</v>
      </c>
      <c r="BG50">
        <v>0</v>
      </c>
      <c r="BH50">
        <v>10013.1</v>
      </c>
      <c r="BI50">
        <v>1083.92</v>
      </c>
      <c r="BJ50">
        <v>1.2334499999999999</v>
      </c>
      <c r="BK50">
        <v>-89.143900000000002</v>
      </c>
      <c r="BL50">
        <v>729.05</v>
      </c>
      <c r="BM50">
        <v>815.48900000000003</v>
      </c>
      <c r="BN50">
        <v>5.9584200000000003</v>
      </c>
      <c r="BO50">
        <v>800.03099999999995</v>
      </c>
      <c r="BP50">
        <v>18.9556</v>
      </c>
      <c r="BQ50">
        <v>2.4579</v>
      </c>
      <c r="BR50">
        <v>1.8700699999999999</v>
      </c>
      <c r="BS50">
        <v>20.750399999999999</v>
      </c>
      <c r="BT50">
        <v>16.385100000000001</v>
      </c>
      <c r="BU50">
        <v>1799.99</v>
      </c>
      <c r="BV50">
        <v>0.910022</v>
      </c>
      <c r="BW50">
        <v>3.3993200000000001E-2</v>
      </c>
      <c r="BX50">
        <v>2.19927E-2</v>
      </c>
      <c r="BY50">
        <v>3.39922E-2</v>
      </c>
      <c r="BZ50">
        <v>25</v>
      </c>
      <c r="CA50">
        <v>33528.300000000003</v>
      </c>
      <c r="CB50">
        <v>1690376213.5999999</v>
      </c>
      <c r="CC50" t="s">
        <v>332</v>
      </c>
      <c r="CD50">
        <v>1690376213.5999999</v>
      </c>
      <c r="CE50">
        <v>1690376198.0999999</v>
      </c>
      <c r="CF50">
        <v>2</v>
      </c>
      <c r="CG50">
        <v>0.66900000000000004</v>
      </c>
      <c r="CH50">
        <v>-2.1000000000000001E-2</v>
      </c>
      <c r="CI50">
        <v>-0.70099999999999996</v>
      </c>
      <c r="CJ50">
        <v>0.21099999999999999</v>
      </c>
      <c r="CK50">
        <v>799</v>
      </c>
      <c r="CL50">
        <v>21</v>
      </c>
      <c r="CM50">
        <v>0.11</v>
      </c>
      <c r="CN50">
        <v>0.17</v>
      </c>
      <c r="CO50">
        <v>-86.201490243902441</v>
      </c>
      <c r="CP50">
        <v>-16.017140069686508</v>
      </c>
      <c r="CQ50">
        <v>1.5800803912559791</v>
      </c>
      <c r="CR50">
        <v>-1</v>
      </c>
      <c r="CS50">
        <v>5.8301395121951218</v>
      </c>
      <c r="CT50">
        <v>0.67176919860628193</v>
      </c>
      <c r="CU50">
        <v>6.6637640354060945E-2</v>
      </c>
      <c r="CV50">
        <v>-1</v>
      </c>
      <c r="CW50">
        <v>0</v>
      </c>
      <c r="CX50">
        <v>0</v>
      </c>
      <c r="CY50" t="s">
        <v>333</v>
      </c>
      <c r="CZ50">
        <v>2.36497</v>
      </c>
      <c r="DA50">
        <v>2.7138</v>
      </c>
      <c r="DB50">
        <v>0.13523399999999999</v>
      </c>
      <c r="DC50">
        <v>0.145949</v>
      </c>
      <c r="DD50">
        <v>0.11654299999999999</v>
      </c>
      <c r="DE50">
        <v>9.4743400000000005E-2</v>
      </c>
      <c r="DF50">
        <v>31585.9</v>
      </c>
      <c r="DG50">
        <v>27517.1</v>
      </c>
      <c r="DH50">
        <v>31179.4</v>
      </c>
      <c r="DI50">
        <v>28072.400000000001</v>
      </c>
      <c r="DJ50">
        <v>37392</v>
      </c>
      <c r="DK50">
        <v>36121.800000000003</v>
      </c>
      <c r="DL50">
        <v>44369.4</v>
      </c>
      <c r="DM50">
        <v>42533.2</v>
      </c>
      <c r="DN50">
        <v>1.4329000000000001</v>
      </c>
      <c r="DO50">
        <v>2.0796999999999999</v>
      </c>
      <c r="DP50">
        <v>9.2461699999999994E-2</v>
      </c>
      <c r="DQ50">
        <v>0.22444500000000001</v>
      </c>
      <c r="DR50">
        <v>25.465900000000001</v>
      </c>
      <c r="DS50">
        <v>25.426200000000001</v>
      </c>
      <c r="DT50">
        <v>61.7</v>
      </c>
      <c r="DU50">
        <v>26.6</v>
      </c>
      <c r="DV50">
        <v>21.8672</v>
      </c>
      <c r="DW50">
        <v>61.860199999999999</v>
      </c>
      <c r="DX50">
        <v>35.761200000000002</v>
      </c>
      <c r="DY50">
        <v>1</v>
      </c>
      <c r="DZ50">
        <v>-0.140213</v>
      </c>
      <c r="EA50">
        <v>-0.258214</v>
      </c>
      <c r="EB50">
        <v>20.190899999999999</v>
      </c>
      <c r="EC50">
        <v>5.2418500000000003</v>
      </c>
      <c r="ED50">
        <v>12.039899999999999</v>
      </c>
      <c r="EE50">
        <v>5.0172999999999996</v>
      </c>
      <c r="EF50">
        <v>3.2879999999999998</v>
      </c>
      <c r="EG50">
        <v>9999</v>
      </c>
      <c r="EH50">
        <v>9999</v>
      </c>
      <c r="EI50">
        <v>9999</v>
      </c>
      <c r="EJ50">
        <v>999.9</v>
      </c>
      <c r="EK50">
        <v>1.86883</v>
      </c>
      <c r="EL50">
        <v>1.8644799999999999</v>
      </c>
      <c r="EM50">
        <v>1.86913</v>
      </c>
      <c r="EN50">
        <v>1.86714</v>
      </c>
      <c r="EO50">
        <v>1.86327</v>
      </c>
      <c r="EP50">
        <v>1.86432</v>
      </c>
      <c r="EQ50">
        <v>1.8700600000000001</v>
      </c>
      <c r="ER50">
        <v>1.8693500000000001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-0.64</v>
      </c>
      <c r="FG50">
        <v>0.21110000000000001</v>
      </c>
      <c r="FH50">
        <v>-0.150361779349652</v>
      </c>
      <c r="FI50">
        <v>-6.1462078757559423E-4</v>
      </c>
      <c r="FJ50">
        <v>-1.8861989874597051E-7</v>
      </c>
      <c r="FK50">
        <v>1.1980462299894961E-10</v>
      </c>
      <c r="FL50">
        <v>0.21114761904761539</v>
      </c>
      <c r="FM50">
        <v>0</v>
      </c>
      <c r="FN50">
        <v>0</v>
      </c>
      <c r="FO50">
        <v>0</v>
      </c>
      <c r="FP50">
        <v>3</v>
      </c>
      <c r="FQ50">
        <v>2158</v>
      </c>
      <c r="FR50">
        <v>1</v>
      </c>
      <c r="FS50">
        <v>19</v>
      </c>
      <c r="FT50">
        <v>14.7</v>
      </c>
      <c r="FU50">
        <v>15</v>
      </c>
      <c r="FV50">
        <v>1.78833</v>
      </c>
      <c r="FW50">
        <v>2.5634800000000002</v>
      </c>
      <c r="FX50">
        <v>1.5490699999999999</v>
      </c>
      <c r="FY50">
        <v>2.33887</v>
      </c>
      <c r="FZ50">
        <v>1.50146</v>
      </c>
      <c r="GA50">
        <v>2.3901400000000002</v>
      </c>
      <c r="GB50">
        <v>31.761099999999999</v>
      </c>
      <c r="GC50">
        <v>23.991199999999999</v>
      </c>
      <c r="GD50">
        <v>19</v>
      </c>
      <c r="GE50">
        <v>262.411</v>
      </c>
      <c r="GF50">
        <v>612.18600000000004</v>
      </c>
      <c r="GG50">
        <v>25.222999999999999</v>
      </c>
      <c r="GH50">
        <v>25.697099999999999</v>
      </c>
      <c r="GI50">
        <v>30.0002</v>
      </c>
      <c r="GJ50">
        <v>25.749500000000001</v>
      </c>
      <c r="GK50">
        <v>25.703800000000001</v>
      </c>
      <c r="GL50">
        <v>35.764000000000003</v>
      </c>
      <c r="GM50">
        <v>23.3248</v>
      </c>
      <c r="GN50">
        <v>100</v>
      </c>
      <c r="GO50">
        <v>25.242799999999999</v>
      </c>
      <c r="GP50">
        <v>800</v>
      </c>
      <c r="GQ50">
        <v>18.794699999999999</v>
      </c>
      <c r="GR50">
        <v>99.758399999999995</v>
      </c>
      <c r="GS50">
        <v>99.513800000000003</v>
      </c>
    </row>
    <row r="51" spans="1:201" x14ac:dyDescent="0.25">
      <c r="A51">
        <v>35</v>
      </c>
      <c r="B51">
        <v>1690377106</v>
      </c>
      <c r="C51">
        <v>389.5</v>
      </c>
      <c r="D51" t="s">
        <v>403</v>
      </c>
      <c r="E51" t="s">
        <v>404</v>
      </c>
      <c r="F51" t="s">
        <v>330</v>
      </c>
      <c r="H51">
        <v>1690377106</v>
      </c>
      <c r="I51">
        <f t="shared" si="0"/>
        <v>5.4039912618588097E-4</v>
      </c>
      <c r="J51">
        <f t="shared" si="1"/>
        <v>0.54039912618588093</v>
      </c>
      <c r="K51">
        <f t="shared" si="2"/>
        <v>7.5996486637787566</v>
      </c>
      <c r="L51">
        <f t="shared" si="3"/>
        <v>708.298</v>
      </c>
      <c r="M51">
        <f t="shared" si="4"/>
        <v>314.8351695924419</v>
      </c>
      <c r="N51">
        <f t="shared" si="5"/>
        <v>31.091363309362553</v>
      </c>
      <c r="O51">
        <f t="shared" si="6"/>
        <v>69.947555343967991</v>
      </c>
      <c r="P51">
        <f t="shared" si="7"/>
        <v>3.2272036025960647E-2</v>
      </c>
      <c r="Q51">
        <f t="shared" si="8"/>
        <v>2.0121036530649303</v>
      </c>
      <c r="R51">
        <f t="shared" si="9"/>
        <v>3.1987214744624987E-2</v>
      </c>
      <c r="S51">
        <f t="shared" si="10"/>
        <v>2.0017389675742125E-2</v>
      </c>
      <c r="T51">
        <f t="shared" si="11"/>
        <v>276.11235571794623</v>
      </c>
      <c r="U51">
        <f t="shared" si="12"/>
        <v>29.195995286477267</v>
      </c>
      <c r="V51">
        <f t="shared" si="13"/>
        <v>29.195995286477267</v>
      </c>
      <c r="W51">
        <f t="shared" si="14"/>
        <v>4.0676113249421757</v>
      </c>
      <c r="X51">
        <f t="shared" si="15"/>
        <v>68.18801665336693</v>
      </c>
      <c r="Y51">
        <f t="shared" si="16"/>
        <v>2.4543237499647996</v>
      </c>
      <c r="Z51">
        <f t="shared" si="17"/>
        <v>3.5993476132930056</v>
      </c>
      <c r="AA51">
        <f t="shared" si="18"/>
        <v>1.6132875749773761</v>
      </c>
      <c r="AB51">
        <f t="shared" si="19"/>
        <v>-23.831601464797352</v>
      </c>
      <c r="AC51">
        <f t="shared" si="20"/>
        <v>-227.82190150230517</v>
      </c>
      <c r="AD51">
        <f t="shared" si="21"/>
        <v>-24.716812632580115</v>
      </c>
      <c r="AE51">
        <f t="shared" si="22"/>
        <v>-0.25795988173641149</v>
      </c>
      <c r="AF51">
        <v>15</v>
      </c>
      <c r="AG51">
        <v>5</v>
      </c>
      <c r="AH51">
        <f t="shared" si="23"/>
        <v>1</v>
      </c>
      <c r="AI51">
        <f t="shared" si="24"/>
        <v>0</v>
      </c>
      <c r="AJ51">
        <f t="shared" si="25"/>
        <v>52376.931517960751</v>
      </c>
      <c r="AK51">
        <f t="shared" si="26"/>
        <v>1799.99</v>
      </c>
      <c r="AL51">
        <f t="shared" si="27"/>
        <v>1499.1023720072199</v>
      </c>
      <c r="AM51">
        <f t="shared" si="28"/>
        <v>0.83283927799999991</v>
      </c>
      <c r="AN51">
        <f t="shared" si="29"/>
        <v>0.15339660538000002</v>
      </c>
      <c r="AO51">
        <v>34.5</v>
      </c>
      <c r="AP51">
        <v>0.5</v>
      </c>
      <c r="AQ51" t="s">
        <v>331</v>
      </c>
      <c r="AR51">
        <v>2</v>
      </c>
      <c r="AS51">
        <v>1690377106</v>
      </c>
      <c r="AT51">
        <v>708.298</v>
      </c>
      <c r="AU51">
        <v>800.03</v>
      </c>
      <c r="AV51">
        <v>24.852799999999998</v>
      </c>
      <c r="AW51">
        <v>18.797000000000001</v>
      </c>
      <c r="AX51">
        <v>708.93600000000004</v>
      </c>
      <c r="AY51">
        <v>24.6416</v>
      </c>
      <c r="AZ51">
        <v>300.21499999999997</v>
      </c>
      <c r="BA51">
        <v>98.654399999999995</v>
      </c>
      <c r="BB51">
        <v>0.10001599999999999</v>
      </c>
      <c r="BC51">
        <v>27.095800000000001</v>
      </c>
      <c r="BD51">
        <v>26.982500000000002</v>
      </c>
      <c r="BE51">
        <v>29.0977</v>
      </c>
      <c r="BF51">
        <v>0</v>
      </c>
      <c r="BG51">
        <v>0</v>
      </c>
      <c r="BH51">
        <v>10045.6</v>
      </c>
      <c r="BI51">
        <v>1083.8399999999999</v>
      </c>
      <c r="BJ51">
        <v>1.3455900000000001</v>
      </c>
      <c r="BK51">
        <v>-91.731399999999994</v>
      </c>
      <c r="BL51">
        <v>726.35</v>
      </c>
      <c r="BM51">
        <v>815.35599999999999</v>
      </c>
      <c r="BN51">
        <v>6.05579</v>
      </c>
      <c r="BO51">
        <v>800.03</v>
      </c>
      <c r="BP51">
        <v>18.797000000000001</v>
      </c>
      <c r="BQ51">
        <v>2.4518300000000002</v>
      </c>
      <c r="BR51">
        <v>1.8544</v>
      </c>
      <c r="BS51">
        <v>20.7102</v>
      </c>
      <c r="BT51">
        <v>16.2531</v>
      </c>
      <c r="BU51">
        <v>1799.99</v>
      </c>
      <c r="BV51">
        <v>0.91001299999999996</v>
      </c>
      <c r="BW51">
        <v>3.4007299999999997E-2</v>
      </c>
      <c r="BX51">
        <v>2.19904E-2</v>
      </c>
      <c r="BY51">
        <v>3.39888E-2</v>
      </c>
      <c r="BZ51">
        <v>25</v>
      </c>
      <c r="CA51">
        <v>33528.300000000003</v>
      </c>
      <c r="CB51">
        <v>1690376213.5999999</v>
      </c>
      <c r="CC51" t="s">
        <v>332</v>
      </c>
      <c r="CD51">
        <v>1690376213.5999999</v>
      </c>
      <c r="CE51">
        <v>1690376198.0999999</v>
      </c>
      <c r="CF51">
        <v>2</v>
      </c>
      <c r="CG51">
        <v>0.66900000000000004</v>
      </c>
      <c r="CH51">
        <v>-2.1000000000000001E-2</v>
      </c>
      <c r="CI51">
        <v>-0.70099999999999996</v>
      </c>
      <c r="CJ51">
        <v>0.21099999999999999</v>
      </c>
      <c r="CK51">
        <v>799</v>
      </c>
      <c r="CL51">
        <v>21</v>
      </c>
      <c r="CM51">
        <v>0.11</v>
      </c>
      <c r="CN51">
        <v>0.17</v>
      </c>
      <c r="CO51">
        <v>-89.005815000000013</v>
      </c>
      <c r="CP51">
        <v>-15.19954446529054</v>
      </c>
      <c r="CQ51">
        <v>1.4624849302727869</v>
      </c>
      <c r="CR51">
        <v>-1</v>
      </c>
      <c r="CS51">
        <v>5.9465165000000004</v>
      </c>
      <c r="CT51">
        <v>0.67318108818010713</v>
      </c>
      <c r="CU51">
        <v>6.5118279060107281E-2</v>
      </c>
      <c r="CV51">
        <v>-1</v>
      </c>
      <c r="CW51">
        <v>0</v>
      </c>
      <c r="CX51">
        <v>0</v>
      </c>
      <c r="CY51" t="s">
        <v>333</v>
      </c>
      <c r="CZ51">
        <v>2.3651499999999999</v>
      </c>
      <c r="DA51">
        <v>2.7138499999999999</v>
      </c>
      <c r="DB51">
        <v>0.13489599999999999</v>
      </c>
      <c r="DC51">
        <v>0.14594399999999999</v>
      </c>
      <c r="DD51">
        <v>0.11634</v>
      </c>
      <c r="DE51">
        <v>9.4175700000000001E-2</v>
      </c>
      <c r="DF51">
        <v>31598.6</v>
      </c>
      <c r="DG51">
        <v>27517.5</v>
      </c>
      <c r="DH51">
        <v>31179.7</v>
      </c>
      <c r="DI51">
        <v>28072.6</v>
      </c>
      <c r="DJ51">
        <v>37401</v>
      </c>
      <c r="DK51">
        <v>36144.699999999997</v>
      </c>
      <c r="DL51">
        <v>44369.8</v>
      </c>
      <c r="DM51">
        <v>42533.4</v>
      </c>
      <c r="DN51">
        <v>1.4336500000000001</v>
      </c>
      <c r="DO51">
        <v>2.07938</v>
      </c>
      <c r="DP51">
        <v>9.2819299999999993E-2</v>
      </c>
      <c r="DQ51">
        <v>0.22478400000000001</v>
      </c>
      <c r="DR51">
        <v>25.462700000000002</v>
      </c>
      <c r="DS51">
        <v>25.422999999999998</v>
      </c>
      <c r="DT51">
        <v>61.7</v>
      </c>
      <c r="DU51">
        <v>26.6</v>
      </c>
      <c r="DV51">
        <v>21.864699999999999</v>
      </c>
      <c r="DW51">
        <v>61.370199999999997</v>
      </c>
      <c r="DX51">
        <v>35.9255</v>
      </c>
      <c r="DY51">
        <v>1</v>
      </c>
      <c r="DZ51">
        <v>-0.14030500000000001</v>
      </c>
      <c r="EA51">
        <v>-0.25797399999999998</v>
      </c>
      <c r="EB51">
        <v>20.190999999999999</v>
      </c>
      <c r="EC51">
        <v>5.2415500000000002</v>
      </c>
      <c r="ED51">
        <v>12.039899999999999</v>
      </c>
      <c r="EE51">
        <v>5.0174000000000003</v>
      </c>
      <c r="EF51">
        <v>3.2879999999999998</v>
      </c>
      <c r="EG51">
        <v>9999</v>
      </c>
      <c r="EH51">
        <v>9999</v>
      </c>
      <c r="EI51">
        <v>9999</v>
      </c>
      <c r="EJ51">
        <v>999.9</v>
      </c>
      <c r="EK51">
        <v>1.8688199999999999</v>
      </c>
      <c r="EL51">
        <v>1.8644799999999999</v>
      </c>
      <c r="EM51">
        <v>1.86914</v>
      </c>
      <c r="EN51">
        <v>1.86714</v>
      </c>
      <c r="EO51">
        <v>1.86328</v>
      </c>
      <c r="EP51">
        <v>1.86432</v>
      </c>
      <c r="EQ51">
        <v>1.87009</v>
      </c>
      <c r="ER51">
        <v>1.8693500000000001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-0.63800000000000001</v>
      </c>
      <c r="FG51">
        <v>0.2112</v>
      </c>
      <c r="FH51">
        <v>-0.150361779349652</v>
      </c>
      <c r="FI51">
        <v>-6.1462078757559423E-4</v>
      </c>
      <c r="FJ51">
        <v>-1.8861989874597051E-7</v>
      </c>
      <c r="FK51">
        <v>1.1980462299894961E-10</v>
      </c>
      <c r="FL51">
        <v>0.21114761904761539</v>
      </c>
      <c r="FM51">
        <v>0</v>
      </c>
      <c r="FN51">
        <v>0</v>
      </c>
      <c r="FO51">
        <v>0</v>
      </c>
      <c r="FP51">
        <v>3</v>
      </c>
      <c r="FQ51">
        <v>2158</v>
      </c>
      <c r="FR51">
        <v>1</v>
      </c>
      <c r="FS51">
        <v>19</v>
      </c>
      <c r="FT51">
        <v>14.9</v>
      </c>
      <c r="FU51">
        <v>15.1</v>
      </c>
      <c r="FV51">
        <v>1.78833</v>
      </c>
      <c r="FW51">
        <v>2.5634800000000002</v>
      </c>
      <c r="FX51">
        <v>1.5490699999999999</v>
      </c>
      <c r="FY51">
        <v>2.33887</v>
      </c>
      <c r="FZ51">
        <v>1.50146</v>
      </c>
      <c r="GA51">
        <v>2.3986800000000001</v>
      </c>
      <c r="GB51">
        <v>31.761099999999999</v>
      </c>
      <c r="GC51">
        <v>23.991199999999999</v>
      </c>
      <c r="GD51">
        <v>19</v>
      </c>
      <c r="GE51">
        <v>262.71300000000002</v>
      </c>
      <c r="GF51">
        <v>611.928</v>
      </c>
      <c r="GG51">
        <v>25.256399999999999</v>
      </c>
      <c r="GH51">
        <v>25.695900000000002</v>
      </c>
      <c r="GI51">
        <v>30.0001</v>
      </c>
      <c r="GJ51">
        <v>25.749700000000001</v>
      </c>
      <c r="GK51">
        <v>25.705400000000001</v>
      </c>
      <c r="GL51">
        <v>35.762599999999999</v>
      </c>
      <c r="GM51">
        <v>23.894200000000001</v>
      </c>
      <c r="GN51">
        <v>100</v>
      </c>
      <c r="GO51">
        <v>25.266300000000001</v>
      </c>
      <c r="GP51">
        <v>800</v>
      </c>
      <c r="GQ51">
        <v>18.641400000000001</v>
      </c>
      <c r="GR51">
        <v>99.759299999999996</v>
      </c>
      <c r="GS51">
        <v>99.514399999999995</v>
      </c>
    </row>
    <row r="52" spans="1:201" x14ac:dyDescent="0.25">
      <c r="A52">
        <v>36</v>
      </c>
      <c r="B52">
        <v>1690377116</v>
      </c>
      <c r="C52">
        <v>399.5</v>
      </c>
      <c r="D52" t="s">
        <v>405</v>
      </c>
      <c r="E52" t="s">
        <v>406</v>
      </c>
      <c r="F52" t="s">
        <v>330</v>
      </c>
      <c r="H52">
        <v>1690377116</v>
      </c>
      <c r="I52">
        <f t="shared" si="0"/>
        <v>5.4989134840051736E-4</v>
      </c>
      <c r="J52">
        <f t="shared" si="1"/>
        <v>0.54989134840051734</v>
      </c>
      <c r="K52">
        <f t="shared" si="2"/>
        <v>7.8074707048855636</v>
      </c>
      <c r="L52">
        <f t="shared" si="3"/>
        <v>705.80700000000002</v>
      </c>
      <c r="M52">
        <f t="shared" si="4"/>
        <v>307.41515253922171</v>
      </c>
      <c r="N52">
        <f t="shared" si="5"/>
        <v>30.358071968864831</v>
      </c>
      <c r="O52">
        <f t="shared" si="6"/>
        <v>69.700336906440597</v>
      </c>
      <c r="P52">
        <f t="shared" si="7"/>
        <v>3.2726885091070086E-2</v>
      </c>
      <c r="Q52">
        <f t="shared" si="8"/>
        <v>2.004048103247706</v>
      </c>
      <c r="R52">
        <f t="shared" si="9"/>
        <v>3.243285206359113E-2</v>
      </c>
      <c r="S52">
        <f t="shared" si="10"/>
        <v>2.0296729976449056E-2</v>
      </c>
      <c r="T52">
        <f t="shared" si="11"/>
        <v>276.11487730593728</v>
      </c>
      <c r="U52">
        <f t="shared" si="12"/>
        <v>29.198642541113127</v>
      </c>
      <c r="V52">
        <f t="shared" si="13"/>
        <v>29.198642541113127</v>
      </c>
      <c r="W52">
        <f t="shared" si="14"/>
        <v>4.0682335584751179</v>
      </c>
      <c r="X52">
        <f t="shared" si="15"/>
        <v>68.050418363673231</v>
      </c>
      <c r="Y52">
        <f t="shared" si="16"/>
        <v>2.4491554852572199</v>
      </c>
      <c r="Z52">
        <f t="shared" si="17"/>
        <v>3.599030754180685</v>
      </c>
      <c r="AA52">
        <f t="shared" si="18"/>
        <v>1.619078073217898</v>
      </c>
      <c r="AB52">
        <f t="shared" si="19"/>
        <v>-24.250208464462816</v>
      </c>
      <c r="AC52">
        <f t="shared" si="20"/>
        <v>-227.35788469379295</v>
      </c>
      <c r="AD52">
        <f t="shared" si="21"/>
        <v>-24.765763622131029</v>
      </c>
      <c r="AE52">
        <f t="shared" si="22"/>
        <v>-0.25897947444951797</v>
      </c>
      <c r="AF52">
        <v>15</v>
      </c>
      <c r="AG52">
        <v>5</v>
      </c>
      <c r="AH52">
        <f t="shared" si="23"/>
        <v>1</v>
      </c>
      <c r="AI52">
        <f t="shared" si="24"/>
        <v>0</v>
      </c>
      <c r="AJ52">
        <f t="shared" si="25"/>
        <v>51991.991107955109</v>
      </c>
      <c r="AK52">
        <f t="shared" si="26"/>
        <v>1799.99</v>
      </c>
      <c r="AL52">
        <f t="shared" si="27"/>
        <v>1499.1045031953799</v>
      </c>
      <c r="AM52">
        <f t="shared" si="28"/>
        <v>0.83284046199999995</v>
      </c>
      <c r="AN52">
        <f t="shared" si="29"/>
        <v>0.15339800627</v>
      </c>
      <c r="AO52">
        <v>34.5</v>
      </c>
      <c r="AP52">
        <v>0.5</v>
      </c>
      <c r="AQ52" t="s">
        <v>331</v>
      </c>
      <c r="AR52">
        <v>2</v>
      </c>
      <c r="AS52">
        <v>1690377116</v>
      </c>
      <c r="AT52">
        <v>705.80700000000002</v>
      </c>
      <c r="AU52">
        <v>800.00099999999998</v>
      </c>
      <c r="AV52">
        <v>24.800899999999999</v>
      </c>
      <c r="AW52">
        <v>18.637599999999999</v>
      </c>
      <c r="AX52">
        <v>706.44399999999996</v>
      </c>
      <c r="AY52">
        <v>24.5898</v>
      </c>
      <c r="AZ52">
        <v>300.17599999999999</v>
      </c>
      <c r="BA52">
        <v>98.652699999999996</v>
      </c>
      <c r="BB52">
        <v>9.99858E-2</v>
      </c>
      <c r="BC52">
        <v>27.0943</v>
      </c>
      <c r="BD52">
        <v>26.9894</v>
      </c>
      <c r="BE52">
        <v>29.127600000000001</v>
      </c>
      <c r="BF52">
        <v>0</v>
      </c>
      <c r="BG52">
        <v>0</v>
      </c>
      <c r="BH52">
        <v>9968.75</v>
      </c>
      <c r="BI52">
        <v>1083.8800000000001</v>
      </c>
      <c r="BJ52">
        <v>1.3455900000000001</v>
      </c>
      <c r="BK52">
        <v>-94.193299999999994</v>
      </c>
      <c r="BL52">
        <v>723.75699999999995</v>
      </c>
      <c r="BM52">
        <v>815.19399999999996</v>
      </c>
      <c r="BN52">
        <v>6.1633399999999998</v>
      </c>
      <c r="BO52">
        <v>800.00099999999998</v>
      </c>
      <c r="BP52">
        <v>18.637599999999999</v>
      </c>
      <c r="BQ52">
        <v>2.4466800000000002</v>
      </c>
      <c r="BR52">
        <v>1.8386400000000001</v>
      </c>
      <c r="BS52">
        <v>20.676100000000002</v>
      </c>
      <c r="BT52">
        <v>16.119299999999999</v>
      </c>
      <c r="BU52">
        <v>1799.99</v>
      </c>
      <c r="BV52">
        <v>0.909999</v>
      </c>
      <c r="BW52">
        <v>3.4006300000000003E-2</v>
      </c>
      <c r="BX52">
        <v>2.20091E-2</v>
      </c>
      <c r="BY52">
        <v>3.3985300000000003E-2</v>
      </c>
      <c r="BZ52">
        <v>25</v>
      </c>
      <c r="CA52">
        <v>33528</v>
      </c>
      <c r="CB52">
        <v>1690376213.5999999</v>
      </c>
      <c r="CC52" t="s">
        <v>332</v>
      </c>
      <c r="CD52">
        <v>1690376213.5999999</v>
      </c>
      <c r="CE52">
        <v>1690376198.0999999</v>
      </c>
      <c r="CF52">
        <v>2</v>
      </c>
      <c r="CG52">
        <v>0.66900000000000004</v>
      </c>
      <c r="CH52">
        <v>-2.1000000000000001E-2</v>
      </c>
      <c r="CI52">
        <v>-0.70099999999999996</v>
      </c>
      <c r="CJ52">
        <v>0.21099999999999999</v>
      </c>
      <c r="CK52">
        <v>799</v>
      </c>
      <c r="CL52">
        <v>21</v>
      </c>
      <c r="CM52">
        <v>0.11</v>
      </c>
      <c r="CN52">
        <v>0.17</v>
      </c>
      <c r="CO52">
        <v>-91.324709756097562</v>
      </c>
      <c r="CP52">
        <v>-14.963818118466969</v>
      </c>
      <c r="CQ52">
        <v>1.476021684652145</v>
      </c>
      <c r="CR52">
        <v>-1</v>
      </c>
      <c r="CS52">
        <v>6.0443692682926828</v>
      </c>
      <c r="CT52">
        <v>0.62043763066202473</v>
      </c>
      <c r="CU52">
        <v>6.1316706488415897E-2</v>
      </c>
      <c r="CV52">
        <v>-1</v>
      </c>
      <c r="CW52">
        <v>0</v>
      </c>
      <c r="CX52">
        <v>0</v>
      </c>
      <c r="CY52" t="s">
        <v>333</v>
      </c>
      <c r="CZ52">
        <v>2.3650099999999998</v>
      </c>
      <c r="DA52">
        <v>2.7137500000000001</v>
      </c>
      <c r="DB52">
        <v>0.13456799999999999</v>
      </c>
      <c r="DC52">
        <v>0.14593400000000001</v>
      </c>
      <c r="DD52">
        <v>0.11616600000000001</v>
      </c>
      <c r="DE52">
        <v>9.3602500000000005E-2</v>
      </c>
      <c r="DF52">
        <v>31610.7</v>
      </c>
      <c r="DG52">
        <v>27517.4</v>
      </c>
      <c r="DH52">
        <v>31179.9</v>
      </c>
      <c r="DI52">
        <v>28072.2</v>
      </c>
      <c r="DJ52">
        <v>37408.800000000003</v>
      </c>
      <c r="DK52">
        <v>36167.199999999997</v>
      </c>
      <c r="DL52">
        <v>44370.2</v>
      </c>
      <c r="DM52">
        <v>42533</v>
      </c>
      <c r="DN52">
        <v>1.4331700000000001</v>
      </c>
      <c r="DO52">
        <v>2.0790000000000002</v>
      </c>
      <c r="DP52">
        <v>9.3374399999999996E-2</v>
      </c>
      <c r="DQ52">
        <v>0.22662099999999999</v>
      </c>
      <c r="DR52">
        <v>25.4605</v>
      </c>
      <c r="DS52">
        <v>25.422999999999998</v>
      </c>
      <c r="DT52">
        <v>61.7</v>
      </c>
      <c r="DU52">
        <v>26.6</v>
      </c>
      <c r="DV52">
        <v>21.864100000000001</v>
      </c>
      <c r="DW52">
        <v>61.720199999999998</v>
      </c>
      <c r="DX52">
        <v>36.181899999999999</v>
      </c>
      <c r="DY52">
        <v>1</v>
      </c>
      <c r="DZ52">
        <v>-0.13982</v>
      </c>
      <c r="EA52">
        <v>-0.26229599999999997</v>
      </c>
      <c r="EB52">
        <v>20.190899999999999</v>
      </c>
      <c r="EC52">
        <v>5.2416999999999998</v>
      </c>
      <c r="ED52">
        <v>12.039899999999999</v>
      </c>
      <c r="EE52">
        <v>5.0172499999999998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1.8688199999999999</v>
      </c>
      <c r="EL52">
        <v>1.8644700000000001</v>
      </c>
      <c r="EM52">
        <v>1.86911</v>
      </c>
      <c r="EN52">
        <v>1.8671599999999999</v>
      </c>
      <c r="EO52">
        <v>1.86327</v>
      </c>
      <c r="EP52">
        <v>1.86432</v>
      </c>
      <c r="EQ52">
        <v>1.8701000000000001</v>
      </c>
      <c r="ER52">
        <v>1.8693500000000001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-0.63700000000000001</v>
      </c>
      <c r="FG52">
        <v>0.21110000000000001</v>
      </c>
      <c r="FH52">
        <v>-0.150361779349652</v>
      </c>
      <c r="FI52">
        <v>-6.1462078757559423E-4</v>
      </c>
      <c r="FJ52">
        <v>-1.8861989874597051E-7</v>
      </c>
      <c r="FK52">
        <v>1.1980462299894961E-10</v>
      </c>
      <c r="FL52">
        <v>0.21114761904761539</v>
      </c>
      <c r="FM52">
        <v>0</v>
      </c>
      <c r="FN52">
        <v>0</v>
      </c>
      <c r="FO52">
        <v>0</v>
      </c>
      <c r="FP52">
        <v>3</v>
      </c>
      <c r="FQ52">
        <v>2158</v>
      </c>
      <c r="FR52">
        <v>1</v>
      </c>
      <c r="FS52">
        <v>19</v>
      </c>
      <c r="FT52">
        <v>15</v>
      </c>
      <c r="FU52">
        <v>15.3</v>
      </c>
      <c r="FV52">
        <v>1.78833</v>
      </c>
      <c r="FW52">
        <v>2.5647000000000002</v>
      </c>
      <c r="FX52">
        <v>1.5490699999999999</v>
      </c>
      <c r="FY52">
        <v>2.33887</v>
      </c>
      <c r="FZ52">
        <v>1.50146</v>
      </c>
      <c r="GA52">
        <v>2.3815900000000001</v>
      </c>
      <c r="GB52">
        <v>31.783000000000001</v>
      </c>
      <c r="GC52">
        <v>23.991199999999999</v>
      </c>
      <c r="GD52">
        <v>19</v>
      </c>
      <c r="GE52">
        <v>262.53100000000001</v>
      </c>
      <c r="GF52">
        <v>611.62699999999995</v>
      </c>
      <c r="GG52">
        <v>25.276499999999999</v>
      </c>
      <c r="GH52">
        <v>25.694900000000001</v>
      </c>
      <c r="GI52">
        <v>30.000299999999999</v>
      </c>
      <c r="GJ52">
        <v>25.7517</v>
      </c>
      <c r="GK52">
        <v>25.706900000000001</v>
      </c>
      <c r="GL52">
        <v>35.759799999999998</v>
      </c>
      <c r="GM52">
        <v>24.4664</v>
      </c>
      <c r="GN52">
        <v>100</v>
      </c>
      <c r="GO52">
        <v>25.285499999999999</v>
      </c>
      <c r="GP52">
        <v>800</v>
      </c>
      <c r="GQ52">
        <v>18.4879</v>
      </c>
      <c r="GR52">
        <v>99.76</v>
      </c>
      <c r="GS52">
        <v>99.513199999999998</v>
      </c>
    </row>
    <row r="53" spans="1:201" x14ac:dyDescent="0.25">
      <c r="A53">
        <v>37</v>
      </c>
      <c r="B53">
        <v>1690377126</v>
      </c>
      <c r="C53">
        <v>409.5</v>
      </c>
      <c r="D53" t="s">
        <v>407</v>
      </c>
      <c r="E53" t="s">
        <v>408</v>
      </c>
      <c r="F53" t="s">
        <v>330</v>
      </c>
      <c r="H53">
        <v>1690377126</v>
      </c>
      <c r="I53">
        <f t="shared" si="0"/>
        <v>5.5821479483085621E-4</v>
      </c>
      <c r="J53">
        <f t="shared" si="1"/>
        <v>0.55821479483085623</v>
      </c>
      <c r="K53">
        <f t="shared" si="2"/>
        <v>8.0108258325595152</v>
      </c>
      <c r="L53">
        <f t="shared" si="3"/>
        <v>703.37099999999998</v>
      </c>
      <c r="M53">
        <f t="shared" si="4"/>
        <v>299.95610833926514</v>
      </c>
      <c r="N53">
        <f t="shared" si="5"/>
        <v>29.620953656366439</v>
      </c>
      <c r="O53">
        <f t="shared" si="6"/>
        <v>69.458561486159994</v>
      </c>
      <c r="P53">
        <f t="shared" si="7"/>
        <v>3.3141433250453566E-2</v>
      </c>
      <c r="Q53">
        <f t="shared" si="8"/>
        <v>2.0025191330121412</v>
      </c>
      <c r="R53">
        <f t="shared" si="9"/>
        <v>3.2839713157119615E-2</v>
      </c>
      <c r="S53">
        <f t="shared" si="10"/>
        <v>2.0551700053494579E-2</v>
      </c>
      <c r="T53">
        <f t="shared" si="11"/>
        <v>276.11505500095012</v>
      </c>
      <c r="U53">
        <f t="shared" si="12"/>
        <v>29.1951292345382</v>
      </c>
      <c r="V53">
        <f t="shared" si="13"/>
        <v>29.1951292345382</v>
      </c>
      <c r="W53">
        <f t="shared" si="14"/>
        <v>4.0674077786485556</v>
      </c>
      <c r="X53">
        <f t="shared" si="15"/>
        <v>67.919337220446181</v>
      </c>
      <c r="Y53">
        <f t="shared" si="16"/>
        <v>2.444165260768</v>
      </c>
      <c r="Z53">
        <f t="shared" si="17"/>
        <v>3.5986294342581093</v>
      </c>
      <c r="AA53">
        <f t="shared" si="18"/>
        <v>1.6232425178805556</v>
      </c>
      <c r="AB53">
        <f t="shared" si="19"/>
        <v>-24.617272452040758</v>
      </c>
      <c r="AC53">
        <f t="shared" si="20"/>
        <v>-227.01025179407654</v>
      </c>
      <c r="AD53">
        <f t="shared" si="21"/>
        <v>-24.74610909286633</v>
      </c>
      <c r="AE53">
        <f t="shared" si="22"/>
        <v>-0.25857833803351582</v>
      </c>
      <c r="AF53">
        <v>15</v>
      </c>
      <c r="AG53">
        <v>5</v>
      </c>
      <c r="AH53">
        <f t="shared" si="23"/>
        <v>1</v>
      </c>
      <c r="AI53">
        <f t="shared" si="24"/>
        <v>0</v>
      </c>
      <c r="AJ53">
        <f t="shared" si="25"/>
        <v>51919.417480706987</v>
      </c>
      <c r="AK53">
        <f t="shared" si="26"/>
        <v>1799.99</v>
      </c>
      <c r="AL53">
        <f t="shared" si="27"/>
        <v>1499.10143781241</v>
      </c>
      <c r="AM53">
        <f t="shared" si="28"/>
        <v>0.83283875900000004</v>
      </c>
      <c r="AN53">
        <f t="shared" si="29"/>
        <v>0.15339810499000001</v>
      </c>
      <c r="AO53">
        <v>34.5</v>
      </c>
      <c r="AP53">
        <v>0.5</v>
      </c>
      <c r="AQ53" t="s">
        <v>331</v>
      </c>
      <c r="AR53">
        <v>2</v>
      </c>
      <c r="AS53">
        <v>1690377126</v>
      </c>
      <c r="AT53">
        <v>703.37099999999998</v>
      </c>
      <c r="AU53">
        <v>799.95699999999999</v>
      </c>
      <c r="AV53">
        <v>24.750800000000002</v>
      </c>
      <c r="AW53">
        <v>18.4937</v>
      </c>
      <c r="AX53">
        <v>704.005</v>
      </c>
      <c r="AY53">
        <v>24.5396</v>
      </c>
      <c r="AZ53">
        <v>300.16699999999997</v>
      </c>
      <c r="BA53">
        <v>98.650899999999993</v>
      </c>
      <c r="BB53">
        <v>0.10006</v>
      </c>
      <c r="BC53">
        <v>27.092400000000001</v>
      </c>
      <c r="BD53">
        <v>26.988600000000002</v>
      </c>
      <c r="BE53">
        <v>29.110099999999999</v>
      </c>
      <c r="BF53">
        <v>0</v>
      </c>
      <c r="BG53">
        <v>0</v>
      </c>
      <c r="BH53">
        <v>9954.3799999999992</v>
      </c>
      <c r="BI53">
        <v>1083.9000000000001</v>
      </c>
      <c r="BJ53">
        <v>1.3455900000000001</v>
      </c>
      <c r="BK53">
        <v>-96.586500000000001</v>
      </c>
      <c r="BL53">
        <v>721.221</v>
      </c>
      <c r="BM53">
        <v>815.03</v>
      </c>
      <c r="BN53">
        <v>6.2570300000000003</v>
      </c>
      <c r="BO53">
        <v>799.95699999999999</v>
      </c>
      <c r="BP53">
        <v>18.4937</v>
      </c>
      <c r="BQ53">
        <v>2.4416799999999999</v>
      </c>
      <c r="BR53">
        <v>1.8244199999999999</v>
      </c>
      <c r="BS53">
        <v>20.642900000000001</v>
      </c>
      <c r="BT53">
        <v>15.9976</v>
      </c>
      <c r="BU53">
        <v>1799.99</v>
      </c>
      <c r="BV53">
        <v>0.90997600000000001</v>
      </c>
      <c r="BW53">
        <v>3.4003400000000003E-2</v>
      </c>
      <c r="BX53">
        <v>2.2007200000000001E-2</v>
      </c>
      <c r="BY53">
        <v>3.4013700000000001E-2</v>
      </c>
      <c r="BZ53">
        <v>25</v>
      </c>
      <c r="CA53">
        <v>33528</v>
      </c>
      <c r="CB53">
        <v>1690376213.5999999</v>
      </c>
      <c r="CC53" t="s">
        <v>332</v>
      </c>
      <c r="CD53">
        <v>1690376213.5999999</v>
      </c>
      <c r="CE53">
        <v>1690376198.0999999</v>
      </c>
      <c r="CF53">
        <v>2</v>
      </c>
      <c r="CG53">
        <v>0.66900000000000004</v>
      </c>
      <c r="CH53">
        <v>-2.1000000000000001E-2</v>
      </c>
      <c r="CI53">
        <v>-0.70099999999999996</v>
      </c>
      <c r="CJ53">
        <v>0.21099999999999999</v>
      </c>
      <c r="CK53">
        <v>799</v>
      </c>
      <c r="CL53">
        <v>21</v>
      </c>
      <c r="CM53">
        <v>0.11</v>
      </c>
      <c r="CN53">
        <v>0.17</v>
      </c>
      <c r="CO53">
        <v>-93.797917073170723</v>
      </c>
      <c r="CP53">
        <v>-14.54386202090598</v>
      </c>
      <c r="CQ53">
        <v>1.4345325656476491</v>
      </c>
      <c r="CR53">
        <v>-1</v>
      </c>
      <c r="CS53">
        <v>6.1493014634146341</v>
      </c>
      <c r="CT53">
        <v>0.6420280139372867</v>
      </c>
      <c r="CU53">
        <v>6.3461869233728901E-2</v>
      </c>
      <c r="CV53">
        <v>-1</v>
      </c>
      <c r="CW53">
        <v>0</v>
      </c>
      <c r="CX53">
        <v>0</v>
      </c>
      <c r="CY53" t="s">
        <v>333</v>
      </c>
      <c r="CZ53">
        <v>2.3649800000000001</v>
      </c>
      <c r="DA53">
        <v>2.7138100000000001</v>
      </c>
      <c r="DB53">
        <v>0.13424700000000001</v>
      </c>
      <c r="DC53">
        <v>0.145923</v>
      </c>
      <c r="DD53">
        <v>0.115999</v>
      </c>
      <c r="DE53">
        <v>9.3083299999999994E-2</v>
      </c>
      <c r="DF53">
        <v>31622.799999999999</v>
      </c>
      <c r="DG53">
        <v>27518.1</v>
      </c>
      <c r="DH53">
        <v>31180.3</v>
      </c>
      <c r="DI53">
        <v>28072.5</v>
      </c>
      <c r="DJ53">
        <v>37416.199999999997</v>
      </c>
      <c r="DK53">
        <v>36188.5</v>
      </c>
      <c r="DL53">
        <v>44370.5</v>
      </c>
      <c r="DM53">
        <v>42533.5</v>
      </c>
      <c r="DN53">
        <v>1.43387</v>
      </c>
      <c r="DO53">
        <v>2.0788199999999999</v>
      </c>
      <c r="DP53">
        <v>9.3255199999999996E-2</v>
      </c>
      <c r="DQ53">
        <v>0.22561500000000001</v>
      </c>
      <c r="DR53">
        <v>25.461600000000001</v>
      </c>
      <c r="DS53">
        <v>25.421900000000001</v>
      </c>
      <c r="DT53">
        <v>61.7</v>
      </c>
      <c r="DU53">
        <v>26.6</v>
      </c>
      <c r="DV53">
        <v>21.866099999999999</v>
      </c>
      <c r="DW53">
        <v>61.950200000000002</v>
      </c>
      <c r="DX53">
        <v>36.566499999999998</v>
      </c>
      <c r="DY53">
        <v>1</v>
      </c>
      <c r="DZ53">
        <v>-0.140213</v>
      </c>
      <c r="EA53">
        <v>-0.25989099999999998</v>
      </c>
      <c r="EB53">
        <v>20.190899999999999</v>
      </c>
      <c r="EC53">
        <v>5.2418500000000003</v>
      </c>
      <c r="ED53">
        <v>12.039899999999999</v>
      </c>
      <c r="EE53">
        <v>5.01675</v>
      </c>
      <c r="EF53">
        <v>3.2879999999999998</v>
      </c>
      <c r="EG53">
        <v>9999</v>
      </c>
      <c r="EH53">
        <v>9999</v>
      </c>
      <c r="EI53">
        <v>9999</v>
      </c>
      <c r="EJ53">
        <v>999.9</v>
      </c>
      <c r="EK53">
        <v>1.8688199999999999</v>
      </c>
      <c r="EL53">
        <v>1.86449</v>
      </c>
      <c r="EM53">
        <v>1.8691</v>
      </c>
      <c r="EN53">
        <v>1.8671599999999999</v>
      </c>
      <c r="EO53">
        <v>1.8632500000000001</v>
      </c>
      <c r="EP53">
        <v>1.86432</v>
      </c>
      <c r="EQ53">
        <v>1.8701000000000001</v>
      </c>
      <c r="ER53">
        <v>1.8693500000000001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-0.63400000000000001</v>
      </c>
      <c r="FG53">
        <v>0.2112</v>
      </c>
      <c r="FH53">
        <v>-0.150361779349652</v>
      </c>
      <c r="FI53">
        <v>-6.1462078757559423E-4</v>
      </c>
      <c r="FJ53">
        <v>-1.8861989874597051E-7</v>
      </c>
      <c r="FK53">
        <v>1.1980462299894961E-10</v>
      </c>
      <c r="FL53">
        <v>0.21114761904761539</v>
      </c>
      <c r="FM53">
        <v>0</v>
      </c>
      <c r="FN53">
        <v>0</v>
      </c>
      <c r="FO53">
        <v>0</v>
      </c>
      <c r="FP53">
        <v>3</v>
      </c>
      <c r="FQ53">
        <v>2158</v>
      </c>
      <c r="FR53">
        <v>1</v>
      </c>
      <c r="FS53">
        <v>19</v>
      </c>
      <c r="FT53">
        <v>15.2</v>
      </c>
      <c r="FU53">
        <v>15.5</v>
      </c>
      <c r="FV53">
        <v>1.78833</v>
      </c>
      <c r="FW53">
        <v>2.5647000000000002</v>
      </c>
      <c r="FX53">
        <v>1.5490699999999999</v>
      </c>
      <c r="FY53">
        <v>2.33765</v>
      </c>
      <c r="FZ53">
        <v>1.50146</v>
      </c>
      <c r="GA53">
        <v>2.3974600000000001</v>
      </c>
      <c r="GB53">
        <v>31.783000000000001</v>
      </c>
      <c r="GC53">
        <v>23.991199999999999</v>
      </c>
      <c r="GD53">
        <v>19</v>
      </c>
      <c r="GE53">
        <v>262.81200000000001</v>
      </c>
      <c r="GF53">
        <v>611.50199999999995</v>
      </c>
      <c r="GG53">
        <v>25.2912</v>
      </c>
      <c r="GH53">
        <v>25.692699999999999</v>
      </c>
      <c r="GI53">
        <v>30</v>
      </c>
      <c r="GJ53">
        <v>25.7517</v>
      </c>
      <c r="GK53">
        <v>25.709099999999999</v>
      </c>
      <c r="GL53">
        <v>35.7637</v>
      </c>
      <c r="GM53">
        <v>25.040800000000001</v>
      </c>
      <c r="GN53">
        <v>100</v>
      </c>
      <c r="GO53">
        <v>25.296600000000002</v>
      </c>
      <c r="GP53">
        <v>800</v>
      </c>
      <c r="GQ53">
        <v>18.345300000000002</v>
      </c>
      <c r="GR53">
        <v>99.760999999999996</v>
      </c>
      <c r="GS53">
        <v>99.514399999999995</v>
      </c>
    </row>
    <row r="54" spans="1:201" x14ac:dyDescent="0.25">
      <c r="A54">
        <v>38</v>
      </c>
      <c r="B54">
        <v>1690377136</v>
      </c>
      <c r="C54">
        <v>419.5</v>
      </c>
      <c r="D54" t="s">
        <v>409</v>
      </c>
      <c r="E54" t="s">
        <v>410</v>
      </c>
      <c r="F54" t="s">
        <v>330</v>
      </c>
      <c r="H54">
        <v>1690377136</v>
      </c>
      <c r="I54">
        <f t="shared" si="0"/>
        <v>5.6586136482480456E-4</v>
      </c>
      <c r="J54">
        <f t="shared" si="1"/>
        <v>0.56586136482480454</v>
      </c>
      <c r="K54">
        <f t="shared" si="2"/>
        <v>8.2057602222242298</v>
      </c>
      <c r="L54">
        <f t="shared" si="3"/>
        <v>700.98</v>
      </c>
      <c r="M54">
        <f t="shared" si="4"/>
        <v>292.73755659336268</v>
      </c>
      <c r="N54">
        <f t="shared" si="5"/>
        <v>28.907751454341163</v>
      </c>
      <c r="O54">
        <f t="shared" si="6"/>
        <v>69.221578024620001</v>
      </c>
      <c r="P54">
        <f t="shared" si="7"/>
        <v>3.352666002659218E-2</v>
      </c>
      <c r="Q54">
        <f t="shared" si="8"/>
        <v>2.0049996104280803</v>
      </c>
      <c r="R54">
        <f t="shared" si="9"/>
        <v>3.3218298363974434E-2</v>
      </c>
      <c r="S54">
        <f t="shared" si="10"/>
        <v>2.078890508741843E-2</v>
      </c>
      <c r="T54">
        <f t="shared" si="11"/>
        <v>276.11463749326958</v>
      </c>
      <c r="U54">
        <f t="shared" si="12"/>
        <v>29.190559909614795</v>
      </c>
      <c r="V54">
        <f t="shared" si="13"/>
        <v>29.190559909614795</v>
      </c>
      <c r="W54">
        <f t="shared" si="14"/>
        <v>4.0663340072267964</v>
      </c>
      <c r="X54">
        <f t="shared" si="15"/>
        <v>67.789593757478002</v>
      </c>
      <c r="Y54">
        <f t="shared" si="16"/>
        <v>2.4395821829792999</v>
      </c>
      <c r="Z54">
        <f t="shared" si="17"/>
        <v>3.5987561626450737</v>
      </c>
      <c r="AA54">
        <f t="shared" si="18"/>
        <v>1.6267518242474965</v>
      </c>
      <c r="AB54">
        <f t="shared" si="19"/>
        <v>-24.954486188773881</v>
      </c>
      <c r="AC54">
        <f t="shared" si="20"/>
        <v>-226.73267388932686</v>
      </c>
      <c r="AD54">
        <f t="shared" si="21"/>
        <v>-24.684784019140629</v>
      </c>
      <c r="AE54">
        <f t="shared" si="22"/>
        <v>-0.2573066039717844</v>
      </c>
      <c r="AF54">
        <v>15</v>
      </c>
      <c r="AG54">
        <v>5</v>
      </c>
      <c r="AH54">
        <f t="shared" si="23"/>
        <v>1</v>
      </c>
      <c r="AI54">
        <f t="shared" si="24"/>
        <v>0</v>
      </c>
      <c r="AJ54">
        <f t="shared" si="25"/>
        <v>52037.536263513794</v>
      </c>
      <c r="AK54">
        <f t="shared" si="26"/>
        <v>1799.99</v>
      </c>
      <c r="AL54">
        <f t="shared" si="27"/>
        <v>1499.1029858038098</v>
      </c>
      <c r="AM54">
        <f t="shared" si="28"/>
        <v>0.83283961899999992</v>
      </c>
      <c r="AN54">
        <f t="shared" si="29"/>
        <v>0.15339787303999999</v>
      </c>
      <c r="AO54">
        <v>34.5</v>
      </c>
      <c r="AP54">
        <v>0.5</v>
      </c>
      <c r="AQ54" t="s">
        <v>331</v>
      </c>
      <c r="AR54">
        <v>2</v>
      </c>
      <c r="AS54">
        <v>1690377136</v>
      </c>
      <c r="AT54">
        <v>700.98</v>
      </c>
      <c r="AU54">
        <v>799.89</v>
      </c>
      <c r="AV54">
        <v>24.704699999999999</v>
      </c>
      <c r="AW54">
        <v>18.359200000000001</v>
      </c>
      <c r="AX54">
        <v>701.61300000000006</v>
      </c>
      <c r="AY54">
        <v>24.493600000000001</v>
      </c>
      <c r="AZ54">
        <v>300.05399999999997</v>
      </c>
      <c r="BA54">
        <v>98.649699999999996</v>
      </c>
      <c r="BB54">
        <v>0.100019</v>
      </c>
      <c r="BC54">
        <v>27.093</v>
      </c>
      <c r="BD54">
        <v>26.979800000000001</v>
      </c>
      <c r="BE54">
        <v>29.082599999999999</v>
      </c>
      <c r="BF54">
        <v>0</v>
      </c>
      <c r="BG54">
        <v>0</v>
      </c>
      <c r="BH54">
        <v>9978.1200000000008</v>
      </c>
      <c r="BI54">
        <v>1083.83</v>
      </c>
      <c r="BJ54">
        <v>1.3455900000000001</v>
      </c>
      <c r="BK54">
        <v>-98.910300000000007</v>
      </c>
      <c r="BL54">
        <v>718.73599999999999</v>
      </c>
      <c r="BM54">
        <v>814.85</v>
      </c>
      <c r="BN54">
        <v>6.3455000000000004</v>
      </c>
      <c r="BO54">
        <v>799.89</v>
      </c>
      <c r="BP54">
        <v>18.359200000000001</v>
      </c>
      <c r="BQ54">
        <v>2.4371100000000001</v>
      </c>
      <c r="BR54">
        <v>1.8111299999999999</v>
      </c>
      <c r="BS54">
        <v>20.612500000000001</v>
      </c>
      <c r="BT54">
        <v>15.8832</v>
      </c>
      <c r="BU54">
        <v>1799.99</v>
      </c>
      <c r="BV54">
        <v>0.90998599999999996</v>
      </c>
      <c r="BW54">
        <v>3.3999700000000001E-2</v>
      </c>
      <c r="BX54">
        <v>2.2004699999999999E-2</v>
      </c>
      <c r="BY54">
        <v>3.4009999999999999E-2</v>
      </c>
      <c r="BZ54">
        <v>25</v>
      </c>
      <c r="CA54">
        <v>33528.1</v>
      </c>
      <c r="CB54">
        <v>1690376213.5999999</v>
      </c>
      <c r="CC54" t="s">
        <v>332</v>
      </c>
      <c r="CD54">
        <v>1690376213.5999999</v>
      </c>
      <c r="CE54">
        <v>1690376198.0999999</v>
      </c>
      <c r="CF54">
        <v>2</v>
      </c>
      <c r="CG54">
        <v>0.66900000000000004</v>
      </c>
      <c r="CH54">
        <v>-2.1000000000000001E-2</v>
      </c>
      <c r="CI54">
        <v>-0.70099999999999996</v>
      </c>
      <c r="CJ54">
        <v>0.21099999999999999</v>
      </c>
      <c r="CK54">
        <v>799</v>
      </c>
      <c r="CL54">
        <v>21</v>
      </c>
      <c r="CM54">
        <v>0.11</v>
      </c>
      <c r="CN54">
        <v>0.17</v>
      </c>
      <c r="CO54">
        <v>-96.441890243902449</v>
      </c>
      <c r="CP54">
        <v>-14.09688919860627</v>
      </c>
      <c r="CQ54">
        <v>1.390374796953102</v>
      </c>
      <c r="CR54">
        <v>-1</v>
      </c>
      <c r="CS54">
        <v>6.2571921951219522</v>
      </c>
      <c r="CT54">
        <v>0.53761567944252053</v>
      </c>
      <c r="CU54">
        <v>5.3188062364672287E-2</v>
      </c>
      <c r="CV54">
        <v>-1</v>
      </c>
      <c r="CW54">
        <v>0</v>
      </c>
      <c r="CX54">
        <v>0</v>
      </c>
      <c r="CY54" t="s">
        <v>333</v>
      </c>
      <c r="CZ54">
        <v>2.3646099999999999</v>
      </c>
      <c r="DA54">
        <v>2.7137899999999999</v>
      </c>
      <c r="DB54">
        <v>0.133933</v>
      </c>
      <c r="DC54">
        <v>0.14591000000000001</v>
      </c>
      <c r="DD54">
        <v>0.115845</v>
      </c>
      <c r="DE54">
        <v>9.2597100000000002E-2</v>
      </c>
      <c r="DF54">
        <v>31634.6</v>
      </c>
      <c r="DG54">
        <v>27518.9</v>
      </c>
      <c r="DH54">
        <v>31180.6</v>
      </c>
      <c r="DI54">
        <v>28073</v>
      </c>
      <c r="DJ54">
        <v>37423.1</v>
      </c>
      <c r="DK54">
        <v>36208.400000000001</v>
      </c>
      <c r="DL54">
        <v>44371</v>
      </c>
      <c r="DM54">
        <v>42534.2</v>
      </c>
      <c r="DN54">
        <v>1.4334199999999999</v>
      </c>
      <c r="DO54">
        <v>2.0788000000000002</v>
      </c>
      <c r="DP54">
        <v>9.2722499999999999E-2</v>
      </c>
      <c r="DQ54">
        <v>0.224162</v>
      </c>
      <c r="DR54">
        <v>25.461600000000001</v>
      </c>
      <c r="DS54">
        <v>25.418099999999999</v>
      </c>
      <c r="DT54">
        <v>61.7</v>
      </c>
      <c r="DU54">
        <v>26.6</v>
      </c>
      <c r="DV54">
        <v>21.864699999999999</v>
      </c>
      <c r="DW54">
        <v>61.850200000000001</v>
      </c>
      <c r="DX54">
        <v>37.1554</v>
      </c>
      <c r="DY54">
        <v>1</v>
      </c>
      <c r="DZ54">
        <v>-0.140315</v>
      </c>
      <c r="EA54">
        <v>-0.295103</v>
      </c>
      <c r="EB54">
        <v>20.1907</v>
      </c>
      <c r="EC54">
        <v>5.2423000000000002</v>
      </c>
      <c r="ED54">
        <v>12.039899999999999</v>
      </c>
      <c r="EE54">
        <v>5.0166500000000003</v>
      </c>
      <c r="EF54">
        <v>3.2879499999999999</v>
      </c>
      <c r="EG54">
        <v>9999</v>
      </c>
      <c r="EH54">
        <v>9999</v>
      </c>
      <c r="EI54">
        <v>9999</v>
      </c>
      <c r="EJ54">
        <v>999.9</v>
      </c>
      <c r="EK54">
        <v>1.8688199999999999</v>
      </c>
      <c r="EL54">
        <v>1.8644799999999999</v>
      </c>
      <c r="EM54">
        <v>1.86911</v>
      </c>
      <c r="EN54">
        <v>1.8671899999999999</v>
      </c>
      <c r="EO54">
        <v>1.8632500000000001</v>
      </c>
      <c r="EP54">
        <v>1.86432</v>
      </c>
      <c r="EQ54">
        <v>1.87012</v>
      </c>
      <c r="ER54">
        <v>1.8693500000000001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-0.63300000000000001</v>
      </c>
      <c r="FG54">
        <v>0.21110000000000001</v>
      </c>
      <c r="FH54">
        <v>-0.150361779349652</v>
      </c>
      <c r="FI54">
        <v>-6.1462078757559423E-4</v>
      </c>
      <c r="FJ54">
        <v>-1.8861989874597051E-7</v>
      </c>
      <c r="FK54">
        <v>1.1980462299894961E-10</v>
      </c>
      <c r="FL54">
        <v>0.21114761904761539</v>
      </c>
      <c r="FM54">
        <v>0</v>
      </c>
      <c r="FN54">
        <v>0</v>
      </c>
      <c r="FO54">
        <v>0</v>
      </c>
      <c r="FP54">
        <v>3</v>
      </c>
      <c r="FQ54">
        <v>2158</v>
      </c>
      <c r="FR54">
        <v>1</v>
      </c>
      <c r="FS54">
        <v>19</v>
      </c>
      <c r="FT54">
        <v>15.4</v>
      </c>
      <c r="FU54">
        <v>15.6</v>
      </c>
      <c r="FV54">
        <v>1.78955</v>
      </c>
      <c r="FW54">
        <v>2.5683600000000002</v>
      </c>
      <c r="FX54">
        <v>1.5490699999999999</v>
      </c>
      <c r="FY54">
        <v>2.33887</v>
      </c>
      <c r="FZ54">
        <v>1.50146</v>
      </c>
      <c r="GA54">
        <v>2.35107</v>
      </c>
      <c r="GB54">
        <v>31.783000000000001</v>
      </c>
      <c r="GC54">
        <v>23.982399999999998</v>
      </c>
      <c r="GD54">
        <v>19</v>
      </c>
      <c r="GE54">
        <v>262.64</v>
      </c>
      <c r="GF54">
        <v>611.50699999999995</v>
      </c>
      <c r="GG54">
        <v>25.305399999999999</v>
      </c>
      <c r="GH54">
        <v>25.692699999999999</v>
      </c>
      <c r="GI54">
        <v>29.9999</v>
      </c>
      <c r="GJ54">
        <v>25.753900000000002</v>
      </c>
      <c r="GK54">
        <v>25.711200000000002</v>
      </c>
      <c r="GL54">
        <v>35.772399999999998</v>
      </c>
      <c r="GM54">
        <v>25.916399999999999</v>
      </c>
      <c r="GN54">
        <v>100</v>
      </c>
      <c r="GO54">
        <v>25.326699999999999</v>
      </c>
      <c r="GP54">
        <v>800</v>
      </c>
      <c r="GQ54">
        <v>18.2013</v>
      </c>
      <c r="GR54">
        <v>99.762100000000004</v>
      </c>
      <c r="GS54">
        <v>99.515900000000002</v>
      </c>
    </row>
    <row r="55" spans="1:201" x14ac:dyDescent="0.25">
      <c r="A55">
        <v>39</v>
      </c>
      <c r="B55">
        <v>1690377146</v>
      </c>
      <c r="C55">
        <v>429.5</v>
      </c>
      <c r="D55" t="s">
        <v>411</v>
      </c>
      <c r="E55" t="s">
        <v>412</v>
      </c>
      <c r="F55" t="s">
        <v>330</v>
      </c>
      <c r="H55">
        <v>1690377146</v>
      </c>
      <c r="I55">
        <f t="shared" si="0"/>
        <v>5.7522669367239218E-4</v>
      </c>
      <c r="J55">
        <f t="shared" si="1"/>
        <v>0.57522669367239221</v>
      </c>
      <c r="K55">
        <f t="shared" si="2"/>
        <v>8.4069011691227438</v>
      </c>
      <c r="L55">
        <f t="shared" si="3"/>
        <v>698.62300000000005</v>
      </c>
      <c r="M55">
        <f t="shared" si="4"/>
        <v>286.59840414835486</v>
      </c>
      <c r="N55">
        <f t="shared" si="5"/>
        <v>28.303697474928512</v>
      </c>
      <c r="O55">
        <f t="shared" si="6"/>
        <v>68.994152635935009</v>
      </c>
      <c r="P55">
        <f t="shared" si="7"/>
        <v>3.4018653042376015E-2</v>
      </c>
      <c r="Q55">
        <f t="shared" si="8"/>
        <v>2.0059326910429593</v>
      </c>
      <c r="R55">
        <f t="shared" si="9"/>
        <v>3.3701367154362269E-2</v>
      </c>
      <c r="S55">
        <f t="shared" si="10"/>
        <v>2.1091614631844825E-2</v>
      </c>
      <c r="T55">
        <f t="shared" si="11"/>
        <v>276.11410532622614</v>
      </c>
      <c r="U55">
        <f t="shared" si="12"/>
        <v>29.189619897604377</v>
      </c>
      <c r="V55">
        <f t="shared" si="13"/>
        <v>29.189619897604377</v>
      </c>
      <c r="W55">
        <f t="shared" si="14"/>
        <v>4.0661131391604215</v>
      </c>
      <c r="X55">
        <f t="shared" si="15"/>
        <v>67.675945229728825</v>
      </c>
      <c r="Y55">
        <f t="shared" si="16"/>
        <v>2.4359782989734997</v>
      </c>
      <c r="Z55">
        <f t="shared" si="17"/>
        <v>3.599474363755792</v>
      </c>
      <c r="AA55">
        <f t="shared" si="18"/>
        <v>1.6301348401869218</v>
      </c>
      <c r="AB55">
        <f t="shared" si="19"/>
        <v>-25.367497190952495</v>
      </c>
      <c r="AC55">
        <f t="shared" si="20"/>
        <v>-226.36884447234692</v>
      </c>
      <c r="AD55">
        <f t="shared" si="21"/>
        <v>-24.634009919526857</v>
      </c>
      <c r="AE55">
        <f t="shared" si="22"/>
        <v>-0.25624625660012157</v>
      </c>
      <c r="AF55">
        <v>15</v>
      </c>
      <c r="AG55">
        <v>5</v>
      </c>
      <c r="AH55">
        <f t="shared" si="23"/>
        <v>1</v>
      </c>
      <c r="AI55">
        <f t="shared" si="24"/>
        <v>0</v>
      </c>
      <c r="AJ55">
        <f t="shared" si="25"/>
        <v>52081.642158315517</v>
      </c>
      <c r="AK55">
        <f t="shared" si="26"/>
        <v>1799.99</v>
      </c>
      <c r="AL55">
        <f t="shared" si="27"/>
        <v>1499.1040117981099</v>
      </c>
      <c r="AM55">
        <f t="shared" si="28"/>
        <v>0.83284018900000001</v>
      </c>
      <c r="AN55">
        <f t="shared" si="29"/>
        <v>0.15339757739000001</v>
      </c>
      <c r="AO55">
        <v>34.5</v>
      </c>
      <c r="AP55">
        <v>0.5</v>
      </c>
      <c r="AQ55" t="s">
        <v>331</v>
      </c>
      <c r="AR55">
        <v>2</v>
      </c>
      <c r="AS55">
        <v>1690377146</v>
      </c>
      <c r="AT55">
        <v>698.62300000000005</v>
      </c>
      <c r="AU55">
        <v>799.88400000000001</v>
      </c>
      <c r="AV55">
        <v>24.6663</v>
      </c>
      <c r="AW55">
        <v>18.216899999999999</v>
      </c>
      <c r="AX55">
        <v>699.25400000000002</v>
      </c>
      <c r="AY55">
        <v>24.455200000000001</v>
      </c>
      <c r="AZ55">
        <v>300.11799999999999</v>
      </c>
      <c r="BA55">
        <v>98.657300000000006</v>
      </c>
      <c r="BB55">
        <v>0.100045</v>
      </c>
      <c r="BC55">
        <v>27.096399999999999</v>
      </c>
      <c r="BD55">
        <v>26.9893</v>
      </c>
      <c r="BE55">
        <v>29.099499999999999</v>
      </c>
      <c r="BF55">
        <v>0</v>
      </c>
      <c r="BG55">
        <v>0</v>
      </c>
      <c r="BH55">
        <v>9986.25</v>
      </c>
      <c r="BI55">
        <v>1083.6600000000001</v>
      </c>
      <c r="BJ55">
        <v>1.3455900000000001</v>
      </c>
      <c r="BK55">
        <v>-101.261</v>
      </c>
      <c r="BL55">
        <v>716.29100000000005</v>
      </c>
      <c r="BM55">
        <v>814.726</v>
      </c>
      <c r="BN55">
        <v>6.4493999999999998</v>
      </c>
      <c r="BO55">
        <v>799.88400000000001</v>
      </c>
      <c r="BP55">
        <v>18.216899999999999</v>
      </c>
      <c r="BQ55">
        <v>2.4335100000000001</v>
      </c>
      <c r="BR55">
        <v>1.7972300000000001</v>
      </c>
      <c r="BS55">
        <v>20.5885</v>
      </c>
      <c r="BT55">
        <v>15.762700000000001</v>
      </c>
      <c r="BU55">
        <v>1799.99</v>
      </c>
      <c r="BV55">
        <v>0.90999600000000003</v>
      </c>
      <c r="BW55">
        <v>3.39958E-2</v>
      </c>
      <c r="BX55">
        <v>2.20022E-2</v>
      </c>
      <c r="BY55">
        <v>3.4006099999999997E-2</v>
      </c>
      <c r="BZ55">
        <v>25</v>
      </c>
      <c r="CA55">
        <v>33528.199999999997</v>
      </c>
      <c r="CB55">
        <v>1690376213.5999999</v>
      </c>
      <c r="CC55" t="s">
        <v>332</v>
      </c>
      <c r="CD55">
        <v>1690376213.5999999</v>
      </c>
      <c r="CE55">
        <v>1690376198.0999999</v>
      </c>
      <c r="CF55">
        <v>2</v>
      </c>
      <c r="CG55">
        <v>0.66900000000000004</v>
      </c>
      <c r="CH55">
        <v>-2.1000000000000001E-2</v>
      </c>
      <c r="CI55">
        <v>-0.70099999999999996</v>
      </c>
      <c r="CJ55">
        <v>0.21099999999999999</v>
      </c>
      <c r="CK55">
        <v>799</v>
      </c>
      <c r="CL55">
        <v>21</v>
      </c>
      <c r="CM55">
        <v>0.11</v>
      </c>
      <c r="CN55">
        <v>0.17</v>
      </c>
      <c r="CO55">
        <v>-98.56811463414634</v>
      </c>
      <c r="CP55">
        <v>-14.21768153310108</v>
      </c>
      <c r="CQ55">
        <v>1.402212830747412</v>
      </c>
      <c r="CR55">
        <v>-1</v>
      </c>
      <c r="CS55">
        <v>6.3385590243902437</v>
      </c>
      <c r="CT55">
        <v>0.56940543554007061</v>
      </c>
      <c r="CU55">
        <v>5.6311297042937483E-2</v>
      </c>
      <c r="CV55">
        <v>-1</v>
      </c>
      <c r="CW55">
        <v>0</v>
      </c>
      <c r="CX55">
        <v>0</v>
      </c>
      <c r="CY55" t="s">
        <v>333</v>
      </c>
      <c r="CZ55">
        <v>2.3648199999999999</v>
      </c>
      <c r="DA55">
        <v>2.7138200000000001</v>
      </c>
      <c r="DB55">
        <v>0.133634</v>
      </c>
      <c r="DC55">
        <v>0.14591699999999999</v>
      </c>
      <c r="DD55">
        <v>0.115727</v>
      </c>
      <c r="DE55">
        <v>9.2088900000000001E-2</v>
      </c>
      <c r="DF55">
        <v>31645.5</v>
      </c>
      <c r="DG55">
        <v>27519.3</v>
      </c>
      <c r="DH55">
        <v>31180.5</v>
      </c>
      <c r="DI55">
        <v>28073.599999999999</v>
      </c>
      <c r="DJ55">
        <v>37428.300000000003</v>
      </c>
      <c r="DK55">
        <v>36229.5</v>
      </c>
      <c r="DL55">
        <v>44371.199999999997</v>
      </c>
      <c r="DM55">
        <v>42535</v>
      </c>
      <c r="DN55">
        <v>1.4334</v>
      </c>
      <c r="DO55">
        <v>2.0783</v>
      </c>
      <c r="DP55">
        <v>9.3594200000000002E-2</v>
      </c>
      <c r="DQ55">
        <v>0.22542100000000001</v>
      </c>
      <c r="DR55">
        <v>25.456700000000001</v>
      </c>
      <c r="DS55">
        <v>25.4145</v>
      </c>
      <c r="DT55">
        <v>61.7</v>
      </c>
      <c r="DU55">
        <v>26.6</v>
      </c>
      <c r="DV55">
        <v>21.861999999999998</v>
      </c>
      <c r="DW55">
        <v>61.930199999999999</v>
      </c>
      <c r="DX55">
        <v>37.075299999999999</v>
      </c>
      <c r="DY55">
        <v>1</v>
      </c>
      <c r="DZ55">
        <v>-0.14044200000000001</v>
      </c>
      <c r="EA55">
        <v>-0.31020399999999998</v>
      </c>
      <c r="EB55">
        <v>20.1904</v>
      </c>
      <c r="EC55">
        <v>5.2431999999999999</v>
      </c>
      <c r="ED55">
        <v>12.039899999999999</v>
      </c>
      <c r="EE55">
        <v>5.01715</v>
      </c>
      <c r="EF55">
        <v>3.2879999999999998</v>
      </c>
      <c r="EG55">
        <v>9999</v>
      </c>
      <c r="EH55">
        <v>9999</v>
      </c>
      <c r="EI55">
        <v>9999</v>
      </c>
      <c r="EJ55">
        <v>999.9</v>
      </c>
      <c r="EK55">
        <v>1.8688199999999999</v>
      </c>
      <c r="EL55">
        <v>1.8644700000000001</v>
      </c>
      <c r="EM55">
        <v>1.86913</v>
      </c>
      <c r="EN55">
        <v>1.8671599999999999</v>
      </c>
      <c r="EO55">
        <v>1.86328</v>
      </c>
      <c r="EP55">
        <v>1.86432</v>
      </c>
      <c r="EQ55">
        <v>1.8701099999999999</v>
      </c>
      <c r="ER55">
        <v>1.8693299999999999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-0.63100000000000001</v>
      </c>
      <c r="FG55">
        <v>0.21110000000000001</v>
      </c>
      <c r="FH55">
        <v>-0.150361779349652</v>
      </c>
      <c r="FI55">
        <v>-6.1462078757559423E-4</v>
      </c>
      <c r="FJ55">
        <v>-1.8861989874597051E-7</v>
      </c>
      <c r="FK55">
        <v>1.1980462299894961E-10</v>
      </c>
      <c r="FL55">
        <v>0.21114761904761539</v>
      </c>
      <c r="FM55">
        <v>0</v>
      </c>
      <c r="FN55">
        <v>0</v>
      </c>
      <c r="FO55">
        <v>0</v>
      </c>
      <c r="FP55">
        <v>3</v>
      </c>
      <c r="FQ55">
        <v>2158</v>
      </c>
      <c r="FR55">
        <v>1</v>
      </c>
      <c r="FS55">
        <v>19</v>
      </c>
      <c r="FT55">
        <v>15.5</v>
      </c>
      <c r="FU55">
        <v>15.8</v>
      </c>
      <c r="FV55">
        <v>1.78955</v>
      </c>
      <c r="FW55">
        <v>2.5695800000000002</v>
      </c>
      <c r="FX55">
        <v>1.5490699999999999</v>
      </c>
      <c r="FY55">
        <v>2.33887</v>
      </c>
      <c r="FZ55">
        <v>1.50146</v>
      </c>
      <c r="GA55">
        <v>2.3327599999999999</v>
      </c>
      <c r="GB55">
        <v>31.8049</v>
      </c>
      <c r="GC55">
        <v>23.982399999999998</v>
      </c>
      <c r="GD55">
        <v>19</v>
      </c>
      <c r="GE55">
        <v>262.63</v>
      </c>
      <c r="GF55">
        <v>611.08600000000001</v>
      </c>
      <c r="GG55">
        <v>25.334299999999999</v>
      </c>
      <c r="GH55">
        <v>25.6906</v>
      </c>
      <c r="GI55">
        <v>30.0002</v>
      </c>
      <c r="GJ55">
        <v>25.753900000000002</v>
      </c>
      <c r="GK55">
        <v>25.7118</v>
      </c>
      <c r="GL55">
        <v>35.7761</v>
      </c>
      <c r="GM55">
        <v>26.499099999999999</v>
      </c>
      <c r="GN55">
        <v>100</v>
      </c>
      <c r="GO55">
        <v>25.338200000000001</v>
      </c>
      <c r="GP55">
        <v>800</v>
      </c>
      <c r="GQ55">
        <v>18.065999999999999</v>
      </c>
      <c r="GR55">
        <v>99.762200000000007</v>
      </c>
      <c r="GS55">
        <v>99.517899999999997</v>
      </c>
    </row>
    <row r="56" spans="1:201" x14ac:dyDescent="0.25">
      <c r="A56">
        <v>40</v>
      </c>
      <c r="B56">
        <v>1690377156</v>
      </c>
      <c r="C56">
        <v>439.5</v>
      </c>
      <c r="D56" t="s">
        <v>413</v>
      </c>
      <c r="E56" t="s">
        <v>414</v>
      </c>
      <c r="F56" t="s">
        <v>330</v>
      </c>
      <c r="H56">
        <v>1690377156</v>
      </c>
      <c r="I56">
        <f t="shared" si="0"/>
        <v>5.8658392161702532E-4</v>
      </c>
      <c r="J56">
        <f t="shared" si="1"/>
        <v>0.58658392161702533</v>
      </c>
      <c r="K56">
        <f t="shared" si="2"/>
        <v>8.6052401748815903</v>
      </c>
      <c r="L56">
        <f t="shared" si="3"/>
        <v>696.29399999999998</v>
      </c>
      <c r="M56">
        <f t="shared" si="4"/>
        <v>281.96994880313594</v>
      </c>
      <c r="N56">
        <f t="shared" si="5"/>
        <v>27.844054223276505</v>
      </c>
      <c r="O56">
        <f t="shared" si="6"/>
        <v>68.757851585376002</v>
      </c>
      <c r="P56">
        <f t="shared" si="7"/>
        <v>3.462071085161212E-2</v>
      </c>
      <c r="Q56">
        <f t="shared" si="8"/>
        <v>2.005771174222728</v>
      </c>
      <c r="R56">
        <f t="shared" si="9"/>
        <v>3.4292127340797625E-2</v>
      </c>
      <c r="S56">
        <f t="shared" si="10"/>
        <v>2.1461841524592733E-2</v>
      </c>
      <c r="T56">
        <f t="shared" si="11"/>
        <v>276.11370979642339</v>
      </c>
      <c r="U56">
        <f t="shared" si="12"/>
        <v>29.189579237547964</v>
      </c>
      <c r="V56">
        <f t="shared" si="13"/>
        <v>29.189579237547964</v>
      </c>
      <c r="W56">
        <f t="shared" si="14"/>
        <v>4.0661035857865393</v>
      </c>
      <c r="X56">
        <f t="shared" si="15"/>
        <v>67.564725679727587</v>
      </c>
      <c r="Y56">
        <f t="shared" si="16"/>
        <v>2.4325459710752004</v>
      </c>
      <c r="Z56">
        <f t="shared" si="17"/>
        <v>3.6003194664121487</v>
      </c>
      <c r="AA56">
        <f t="shared" si="18"/>
        <v>1.6335576147113389</v>
      </c>
      <c r="AB56">
        <f t="shared" si="19"/>
        <v>-25.868350943310816</v>
      </c>
      <c r="AC56">
        <f t="shared" si="20"/>
        <v>-225.91368002941306</v>
      </c>
      <c r="AD56">
        <f t="shared" si="21"/>
        <v>-24.586941242325743</v>
      </c>
      <c r="AE56">
        <f t="shared" si="22"/>
        <v>-0.25526241862621646</v>
      </c>
      <c r="AF56">
        <v>15</v>
      </c>
      <c r="AG56">
        <v>5</v>
      </c>
      <c r="AH56">
        <f t="shared" si="23"/>
        <v>1</v>
      </c>
      <c r="AI56">
        <f t="shared" si="24"/>
        <v>0</v>
      </c>
      <c r="AJ56">
        <f t="shared" si="25"/>
        <v>52073.044735275638</v>
      </c>
      <c r="AK56">
        <f t="shared" si="26"/>
        <v>1799.99</v>
      </c>
      <c r="AL56">
        <f t="shared" si="27"/>
        <v>1499.10530059095</v>
      </c>
      <c r="AM56">
        <f t="shared" si="28"/>
        <v>0.83284090499999996</v>
      </c>
      <c r="AN56">
        <f t="shared" si="29"/>
        <v>0.15339735764999995</v>
      </c>
      <c r="AO56">
        <v>34.5</v>
      </c>
      <c r="AP56">
        <v>0.5</v>
      </c>
      <c r="AQ56" t="s">
        <v>331</v>
      </c>
      <c r="AR56">
        <v>2</v>
      </c>
      <c r="AS56">
        <v>1690377156</v>
      </c>
      <c r="AT56">
        <v>696.29399999999998</v>
      </c>
      <c r="AU56">
        <v>799.88599999999997</v>
      </c>
      <c r="AV56">
        <v>24.633800000000001</v>
      </c>
      <c r="AW56">
        <v>18.058399999999999</v>
      </c>
      <c r="AX56">
        <v>696.923</v>
      </c>
      <c r="AY56">
        <v>24.422699999999999</v>
      </c>
      <c r="AZ56">
        <v>300.18900000000002</v>
      </c>
      <c r="BA56">
        <v>98.648300000000006</v>
      </c>
      <c r="BB56">
        <v>0.100004</v>
      </c>
      <c r="BC56">
        <v>27.1004</v>
      </c>
      <c r="BD56">
        <v>26.997699999999998</v>
      </c>
      <c r="BE56">
        <v>29.093800000000002</v>
      </c>
      <c r="BF56">
        <v>0</v>
      </c>
      <c r="BG56">
        <v>0</v>
      </c>
      <c r="BH56">
        <v>9985.6200000000008</v>
      </c>
      <c r="BI56">
        <v>1083.5999999999999</v>
      </c>
      <c r="BJ56">
        <v>1.3455900000000001</v>
      </c>
      <c r="BK56">
        <v>-103.593</v>
      </c>
      <c r="BL56">
        <v>713.87900000000002</v>
      </c>
      <c r="BM56">
        <v>814.596</v>
      </c>
      <c r="BN56">
        <v>6.5754799999999998</v>
      </c>
      <c r="BO56">
        <v>799.88599999999997</v>
      </c>
      <c r="BP56">
        <v>18.058399999999999</v>
      </c>
      <c r="BQ56">
        <v>2.4300899999999999</v>
      </c>
      <c r="BR56">
        <v>1.7814300000000001</v>
      </c>
      <c r="BS56">
        <v>20.5657</v>
      </c>
      <c r="BT56">
        <v>15.6248</v>
      </c>
      <c r="BU56">
        <v>1799.99</v>
      </c>
      <c r="BV56">
        <v>0.91000499999999995</v>
      </c>
      <c r="BW56">
        <v>3.3992399999999999E-2</v>
      </c>
      <c r="BX56">
        <v>2.1999999999999999E-2</v>
      </c>
      <c r="BY56">
        <v>3.4002699999999997E-2</v>
      </c>
      <c r="BZ56">
        <v>25</v>
      </c>
      <c r="CA56">
        <v>33528.199999999997</v>
      </c>
      <c r="CB56">
        <v>1690376213.5999999</v>
      </c>
      <c r="CC56" t="s">
        <v>332</v>
      </c>
      <c r="CD56">
        <v>1690376213.5999999</v>
      </c>
      <c r="CE56">
        <v>1690376198.0999999</v>
      </c>
      <c r="CF56">
        <v>2</v>
      </c>
      <c r="CG56">
        <v>0.66900000000000004</v>
      </c>
      <c r="CH56">
        <v>-2.1000000000000001E-2</v>
      </c>
      <c r="CI56">
        <v>-0.70099999999999996</v>
      </c>
      <c r="CJ56">
        <v>0.21099999999999999</v>
      </c>
      <c r="CK56">
        <v>799</v>
      </c>
      <c r="CL56">
        <v>21</v>
      </c>
      <c r="CM56">
        <v>0.11</v>
      </c>
      <c r="CN56">
        <v>0.17</v>
      </c>
      <c r="CO56">
        <v>-100.9172487804878</v>
      </c>
      <c r="CP56">
        <v>-13.996799999999849</v>
      </c>
      <c r="CQ56">
        <v>1.380256322098774</v>
      </c>
      <c r="CR56">
        <v>-1</v>
      </c>
      <c r="CS56">
        <v>6.4415529268292691</v>
      </c>
      <c r="CT56">
        <v>0.69653832752613842</v>
      </c>
      <c r="CU56">
        <v>6.8856538214234292E-2</v>
      </c>
      <c r="CV56">
        <v>-1</v>
      </c>
      <c r="CW56">
        <v>0</v>
      </c>
      <c r="CX56">
        <v>0</v>
      </c>
      <c r="CY56" t="s">
        <v>333</v>
      </c>
      <c r="CZ56">
        <v>2.3650500000000001</v>
      </c>
      <c r="DA56">
        <v>2.7137799999999999</v>
      </c>
      <c r="DB56">
        <v>0.13331599999999999</v>
      </c>
      <c r="DC56">
        <v>0.1459</v>
      </c>
      <c r="DD56">
        <v>0.115609</v>
      </c>
      <c r="DE56">
        <v>9.15049E-2</v>
      </c>
      <c r="DF56">
        <v>31657</v>
      </c>
      <c r="DG56">
        <v>27519.8</v>
      </c>
      <c r="DH56">
        <v>31180.5</v>
      </c>
      <c r="DI56">
        <v>28073.599999999999</v>
      </c>
      <c r="DJ56">
        <v>37433.199999999997</v>
      </c>
      <c r="DK56">
        <v>36253.1</v>
      </c>
      <c r="DL56">
        <v>44371</v>
      </c>
      <c r="DM56">
        <v>42535.3</v>
      </c>
      <c r="DN56">
        <v>1.4336500000000001</v>
      </c>
      <c r="DO56">
        <v>2.0784699999999998</v>
      </c>
      <c r="DP56">
        <v>9.4499399999999997E-2</v>
      </c>
      <c r="DQ56">
        <v>0.22520100000000001</v>
      </c>
      <c r="DR56">
        <v>25.450299999999999</v>
      </c>
      <c r="DS56">
        <v>25.412299999999998</v>
      </c>
      <c r="DT56">
        <v>61.7</v>
      </c>
      <c r="DU56">
        <v>26.6</v>
      </c>
      <c r="DV56">
        <v>21.866299999999999</v>
      </c>
      <c r="DW56">
        <v>61.830199999999998</v>
      </c>
      <c r="DX56">
        <v>36.598599999999998</v>
      </c>
      <c r="DY56">
        <v>1</v>
      </c>
      <c r="DZ56">
        <v>-0.140572</v>
      </c>
      <c r="EA56">
        <v>-0.30050100000000002</v>
      </c>
      <c r="EB56">
        <v>20.1906</v>
      </c>
      <c r="EC56">
        <v>5.2433500000000004</v>
      </c>
      <c r="ED56">
        <v>12.039899999999999</v>
      </c>
      <c r="EE56">
        <v>5.01675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1.8688199999999999</v>
      </c>
      <c r="EL56">
        <v>1.8644799999999999</v>
      </c>
      <c r="EM56">
        <v>1.8691500000000001</v>
      </c>
      <c r="EN56">
        <v>1.86717</v>
      </c>
      <c r="EO56">
        <v>1.86327</v>
      </c>
      <c r="EP56">
        <v>1.86432</v>
      </c>
      <c r="EQ56">
        <v>1.8701099999999999</v>
      </c>
      <c r="ER56">
        <v>1.8693500000000001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-0.629</v>
      </c>
      <c r="FG56">
        <v>0.21110000000000001</v>
      </c>
      <c r="FH56">
        <v>-0.150361779349652</v>
      </c>
      <c r="FI56">
        <v>-6.1462078757559423E-4</v>
      </c>
      <c r="FJ56">
        <v>-1.8861989874597051E-7</v>
      </c>
      <c r="FK56">
        <v>1.1980462299894961E-10</v>
      </c>
      <c r="FL56">
        <v>0.21114761904761539</v>
      </c>
      <c r="FM56">
        <v>0</v>
      </c>
      <c r="FN56">
        <v>0</v>
      </c>
      <c r="FO56">
        <v>0</v>
      </c>
      <c r="FP56">
        <v>3</v>
      </c>
      <c r="FQ56">
        <v>2158</v>
      </c>
      <c r="FR56">
        <v>1</v>
      </c>
      <c r="FS56">
        <v>19</v>
      </c>
      <c r="FT56">
        <v>15.7</v>
      </c>
      <c r="FU56">
        <v>16</v>
      </c>
      <c r="FV56">
        <v>1.78955</v>
      </c>
      <c r="FW56">
        <v>2.5695800000000002</v>
      </c>
      <c r="FX56">
        <v>1.5490699999999999</v>
      </c>
      <c r="FY56">
        <v>2.33887</v>
      </c>
      <c r="FZ56">
        <v>1.50146</v>
      </c>
      <c r="GA56">
        <v>2.2949199999999998</v>
      </c>
      <c r="GB56">
        <v>31.8049</v>
      </c>
      <c r="GC56">
        <v>23.982399999999998</v>
      </c>
      <c r="GD56">
        <v>19</v>
      </c>
      <c r="GE56">
        <v>262.73</v>
      </c>
      <c r="GF56">
        <v>611.25400000000002</v>
      </c>
      <c r="GG56">
        <v>25.344799999999999</v>
      </c>
      <c r="GH56">
        <v>25.6906</v>
      </c>
      <c r="GI56">
        <v>30.0001</v>
      </c>
      <c r="GJ56">
        <v>25.753900000000002</v>
      </c>
      <c r="GK56">
        <v>25.7133</v>
      </c>
      <c r="GL56">
        <v>35.782200000000003</v>
      </c>
      <c r="GM56">
        <v>27.080100000000002</v>
      </c>
      <c r="GN56">
        <v>100</v>
      </c>
      <c r="GO56">
        <v>25.349699999999999</v>
      </c>
      <c r="GP56">
        <v>800</v>
      </c>
      <c r="GQ56">
        <v>17.929600000000001</v>
      </c>
      <c r="GR56">
        <v>99.762</v>
      </c>
      <c r="GS56">
        <v>99.5184</v>
      </c>
    </row>
    <row r="57" spans="1:201" x14ac:dyDescent="0.25">
      <c r="A57">
        <v>41</v>
      </c>
      <c r="B57">
        <v>1690377166</v>
      </c>
      <c r="C57">
        <v>449.5</v>
      </c>
      <c r="D57" t="s">
        <v>415</v>
      </c>
      <c r="E57" t="s">
        <v>416</v>
      </c>
      <c r="F57" t="s">
        <v>330</v>
      </c>
      <c r="H57">
        <v>1690377166</v>
      </c>
      <c r="I57">
        <f t="shared" si="0"/>
        <v>5.924707737092849E-4</v>
      </c>
      <c r="J57">
        <f t="shared" si="1"/>
        <v>0.59247077370928491</v>
      </c>
      <c r="K57">
        <f t="shared" si="2"/>
        <v>8.8125961764727911</v>
      </c>
      <c r="L57">
        <f t="shared" si="3"/>
        <v>694.02800000000002</v>
      </c>
      <c r="M57">
        <f t="shared" si="4"/>
        <v>273.84580656469831</v>
      </c>
      <c r="N57">
        <f t="shared" si="5"/>
        <v>27.042927889741645</v>
      </c>
      <c r="O57">
        <f t="shared" si="6"/>
        <v>68.536923726919994</v>
      </c>
      <c r="P57">
        <f t="shared" si="7"/>
        <v>3.493592408718274E-2</v>
      </c>
      <c r="Q57">
        <f t="shared" si="8"/>
        <v>2.0057486252126524</v>
      </c>
      <c r="R57">
        <f t="shared" si="9"/>
        <v>3.4601357459675276E-2</v>
      </c>
      <c r="S57">
        <f t="shared" si="10"/>
        <v>2.165564079142264E-2</v>
      </c>
      <c r="T57">
        <f t="shared" si="11"/>
        <v>276.1119783470412</v>
      </c>
      <c r="U57">
        <f t="shared" si="12"/>
        <v>29.182129353301033</v>
      </c>
      <c r="V57">
        <f t="shared" si="13"/>
        <v>29.182129353301033</v>
      </c>
      <c r="W57">
        <f t="shared" si="14"/>
        <v>4.0643535119348027</v>
      </c>
      <c r="X57">
        <f t="shared" si="15"/>
        <v>67.488121276126776</v>
      </c>
      <c r="Y57">
        <f t="shared" si="16"/>
        <v>2.4290322873079999</v>
      </c>
      <c r="Z57">
        <f t="shared" si="17"/>
        <v>3.5991997426771531</v>
      </c>
      <c r="AA57">
        <f t="shared" si="18"/>
        <v>1.6353212246268027</v>
      </c>
      <c r="AB57">
        <f t="shared" si="19"/>
        <v>-26.127961120579464</v>
      </c>
      <c r="AC57">
        <f t="shared" si="20"/>
        <v>-225.67866488220577</v>
      </c>
      <c r="AD57">
        <f t="shared" si="21"/>
        <v>-24.560079482162124</v>
      </c>
      <c r="AE57">
        <f t="shared" si="22"/>
        <v>-0.25472713790614421</v>
      </c>
      <c r="AF57">
        <v>15</v>
      </c>
      <c r="AG57">
        <v>5</v>
      </c>
      <c r="AH57">
        <f t="shared" si="23"/>
        <v>1</v>
      </c>
      <c r="AI57">
        <f t="shared" si="24"/>
        <v>0</v>
      </c>
      <c r="AJ57">
        <f t="shared" si="25"/>
        <v>52072.973542185129</v>
      </c>
      <c r="AK57">
        <f t="shared" si="26"/>
        <v>1799.98</v>
      </c>
      <c r="AL57">
        <f t="shared" si="27"/>
        <v>1499.0925334312201</v>
      </c>
      <c r="AM57">
        <f t="shared" si="28"/>
        <v>0.83283843899999999</v>
      </c>
      <c r="AN57">
        <f t="shared" si="29"/>
        <v>0.15339724794000001</v>
      </c>
      <c r="AO57">
        <v>34.5</v>
      </c>
      <c r="AP57">
        <v>0.5</v>
      </c>
      <c r="AQ57" t="s">
        <v>331</v>
      </c>
      <c r="AR57">
        <v>2</v>
      </c>
      <c r="AS57">
        <v>1690377166</v>
      </c>
      <c r="AT57">
        <v>694.02800000000002</v>
      </c>
      <c r="AU57">
        <v>800.01499999999999</v>
      </c>
      <c r="AV57">
        <v>24.597200000000001</v>
      </c>
      <c r="AW57">
        <v>17.956800000000001</v>
      </c>
      <c r="AX57">
        <v>694.65599999999995</v>
      </c>
      <c r="AY57">
        <v>24.385999999999999</v>
      </c>
      <c r="AZ57">
        <v>300.245</v>
      </c>
      <c r="BA57">
        <v>98.652299999999997</v>
      </c>
      <c r="BB57">
        <v>0.10009</v>
      </c>
      <c r="BC57">
        <v>27.095099999999999</v>
      </c>
      <c r="BD57">
        <v>27.004100000000001</v>
      </c>
      <c r="BE57">
        <v>29.1126</v>
      </c>
      <c r="BF57">
        <v>0</v>
      </c>
      <c r="BG57">
        <v>0</v>
      </c>
      <c r="BH57">
        <v>9985</v>
      </c>
      <c r="BI57">
        <v>1083.52</v>
      </c>
      <c r="BJ57">
        <v>1.3455900000000001</v>
      </c>
      <c r="BK57">
        <v>-105.986</v>
      </c>
      <c r="BL57">
        <v>711.53</v>
      </c>
      <c r="BM57">
        <v>814.64300000000003</v>
      </c>
      <c r="BN57">
        <v>6.6404199999999998</v>
      </c>
      <c r="BO57">
        <v>800.01499999999999</v>
      </c>
      <c r="BP57">
        <v>17.956800000000001</v>
      </c>
      <c r="BQ57">
        <v>2.4265699999999999</v>
      </c>
      <c r="BR57">
        <v>1.7714799999999999</v>
      </c>
      <c r="BS57">
        <v>20.542200000000001</v>
      </c>
      <c r="BT57">
        <v>15.5373</v>
      </c>
      <c r="BU57">
        <v>1799.98</v>
      </c>
      <c r="BV57">
        <v>0.90999399999999997</v>
      </c>
      <c r="BW57">
        <v>3.4008900000000002E-2</v>
      </c>
      <c r="BX57">
        <v>2.1997699999999999E-2</v>
      </c>
      <c r="BY57">
        <v>3.3999000000000001E-2</v>
      </c>
      <c r="BZ57">
        <v>25</v>
      </c>
      <c r="CA57">
        <v>33528</v>
      </c>
      <c r="CB57">
        <v>1690376213.5999999</v>
      </c>
      <c r="CC57" t="s">
        <v>332</v>
      </c>
      <c r="CD57">
        <v>1690376213.5999999</v>
      </c>
      <c r="CE57">
        <v>1690376198.0999999</v>
      </c>
      <c r="CF57">
        <v>2</v>
      </c>
      <c r="CG57">
        <v>0.66900000000000004</v>
      </c>
      <c r="CH57">
        <v>-2.1000000000000001E-2</v>
      </c>
      <c r="CI57">
        <v>-0.70099999999999996</v>
      </c>
      <c r="CJ57">
        <v>0.21099999999999999</v>
      </c>
      <c r="CK57">
        <v>799</v>
      </c>
      <c r="CL57">
        <v>21</v>
      </c>
      <c r="CM57">
        <v>0.11</v>
      </c>
      <c r="CN57">
        <v>0.17</v>
      </c>
      <c r="CO57">
        <v>-103.41397499999999</v>
      </c>
      <c r="CP57">
        <v>-13.956911819887161</v>
      </c>
      <c r="CQ57">
        <v>1.3427441023422899</v>
      </c>
      <c r="CR57">
        <v>-1</v>
      </c>
      <c r="CS57">
        <v>6.5534147500000017</v>
      </c>
      <c r="CT57">
        <v>0.55632529080673954</v>
      </c>
      <c r="CU57">
        <v>5.4717164719468983E-2</v>
      </c>
      <c r="CV57">
        <v>-1</v>
      </c>
      <c r="CW57">
        <v>0</v>
      </c>
      <c r="CX57">
        <v>0</v>
      </c>
      <c r="CY57" t="s">
        <v>333</v>
      </c>
      <c r="CZ57">
        <v>2.3652299999999999</v>
      </c>
      <c r="DA57">
        <v>2.71387</v>
      </c>
      <c r="DB57">
        <v>0.133023</v>
      </c>
      <c r="DC57">
        <v>0.14591899999999999</v>
      </c>
      <c r="DD57">
        <v>0.115492</v>
      </c>
      <c r="DE57">
        <v>9.1138399999999994E-2</v>
      </c>
      <c r="DF57">
        <v>31667.599999999999</v>
      </c>
      <c r="DG57">
        <v>27519.3</v>
      </c>
      <c r="DH57">
        <v>31180.400000000001</v>
      </c>
      <c r="DI57">
        <v>28073.7</v>
      </c>
      <c r="DJ57">
        <v>37438</v>
      </c>
      <c r="DK57">
        <v>36267.9</v>
      </c>
      <c r="DL57">
        <v>44370.8</v>
      </c>
      <c r="DM57">
        <v>42535.5</v>
      </c>
      <c r="DN57">
        <v>1.4338500000000001</v>
      </c>
      <c r="DO57">
        <v>2.0778500000000002</v>
      </c>
      <c r="DP57">
        <v>9.5248200000000005E-2</v>
      </c>
      <c r="DQ57">
        <v>0.226356</v>
      </c>
      <c r="DR57">
        <v>25.444500000000001</v>
      </c>
      <c r="DS57">
        <v>25.412299999999998</v>
      </c>
      <c r="DT57">
        <v>61.6</v>
      </c>
      <c r="DU57">
        <v>26.6</v>
      </c>
      <c r="DV57">
        <v>21.8355</v>
      </c>
      <c r="DW57">
        <v>61.6402</v>
      </c>
      <c r="DX57">
        <v>36.25</v>
      </c>
      <c r="DY57">
        <v>1</v>
      </c>
      <c r="DZ57">
        <v>-0.14002000000000001</v>
      </c>
      <c r="EA57">
        <v>-0.296898</v>
      </c>
      <c r="EB57">
        <v>20.1906</v>
      </c>
      <c r="EC57">
        <v>5.2430500000000002</v>
      </c>
      <c r="ED57">
        <v>12.039899999999999</v>
      </c>
      <c r="EE57">
        <v>5.0168499999999998</v>
      </c>
      <c r="EF57">
        <v>3.2879700000000001</v>
      </c>
      <c r="EG57">
        <v>9999</v>
      </c>
      <c r="EH57">
        <v>9999</v>
      </c>
      <c r="EI57">
        <v>9999</v>
      </c>
      <c r="EJ57">
        <v>999.9</v>
      </c>
      <c r="EK57">
        <v>1.8688199999999999</v>
      </c>
      <c r="EL57">
        <v>1.8644799999999999</v>
      </c>
      <c r="EM57">
        <v>1.8691500000000001</v>
      </c>
      <c r="EN57">
        <v>1.86717</v>
      </c>
      <c r="EO57">
        <v>1.86327</v>
      </c>
      <c r="EP57">
        <v>1.86432</v>
      </c>
      <c r="EQ57">
        <v>1.87012</v>
      </c>
      <c r="ER57">
        <v>1.8693500000000001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-0.628</v>
      </c>
      <c r="FG57">
        <v>0.2112</v>
      </c>
      <c r="FH57">
        <v>-0.150361779349652</v>
      </c>
      <c r="FI57">
        <v>-6.1462078757559423E-4</v>
      </c>
      <c r="FJ57">
        <v>-1.8861989874597051E-7</v>
      </c>
      <c r="FK57">
        <v>1.1980462299894961E-10</v>
      </c>
      <c r="FL57">
        <v>0.21114761904761539</v>
      </c>
      <c r="FM57">
        <v>0</v>
      </c>
      <c r="FN57">
        <v>0</v>
      </c>
      <c r="FO57">
        <v>0</v>
      </c>
      <c r="FP57">
        <v>3</v>
      </c>
      <c r="FQ57">
        <v>2158</v>
      </c>
      <c r="FR57">
        <v>1</v>
      </c>
      <c r="FS57">
        <v>19</v>
      </c>
      <c r="FT57">
        <v>15.9</v>
      </c>
      <c r="FU57">
        <v>16.100000000000001</v>
      </c>
      <c r="FV57">
        <v>1.78955</v>
      </c>
      <c r="FW57">
        <v>2.5659200000000002</v>
      </c>
      <c r="FX57">
        <v>1.5490699999999999</v>
      </c>
      <c r="FY57">
        <v>2.33887</v>
      </c>
      <c r="FZ57">
        <v>1.50024</v>
      </c>
      <c r="GA57">
        <v>2.2961399999999998</v>
      </c>
      <c r="GB57">
        <v>31.8049</v>
      </c>
      <c r="GC57">
        <v>23.991199999999999</v>
      </c>
      <c r="GD57">
        <v>19</v>
      </c>
      <c r="GE57">
        <v>262.82</v>
      </c>
      <c r="GF57">
        <v>610.74599999999998</v>
      </c>
      <c r="GG57">
        <v>25.352599999999999</v>
      </c>
      <c r="GH57">
        <v>25.688400000000001</v>
      </c>
      <c r="GI57">
        <v>30.0002</v>
      </c>
      <c r="GJ57">
        <v>25.756</v>
      </c>
      <c r="GK57">
        <v>25.715499999999999</v>
      </c>
      <c r="GL57">
        <v>35.7834</v>
      </c>
      <c r="GM57">
        <v>27.656700000000001</v>
      </c>
      <c r="GN57">
        <v>100</v>
      </c>
      <c r="GO57">
        <v>25.354800000000001</v>
      </c>
      <c r="GP57">
        <v>800</v>
      </c>
      <c r="GQ57">
        <v>17.802499999999998</v>
      </c>
      <c r="GR57">
        <v>99.761499999999998</v>
      </c>
      <c r="GS57">
        <v>99.518799999999999</v>
      </c>
    </row>
    <row r="58" spans="1:201" x14ac:dyDescent="0.25">
      <c r="A58">
        <v>42</v>
      </c>
      <c r="B58">
        <v>1690377176</v>
      </c>
      <c r="C58">
        <v>459.5</v>
      </c>
      <c r="D58" t="s">
        <v>417</v>
      </c>
      <c r="E58" t="s">
        <v>418</v>
      </c>
      <c r="F58" t="s">
        <v>330</v>
      </c>
      <c r="H58">
        <v>1690377176</v>
      </c>
      <c r="I58">
        <f t="shared" si="0"/>
        <v>6.0251432832295006E-4</v>
      </c>
      <c r="J58">
        <f t="shared" si="1"/>
        <v>0.60251432832295004</v>
      </c>
      <c r="K58">
        <f t="shared" si="2"/>
        <v>9.0089531913404546</v>
      </c>
      <c r="L58">
        <f t="shared" si="3"/>
        <v>691.67</v>
      </c>
      <c r="M58">
        <f t="shared" si="4"/>
        <v>269.14797080022083</v>
      </c>
      <c r="N58">
        <f t="shared" si="5"/>
        <v>26.578596544404377</v>
      </c>
      <c r="O58">
        <f t="shared" si="6"/>
        <v>68.303014944569995</v>
      </c>
      <c r="P58">
        <f t="shared" si="7"/>
        <v>3.5507414553043445E-2</v>
      </c>
      <c r="Q58">
        <f t="shared" si="8"/>
        <v>2.0055356258784656</v>
      </c>
      <c r="R58">
        <f t="shared" si="9"/>
        <v>3.5161834639678861E-2</v>
      </c>
      <c r="S58">
        <f t="shared" si="10"/>
        <v>2.2006915251518377E-2</v>
      </c>
      <c r="T58">
        <f t="shared" si="11"/>
        <v>276.11315538150359</v>
      </c>
      <c r="U58">
        <f t="shared" si="12"/>
        <v>29.177643162212</v>
      </c>
      <c r="V58">
        <f t="shared" si="13"/>
        <v>29.177643162212</v>
      </c>
      <c r="W58">
        <f t="shared" si="14"/>
        <v>4.0632999646587322</v>
      </c>
      <c r="X58">
        <f t="shared" si="15"/>
        <v>67.429033157197907</v>
      </c>
      <c r="Y58">
        <f t="shared" si="16"/>
        <v>2.4267631544766002</v>
      </c>
      <c r="Z58">
        <f t="shared" si="17"/>
        <v>3.5989885081387207</v>
      </c>
      <c r="AA58">
        <f t="shared" si="18"/>
        <v>1.636536810182132</v>
      </c>
      <c r="AB58">
        <f t="shared" si="19"/>
        <v>-26.570881879042098</v>
      </c>
      <c r="AC58">
        <f t="shared" si="20"/>
        <v>-225.27776358955981</v>
      </c>
      <c r="AD58">
        <f t="shared" si="21"/>
        <v>-24.518383112985934</v>
      </c>
      <c r="AE58">
        <f t="shared" si="22"/>
        <v>-0.25387320008425718</v>
      </c>
      <c r="AF58">
        <v>15</v>
      </c>
      <c r="AG58">
        <v>5</v>
      </c>
      <c r="AH58">
        <f t="shared" si="23"/>
        <v>1</v>
      </c>
      <c r="AI58">
        <f t="shared" si="24"/>
        <v>0</v>
      </c>
      <c r="AJ58">
        <f t="shared" si="25"/>
        <v>52062.947913552875</v>
      </c>
      <c r="AK58">
        <f t="shared" si="26"/>
        <v>1799.99</v>
      </c>
      <c r="AL58">
        <f t="shared" si="27"/>
        <v>1499.10199580931</v>
      </c>
      <c r="AM58">
        <f t="shared" si="28"/>
        <v>0.83283906900000004</v>
      </c>
      <c r="AN58">
        <f t="shared" si="29"/>
        <v>0.15339704964</v>
      </c>
      <c r="AO58">
        <v>34.5</v>
      </c>
      <c r="AP58">
        <v>0.5</v>
      </c>
      <c r="AQ58" t="s">
        <v>331</v>
      </c>
      <c r="AR58">
        <v>2</v>
      </c>
      <c r="AS58">
        <v>1690377176</v>
      </c>
      <c r="AT58">
        <v>691.67</v>
      </c>
      <c r="AU58">
        <v>799.95899999999995</v>
      </c>
      <c r="AV58">
        <v>24.5746</v>
      </c>
      <c r="AW58">
        <v>17.822600000000001</v>
      </c>
      <c r="AX58">
        <v>692.29700000000003</v>
      </c>
      <c r="AY58">
        <v>24.363399999999999</v>
      </c>
      <c r="AZ58">
        <v>300.29500000000002</v>
      </c>
      <c r="BA58">
        <v>98.650800000000004</v>
      </c>
      <c r="BB58">
        <v>0.10007099999999999</v>
      </c>
      <c r="BC58">
        <v>27.094100000000001</v>
      </c>
      <c r="BD58">
        <v>27.001100000000001</v>
      </c>
      <c r="BE58">
        <v>29.1145</v>
      </c>
      <c r="BF58">
        <v>0</v>
      </c>
      <c r="BG58">
        <v>0</v>
      </c>
      <c r="BH58">
        <v>9983.1200000000008</v>
      </c>
      <c r="BI58">
        <v>1083.45</v>
      </c>
      <c r="BJ58">
        <v>1.3455900000000001</v>
      </c>
      <c r="BK58">
        <v>-108.289</v>
      </c>
      <c r="BL58">
        <v>709.096</v>
      </c>
      <c r="BM58">
        <v>814.47500000000002</v>
      </c>
      <c r="BN58">
        <v>6.7519799999999996</v>
      </c>
      <c r="BO58">
        <v>799.95899999999995</v>
      </c>
      <c r="BP58">
        <v>17.822600000000001</v>
      </c>
      <c r="BQ58">
        <v>2.4243000000000001</v>
      </c>
      <c r="BR58">
        <v>1.7582100000000001</v>
      </c>
      <c r="BS58">
        <v>20.527000000000001</v>
      </c>
      <c r="BT58">
        <v>15.4201</v>
      </c>
      <c r="BU58">
        <v>1799.99</v>
      </c>
      <c r="BV58">
        <v>0.91000199999999998</v>
      </c>
      <c r="BW58">
        <v>3.4005899999999999E-2</v>
      </c>
      <c r="BX58">
        <v>2.19957E-2</v>
      </c>
      <c r="BY58">
        <v>3.3995999999999998E-2</v>
      </c>
      <c r="BZ58">
        <v>25</v>
      </c>
      <c r="CA58">
        <v>33528.199999999997</v>
      </c>
      <c r="CB58">
        <v>1690376213.5999999</v>
      </c>
      <c r="CC58" t="s">
        <v>332</v>
      </c>
      <c r="CD58">
        <v>1690376213.5999999</v>
      </c>
      <c r="CE58">
        <v>1690376198.0999999</v>
      </c>
      <c r="CF58">
        <v>2</v>
      </c>
      <c r="CG58">
        <v>0.66900000000000004</v>
      </c>
      <c r="CH58">
        <v>-2.1000000000000001E-2</v>
      </c>
      <c r="CI58">
        <v>-0.70099999999999996</v>
      </c>
      <c r="CJ58">
        <v>0.21099999999999999</v>
      </c>
      <c r="CK58">
        <v>799</v>
      </c>
      <c r="CL58">
        <v>21</v>
      </c>
      <c r="CM58">
        <v>0.11</v>
      </c>
      <c r="CN58">
        <v>0.17</v>
      </c>
      <c r="CO58">
        <v>-105.75360000000001</v>
      </c>
      <c r="CP58">
        <v>-14.053508442776669</v>
      </c>
      <c r="CQ58">
        <v>1.352258107759017</v>
      </c>
      <c r="CR58">
        <v>-1</v>
      </c>
      <c r="CS58">
        <v>6.6458480000000009</v>
      </c>
      <c r="CT58">
        <v>0.54838018761726104</v>
      </c>
      <c r="CU58">
        <v>5.3383692322655968E-2</v>
      </c>
      <c r="CV58">
        <v>-1</v>
      </c>
      <c r="CW58">
        <v>0</v>
      </c>
      <c r="CX58">
        <v>0</v>
      </c>
      <c r="CY58" t="s">
        <v>333</v>
      </c>
      <c r="CZ58">
        <v>2.3654000000000002</v>
      </c>
      <c r="DA58">
        <v>2.7138499999999999</v>
      </c>
      <c r="DB58">
        <v>0.132711</v>
      </c>
      <c r="DC58">
        <v>0.14590700000000001</v>
      </c>
      <c r="DD58">
        <v>0.115415</v>
      </c>
      <c r="DE58">
        <v>9.0647400000000003E-2</v>
      </c>
      <c r="DF58">
        <v>31678.799999999999</v>
      </c>
      <c r="DG58">
        <v>27519.599999999999</v>
      </c>
      <c r="DH58">
        <v>31180.1</v>
      </c>
      <c r="DI58">
        <v>28073.599999999999</v>
      </c>
      <c r="DJ58">
        <v>37440.9</v>
      </c>
      <c r="DK58">
        <v>36287.5</v>
      </c>
      <c r="DL58">
        <v>44370.400000000001</v>
      </c>
      <c r="DM58">
        <v>42535.4</v>
      </c>
      <c r="DN58">
        <v>1.4337500000000001</v>
      </c>
      <c r="DO58">
        <v>2.0777000000000001</v>
      </c>
      <c r="DP58">
        <v>9.5196100000000006E-2</v>
      </c>
      <c r="DQ58">
        <v>0.22647200000000001</v>
      </c>
      <c r="DR58">
        <v>25.442299999999999</v>
      </c>
      <c r="DS58">
        <v>25.412299999999998</v>
      </c>
      <c r="DT58">
        <v>61.7</v>
      </c>
      <c r="DU58">
        <v>26.6</v>
      </c>
      <c r="DV58">
        <v>21.867000000000001</v>
      </c>
      <c r="DW58">
        <v>61.3902</v>
      </c>
      <c r="DX58">
        <v>35.881399999999999</v>
      </c>
      <c r="DY58">
        <v>1</v>
      </c>
      <c r="DZ58">
        <v>-0.13949700000000001</v>
      </c>
      <c r="EA58">
        <v>0.293099</v>
      </c>
      <c r="EB58">
        <v>20.190100000000001</v>
      </c>
      <c r="EC58">
        <v>5.2430500000000002</v>
      </c>
      <c r="ED58">
        <v>12.039899999999999</v>
      </c>
      <c r="EE58">
        <v>5.0167999999999999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1.86887</v>
      </c>
      <c r="EL58">
        <v>1.8644700000000001</v>
      </c>
      <c r="EM58">
        <v>1.8691500000000001</v>
      </c>
      <c r="EN58">
        <v>1.8672</v>
      </c>
      <c r="EO58">
        <v>1.86327</v>
      </c>
      <c r="EP58">
        <v>1.86432</v>
      </c>
      <c r="EQ58">
        <v>1.87012</v>
      </c>
      <c r="ER58">
        <v>1.8693500000000001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-0.627</v>
      </c>
      <c r="FG58">
        <v>0.2112</v>
      </c>
      <c r="FH58">
        <v>-0.150361779349652</v>
      </c>
      <c r="FI58">
        <v>-6.1462078757559423E-4</v>
      </c>
      <c r="FJ58">
        <v>-1.8861989874597051E-7</v>
      </c>
      <c r="FK58">
        <v>1.1980462299894961E-10</v>
      </c>
      <c r="FL58">
        <v>0.21114761904761539</v>
      </c>
      <c r="FM58">
        <v>0</v>
      </c>
      <c r="FN58">
        <v>0</v>
      </c>
      <c r="FO58">
        <v>0</v>
      </c>
      <c r="FP58">
        <v>3</v>
      </c>
      <c r="FQ58">
        <v>2158</v>
      </c>
      <c r="FR58">
        <v>1</v>
      </c>
      <c r="FS58">
        <v>19</v>
      </c>
      <c r="FT58">
        <v>16</v>
      </c>
      <c r="FU58">
        <v>16.3</v>
      </c>
      <c r="FV58">
        <v>1.78955</v>
      </c>
      <c r="FW58">
        <v>2.5634800000000002</v>
      </c>
      <c r="FX58">
        <v>1.5490699999999999</v>
      </c>
      <c r="FY58">
        <v>2.33887</v>
      </c>
      <c r="FZ58">
        <v>1.50146</v>
      </c>
      <c r="GA58">
        <v>2.36328</v>
      </c>
      <c r="GB58">
        <v>31.8049</v>
      </c>
      <c r="GC58">
        <v>23.991199999999999</v>
      </c>
      <c r="GD58">
        <v>19</v>
      </c>
      <c r="GE58">
        <v>262.779</v>
      </c>
      <c r="GF58">
        <v>610.61800000000005</v>
      </c>
      <c r="GG58">
        <v>25.254300000000001</v>
      </c>
      <c r="GH58">
        <v>25.687200000000001</v>
      </c>
      <c r="GI58">
        <v>30.000800000000002</v>
      </c>
      <c r="GJ58">
        <v>25.756</v>
      </c>
      <c r="GK58">
        <v>25.715499999999999</v>
      </c>
      <c r="GL58">
        <v>35.7928</v>
      </c>
      <c r="GM58">
        <v>28.253499999999999</v>
      </c>
      <c r="GN58">
        <v>100</v>
      </c>
      <c r="GO58">
        <v>25.223700000000001</v>
      </c>
      <c r="GP58">
        <v>800</v>
      </c>
      <c r="GQ58">
        <v>17.674700000000001</v>
      </c>
      <c r="GR58">
        <v>99.760599999999997</v>
      </c>
      <c r="GS58">
        <v>99.518500000000003</v>
      </c>
    </row>
    <row r="59" spans="1:201" x14ac:dyDescent="0.25">
      <c r="A59">
        <v>43</v>
      </c>
      <c r="B59">
        <v>1690377186</v>
      </c>
      <c r="C59">
        <v>469.5</v>
      </c>
      <c r="D59" t="s">
        <v>419</v>
      </c>
      <c r="E59" t="s">
        <v>420</v>
      </c>
      <c r="F59" t="s">
        <v>330</v>
      </c>
      <c r="H59">
        <v>1690377186</v>
      </c>
      <c r="I59">
        <f t="shared" si="0"/>
        <v>6.1193444332646675E-4</v>
      </c>
      <c r="J59">
        <f t="shared" si="1"/>
        <v>0.61193444332646674</v>
      </c>
      <c r="K59">
        <f t="shared" si="2"/>
        <v>9.2035353329150293</v>
      </c>
      <c r="L59">
        <f t="shared" si="3"/>
        <v>689.27</v>
      </c>
      <c r="M59">
        <f t="shared" si="4"/>
        <v>264.45774697994591</v>
      </c>
      <c r="N59">
        <f t="shared" si="5"/>
        <v>26.114954585131866</v>
      </c>
      <c r="O59">
        <f t="shared" si="6"/>
        <v>68.064766309375003</v>
      </c>
      <c r="P59">
        <f t="shared" si="7"/>
        <v>3.6068060173075109E-2</v>
      </c>
      <c r="Q59">
        <f t="shared" si="8"/>
        <v>2.0098990824604273</v>
      </c>
      <c r="R59">
        <f t="shared" si="9"/>
        <v>3.5712305881406642E-2</v>
      </c>
      <c r="S59">
        <f t="shared" si="10"/>
        <v>2.2351861779828119E-2</v>
      </c>
      <c r="T59">
        <f t="shared" si="11"/>
        <v>276.1128289173173</v>
      </c>
      <c r="U59">
        <f t="shared" si="12"/>
        <v>29.158118449913506</v>
      </c>
      <c r="V59">
        <f t="shared" si="13"/>
        <v>29.158118449913506</v>
      </c>
      <c r="W59">
        <f t="shared" si="14"/>
        <v>4.0587175097358088</v>
      </c>
      <c r="X59">
        <f t="shared" si="15"/>
        <v>67.348727870809725</v>
      </c>
      <c r="Y59">
        <f t="shared" si="16"/>
        <v>2.4221663795312502</v>
      </c>
      <c r="Z59">
        <f t="shared" si="17"/>
        <v>3.5964545376083716</v>
      </c>
      <c r="AA59">
        <f t="shared" si="18"/>
        <v>1.6365511302045586</v>
      </c>
      <c r="AB59">
        <f t="shared" si="19"/>
        <v>-26.986308950697182</v>
      </c>
      <c r="AC59">
        <f t="shared" si="20"/>
        <v>-224.95254148637852</v>
      </c>
      <c r="AD59">
        <f t="shared" si="21"/>
        <v>-24.425996948127185</v>
      </c>
      <c r="AE59">
        <f t="shared" si="22"/>
        <v>-0.25201846788559124</v>
      </c>
      <c r="AF59">
        <v>15</v>
      </c>
      <c r="AG59">
        <v>5</v>
      </c>
      <c r="AH59">
        <f t="shared" si="23"/>
        <v>1</v>
      </c>
      <c r="AI59">
        <f t="shared" si="24"/>
        <v>0</v>
      </c>
      <c r="AJ59">
        <f t="shared" si="25"/>
        <v>52273.579579200858</v>
      </c>
      <c r="AK59">
        <f t="shared" si="26"/>
        <v>1799.99</v>
      </c>
      <c r="AL59">
        <f t="shared" si="27"/>
        <v>1499.1035762005299</v>
      </c>
      <c r="AM59">
        <f t="shared" si="28"/>
        <v>0.83283994699999997</v>
      </c>
      <c r="AN59">
        <f t="shared" si="29"/>
        <v>0.15339686826999999</v>
      </c>
      <c r="AO59">
        <v>34.5</v>
      </c>
      <c r="AP59">
        <v>0.5</v>
      </c>
      <c r="AQ59" t="s">
        <v>331</v>
      </c>
      <c r="AR59">
        <v>2</v>
      </c>
      <c r="AS59">
        <v>1690377186</v>
      </c>
      <c r="AT59">
        <v>689.27</v>
      </c>
      <c r="AU59">
        <v>799.87199999999996</v>
      </c>
      <c r="AV59">
        <v>24.528500000000001</v>
      </c>
      <c r="AW59">
        <v>17.6694</v>
      </c>
      <c r="AX59">
        <v>689.89499999999998</v>
      </c>
      <c r="AY59">
        <v>24.317399999999999</v>
      </c>
      <c r="AZ59">
        <v>300.24200000000002</v>
      </c>
      <c r="BA59">
        <v>98.649100000000004</v>
      </c>
      <c r="BB59">
        <v>9.9962499999999996E-2</v>
      </c>
      <c r="BC59">
        <v>27.082100000000001</v>
      </c>
      <c r="BD59">
        <v>26.980499999999999</v>
      </c>
      <c r="BE59">
        <v>29.099699999999999</v>
      </c>
      <c r="BF59">
        <v>0</v>
      </c>
      <c r="BG59">
        <v>0</v>
      </c>
      <c r="BH59">
        <v>10025</v>
      </c>
      <c r="BI59">
        <v>1083.4100000000001</v>
      </c>
      <c r="BJ59">
        <v>1.3455900000000001</v>
      </c>
      <c r="BK59">
        <v>-110.602</v>
      </c>
      <c r="BL59">
        <v>706.60199999999998</v>
      </c>
      <c r="BM59">
        <v>814.26</v>
      </c>
      <c r="BN59">
        <v>6.8591499999999996</v>
      </c>
      <c r="BO59">
        <v>799.87199999999996</v>
      </c>
      <c r="BP59">
        <v>17.6694</v>
      </c>
      <c r="BQ59">
        <v>2.4197099999999998</v>
      </c>
      <c r="BR59">
        <v>1.7430699999999999</v>
      </c>
      <c r="BS59">
        <v>20.496300000000002</v>
      </c>
      <c r="BT59">
        <v>15.285399999999999</v>
      </c>
      <c r="BU59">
        <v>1799.99</v>
      </c>
      <c r="BV59">
        <v>0.91001100000000001</v>
      </c>
      <c r="BW59">
        <v>3.4002499999999998E-2</v>
      </c>
      <c r="BX59">
        <v>2.1993599999999999E-2</v>
      </c>
      <c r="BY59">
        <v>3.3992700000000001E-2</v>
      </c>
      <c r="BZ59">
        <v>25</v>
      </c>
      <c r="CA59">
        <v>33528.199999999997</v>
      </c>
      <c r="CB59">
        <v>1690376213.5999999</v>
      </c>
      <c r="CC59" t="s">
        <v>332</v>
      </c>
      <c r="CD59">
        <v>1690376213.5999999</v>
      </c>
      <c r="CE59">
        <v>1690376198.0999999</v>
      </c>
      <c r="CF59">
        <v>2</v>
      </c>
      <c r="CG59">
        <v>0.66900000000000004</v>
      </c>
      <c r="CH59">
        <v>-2.1000000000000001E-2</v>
      </c>
      <c r="CI59">
        <v>-0.70099999999999996</v>
      </c>
      <c r="CJ59">
        <v>0.21099999999999999</v>
      </c>
      <c r="CK59">
        <v>799</v>
      </c>
      <c r="CL59">
        <v>21</v>
      </c>
      <c r="CM59">
        <v>0.11</v>
      </c>
      <c r="CN59">
        <v>0.17</v>
      </c>
      <c r="CO59">
        <v>-108.12205</v>
      </c>
      <c r="CP59">
        <v>-14.094889305815819</v>
      </c>
      <c r="CQ59">
        <v>1.3564565962462649</v>
      </c>
      <c r="CR59">
        <v>-1</v>
      </c>
      <c r="CS59">
        <v>6.7496132499999986</v>
      </c>
      <c r="CT59">
        <v>0.68409692307688785</v>
      </c>
      <c r="CU59">
        <v>6.5968065394837086E-2</v>
      </c>
      <c r="CV59">
        <v>-1</v>
      </c>
      <c r="CW59">
        <v>0</v>
      </c>
      <c r="CX59">
        <v>0</v>
      </c>
      <c r="CY59" t="s">
        <v>333</v>
      </c>
      <c r="CZ59">
        <v>2.3652500000000001</v>
      </c>
      <c r="DA59">
        <v>2.7137799999999999</v>
      </c>
      <c r="DB59">
        <v>0.13239200000000001</v>
      </c>
      <c r="DC59">
        <v>0.14588999999999999</v>
      </c>
      <c r="DD59">
        <v>0.115261</v>
      </c>
      <c r="DE59">
        <v>9.0084600000000001E-2</v>
      </c>
      <c r="DF59">
        <v>31690.7</v>
      </c>
      <c r="DG59">
        <v>27520.2</v>
      </c>
      <c r="DH59">
        <v>31180.400000000001</v>
      </c>
      <c r="DI59">
        <v>28073.7</v>
      </c>
      <c r="DJ59">
        <v>37447.9</v>
      </c>
      <c r="DK59">
        <v>36310.199999999997</v>
      </c>
      <c r="DL59">
        <v>44371</v>
      </c>
      <c r="DM59">
        <v>42535.7</v>
      </c>
      <c r="DN59">
        <v>1.43425</v>
      </c>
      <c r="DO59">
        <v>2.0777999999999999</v>
      </c>
      <c r="DP59">
        <v>9.4004000000000004E-2</v>
      </c>
      <c r="DQ59">
        <v>0.22556300000000001</v>
      </c>
      <c r="DR59">
        <v>25.441199999999998</v>
      </c>
      <c r="DS59">
        <v>25.412299999999998</v>
      </c>
      <c r="DT59">
        <v>61.6</v>
      </c>
      <c r="DU59">
        <v>26.6</v>
      </c>
      <c r="DV59">
        <v>21.829599999999999</v>
      </c>
      <c r="DW59">
        <v>60.900199999999998</v>
      </c>
      <c r="DX59">
        <v>35.677100000000003</v>
      </c>
      <c r="DY59">
        <v>1</v>
      </c>
      <c r="DZ59">
        <v>-0.14019300000000001</v>
      </c>
      <c r="EA59">
        <v>-0.20968100000000001</v>
      </c>
      <c r="EB59">
        <v>20.1907</v>
      </c>
      <c r="EC59">
        <v>5.2431999999999999</v>
      </c>
      <c r="ED59">
        <v>12.039899999999999</v>
      </c>
      <c r="EE59">
        <v>5.0167999999999999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1.86886</v>
      </c>
      <c r="EL59">
        <v>1.8644799999999999</v>
      </c>
      <c r="EM59">
        <v>1.86917</v>
      </c>
      <c r="EN59">
        <v>1.86721</v>
      </c>
      <c r="EO59">
        <v>1.86327</v>
      </c>
      <c r="EP59">
        <v>1.86432</v>
      </c>
      <c r="EQ59">
        <v>1.87012</v>
      </c>
      <c r="ER59">
        <v>1.8693500000000001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-0.625</v>
      </c>
      <c r="FG59">
        <v>0.21110000000000001</v>
      </c>
      <c r="FH59">
        <v>-0.150361779349652</v>
      </c>
      <c r="FI59">
        <v>-6.1462078757559423E-4</v>
      </c>
      <c r="FJ59">
        <v>-1.8861989874597051E-7</v>
      </c>
      <c r="FK59">
        <v>1.1980462299894961E-10</v>
      </c>
      <c r="FL59">
        <v>0.21114761904761539</v>
      </c>
      <c r="FM59">
        <v>0</v>
      </c>
      <c r="FN59">
        <v>0</v>
      </c>
      <c r="FO59">
        <v>0</v>
      </c>
      <c r="FP59">
        <v>3</v>
      </c>
      <c r="FQ59">
        <v>2158</v>
      </c>
      <c r="FR59">
        <v>1</v>
      </c>
      <c r="FS59">
        <v>19</v>
      </c>
      <c r="FT59">
        <v>16.2</v>
      </c>
      <c r="FU59">
        <v>16.5</v>
      </c>
      <c r="FV59">
        <v>1.79077</v>
      </c>
      <c r="FW59">
        <v>2.5610400000000002</v>
      </c>
      <c r="FX59">
        <v>1.5490699999999999</v>
      </c>
      <c r="FY59">
        <v>2.33887</v>
      </c>
      <c r="FZ59">
        <v>1.50146</v>
      </c>
      <c r="GA59">
        <v>2.3962400000000001</v>
      </c>
      <c r="GB59">
        <v>31.826899999999998</v>
      </c>
      <c r="GC59">
        <v>23.991199999999999</v>
      </c>
      <c r="GD59">
        <v>19</v>
      </c>
      <c r="GE59">
        <v>262.98</v>
      </c>
      <c r="GF59">
        <v>610.72900000000004</v>
      </c>
      <c r="GG59">
        <v>25.2088</v>
      </c>
      <c r="GH59">
        <v>25.686299999999999</v>
      </c>
      <c r="GI59">
        <v>30</v>
      </c>
      <c r="GJ59">
        <v>25.756</v>
      </c>
      <c r="GK59">
        <v>25.717600000000001</v>
      </c>
      <c r="GL59">
        <v>35.798200000000001</v>
      </c>
      <c r="GM59">
        <v>28.5457</v>
      </c>
      <c r="GN59">
        <v>100</v>
      </c>
      <c r="GO59">
        <v>25.242999999999999</v>
      </c>
      <c r="GP59">
        <v>800</v>
      </c>
      <c r="GQ59">
        <v>17.569500000000001</v>
      </c>
      <c r="GR59">
        <v>99.761799999999994</v>
      </c>
      <c r="GS59">
        <v>99.519000000000005</v>
      </c>
    </row>
    <row r="60" spans="1:201" x14ac:dyDescent="0.25">
      <c r="A60">
        <v>44</v>
      </c>
      <c r="B60">
        <v>1690377196</v>
      </c>
      <c r="C60">
        <v>479.5</v>
      </c>
      <c r="D60" t="s">
        <v>421</v>
      </c>
      <c r="E60" t="s">
        <v>422</v>
      </c>
      <c r="F60" t="s">
        <v>330</v>
      </c>
      <c r="H60">
        <v>1690377196</v>
      </c>
      <c r="I60">
        <f t="shared" si="0"/>
        <v>6.1868905371648911E-4</v>
      </c>
      <c r="J60">
        <f t="shared" si="1"/>
        <v>0.61868905371648908</v>
      </c>
      <c r="K60">
        <f t="shared" si="2"/>
        <v>9.4160355140479748</v>
      </c>
      <c r="L60">
        <f t="shared" si="3"/>
        <v>686.87400000000002</v>
      </c>
      <c r="M60">
        <f t="shared" si="4"/>
        <v>256.47134555582704</v>
      </c>
      <c r="N60">
        <f t="shared" si="5"/>
        <v>25.32628284956861</v>
      </c>
      <c r="O60">
        <f t="shared" si="6"/>
        <v>67.828104415773609</v>
      </c>
      <c r="P60">
        <f t="shared" si="7"/>
        <v>3.6400005621261729E-2</v>
      </c>
      <c r="Q60">
        <f t="shared" si="8"/>
        <v>2.0043374290453198</v>
      </c>
      <c r="R60">
        <f t="shared" si="9"/>
        <v>3.6036713965234085E-2</v>
      </c>
      <c r="S60">
        <f t="shared" si="10"/>
        <v>2.2555284298071316E-2</v>
      </c>
      <c r="T60">
        <f t="shared" si="11"/>
        <v>276.11249071719624</v>
      </c>
      <c r="U60">
        <f t="shared" si="12"/>
        <v>29.163222457786471</v>
      </c>
      <c r="V60">
        <f t="shared" si="13"/>
        <v>29.163222457786471</v>
      </c>
      <c r="W60">
        <f t="shared" si="14"/>
        <v>4.0599149864687387</v>
      </c>
      <c r="X60">
        <f t="shared" si="15"/>
        <v>67.284275496994951</v>
      </c>
      <c r="Y60">
        <f t="shared" si="16"/>
        <v>2.4201892880994</v>
      </c>
      <c r="Z60">
        <f t="shared" si="17"/>
        <v>3.5969612070913812</v>
      </c>
      <c r="AA60">
        <f t="shared" si="18"/>
        <v>1.6397256983693387</v>
      </c>
      <c r="AB60">
        <f t="shared" si="19"/>
        <v>-27.28418726889717</v>
      </c>
      <c r="AC60">
        <f t="shared" si="20"/>
        <v>-224.62225765592638</v>
      </c>
      <c r="AD60">
        <f t="shared" si="21"/>
        <v>-24.45872674297663</v>
      </c>
      <c r="AE60">
        <f t="shared" si="22"/>
        <v>-0.25268095060394558</v>
      </c>
      <c r="AF60">
        <v>15</v>
      </c>
      <c r="AG60">
        <v>5</v>
      </c>
      <c r="AH60">
        <f t="shared" si="23"/>
        <v>1</v>
      </c>
      <c r="AI60">
        <f t="shared" si="24"/>
        <v>0</v>
      </c>
      <c r="AJ60">
        <f t="shared" si="25"/>
        <v>52007.407790098172</v>
      </c>
      <c r="AK60">
        <f t="shared" si="26"/>
        <v>1799.99</v>
      </c>
      <c r="AL60">
        <f t="shared" si="27"/>
        <v>1499.10512599192</v>
      </c>
      <c r="AM60">
        <f t="shared" si="28"/>
        <v>0.83284080800000004</v>
      </c>
      <c r="AN60">
        <f t="shared" si="29"/>
        <v>0.15339668038000001</v>
      </c>
      <c r="AO60">
        <v>34.5</v>
      </c>
      <c r="AP60">
        <v>0.5</v>
      </c>
      <c r="AQ60" t="s">
        <v>331</v>
      </c>
      <c r="AR60">
        <v>2</v>
      </c>
      <c r="AS60">
        <v>1690377196</v>
      </c>
      <c r="AT60">
        <v>686.87400000000002</v>
      </c>
      <c r="AU60">
        <v>799.95500000000004</v>
      </c>
      <c r="AV60">
        <v>24.508500000000002</v>
      </c>
      <c r="AW60">
        <v>17.573499999999999</v>
      </c>
      <c r="AX60">
        <v>687.49800000000005</v>
      </c>
      <c r="AY60">
        <v>24.2973</v>
      </c>
      <c r="AZ60">
        <v>300.24</v>
      </c>
      <c r="BA60">
        <v>98.649000000000001</v>
      </c>
      <c r="BB60">
        <v>9.9976400000000007E-2</v>
      </c>
      <c r="BC60">
        <v>27.084499999999998</v>
      </c>
      <c r="BD60">
        <v>26.9754</v>
      </c>
      <c r="BE60">
        <v>29.069099999999999</v>
      </c>
      <c r="BF60">
        <v>0</v>
      </c>
      <c r="BG60">
        <v>0</v>
      </c>
      <c r="BH60">
        <v>9971.8799999999992</v>
      </c>
      <c r="BI60">
        <v>1083.4100000000001</v>
      </c>
      <c r="BJ60">
        <v>1.4016500000000001</v>
      </c>
      <c r="BK60">
        <v>-113.081</v>
      </c>
      <c r="BL60">
        <v>704.13199999999995</v>
      </c>
      <c r="BM60">
        <v>814.26499999999999</v>
      </c>
      <c r="BN60">
        <v>6.9349499999999997</v>
      </c>
      <c r="BO60">
        <v>799.95500000000004</v>
      </c>
      <c r="BP60">
        <v>17.573499999999999</v>
      </c>
      <c r="BQ60">
        <v>2.4177399999999998</v>
      </c>
      <c r="BR60">
        <v>1.7336100000000001</v>
      </c>
      <c r="BS60">
        <v>20.4831</v>
      </c>
      <c r="BT60">
        <v>15.200699999999999</v>
      </c>
      <c r="BU60">
        <v>1799.99</v>
      </c>
      <c r="BV60">
        <v>0.91002000000000005</v>
      </c>
      <c r="BW60">
        <v>3.39992E-2</v>
      </c>
      <c r="BX60">
        <v>2.1991400000000001E-2</v>
      </c>
      <c r="BY60">
        <v>3.3989400000000003E-2</v>
      </c>
      <c r="BZ60">
        <v>25</v>
      </c>
      <c r="CA60">
        <v>33528.400000000001</v>
      </c>
      <c r="CB60">
        <v>1690376213.5999999</v>
      </c>
      <c r="CC60" t="s">
        <v>332</v>
      </c>
      <c r="CD60">
        <v>1690376213.5999999</v>
      </c>
      <c r="CE60">
        <v>1690376198.0999999</v>
      </c>
      <c r="CF60">
        <v>2</v>
      </c>
      <c r="CG60">
        <v>0.66900000000000004</v>
      </c>
      <c r="CH60">
        <v>-2.1000000000000001E-2</v>
      </c>
      <c r="CI60">
        <v>-0.70099999999999996</v>
      </c>
      <c r="CJ60">
        <v>0.21099999999999999</v>
      </c>
      <c r="CK60">
        <v>799</v>
      </c>
      <c r="CL60">
        <v>21</v>
      </c>
      <c r="CM60">
        <v>0.11</v>
      </c>
      <c r="CN60">
        <v>0.17</v>
      </c>
      <c r="CO60">
        <v>-110.50055</v>
      </c>
      <c r="CP60">
        <v>-14.29704315196982</v>
      </c>
      <c r="CQ60">
        <v>1.37619231850058</v>
      </c>
      <c r="CR60">
        <v>-1</v>
      </c>
      <c r="CS60">
        <v>6.8407782499999996</v>
      </c>
      <c r="CT60">
        <v>0.44698525328327149</v>
      </c>
      <c r="CU60">
        <v>4.4633739642085779E-2</v>
      </c>
      <c r="CV60">
        <v>-1</v>
      </c>
      <c r="CW60">
        <v>0</v>
      </c>
      <c r="CX60">
        <v>0</v>
      </c>
      <c r="CY60" t="s">
        <v>333</v>
      </c>
      <c r="CZ60">
        <v>2.3652600000000001</v>
      </c>
      <c r="DA60">
        <v>2.71374</v>
      </c>
      <c r="DB60">
        <v>0.132076</v>
      </c>
      <c r="DC60">
        <v>0.145898</v>
      </c>
      <c r="DD60">
        <v>0.115194</v>
      </c>
      <c r="DE60">
        <v>8.9732400000000004E-2</v>
      </c>
      <c r="DF60">
        <v>31702.9</v>
      </c>
      <c r="DG60">
        <v>27519.8</v>
      </c>
      <c r="DH60">
        <v>31181.1</v>
      </c>
      <c r="DI60">
        <v>28073.5</v>
      </c>
      <c r="DJ60">
        <v>37451.599999999999</v>
      </c>
      <c r="DK60">
        <v>36324</v>
      </c>
      <c r="DL60">
        <v>44372</v>
      </c>
      <c r="DM60">
        <v>42535.3</v>
      </c>
      <c r="DN60">
        <v>1.4341999999999999</v>
      </c>
      <c r="DO60">
        <v>2.0773700000000002</v>
      </c>
      <c r="DP60">
        <v>9.3758099999999997E-2</v>
      </c>
      <c r="DQ60">
        <v>0.22378600000000001</v>
      </c>
      <c r="DR60">
        <v>25.440200000000001</v>
      </c>
      <c r="DS60">
        <v>25.410599999999999</v>
      </c>
      <c r="DT60">
        <v>61.6</v>
      </c>
      <c r="DU60">
        <v>26.6</v>
      </c>
      <c r="DV60">
        <v>21.8294</v>
      </c>
      <c r="DW60">
        <v>61.490200000000002</v>
      </c>
      <c r="DX60">
        <v>35.9054</v>
      </c>
      <c r="DY60">
        <v>1</v>
      </c>
      <c r="DZ60">
        <v>-0.140676</v>
      </c>
      <c r="EA60">
        <v>-0.29494599999999999</v>
      </c>
      <c r="EB60">
        <v>20.1906</v>
      </c>
      <c r="EC60">
        <v>5.2435</v>
      </c>
      <c r="ED60">
        <v>12.039899999999999</v>
      </c>
      <c r="EE60">
        <v>5.0169499999999996</v>
      </c>
      <c r="EF60">
        <v>3.2879999999999998</v>
      </c>
      <c r="EG60">
        <v>9999</v>
      </c>
      <c r="EH60">
        <v>9999</v>
      </c>
      <c r="EI60">
        <v>9999</v>
      </c>
      <c r="EJ60">
        <v>999.9</v>
      </c>
      <c r="EK60">
        <v>1.8688400000000001</v>
      </c>
      <c r="EL60">
        <v>1.8644700000000001</v>
      </c>
      <c r="EM60">
        <v>1.8691800000000001</v>
      </c>
      <c r="EN60">
        <v>1.8671899999999999</v>
      </c>
      <c r="EO60">
        <v>1.86327</v>
      </c>
      <c r="EP60">
        <v>1.86432</v>
      </c>
      <c r="EQ60">
        <v>1.87012</v>
      </c>
      <c r="ER60">
        <v>1.8693500000000001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-0.624</v>
      </c>
      <c r="FG60">
        <v>0.2112</v>
      </c>
      <c r="FH60">
        <v>-0.150361779349652</v>
      </c>
      <c r="FI60">
        <v>-6.1462078757559423E-4</v>
      </c>
      <c r="FJ60">
        <v>-1.8861989874597051E-7</v>
      </c>
      <c r="FK60">
        <v>1.1980462299894961E-10</v>
      </c>
      <c r="FL60">
        <v>0.21114761904761539</v>
      </c>
      <c r="FM60">
        <v>0</v>
      </c>
      <c r="FN60">
        <v>0</v>
      </c>
      <c r="FO60">
        <v>0</v>
      </c>
      <c r="FP60">
        <v>3</v>
      </c>
      <c r="FQ60">
        <v>2158</v>
      </c>
      <c r="FR60">
        <v>1</v>
      </c>
      <c r="FS60">
        <v>19</v>
      </c>
      <c r="FT60">
        <v>16.399999999999999</v>
      </c>
      <c r="FU60">
        <v>16.600000000000001</v>
      </c>
      <c r="FV60">
        <v>1.79077</v>
      </c>
      <c r="FW60">
        <v>2.5671400000000002</v>
      </c>
      <c r="FX60">
        <v>1.5490699999999999</v>
      </c>
      <c r="FY60">
        <v>2.33887</v>
      </c>
      <c r="FZ60">
        <v>1.50146</v>
      </c>
      <c r="GA60">
        <v>2.3938000000000001</v>
      </c>
      <c r="GB60">
        <v>31.826899999999998</v>
      </c>
      <c r="GC60">
        <v>23.991199999999999</v>
      </c>
      <c r="GD60">
        <v>19</v>
      </c>
      <c r="GE60">
        <v>262.96300000000002</v>
      </c>
      <c r="GF60">
        <v>610.39200000000005</v>
      </c>
      <c r="GG60">
        <v>25.2471</v>
      </c>
      <c r="GH60">
        <v>25.686299999999999</v>
      </c>
      <c r="GI60">
        <v>29.9999</v>
      </c>
      <c r="GJ60">
        <v>25.756699999999999</v>
      </c>
      <c r="GK60">
        <v>25.719799999999999</v>
      </c>
      <c r="GL60">
        <v>35.8018</v>
      </c>
      <c r="GM60">
        <v>29.125499999999999</v>
      </c>
      <c r="GN60">
        <v>100</v>
      </c>
      <c r="GO60">
        <v>25.267099999999999</v>
      </c>
      <c r="GP60">
        <v>800</v>
      </c>
      <c r="GQ60">
        <v>17.447099999999999</v>
      </c>
      <c r="GR60">
        <v>99.763999999999996</v>
      </c>
      <c r="GS60">
        <v>99.518299999999996</v>
      </c>
    </row>
    <row r="61" spans="1:201" x14ac:dyDescent="0.25">
      <c r="A61">
        <v>45</v>
      </c>
      <c r="B61">
        <v>1690377206</v>
      </c>
      <c r="C61">
        <v>489.5</v>
      </c>
      <c r="D61" t="s">
        <v>423</v>
      </c>
      <c r="E61" t="s">
        <v>424</v>
      </c>
      <c r="F61" t="s">
        <v>330</v>
      </c>
      <c r="H61">
        <v>1690377206</v>
      </c>
      <c r="I61">
        <f t="shared" si="0"/>
        <v>6.2807575421502493E-4</v>
      </c>
      <c r="J61">
        <f t="shared" si="1"/>
        <v>0.62807575421502493</v>
      </c>
      <c r="K61">
        <f t="shared" si="2"/>
        <v>9.6295727619176219</v>
      </c>
      <c r="L61">
        <f t="shared" si="3"/>
        <v>684.47900000000004</v>
      </c>
      <c r="M61">
        <f t="shared" si="4"/>
        <v>252.11934362306653</v>
      </c>
      <c r="N61">
        <f t="shared" si="5"/>
        <v>24.896216527598281</v>
      </c>
      <c r="O61">
        <f t="shared" si="6"/>
        <v>67.590757407615513</v>
      </c>
      <c r="P61">
        <f t="shared" si="7"/>
        <v>3.7045488410783735E-2</v>
      </c>
      <c r="Q61">
        <f t="shared" si="8"/>
        <v>2.010803581603255</v>
      </c>
      <c r="R61">
        <f t="shared" si="9"/>
        <v>3.6670466412501136E-2</v>
      </c>
      <c r="S61">
        <f t="shared" si="10"/>
        <v>2.2952419290480437E-2</v>
      </c>
      <c r="T61">
        <f t="shared" si="11"/>
        <v>276.11607475800002</v>
      </c>
      <c r="U61">
        <f t="shared" si="12"/>
        <v>29.143289063778155</v>
      </c>
      <c r="V61">
        <f t="shared" si="13"/>
        <v>29.143289063778155</v>
      </c>
      <c r="W61">
        <f t="shared" si="14"/>
        <v>4.0552400605208412</v>
      </c>
      <c r="X61">
        <f t="shared" si="15"/>
        <v>67.303216138284526</v>
      </c>
      <c r="Y61">
        <f t="shared" si="16"/>
        <v>2.4193789888967001</v>
      </c>
      <c r="Z61">
        <f t="shared" si="17"/>
        <v>3.5947449880043236</v>
      </c>
      <c r="AA61">
        <f t="shared" si="18"/>
        <v>1.6358610716241411</v>
      </c>
      <c r="AB61">
        <f t="shared" si="19"/>
        <v>-27.698140760882598</v>
      </c>
      <c r="AC61">
        <f t="shared" si="20"/>
        <v>-224.32426630439619</v>
      </c>
      <c r="AD61">
        <f t="shared" si="21"/>
        <v>-24.344037754850561</v>
      </c>
      <c r="AE61">
        <f t="shared" si="22"/>
        <v>-0.25037006212932056</v>
      </c>
      <c r="AF61">
        <v>15</v>
      </c>
      <c r="AG61">
        <v>5</v>
      </c>
      <c r="AH61">
        <f t="shared" si="23"/>
        <v>1</v>
      </c>
      <c r="AI61">
        <f t="shared" si="24"/>
        <v>0</v>
      </c>
      <c r="AJ61">
        <f t="shared" si="25"/>
        <v>52318.279666823881</v>
      </c>
      <c r="AK61">
        <f t="shared" si="26"/>
        <v>1800</v>
      </c>
      <c r="AL61">
        <f t="shared" si="27"/>
        <v>1499.1150617999999</v>
      </c>
      <c r="AM61">
        <f t="shared" si="28"/>
        <v>0.83284170099999999</v>
      </c>
      <c r="AN61">
        <f t="shared" si="29"/>
        <v>0.15339781931000002</v>
      </c>
      <c r="AO61">
        <v>34.5</v>
      </c>
      <c r="AP61">
        <v>0.5</v>
      </c>
      <c r="AQ61" t="s">
        <v>331</v>
      </c>
      <c r="AR61">
        <v>2</v>
      </c>
      <c r="AS61">
        <v>1690377206</v>
      </c>
      <c r="AT61">
        <v>684.47900000000004</v>
      </c>
      <c r="AU61">
        <v>800.08900000000006</v>
      </c>
      <c r="AV61">
        <v>24.500599999999999</v>
      </c>
      <c r="AW61">
        <v>17.459199999999999</v>
      </c>
      <c r="AX61">
        <v>685.101</v>
      </c>
      <c r="AY61">
        <v>24.289400000000001</v>
      </c>
      <c r="AZ61">
        <v>300.19200000000001</v>
      </c>
      <c r="BA61">
        <v>98.647800000000004</v>
      </c>
      <c r="BB61">
        <v>9.9944500000000006E-2</v>
      </c>
      <c r="BC61">
        <v>27.074000000000002</v>
      </c>
      <c r="BD61">
        <v>26.974699999999999</v>
      </c>
      <c r="BE61">
        <v>29.086600000000001</v>
      </c>
      <c r="BF61">
        <v>0</v>
      </c>
      <c r="BG61">
        <v>0</v>
      </c>
      <c r="BH61">
        <v>10033.799999999999</v>
      </c>
      <c r="BI61">
        <v>1083.25</v>
      </c>
      <c r="BJ61">
        <v>1.4016500000000001</v>
      </c>
      <c r="BK61">
        <v>-115.60899999999999</v>
      </c>
      <c r="BL61">
        <v>701.67100000000005</v>
      </c>
      <c r="BM61">
        <v>814.30600000000004</v>
      </c>
      <c r="BN61">
        <v>7.0414000000000003</v>
      </c>
      <c r="BO61">
        <v>800.08900000000006</v>
      </c>
      <c r="BP61">
        <v>17.459199999999999</v>
      </c>
      <c r="BQ61">
        <v>2.4169299999999998</v>
      </c>
      <c r="BR61">
        <v>1.72231</v>
      </c>
      <c r="BS61">
        <v>20.477699999999999</v>
      </c>
      <c r="BT61">
        <v>15.099</v>
      </c>
      <c r="BU61">
        <v>1800</v>
      </c>
      <c r="BV61">
        <v>0.91000899999999996</v>
      </c>
      <c r="BW61">
        <v>3.3996400000000003E-2</v>
      </c>
      <c r="BX61">
        <v>2.2007800000000001E-2</v>
      </c>
      <c r="BY61">
        <v>3.3986500000000003E-2</v>
      </c>
      <c r="BZ61">
        <v>25</v>
      </c>
      <c r="CA61">
        <v>33528.199999999997</v>
      </c>
      <c r="CB61">
        <v>1690376213.5999999</v>
      </c>
      <c r="CC61" t="s">
        <v>332</v>
      </c>
      <c r="CD61">
        <v>1690376213.5999999</v>
      </c>
      <c r="CE61">
        <v>1690376198.0999999</v>
      </c>
      <c r="CF61">
        <v>2</v>
      </c>
      <c r="CG61">
        <v>0.66900000000000004</v>
      </c>
      <c r="CH61">
        <v>-2.1000000000000001E-2</v>
      </c>
      <c r="CI61">
        <v>-0.70099999999999996</v>
      </c>
      <c r="CJ61">
        <v>0.21099999999999999</v>
      </c>
      <c r="CK61">
        <v>799</v>
      </c>
      <c r="CL61">
        <v>21</v>
      </c>
      <c r="CM61">
        <v>0.11</v>
      </c>
      <c r="CN61">
        <v>0.17</v>
      </c>
      <c r="CO61">
        <v>-112.7166585365853</v>
      </c>
      <c r="CP61">
        <v>-14.644222996515779</v>
      </c>
      <c r="CQ61">
        <v>1.4443730618989421</v>
      </c>
      <c r="CR61">
        <v>-1</v>
      </c>
      <c r="CS61">
        <v>6.9242173170731718</v>
      </c>
      <c r="CT61">
        <v>0.58441421602786858</v>
      </c>
      <c r="CU61">
        <v>5.9123866875106512E-2</v>
      </c>
      <c r="CV61">
        <v>-1</v>
      </c>
      <c r="CW61">
        <v>0</v>
      </c>
      <c r="CX61">
        <v>0</v>
      </c>
      <c r="CY61" t="s">
        <v>333</v>
      </c>
      <c r="CZ61">
        <v>2.3650899999999999</v>
      </c>
      <c r="DA61">
        <v>2.7137699999999998</v>
      </c>
      <c r="DB61">
        <v>0.13175700000000001</v>
      </c>
      <c r="DC61">
        <v>0.14591000000000001</v>
      </c>
      <c r="DD61">
        <v>0.115166</v>
      </c>
      <c r="DE61">
        <v>8.9310700000000007E-2</v>
      </c>
      <c r="DF61">
        <v>31714.400000000001</v>
      </c>
      <c r="DG61">
        <v>27520</v>
      </c>
      <c r="DH61">
        <v>31180.9</v>
      </c>
      <c r="DI61">
        <v>28074.1</v>
      </c>
      <c r="DJ61">
        <v>37452.5</v>
      </c>
      <c r="DK61">
        <v>36341.599999999999</v>
      </c>
      <c r="DL61">
        <v>44371.7</v>
      </c>
      <c r="DM61">
        <v>42536.1</v>
      </c>
      <c r="DN61">
        <v>1.43445</v>
      </c>
      <c r="DO61">
        <v>2.0770200000000001</v>
      </c>
      <c r="DP61">
        <v>9.38475E-2</v>
      </c>
      <c r="DQ61">
        <v>0.225022</v>
      </c>
      <c r="DR61">
        <v>25.437999999999999</v>
      </c>
      <c r="DS61">
        <v>25.408000000000001</v>
      </c>
      <c r="DT61">
        <v>61.6</v>
      </c>
      <c r="DU61">
        <v>26.6</v>
      </c>
      <c r="DV61">
        <v>21.830400000000001</v>
      </c>
      <c r="DW61">
        <v>61.600200000000001</v>
      </c>
      <c r="DX61">
        <v>36.286099999999998</v>
      </c>
      <c r="DY61">
        <v>1</v>
      </c>
      <c r="DZ61">
        <v>-0.14053099999999999</v>
      </c>
      <c r="EA61">
        <v>-0.34495399999999998</v>
      </c>
      <c r="EB61">
        <v>20.1904</v>
      </c>
      <c r="EC61">
        <v>5.2433500000000004</v>
      </c>
      <c r="ED61">
        <v>12.039899999999999</v>
      </c>
      <c r="EE61">
        <v>5.0170500000000002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1.86887</v>
      </c>
      <c r="EL61">
        <v>1.8645</v>
      </c>
      <c r="EM61">
        <v>1.8691800000000001</v>
      </c>
      <c r="EN61">
        <v>1.8671800000000001</v>
      </c>
      <c r="EO61">
        <v>1.86327</v>
      </c>
      <c r="EP61">
        <v>1.86432</v>
      </c>
      <c r="EQ61">
        <v>1.87012</v>
      </c>
      <c r="ER61">
        <v>1.8693500000000001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-0.622</v>
      </c>
      <c r="FG61">
        <v>0.2112</v>
      </c>
      <c r="FH61">
        <v>-0.150361779349652</v>
      </c>
      <c r="FI61">
        <v>-6.1462078757559423E-4</v>
      </c>
      <c r="FJ61">
        <v>-1.8861989874597051E-7</v>
      </c>
      <c r="FK61">
        <v>1.1980462299894961E-10</v>
      </c>
      <c r="FL61">
        <v>0.21114761904761539</v>
      </c>
      <c r="FM61">
        <v>0</v>
      </c>
      <c r="FN61">
        <v>0</v>
      </c>
      <c r="FO61">
        <v>0</v>
      </c>
      <c r="FP61">
        <v>3</v>
      </c>
      <c r="FQ61">
        <v>2158</v>
      </c>
      <c r="FR61">
        <v>1</v>
      </c>
      <c r="FS61">
        <v>19</v>
      </c>
      <c r="FT61">
        <v>16.5</v>
      </c>
      <c r="FU61">
        <v>16.8</v>
      </c>
      <c r="FV61">
        <v>1.79077</v>
      </c>
      <c r="FW61">
        <v>2.5647000000000002</v>
      </c>
      <c r="FX61">
        <v>1.5490699999999999</v>
      </c>
      <c r="FY61">
        <v>2.33887</v>
      </c>
      <c r="FZ61">
        <v>1.50146</v>
      </c>
      <c r="GA61">
        <v>2.3999000000000001</v>
      </c>
      <c r="GB61">
        <v>31.826899999999998</v>
      </c>
      <c r="GC61">
        <v>23.991199999999999</v>
      </c>
      <c r="GD61">
        <v>19</v>
      </c>
      <c r="GE61">
        <v>263.07</v>
      </c>
      <c r="GF61">
        <v>610.09299999999996</v>
      </c>
      <c r="GG61">
        <v>25.284800000000001</v>
      </c>
      <c r="GH61">
        <v>25.684100000000001</v>
      </c>
      <c r="GI61">
        <v>30.0002</v>
      </c>
      <c r="GJ61">
        <v>25.758199999999999</v>
      </c>
      <c r="GK61">
        <v>25.719799999999999</v>
      </c>
      <c r="GL61">
        <v>35.799100000000003</v>
      </c>
      <c r="GM61">
        <v>29.723800000000001</v>
      </c>
      <c r="GN61">
        <v>99.628100000000003</v>
      </c>
      <c r="GO61">
        <v>25.307200000000002</v>
      </c>
      <c r="GP61">
        <v>800</v>
      </c>
      <c r="GQ61">
        <v>17.319900000000001</v>
      </c>
      <c r="GR61">
        <v>99.763400000000004</v>
      </c>
      <c r="GS61">
        <v>99.520300000000006</v>
      </c>
    </row>
    <row r="62" spans="1:201" x14ac:dyDescent="0.25">
      <c r="A62">
        <v>46</v>
      </c>
      <c r="B62">
        <v>1690377216</v>
      </c>
      <c r="C62">
        <v>499.5</v>
      </c>
      <c r="D62" t="s">
        <v>425</v>
      </c>
      <c r="E62" t="s">
        <v>426</v>
      </c>
      <c r="F62" t="s">
        <v>330</v>
      </c>
      <c r="H62">
        <v>1690377216</v>
      </c>
      <c r="I62">
        <f t="shared" si="0"/>
        <v>6.3928441735937053E-4</v>
      </c>
      <c r="J62">
        <f t="shared" si="1"/>
        <v>0.63928441735937058</v>
      </c>
      <c r="K62">
        <f t="shared" si="2"/>
        <v>9.832581855975004</v>
      </c>
      <c r="L62">
        <f t="shared" si="3"/>
        <v>681.99300000000005</v>
      </c>
      <c r="M62">
        <f t="shared" si="4"/>
        <v>247.68732950898021</v>
      </c>
      <c r="N62">
        <f t="shared" si="5"/>
        <v>24.459091763040092</v>
      </c>
      <c r="O62">
        <f t="shared" si="6"/>
        <v>67.346720568305102</v>
      </c>
      <c r="P62">
        <f t="shared" si="7"/>
        <v>3.7650593231529951E-2</v>
      </c>
      <c r="Q62">
        <f t="shared" si="8"/>
        <v>2.0106287237488534</v>
      </c>
      <c r="R62">
        <f t="shared" si="9"/>
        <v>3.7263255662398652E-2</v>
      </c>
      <c r="S62">
        <f t="shared" si="10"/>
        <v>2.3324003387781615E-2</v>
      </c>
      <c r="T62">
        <f t="shared" si="11"/>
        <v>276.11495375151259</v>
      </c>
      <c r="U62">
        <f t="shared" si="12"/>
        <v>29.153695593007459</v>
      </c>
      <c r="V62">
        <f t="shared" si="13"/>
        <v>29.153695593007459</v>
      </c>
      <c r="W62">
        <f t="shared" si="14"/>
        <v>4.0576800902875059</v>
      </c>
      <c r="X62">
        <f t="shared" si="15"/>
        <v>67.238468921695784</v>
      </c>
      <c r="Y62">
        <f t="shared" si="16"/>
        <v>2.4190953325120401</v>
      </c>
      <c r="Z62">
        <f t="shared" si="17"/>
        <v>3.5977846778891669</v>
      </c>
      <c r="AA62">
        <f t="shared" si="18"/>
        <v>1.6385847577754658</v>
      </c>
      <c r="AB62">
        <f t="shared" si="19"/>
        <v>-28.192442805548239</v>
      </c>
      <c r="AC62">
        <f t="shared" si="20"/>
        <v>-223.87187893344154</v>
      </c>
      <c r="AD62">
        <f t="shared" si="21"/>
        <v>-24.300058313153908</v>
      </c>
      <c r="AE62">
        <f t="shared" si="22"/>
        <v>-0.24942630063108595</v>
      </c>
      <c r="AF62">
        <v>15</v>
      </c>
      <c r="AG62">
        <v>5</v>
      </c>
      <c r="AH62">
        <f t="shared" si="23"/>
        <v>1</v>
      </c>
      <c r="AI62">
        <f t="shared" si="24"/>
        <v>0</v>
      </c>
      <c r="AJ62">
        <f t="shared" si="25"/>
        <v>52307.441817320345</v>
      </c>
      <c r="AK62">
        <f t="shared" si="26"/>
        <v>1799.99</v>
      </c>
      <c r="AL62">
        <f t="shared" si="27"/>
        <v>1499.1048667933601</v>
      </c>
      <c r="AM62">
        <f t="shared" si="28"/>
        <v>0.83284066400000001</v>
      </c>
      <c r="AN62">
        <f t="shared" si="29"/>
        <v>0.15339804873999999</v>
      </c>
      <c r="AO62">
        <v>34.5</v>
      </c>
      <c r="AP62">
        <v>0.5</v>
      </c>
      <c r="AQ62" t="s">
        <v>331</v>
      </c>
      <c r="AR62">
        <v>2</v>
      </c>
      <c r="AS62">
        <v>1690377216</v>
      </c>
      <c r="AT62">
        <v>681.99300000000005</v>
      </c>
      <c r="AU62">
        <v>800.05399999999997</v>
      </c>
      <c r="AV62">
        <v>24.497199999999999</v>
      </c>
      <c r="AW62">
        <v>17.327200000000001</v>
      </c>
      <c r="AX62">
        <v>682.61300000000006</v>
      </c>
      <c r="AY62">
        <v>24.286100000000001</v>
      </c>
      <c r="AZ62">
        <v>300.07</v>
      </c>
      <c r="BA62">
        <v>98.65</v>
      </c>
      <c r="BB62">
        <v>9.9870700000000007E-2</v>
      </c>
      <c r="BC62">
        <v>27.0884</v>
      </c>
      <c r="BD62">
        <v>26.967700000000001</v>
      </c>
      <c r="BE62">
        <v>29.07</v>
      </c>
      <c r="BF62">
        <v>0</v>
      </c>
      <c r="BG62">
        <v>0</v>
      </c>
      <c r="BH62">
        <v>10031.9</v>
      </c>
      <c r="BI62">
        <v>1083.2</v>
      </c>
      <c r="BJ62">
        <v>1.31755</v>
      </c>
      <c r="BK62">
        <v>-118.06100000000001</v>
      </c>
      <c r="BL62">
        <v>699.12</v>
      </c>
      <c r="BM62">
        <v>814.16200000000003</v>
      </c>
      <c r="BN62">
        <v>7.1700600000000003</v>
      </c>
      <c r="BO62">
        <v>800.05399999999997</v>
      </c>
      <c r="BP62">
        <v>17.327200000000001</v>
      </c>
      <c r="BQ62">
        <v>2.4166500000000002</v>
      </c>
      <c r="BR62">
        <v>1.70933</v>
      </c>
      <c r="BS62">
        <v>20.4758</v>
      </c>
      <c r="BT62">
        <v>14.981400000000001</v>
      </c>
      <c r="BU62">
        <v>1799.99</v>
      </c>
      <c r="BV62">
        <v>0.90998999999999997</v>
      </c>
      <c r="BW62">
        <v>3.39929E-2</v>
      </c>
      <c r="BX62">
        <v>2.2008199999999999E-2</v>
      </c>
      <c r="BY62">
        <v>3.4009200000000003E-2</v>
      </c>
      <c r="BZ62">
        <v>25</v>
      </c>
      <c r="CA62">
        <v>33528.199999999997</v>
      </c>
      <c r="CB62">
        <v>1690376213.5999999</v>
      </c>
      <c r="CC62" t="s">
        <v>332</v>
      </c>
      <c r="CD62">
        <v>1690376213.5999999</v>
      </c>
      <c r="CE62">
        <v>1690376198.0999999</v>
      </c>
      <c r="CF62">
        <v>2</v>
      </c>
      <c r="CG62">
        <v>0.66900000000000004</v>
      </c>
      <c r="CH62">
        <v>-2.1000000000000001E-2</v>
      </c>
      <c r="CI62">
        <v>-0.70099999999999996</v>
      </c>
      <c r="CJ62">
        <v>0.21099999999999999</v>
      </c>
      <c r="CK62">
        <v>799</v>
      </c>
      <c r="CL62">
        <v>21</v>
      </c>
      <c r="CM62">
        <v>0.11</v>
      </c>
      <c r="CN62">
        <v>0.17</v>
      </c>
      <c r="CO62">
        <v>-115.33674999999999</v>
      </c>
      <c r="CP62">
        <v>-14.608682926829459</v>
      </c>
      <c r="CQ62">
        <v>1.406121718593379</v>
      </c>
      <c r="CR62">
        <v>-1</v>
      </c>
      <c r="CS62">
        <v>7.0438522499999996</v>
      </c>
      <c r="CT62">
        <v>0.69801106941839619</v>
      </c>
      <c r="CU62">
        <v>6.7480362531906257E-2</v>
      </c>
      <c r="CV62">
        <v>-1</v>
      </c>
      <c r="CW62">
        <v>0</v>
      </c>
      <c r="CX62">
        <v>0</v>
      </c>
      <c r="CY62" t="s">
        <v>333</v>
      </c>
      <c r="CZ62">
        <v>2.3647100000000001</v>
      </c>
      <c r="DA62">
        <v>2.7136900000000002</v>
      </c>
      <c r="DB62">
        <v>0.13143099999999999</v>
      </c>
      <c r="DC62">
        <v>0.14590600000000001</v>
      </c>
      <c r="DD62">
        <v>0.115158</v>
      </c>
      <c r="DE62">
        <v>8.8825299999999996E-2</v>
      </c>
      <c r="DF62">
        <v>31726.3</v>
      </c>
      <c r="DG62">
        <v>27520.1</v>
      </c>
      <c r="DH62">
        <v>31180.9</v>
      </c>
      <c r="DI62">
        <v>28074</v>
      </c>
      <c r="DJ62">
        <v>37452.9</v>
      </c>
      <c r="DK62">
        <v>36361</v>
      </c>
      <c r="DL62">
        <v>44371.7</v>
      </c>
      <c r="DM62">
        <v>42536.2</v>
      </c>
      <c r="DN62">
        <v>1.4340999999999999</v>
      </c>
      <c r="DO62">
        <v>2.07687</v>
      </c>
      <c r="DP62">
        <v>9.3676099999999998E-2</v>
      </c>
      <c r="DQ62">
        <v>0.22400500000000001</v>
      </c>
      <c r="DR62">
        <v>25.433700000000002</v>
      </c>
      <c r="DS62">
        <v>25.408000000000001</v>
      </c>
      <c r="DT62">
        <v>61.6</v>
      </c>
      <c r="DU62">
        <v>26.6</v>
      </c>
      <c r="DV62">
        <v>21.8278</v>
      </c>
      <c r="DW62">
        <v>61.350200000000001</v>
      </c>
      <c r="DX62">
        <v>36.770800000000001</v>
      </c>
      <c r="DY62">
        <v>1</v>
      </c>
      <c r="DZ62">
        <v>-0.14042399999999999</v>
      </c>
      <c r="EA62">
        <v>-0.36604799999999998</v>
      </c>
      <c r="EB62">
        <v>20.1904</v>
      </c>
      <c r="EC62">
        <v>5.2438000000000002</v>
      </c>
      <c r="ED62">
        <v>12.039899999999999</v>
      </c>
      <c r="EE62">
        <v>5.0171000000000001</v>
      </c>
      <c r="EF62">
        <v>3.2879999999999998</v>
      </c>
      <c r="EG62">
        <v>9999</v>
      </c>
      <c r="EH62">
        <v>9999</v>
      </c>
      <c r="EI62">
        <v>9999</v>
      </c>
      <c r="EJ62">
        <v>999.9</v>
      </c>
      <c r="EK62">
        <v>1.86883</v>
      </c>
      <c r="EL62">
        <v>1.86449</v>
      </c>
      <c r="EM62">
        <v>1.8691500000000001</v>
      </c>
      <c r="EN62">
        <v>1.8671800000000001</v>
      </c>
      <c r="EO62">
        <v>1.8632599999999999</v>
      </c>
      <c r="EP62">
        <v>1.86432</v>
      </c>
      <c r="EQ62">
        <v>1.87012</v>
      </c>
      <c r="ER62">
        <v>1.8693500000000001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-0.62</v>
      </c>
      <c r="FG62">
        <v>0.21110000000000001</v>
      </c>
      <c r="FH62">
        <v>-0.150361779349652</v>
      </c>
      <c r="FI62">
        <v>-6.1462078757559423E-4</v>
      </c>
      <c r="FJ62">
        <v>-1.8861989874597051E-7</v>
      </c>
      <c r="FK62">
        <v>1.1980462299894961E-10</v>
      </c>
      <c r="FL62">
        <v>0.21114761904761539</v>
      </c>
      <c r="FM62">
        <v>0</v>
      </c>
      <c r="FN62">
        <v>0</v>
      </c>
      <c r="FO62">
        <v>0</v>
      </c>
      <c r="FP62">
        <v>3</v>
      </c>
      <c r="FQ62">
        <v>2158</v>
      </c>
      <c r="FR62">
        <v>1</v>
      </c>
      <c r="FS62">
        <v>19</v>
      </c>
      <c r="FT62">
        <v>16.7</v>
      </c>
      <c r="FU62">
        <v>17</v>
      </c>
      <c r="FV62">
        <v>1.79077</v>
      </c>
      <c r="FW62">
        <v>2.5708000000000002</v>
      </c>
      <c r="FX62">
        <v>1.5490699999999999</v>
      </c>
      <c r="FY62">
        <v>2.33887</v>
      </c>
      <c r="FZ62">
        <v>1.50146</v>
      </c>
      <c r="GA62">
        <v>2.3718300000000001</v>
      </c>
      <c r="GB62">
        <v>31.826899999999998</v>
      </c>
      <c r="GC62">
        <v>23.991199999999999</v>
      </c>
      <c r="GD62">
        <v>19</v>
      </c>
      <c r="GE62">
        <v>262.92899999999997</v>
      </c>
      <c r="GF62">
        <v>609.98400000000004</v>
      </c>
      <c r="GG62">
        <v>25.325399999999998</v>
      </c>
      <c r="GH62">
        <v>25.684100000000001</v>
      </c>
      <c r="GI62">
        <v>30.0002</v>
      </c>
      <c r="GJ62">
        <v>25.758199999999999</v>
      </c>
      <c r="GK62">
        <v>25.721399999999999</v>
      </c>
      <c r="GL62">
        <v>35.8018</v>
      </c>
      <c r="GM62">
        <v>30.275300000000001</v>
      </c>
      <c r="GN62">
        <v>99.628100000000003</v>
      </c>
      <c r="GO62">
        <v>25.3461</v>
      </c>
      <c r="GP62">
        <v>800</v>
      </c>
      <c r="GQ62">
        <v>17.192799999999998</v>
      </c>
      <c r="GR62">
        <v>99.763400000000004</v>
      </c>
      <c r="GS62">
        <v>99.520300000000006</v>
      </c>
    </row>
    <row r="63" spans="1:201" x14ac:dyDescent="0.25">
      <c r="A63">
        <v>47</v>
      </c>
      <c r="B63">
        <v>1690377226</v>
      </c>
      <c r="C63">
        <v>509.5</v>
      </c>
      <c r="D63" t="s">
        <v>427</v>
      </c>
      <c r="E63" t="s">
        <v>428</v>
      </c>
      <c r="F63" t="s">
        <v>330</v>
      </c>
      <c r="H63">
        <v>1690377226</v>
      </c>
      <c r="I63">
        <f t="shared" si="0"/>
        <v>6.5164844387711075E-4</v>
      </c>
      <c r="J63">
        <f t="shared" si="1"/>
        <v>0.65164844387711074</v>
      </c>
      <c r="K63">
        <f t="shared" si="2"/>
        <v>10.040851705445062</v>
      </c>
      <c r="L63">
        <f t="shared" si="3"/>
        <v>679.48099999999999</v>
      </c>
      <c r="M63">
        <f t="shared" si="4"/>
        <v>245.02436506097524</v>
      </c>
      <c r="N63">
        <f t="shared" si="5"/>
        <v>24.195762271114212</v>
      </c>
      <c r="O63">
        <f t="shared" si="6"/>
        <v>67.097656756084888</v>
      </c>
      <c r="P63">
        <f t="shared" si="7"/>
        <v>3.8433358189884206E-2</v>
      </c>
      <c r="Q63">
        <f t="shared" si="8"/>
        <v>2.0113313372476926</v>
      </c>
      <c r="R63">
        <f t="shared" si="9"/>
        <v>3.8029979987030942E-2</v>
      </c>
      <c r="S63">
        <f t="shared" si="10"/>
        <v>2.3804626549541748E-2</v>
      </c>
      <c r="T63">
        <f t="shared" si="11"/>
        <v>276.11463563927987</v>
      </c>
      <c r="U63">
        <f t="shared" si="12"/>
        <v>29.145007684033764</v>
      </c>
      <c r="V63">
        <f t="shared" si="13"/>
        <v>29.145007684033764</v>
      </c>
      <c r="W63">
        <f t="shared" si="14"/>
        <v>4.0556429389900881</v>
      </c>
      <c r="X63">
        <f t="shared" si="15"/>
        <v>67.251002229801855</v>
      </c>
      <c r="Y63">
        <f t="shared" si="16"/>
        <v>2.4190492557105898</v>
      </c>
      <c r="Z63">
        <f t="shared" si="17"/>
        <v>3.5970456580624806</v>
      </c>
      <c r="AA63">
        <f t="shared" si="18"/>
        <v>1.6365936832794983</v>
      </c>
      <c r="AB63">
        <f t="shared" si="19"/>
        <v>-28.737696374980583</v>
      </c>
      <c r="AC63">
        <f t="shared" si="20"/>
        <v>-223.38756051751719</v>
      </c>
      <c r="AD63">
        <f t="shared" si="21"/>
        <v>-24.237544898261216</v>
      </c>
      <c r="AE63">
        <f t="shared" si="22"/>
        <v>-0.24816615147909715</v>
      </c>
      <c r="AF63">
        <v>14</v>
      </c>
      <c r="AG63">
        <v>5</v>
      </c>
      <c r="AH63">
        <f t="shared" si="23"/>
        <v>1</v>
      </c>
      <c r="AI63">
        <f t="shared" si="24"/>
        <v>0</v>
      </c>
      <c r="AJ63">
        <f t="shared" si="25"/>
        <v>52341.679182743326</v>
      </c>
      <c r="AK63">
        <f t="shared" si="26"/>
        <v>1799.99</v>
      </c>
      <c r="AL63">
        <f t="shared" si="27"/>
        <v>1499.1034844010399</v>
      </c>
      <c r="AM63">
        <f t="shared" si="28"/>
        <v>0.83283989599999997</v>
      </c>
      <c r="AN63">
        <f t="shared" si="29"/>
        <v>0.15339787200999999</v>
      </c>
      <c r="AO63">
        <v>34.5</v>
      </c>
      <c r="AP63">
        <v>0.5</v>
      </c>
      <c r="AQ63" t="s">
        <v>331</v>
      </c>
      <c r="AR63">
        <v>2</v>
      </c>
      <c r="AS63">
        <v>1690377226</v>
      </c>
      <c r="AT63">
        <v>679.48099999999999</v>
      </c>
      <c r="AU63">
        <v>799.99699999999996</v>
      </c>
      <c r="AV63">
        <v>24.4971</v>
      </c>
      <c r="AW63">
        <v>17.189499999999999</v>
      </c>
      <c r="AX63">
        <v>680.09900000000005</v>
      </c>
      <c r="AY63">
        <v>24.285900000000002</v>
      </c>
      <c r="AZ63">
        <v>300.11399999999998</v>
      </c>
      <c r="BA63">
        <v>98.648399999999995</v>
      </c>
      <c r="BB63">
        <v>9.9992899999999996E-2</v>
      </c>
      <c r="BC63">
        <v>27.084900000000001</v>
      </c>
      <c r="BD63">
        <v>26.973199999999999</v>
      </c>
      <c r="BE63">
        <v>29.059200000000001</v>
      </c>
      <c r="BF63">
        <v>0</v>
      </c>
      <c r="BG63">
        <v>0</v>
      </c>
      <c r="BH63">
        <v>10038.799999999999</v>
      </c>
      <c r="BI63">
        <v>1083.19</v>
      </c>
      <c r="BJ63">
        <v>1.2909200000000001</v>
      </c>
      <c r="BK63">
        <v>-120.51600000000001</v>
      </c>
      <c r="BL63">
        <v>696.54399999999998</v>
      </c>
      <c r="BM63">
        <v>813.98900000000003</v>
      </c>
      <c r="BN63">
        <v>7.3075599999999996</v>
      </c>
      <c r="BO63">
        <v>799.99699999999996</v>
      </c>
      <c r="BP63">
        <v>17.189499999999999</v>
      </c>
      <c r="BQ63">
        <v>2.4165899999999998</v>
      </c>
      <c r="BR63">
        <v>1.6957199999999999</v>
      </c>
      <c r="BS63">
        <v>20.4754</v>
      </c>
      <c r="BT63">
        <v>14.8573</v>
      </c>
      <c r="BU63">
        <v>1799.99</v>
      </c>
      <c r="BV63">
        <v>0.90998800000000002</v>
      </c>
      <c r="BW63">
        <v>3.3994099999999999E-2</v>
      </c>
      <c r="BX63">
        <v>2.2006299999999999E-2</v>
      </c>
      <c r="BY63">
        <v>3.40115E-2</v>
      </c>
      <c r="BZ63">
        <v>25</v>
      </c>
      <c r="CA63">
        <v>33528.199999999997</v>
      </c>
      <c r="CB63">
        <v>1690376213.5999999</v>
      </c>
      <c r="CC63" t="s">
        <v>332</v>
      </c>
      <c r="CD63">
        <v>1690376213.5999999</v>
      </c>
      <c r="CE63">
        <v>1690376198.0999999</v>
      </c>
      <c r="CF63">
        <v>2</v>
      </c>
      <c r="CG63">
        <v>0.66900000000000004</v>
      </c>
      <c r="CH63">
        <v>-2.1000000000000001E-2</v>
      </c>
      <c r="CI63">
        <v>-0.70099999999999996</v>
      </c>
      <c r="CJ63">
        <v>0.21099999999999999</v>
      </c>
      <c r="CK63">
        <v>799</v>
      </c>
      <c r="CL63">
        <v>21</v>
      </c>
      <c r="CM63">
        <v>0.11</v>
      </c>
      <c r="CN63">
        <v>0.17</v>
      </c>
      <c r="CO63">
        <v>-117.84925</v>
      </c>
      <c r="CP63">
        <v>-15.297410881801021</v>
      </c>
      <c r="CQ63">
        <v>1.472781768457228</v>
      </c>
      <c r="CR63">
        <v>-1</v>
      </c>
      <c r="CS63">
        <v>7.1662245000000002</v>
      </c>
      <c r="CT63">
        <v>0.78459242026265885</v>
      </c>
      <c r="CU63">
        <v>7.5791330901033835E-2</v>
      </c>
      <c r="CV63">
        <v>-1</v>
      </c>
      <c r="CW63">
        <v>0</v>
      </c>
      <c r="CX63">
        <v>0</v>
      </c>
      <c r="CY63" t="s">
        <v>333</v>
      </c>
      <c r="CZ63">
        <v>2.3648400000000001</v>
      </c>
      <c r="DA63">
        <v>2.7138200000000001</v>
      </c>
      <c r="DB63">
        <v>0.13109599999999999</v>
      </c>
      <c r="DC63">
        <v>0.145894</v>
      </c>
      <c r="DD63">
        <v>0.11515499999999999</v>
      </c>
      <c r="DE63">
        <v>8.8314299999999998E-2</v>
      </c>
      <c r="DF63">
        <v>31738.3</v>
      </c>
      <c r="DG63">
        <v>27520.3</v>
      </c>
      <c r="DH63">
        <v>31180.7</v>
      </c>
      <c r="DI63">
        <v>28073.9</v>
      </c>
      <c r="DJ63">
        <v>37452.699999999997</v>
      </c>
      <c r="DK63">
        <v>36381.300000000003</v>
      </c>
      <c r="DL63">
        <v>44371.4</v>
      </c>
      <c r="DM63">
        <v>42536</v>
      </c>
      <c r="DN63">
        <v>1.4348000000000001</v>
      </c>
      <c r="DO63">
        <v>2.0765199999999999</v>
      </c>
      <c r="DP63">
        <v>9.4015199999999993E-2</v>
      </c>
      <c r="DQ63">
        <v>0.223473</v>
      </c>
      <c r="DR63">
        <v>25.433700000000002</v>
      </c>
      <c r="DS63">
        <v>25.405899999999999</v>
      </c>
      <c r="DT63">
        <v>61.6</v>
      </c>
      <c r="DU63">
        <v>26.6</v>
      </c>
      <c r="DV63">
        <v>21.828700000000001</v>
      </c>
      <c r="DW63">
        <v>61.580199999999998</v>
      </c>
      <c r="DX63">
        <v>37.1554</v>
      </c>
      <c r="DY63">
        <v>1</v>
      </c>
      <c r="DZ63">
        <v>-0.140097</v>
      </c>
      <c r="EA63">
        <v>-0.38638299999999998</v>
      </c>
      <c r="EB63">
        <v>20.190300000000001</v>
      </c>
      <c r="EC63">
        <v>5.2445399999999998</v>
      </c>
      <c r="ED63">
        <v>12.039899999999999</v>
      </c>
      <c r="EE63">
        <v>5.0170000000000003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1.8688499999999999</v>
      </c>
      <c r="EL63">
        <v>1.8645</v>
      </c>
      <c r="EM63">
        <v>1.8691500000000001</v>
      </c>
      <c r="EN63">
        <v>1.8671800000000001</v>
      </c>
      <c r="EO63">
        <v>1.86327</v>
      </c>
      <c r="EP63">
        <v>1.86432</v>
      </c>
      <c r="EQ63">
        <v>1.87012</v>
      </c>
      <c r="ER63">
        <v>1.8693500000000001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-0.61799999999999999</v>
      </c>
      <c r="FG63">
        <v>0.2112</v>
      </c>
      <c r="FH63">
        <v>-0.150361779349652</v>
      </c>
      <c r="FI63">
        <v>-6.1462078757559423E-4</v>
      </c>
      <c r="FJ63">
        <v>-1.8861989874597051E-7</v>
      </c>
      <c r="FK63">
        <v>1.1980462299894961E-10</v>
      </c>
      <c r="FL63">
        <v>0.21114761904761539</v>
      </c>
      <c r="FM63">
        <v>0</v>
      </c>
      <c r="FN63">
        <v>0</v>
      </c>
      <c r="FO63">
        <v>0</v>
      </c>
      <c r="FP63">
        <v>3</v>
      </c>
      <c r="FQ63">
        <v>2158</v>
      </c>
      <c r="FR63">
        <v>1</v>
      </c>
      <c r="FS63">
        <v>19</v>
      </c>
      <c r="FT63">
        <v>16.899999999999999</v>
      </c>
      <c r="FU63">
        <v>17.100000000000001</v>
      </c>
      <c r="FV63">
        <v>1.79077</v>
      </c>
      <c r="FW63">
        <v>2.5683600000000002</v>
      </c>
      <c r="FX63">
        <v>1.5490699999999999</v>
      </c>
      <c r="FY63">
        <v>2.33887</v>
      </c>
      <c r="FZ63">
        <v>1.50146</v>
      </c>
      <c r="GA63">
        <v>2.36328</v>
      </c>
      <c r="GB63">
        <v>31.848800000000001</v>
      </c>
      <c r="GC63">
        <v>23.982399999999998</v>
      </c>
      <c r="GD63">
        <v>19</v>
      </c>
      <c r="GE63">
        <v>263.21899999999999</v>
      </c>
      <c r="GF63">
        <v>609.69200000000001</v>
      </c>
      <c r="GG63">
        <v>25.364699999999999</v>
      </c>
      <c r="GH63">
        <v>25.681899999999999</v>
      </c>
      <c r="GI63">
        <v>30.0002</v>
      </c>
      <c r="GJ63">
        <v>25.760300000000001</v>
      </c>
      <c r="GK63">
        <v>25.721900000000002</v>
      </c>
      <c r="GL63">
        <v>35.801299999999998</v>
      </c>
      <c r="GM63">
        <v>30.856400000000001</v>
      </c>
      <c r="GN63">
        <v>99.628100000000003</v>
      </c>
      <c r="GO63">
        <v>25.381499999999999</v>
      </c>
      <c r="GP63">
        <v>800</v>
      </c>
      <c r="GQ63">
        <v>17.059100000000001</v>
      </c>
      <c r="GR63">
        <v>99.762699999999995</v>
      </c>
      <c r="GS63">
        <v>99.519800000000004</v>
      </c>
    </row>
    <row r="64" spans="1:201" x14ac:dyDescent="0.25">
      <c r="A64">
        <v>48</v>
      </c>
      <c r="B64">
        <v>1690377236</v>
      </c>
      <c r="C64">
        <v>519.5</v>
      </c>
      <c r="D64" t="s">
        <v>429</v>
      </c>
      <c r="E64" t="s">
        <v>430</v>
      </c>
      <c r="F64" t="s">
        <v>330</v>
      </c>
      <c r="H64">
        <v>1690377236</v>
      </c>
      <c r="I64">
        <f t="shared" si="0"/>
        <v>6.6471220314778324E-4</v>
      </c>
      <c r="J64">
        <f t="shared" si="1"/>
        <v>0.66471220314778323</v>
      </c>
      <c r="K64">
        <f t="shared" si="2"/>
        <v>10.265328794657973</v>
      </c>
      <c r="L64">
        <f t="shared" si="3"/>
        <v>676.88</v>
      </c>
      <c r="M64">
        <f t="shared" si="4"/>
        <v>241.29074224028702</v>
      </c>
      <c r="N64">
        <f t="shared" si="5"/>
        <v>23.827268970088259</v>
      </c>
      <c r="O64">
        <f t="shared" si="6"/>
        <v>66.841361880399987</v>
      </c>
      <c r="P64">
        <f t="shared" si="7"/>
        <v>3.918793999946002E-2</v>
      </c>
      <c r="Q64">
        <f t="shared" si="8"/>
        <v>2.0058467550186787</v>
      </c>
      <c r="R64">
        <f t="shared" si="9"/>
        <v>3.8767526879225522E-2</v>
      </c>
      <c r="S64">
        <f t="shared" si="10"/>
        <v>2.4267100840579564E-2</v>
      </c>
      <c r="T64">
        <f t="shared" si="11"/>
        <v>276.1145036100134</v>
      </c>
      <c r="U64">
        <f t="shared" si="12"/>
        <v>29.148675526188136</v>
      </c>
      <c r="V64">
        <f t="shared" si="13"/>
        <v>29.148675526188136</v>
      </c>
      <c r="W64">
        <f t="shared" si="14"/>
        <v>4.0565028702163621</v>
      </c>
      <c r="X64">
        <f t="shared" si="15"/>
        <v>67.232097396337181</v>
      </c>
      <c r="Y64">
        <f t="shared" si="16"/>
        <v>2.4188519015545</v>
      </c>
      <c r="Z64">
        <f t="shared" si="17"/>
        <v>3.597763561197898</v>
      </c>
      <c r="AA64">
        <f t="shared" si="18"/>
        <v>1.6376509686618621</v>
      </c>
      <c r="AB64">
        <f t="shared" si="19"/>
        <v>-29.313808158817242</v>
      </c>
      <c r="AC64">
        <f t="shared" si="20"/>
        <v>-222.80738223394366</v>
      </c>
      <c r="AD64">
        <f t="shared" si="21"/>
        <v>-24.241549662592789</v>
      </c>
      <c r="AE64">
        <f t="shared" si="22"/>
        <v>-0.24823644534026812</v>
      </c>
      <c r="AF64">
        <v>15</v>
      </c>
      <c r="AG64">
        <v>5</v>
      </c>
      <c r="AH64">
        <f t="shared" si="23"/>
        <v>1</v>
      </c>
      <c r="AI64">
        <f t="shared" si="24"/>
        <v>0</v>
      </c>
      <c r="AJ64">
        <f t="shared" si="25"/>
        <v>52078.771806231533</v>
      </c>
      <c r="AK64">
        <f t="shared" si="26"/>
        <v>1799.99</v>
      </c>
      <c r="AL64">
        <f t="shared" si="27"/>
        <v>1499.10032541859</v>
      </c>
      <c r="AM64">
        <f t="shared" si="28"/>
        <v>0.83283814099999998</v>
      </c>
      <c r="AN64">
        <f t="shared" si="29"/>
        <v>0.15339779866</v>
      </c>
      <c r="AO64">
        <v>34.5</v>
      </c>
      <c r="AP64">
        <v>0.5</v>
      </c>
      <c r="AQ64" t="s">
        <v>331</v>
      </c>
      <c r="AR64">
        <v>2</v>
      </c>
      <c r="AS64">
        <v>1690377236</v>
      </c>
      <c r="AT64">
        <v>676.88</v>
      </c>
      <c r="AU64">
        <v>800.03200000000004</v>
      </c>
      <c r="AV64">
        <v>24.494900000000001</v>
      </c>
      <c r="AW64">
        <v>17.042400000000001</v>
      </c>
      <c r="AX64">
        <v>677.49599999999998</v>
      </c>
      <c r="AY64">
        <v>24.2837</v>
      </c>
      <c r="AZ64">
        <v>300.17899999999997</v>
      </c>
      <c r="BA64">
        <v>98.649199999999993</v>
      </c>
      <c r="BB64">
        <v>0.100005</v>
      </c>
      <c r="BC64">
        <v>27.0883</v>
      </c>
      <c r="BD64">
        <v>26.974599999999999</v>
      </c>
      <c r="BE64">
        <v>29.089200000000002</v>
      </c>
      <c r="BF64">
        <v>0</v>
      </c>
      <c r="BG64">
        <v>0</v>
      </c>
      <c r="BH64">
        <v>9986.25</v>
      </c>
      <c r="BI64">
        <v>1083.07</v>
      </c>
      <c r="BJ64">
        <v>1.3455900000000001</v>
      </c>
      <c r="BK64">
        <v>-123.152</v>
      </c>
      <c r="BL64">
        <v>693.87599999999998</v>
      </c>
      <c r="BM64">
        <v>813.90300000000002</v>
      </c>
      <c r="BN64">
        <v>7.4524999999999997</v>
      </c>
      <c r="BO64">
        <v>800.03200000000004</v>
      </c>
      <c r="BP64">
        <v>17.042400000000001</v>
      </c>
      <c r="BQ64">
        <v>2.4163999999999999</v>
      </c>
      <c r="BR64">
        <v>1.6812199999999999</v>
      </c>
      <c r="BS64">
        <v>20.4741</v>
      </c>
      <c r="BT64">
        <v>14.7241</v>
      </c>
      <c r="BU64">
        <v>1799.99</v>
      </c>
      <c r="BV64">
        <v>0.90998000000000001</v>
      </c>
      <c r="BW64">
        <v>3.4007000000000003E-2</v>
      </c>
      <c r="BX64">
        <v>2.2004300000000001E-2</v>
      </c>
      <c r="BY64">
        <v>3.4008400000000001E-2</v>
      </c>
      <c r="BZ64">
        <v>25</v>
      </c>
      <c r="CA64">
        <v>33528</v>
      </c>
      <c r="CB64">
        <v>1690376213.5999999</v>
      </c>
      <c r="CC64" t="s">
        <v>332</v>
      </c>
      <c r="CD64">
        <v>1690376213.5999999</v>
      </c>
      <c r="CE64">
        <v>1690376198.0999999</v>
      </c>
      <c r="CF64">
        <v>2</v>
      </c>
      <c r="CG64">
        <v>0.66900000000000004</v>
      </c>
      <c r="CH64">
        <v>-2.1000000000000001E-2</v>
      </c>
      <c r="CI64">
        <v>-0.70099999999999996</v>
      </c>
      <c r="CJ64">
        <v>0.21099999999999999</v>
      </c>
      <c r="CK64">
        <v>799</v>
      </c>
      <c r="CL64">
        <v>21</v>
      </c>
      <c r="CM64">
        <v>0.11</v>
      </c>
      <c r="CN64">
        <v>0.17</v>
      </c>
      <c r="CO64">
        <v>-120.44795121951221</v>
      </c>
      <c r="CP64">
        <v>-14.99414634146337</v>
      </c>
      <c r="CQ64">
        <v>1.4786157988291919</v>
      </c>
      <c r="CR64">
        <v>-1</v>
      </c>
      <c r="CS64">
        <v>7.3003285365853658</v>
      </c>
      <c r="CT64">
        <v>0.8331930313588789</v>
      </c>
      <c r="CU64">
        <v>8.2513568390841785E-2</v>
      </c>
      <c r="CV64">
        <v>-1</v>
      </c>
      <c r="CW64">
        <v>0</v>
      </c>
      <c r="CX64">
        <v>0</v>
      </c>
      <c r="CY64" t="s">
        <v>333</v>
      </c>
      <c r="CZ64">
        <v>2.3650600000000002</v>
      </c>
      <c r="DA64">
        <v>2.7137799999999999</v>
      </c>
      <c r="DB64">
        <v>0.13075100000000001</v>
      </c>
      <c r="DC64">
        <v>0.145896</v>
      </c>
      <c r="DD64">
        <v>0.115148</v>
      </c>
      <c r="DE64">
        <v>8.7768799999999994E-2</v>
      </c>
      <c r="DF64">
        <v>31751</v>
      </c>
      <c r="DG64">
        <v>27520.400000000001</v>
      </c>
      <c r="DH64">
        <v>31180.799999999999</v>
      </c>
      <c r="DI64">
        <v>28074.1</v>
      </c>
      <c r="DJ64">
        <v>37453.1</v>
      </c>
      <c r="DK64">
        <v>36403.5</v>
      </c>
      <c r="DL64">
        <v>44371.5</v>
      </c>
      <c r="DM64">
        <v>42536.5</v>
      </c>
      <c r="DN64">
        <v>1.43475</v>
      </c>
      <c r="DO64">
        <v>2.0762800000000001</v>
      </c>
      <c r="DP64">
        <v>9.4100799999999998E-2</v>
      </c>
      <c r="DQ64">
        <v>0.22544</v>
      </c>
      <c r="DR64">
        <v>25.433700000000002</v>
      </c>
      <c r="DS64">
        <v>25.403700000000001</v>
      </c>
      <c r="DT64">
        <v>61.6</v>
      </c>
      <c r="DU64">
        <v>26.6</v>
      </c>
      <c r="DV64">
        <v>21.832100000000001</v>
      </c>
      <c r="DW64">
        <v>61.120199999999997</v>
      </c>
      <c r="DX64">
        <v>36.9191</v>
      </c>
      <c r="DY64">
        <v>1</v>
      </c>
      <c r="DZ64">
        <v>-0.14068900000000001</v>
      </c>
      <c r="EA64">
        <v>-0.40507900000000002</v>
      </c>
      <c r="EB64">
        <v>20.190300000000001</v>
      </c>
      <c r="EC64">
        <v>5.2435</v>
      </c>
      <c r="ED64">
        <v>12.039899999999999</v>
      </c>
      <c r="EE64">
        <v>5.0169499999999996</v>
      </c>
      <c r="EF64">
        <v>3.2879999999999998</v>
      </c>
      <c r="EG64">
        <v>9999</v>
      </c>
      <c r="EH64">
        <v>9999</v>
      </c>
      <c r="EI64">
        <v>9999</v>
      </c>
      <c r="EJ64">
        <v>999.9</v>
      </c>
      <c r="EK64">
        <v>1.8688400000000001</v>
      </c>
      <c r="EL64">
        <v>1.86449</v>
      </c>
      <c r="EM64">
        <v>1.86917</v>
      </c>
      <c r="EN64">
        <v>1.86717</v>
      </c>
      <c r="EO64">
        <v>1.86327</v>
      </c>
      <c r="EP64">
        <v>1.86432</v>
      </c>
      <c r="EQ64">
        <v>1.87012</v>
      </c>
      <c r="ER64">
        <v>1.8693500000000001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-0.61599999999999999</v>
      </c>
      <c r="FG64">
        <v>0.2112</v>
      </c>
      <c r="FH64">
        <v>-0.150361779349652</v>
      </c>
      <c r="FI64">
        <v>-6.1462078757559423E-4</v>
      </c>
      <c r="FJ64">
        <v>-1.8861989874597051E-7</v>
      </c>
      <c r="FK64">
        <v>1.1980462299894961E-10</v>
      </c>
      <c r="FL64">
        <v>0.21114761904761539</v>
      </c>
      <c r="FM64">
        <v>0</v>
      </c>
      <c r="FN64">
        <v>0</v>
      </c>
      <c r="FO64">
        <v>0</v>
      </c>
      <c r="FP64">
        <v>3</v>
      </c>
      <c r="FQ64">
        <v>2158</v>
      </c>
      <c r="FR64">
        <v>1</v>
      </c>
      <c r="FS64">
        <v>19</v>
      </c>
      <c r="FT64">
        <v>17</v>
      </c>
      <c r="FU64">
        <v>17.3</v>
      </c>
      <c r="FV64">
        <v>1.79077</v>
      </c>
      <c r="FW64">
        <v>2.5720200000000002</v>
      </c>
      <c r="FX64">
        <v>1.5490699999999999</v>
      </c>
      <c r="FY64">
        <v>2.33887</v>
      </c>
      <c r="FZ64">
        <v>1.50146</v>
      </c>
      <c r="GA64">
        <v>2.3059099999999999</v>
      </c>
      <c r="GB64">
        <v>31.848800000000001</v>
      </c>
      <c r="GC64">
        <v>23.982399999999998</v>
      </c>
      <c r="GD64">
        <v>19</v>
      </c>
      <c r="GE64">
        <v>263.19900000000001</v>
      </c>
      <c r="GF64">
        <v>609.47900000000004</v>
      </c>
      <c r="GG64">
        <v>25.3978</v>
      </c>
      <c r="GH64">
        <v>25.681899999999999</v>
      </c>
      <c r="GI64">
        <v>30</v>
      </c>
      <c r="GJ64">
        <v>25.760300000000001</v>
      </c>
      <c r="GK64">
        <v>25.721900000000002</v>
      </c>
      <c r="GL64">
        <v>35.799399999999999</v>
      </c>
      <c r="GM64">
        <v>31.412199999999999</v>
      </c>
      <c r="GN64">
        <v>99.628100000000003</v>
      </c>
      <c r="GO64">
        <v>25.4145</v>
      </c>
      <c r="GP64">
        <v>800</v>
      </c>
      <c r="GQ64">
        <v>16.930599999999998</v>
      </c>
      <c r="GR64">
        <v>99.763000000000005</v>
      </c>
      <c r="GS64">
        <v>99.520799999999994</v>
      </c>
    </row>
    <row r="65" spans="1:201" x14ac:dyDescent="0.25">
      <c r="A65">
        <v>49</v>
      </c>
      <c r="B65">
        <v>1690377246</v>
      </c>
      <c r="C65">
        <v>529.5</v>
      </c>
      <c r="D65" t="s">
        <v>431</v>
      </c>
      <c r="E65" t="s">
        <v>432</v>
      </c>
      <c r="F65" t="s">
        <v>330</v>
      </c>
      <c r="H65">
        <v>1690377246</v>
      </c>
      <c r="I65">
        <f t="shared" si="0"/>
        <v>6.7470559524723773E-4</v>
      </c>
      <c r="J65">
        <f t="shared" si="1"/>
        <v>0.67470559524723772</v>
      </c>
      <c r="K65">
        <f t="shared" si="2"/>
        <v>10.486197438161032</v>
      </c>
      <c r="L65">
        <f t="shared" si="3"/>
        <v>674.25699999999995</v>
      </c>
      <c r="M65">
        <f t="shared" si="4"/>
        <v>235.99562660888728</v>
      </c>
      <c r="N65">
        <f t="shared" si="5"/>
        <v>23.304311836377121</v>
      </c>
      <c r="O65">
        <f t="shared" si="6"/>
        <v>66.582146506897985</v>
      </c>
      <c r="P65">
        <f t="shared" si="7"/>
        <v>3.9774812499675648E-2</v>
      </c>
      <c r="Q65">
        <f t="shared" si="8"/>
        <v>2.0089151510189707</v>
      </c>
      <c r="R65">
        <f t="shared" si="9"/>
        <v>3.9342441698867359E-2</v>
      </c>
      <c r="S65">
        <f t="shared" si="10"/>
        <v>2.462748114162383E-2</v>
      </c>
      <c r="T65">
        <f t="shared" si="11"/>
        <v>276.11432402501111</v>
      </c>
      <c r="U65">
        <f t="shared" si="12"/>
        <v>29.148445885193976</v>
      </c>
      <c r="V65">
        <f t="shared" si="13"/>
        <v>29.148445885193976</v>
      </c>
      <c r="W65">
        <f t="shared" si="14"/>
        <v>4.0564490258678223</v>
      </c>
      <c r="X65">
        <f t="shared" si="15"/>
        <v>67.196617935082386</v>
      </c>
      <c r="Y65">
        <f t="shared" si="16"/>
        <v>2.4184695276653998</v>
      </c>
      <c r="Z65">
        <f t="shared" si="17"/>
        <v>3.5990941240552403</v>
      </c>
      <c r="AA65">
        <f t="shared" si="18"/>
        <v>1.6379794982024225</v>
      </c>
      <c r="AB65">
        <f t="shared" si="19"/>
        <v>-29.754516750403184</v>
      </c>
      <c r="AC65">
        <f t="shared" si="20"/>
        <v>-222.44102611144103</v>
      </c>
      <c r="AD65">
        <f t="shared" si="21"/>
        <v>-24.165453463399537</v>
      </c>
      <c r="AE65">
        <f t="shared" si="22"/>
        <v>-0.24667230023263187</v>
      </c>
      <c r="AF65">
        <v>14</v>
      </c>
      <c r="AG65">
        <v>5</v>
      </c>
      <c r="AH65">
        <f t="shared" si="23"/>
        <v>1</v>
      </c>
      <c r="AI65">
        <f t="shared" si="24"/>
        <v>0</v>
      </c>
      <c r="AJ65">
        <f t="shared" si="25"/>
        <v>52224.310025988765</v>
      </c>
      <c r="AK65">
        <f t="shared" si="26"/>
        <v>1799.99</v>
      </c>
      <c r="AL65">
        <f t="shared" si="27"/>
        <v>1499.10187880996</v>
      </c>
      <c r="AM65">
        <f t="shared" si="28"/>
        <v>0.83283900399999999</v>
      </c>
      <c r="AN65">
        <f t="shared" si="29"/>
        <v>0.15339769889000002</v>
      </c>
      <c r="AO65">
        <v>34.5</v>
      </c>
      <c r="AP65">
        <v>0.5</v>
      </c>
      <c r="AQ65" t="s">
        <v>331</v>
      </c>
      <c r="AR65">
        <v>2</v>
      </c>
      <c r="AS65">
        <v>1690377246</v>
      </c>
      <c r="AT65">
        <v>674.25699999999995</v>
      </c>
      <c r="AU65">
        <v>800.01199999999994</v>
      </c>
      <c r="AV65">
        <v>24.491099999999999</v>
      </c>
      <c r="AW65">
        <v>16.926100000000002</v>
      </c>
      <c r="AX65">
        <v>674.87199999999996</v>
      </c>
      <c r="AY65">
        <v>24.28</v>
      </c>
      <c r="AZ65">
        <v>300.16199999999998</v>
      </c>
      <c r="BA65">
        <v>98.648899999999998</v>
      </c>
      <c r="BB65">
        <v>0.10001400000000001</v>
      </c>
      <c r="BC65">
        <v>27.0946</v>
      </c>
      <c r="BD65">
        <v>26.975100000000001</v>
      </c>
      <c r="BE65">
        <v>29.121500000000001</v>
      </c>
      <c r="BF65">
        <v>0</v>
      </c>
      <c r="BG65">
        <v>0</v>
      </c>
      <c r="BH65">
        <v>10015.6</v>
      </c>
      <c r="BI65">
        <v>1083.04</v>
      </c>
      <c r="BJ65">
        <v>1.3455900000000001</v>
      </c>
      <c r="BK65">
        <v>-125.754</v>
      </c>
      <c r="BL65">
        <v>691.18499999999995</v>
      </c>
      <c r="BM65">
        <v>813.78599999999994</v>
      </c>
      <c r="BN65">
        <v>7.5650000000000004</v>
      </c>
      <c r="BO65">
        <v>800.01199999999994</v>
      </c>
      <c r="BP65">
        <v>16.926100000000002</v>
      </c>
      <c r="BQ65">
        <v>2.4160200000000001</v>
      </c>
      <c r="BR65">
        <v>1.66974</v>
      </c>
      <c r="BS65">
        <v>20.471599999999999</v>
      </c>
      <c r="BT65">
        <v>14.618</v>
      </c>
      <c r="BU65">
        <v>1799.99</v>
      </c>
      <c r="BV65">
        <v>0.90998699999999999</v>
      </c>
      <c r="BW65">
        <v>3.40045E-2</v>
      </c>
      <c r="BX65">
        <v>2.20027E-2</v>
      </c>
      <c r="BY65">
        <v>3.4005899999999999E-2</v>
      </c>
      <c r="BZ65">
        <v>25</v>
      </c>
      <c r="CA65">
        <v>33528.1</v>
      </c>
      <c r="CB65">
        <v>1690376213.5999999</v>
      </c>
      <c r="CC65" t="s">
        <v>332</v>
      </c>
      <c r="CD65">
        <v>1690376213.5999999</v>
      </c>
      <c r="CE65">
        <v>1690376198.0999999</v>
      </c>
      <c r="CF65">
        <v>2</v>
      </c>
      <c r="CG65">
        <v>0.66900000000000004</v>
      </c>
      <c r="CH65">
        <v>-2.1000000000000001E-2</v>
      </c>
      <c r="CI65">
        <v>-0.70099999999999996</v>
      </c>
      <c r="CJ65">
        <v>0.21099999999999999</v>
      </c>
      <c r="CK65">
        <v>799</v>
      </c>
      <c r="CL65">
        <v>21</v>
      </c>
      <c r="CM65">
        <v>0.11</v>
      </c>
      <c r="CN65">
        <v>0.17</v>
      </c>
      <c r="CO65">
        <v>-122.7375365853658</v>
      </c>
      <c r="CP65">
        <v>-15.47253658536617</v>
      </c>
      <c r="CQ65">
        <v>1.5262524980113541</v>
      </c>
      <c r="CR65">
        <v>-1</v>
      </c>
      <c r="CS65">
        <v>7.4158714634146339</v>
      </c>
      <c r="CT65">
        <v>0.73346006968639366</v>
      </c>
      <c r="CU65">
        <v>7.3010677487109488E-2</v>
      </c>
      <c r="CV65">
        <v>-1</v>
      </c>
      <c r="CW65">
        <v>0</v>
      </c>
      <c r="CX65">
        <v>0</v>
      </c>
      <c r="CY65" t="s">
        <v>333</v>
      </c>
      <c r="CZ65">
        <v>2.36503</v>
      </c>
      <c r="DA65">
        <v>2.7138200000000001</v>
      </c>
      <c r="DB65">
        <v>0.13040199999999999</v>
      </c>
      <c r="DC65">
        <v>0.14588999999999999</v>
      </c>
      <c r="DD65">
        <v>0.115135</v>
      </c>
      <c r="DE65">
        <v>8.7335099999999999E-2</v>
      </c>
      <c r="DF65">
        <v>31764.1</v>
      </c>
      <c r="DG65">
        <v>27521.200000000001</v>
      </c>
      <c r="DH65">
        <v>31181.1</v>
      </c>
      <c r="DI65">
        <v>28074.7</v>
      </c>
      <c r="DJ65">
        <v>37453.9</v>
      </c>
      <c r="DK65">
        <v>36421.4</v>
      </c>
      <c r="DL65">
        <v>44371.9</v>
      </c>
      <c r="DM65">
        <v>42537.1</v>
      </c>
      <c r="DN65">
        <v>1.43485</v>
      </c>
      <c r="DO65">
        <v>2.0762700000000001</v>
      </c>
      <c r="DP65">
        <v>9.43914E-2</v>
      </c>
      <c r="DQ65">
        <v>0.22742499999999999</v>
      </c>
      <c r="DR65">
        <v>25.429400000000001</v>
      </c>
      <c r="DS65">
        <v>25.403700000000001</v>
      </c>
      <c r="DT65">
        <v>61.6</v>
      </c>
      <c r="DU65">
        <v>26.6</v>
      </c>
      <c r="DV65">
        <v>21.832599999999999</v>
      </c>
      <c r="DW65">
        <v>61.440199999999997</v>
      </c>
      <c r="DX65">
        <v>36.602600000000002</v>
      </c>
      <c r="DY65">
        <v>1</v>
      </c>
      <c r="DZ65">
        <v>-0.14083300000000001</v>
      </c>
      <c r="EA65">
        <v>-0.41473900000000002</v>
      </c>
      <c r="EB65">
        <v>20.190200000000001</v>
      </c>
      <c r="EC65">
        <v>5.2442500000000001</v>
      </c>
      <c r="ED65">
        <v>12.039899999999999</v>
      </c>
      <c r="EE65">
        <v>5.01715</v>
      </c>
      <c r="EF65">
        <v>3.2879999999999998</v>
      </c>
      <c r="EG65">
        <v>9999</v>
      </c>
      <c r="EH65">
        <v>9999</v>
      </c>
      <c r="EI65">
        <v>9999</v>
      </c>
      <c r="EJ65">
        <v>999.9</v>
      </c>
      <c r="EK65">
        <v>1.8688199999999999</v>
      </c>
      <c r="EL65">
        <v>1.8645</v>
      </c>
      <c r="EM65">
        <v>1.86913</v>
      </c>
      <c r="EN65">
        <v>1.8671800000000001</v>
      </c>
      <c r="EO65">
        <v>1.8632599999999999</v>
      </c>
      <c r="EP65">
        <v>1.86432</v>
      </c>
      <c r="EQ65">
        <v>1.8701099999999999</v>
      </c>
      <c r="ER65">
        <v>1.8693500000000001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-0.61499999999999999</v>
      </c>
      <c r="FG65">
        <v>0.21110000000000001</v>
      </c>
      <c r="FH65">
        <v>-0.150361779349652</v>
      </c>
      <c r="FI65">
        <v>-6.1462078757559423E-4</v>
      </c>
      <c r="FJ65">
        <v>-1.8861989874597051E-7</v>
      </c>
      <c r="FK65">
        <v>1.1980462299894961E-10</v>
      </c>
      <c r="FL65">
        <v>0.21114761904761539</v>
      </c>
      <c r="FM65">
        <v>0</v>
      </c>
      <c r="FN65">
        <v>0</v>
      </c>
      <c r="FO65">
        <v>0</v>
      </c>
      <c r="FP65">
        <v>3</v>
      </c>
      <c r="FQ65">
        <v>2158</v>
      </c>
      <c r="FR65">
        <v>1</v>
      </c>
      <c r="FS65">
        <v>19</v>
      </c>
      <c r="FT65">
        <v>17.2</v>
      </c>
      <c r="FU65">
        <v>17.5</v>
      </c>
      <c r="FV65">
        <v>1.79077</v>
      </c>
      <c r="FW65">
        <v>2.5720200000000002</v>
      </c>
      <c r="FX65">
        <v>1.5490699999999999</v>
      </c>
      <c r="FY65">
        <v>2.33887</v>
      </c>
      <c r="FZ65">
        <v>1.50146</v>
      </c>
      <c r="GA65">
        <v>2.2814899999999998</v>
      </c>
      <c r="GB65">
        <v>31.848800000000001</v>
      </c>
      <c r="GC65">
        <v>23.982399999999998</v>
      </c>
      <c r="GD65">
        <v>19</v>
      </c>
      <c r="GE65">
        <v>263.23899999999998</v>
      </c>
      <c r="GF65">
        <v>609.50300000000004</v>
      </c>
      <c r="GG65">
        <v>25.43</v>
      </c>
      <c r="GH65">
        <v>25.680199999999999</v>
      </c>
      <c r="GI65">
        <v>30</v>
      </c>
      <c r="GJ65">
        <v>25.760300000000001</v>
      </c>
      <c r="GK65">
        <v>25.724</v>
      </c>
      <c r="GL65">
        <v>35.797400000000003</v>
      </c>
      <c r="GM65">
        <v>31.984200000000001</v>
      </c>
      <c r="GN65">
        <v>99.254199999999997</v>
      </c>
      <c r="GO65">
        <v>25.445599999999999</v>
      </c>
      <c r="GP65">
        <v>800</v>
      </c>
      <c r="GQ65">
        <v>16.8</v>
      </c>
      <c r="GR65">
        <v>99.763999999999996</v>
      </c>
      <c r="GS65">
        <v>99.522499999999994</v>
      </c>
    </row>
    <row r="66" spans="1:201" x14ac:dyDescent="0.25">
      <c r="A66">
        <v>50</v>
      </c>
      <c r="B66">
        <v>1690377256</v>
      </c>
      <c r="C66">
        <v>539.5</v>
      </c>
      <c r="D66" t="s">
        <v>433</v>
      </c>
      <c r="E66" t="s">
        <v>434</v>
      </c>
      <c r="F66" t="s">
        <v>330</v>
      </c>
      <c r="H66">
        <v>1690377256</v>
      </c>
      <c r="I66">
        <f t="shared" si="0"/>
        <v>6.8792615766683158E-4</v>
      </c>
      <c r="J66">
        <f t="shared" si="1"/>
        <v>0.68792615766683163</v>
      </c>
      <c r="K66">
        <f t="shared" si="2"/>
        <v>10.721594683970668</v>
      </c>
      <c r="L66">
        <f t="shared" si="3"/>
        <v>671.55499999999995</v>
      </c>
      <c r="M66">
        <f t="shared" si="4"/>
        <v>232.50676317252794</v>
      </c>
      <c r="N66">
        <f t="shared" si="5"/>
        <v>22.959869994508718</v>
      </c>
      <c r="O66">
        <f t="shared" si="6"/>
        <v>66.315556948857505</v>
      </c>
      <c r="P66">
        <f t="shared" si="7"/>
        <v>4.0591979597933897E-2</v>
      </c>
      <c r="Q66">
        <f t="shared" si="8"/>
        <v>2.0065026662007437</v>
      </c>
      <c r="R66">
        <f t="shared" si="9"/>
        <v>4.0141233964605179E-2</v>
      </c>
      <c r="S66">
        <f t="shared" si="10"/>
        <v>2.5128351798443506E-2</v>
      </c>
      <c r="T66">
        <f t="shared" si="11"/>
        <v>276.11390975731257</v>
      </c>
      <c r="U66">
        <f t="shared" si="12"/>
        <v>29.145306981047611</v>
      </c>
      <c r="V66">
        <f t="shared" si="13"/>
        <v>29.145306981047611</v>
      </c>
      <c r="W66">
        <f t="shared" si="14"/>
        <v>4.0557131036783725</v>
      </c>
      <c r="X66">
        <f t="shared" si="15"/>
        <v>67.209523800854171</v>
      </c>
      <c r="Y66">
        <f t="shared" si="16"/>
        <v>2.4188630379675002</v>
      </c>
      <c r="Z66">
        <f t="shared" si="17"/>
        <v>3.5989885081387207</v>
      </c>
      <c r="AA66">
        <f t="shared" si="18"/>
        <v>1.6368500657108722</v>
      </c>
      <c r="AB66">
        <f t="shared" si="19"/>
        <v>-30.337543553107274</v>
      </c>
      <c r="AC66">
        <f t="shared" si="20"/>
        <v>-221.88843672536345</v>
      </c>
      <c r="AD66">
        <f t="shared" si="21"/>
        <v>-24.133966048899094</v>
      </c>
      <c r="AE66">
        <f t="shared" si="22"/>
        <v>-0.24603657005724244</v>
      </c>
      <c r="AF66">
        <v>15</v>
      </c>
      <c r="AG66">
        <v>5</v>
      </c>
      <c r="AH66">
        <f t="shared" si="23"/>
        <v>1</v>
      </c>
      <c r="AI66">
        <f t="shared" si="24"/>
        <v>0</v>
      </c>
      <c r="AJ66">
        <f t="shared" si="25"/>
        <v>52109.087272592114</v>
      </c>
      <c r="AK66">
        <f t="shared" si="26"/>
        <v>1799.99</v>
      </c>
      <c r="AL66">
        <f t="shared" si="27"/>
        <v>1499.1027518051098</v>
      </c>
      <c r="AM66">
        <f t="shared" si="28"/>
        <v>0.83283948899999993</v>
      </c>
      <c r="AN66">
        <f t="shared" si="29"/>
        <v>0.15339746873999999</v>
      </c>
      <c r="AO66">
        <v>34.5</v>
      </c>
      <c r="AP66">
        <v>0.5</v>
      </c>
      <c r="AQ66" t="s">
        <v>331</v>
      </c>
      <c r="AR66">
        <v>2</v>
      </c>
      <c r="AS66">
        <v>1690377256</v>
      </c>
      <c r="AT66">
        <v>671.55499999999995</v>
      </c>
      <c r="AU66">
        <v>800.08</v>
      </c>
      <c r="AV66">
        <v>24.495000000000001</v>
      </c>
      <c r="AW66">
        <v>16.782800000000002</v>
      </c>
      <c r="AX66">
        <v>672.16700000000003</v>
      </c>
      <c r="AY66">
        <v>24.283899999999999</v>
      </c>
      <c r="AZ66">
        <v>300.20100000000002</v>
      </c>
      <c r="BA66">
        <v>98.649299999999997</v>
      </c>
      <c r="BB66">
        <v>9.9956500000000004E-2</v>
      </c>
      <c r="BC66">
        <v>27.094100000000001</v>
      </c>
      <c r="BD66">
        <v>26.988700000000001</v>
      </c>
      <c r="BE66">
        <v>29.084299999999999</v>
      </c>
      <c r="BF66">
        <v>0</v>
      </c>
      <c r="BG66">
        <v>0</v>
      </c>
      <c r="BH66">
        <v>9992.5</v>
      </c>
      <c r="BI66">
        <v>1082.92</v>
      </c>
      <c r="BJ66">
        <v>1.3455900000000001</v>
      </c>
      <c r="BK66">
        <v>-128.52500000000001</v>
      </c>
      <c r="BL66">
        <v>688.41800000000001</v>
      </c>
      <c r="BM66">
        <v>813.73699999999997</v>
      </c>
      <c r="BN66">
        <v>7.7122099999999998</v>
      </c>
      <c r="BO66">
        <v>800.08</v>
      </c>
      <c r="BP66">
        <v>16.782800000000002</v>
      </c>
      <c r="BQ66">
        <v>2.41642</v>
      </c>
      <c r="BR66">
        <v>1.65561</v>
      </c>
      <c r="BS66">
        <v>20.4742</v>
      </c>
      <c r="BT66">
        <v>14.4864</v>
      </c>
      <c r="BU66">
        <v>1799.99</v>
      </c>
      <c r="BV66">
        <v>0.909995</v>
      </c>
      <c r="BW66">
        <v>3.4001400000000001E-2</v>
      </c>
      <c r="BX66">
        <v>2.2000700000000002E-2</v>
      </c>
      <c r="BY66">
        <v>3.40028E-2</v>
      </c>
      <c r="BZ66">
        <v>25</v>
      </c>
      <c r="CA66">
        <v>33528.199999999997</v>
      </c>
      <c r="CB66">
        <v>1690376213.5999999</v>
      </c>
      <c r="CC66" t="s">
        <v>332</v>
      </c>
      <c r="CD66">
        <v>1690376213.5999999</v>
      </c>
      <c r="CE66">
        <v>1690376198.0999999</v>
      </c>
      <c r="CF66">
        <v>2</v>
      </c>
      <c r="CG66">
        <v>0.66900000000000004</v>
      </c>
      <c r="CH66">
        <v>-2.1000000000000001E-2</v>
      </c>
      <c r="CI66">
        <v>-0.70099999999999996</v>
      </c>
      <c r="CJ66">
        <v>0.21099999999999999</v>
      </c>
      <c r="CK66">
        <v>799</v>
      </c>
      <c r="CL66">
        <v>21</v>
      </c>
      <c r="CM66">
        <v>0.11</v>
      </c>
      <c r="CN66">
        <v>0.17</v>
      </c>
      <c r="CO66">
        <v>-125.3826585365854</v>
      </c>
      <c r="CP66">
        <v>-16.0354285714286</v>
      </c>
      <c r="CQ66">
        <v>1.582266676202924</v>
      </c>
      <c r="CR66">
        <v>-1</v>
      </c>
      <c r="CS66">
        <v>7.5451312195121956</v>
      </c>
      <c r="CT66">
        <v>0.75293184668988233</v>
      </c>
      <c r="CU66">
        <v>7.4861483117891425E-2</v>
      </c>
      <c r="CV66">
        <v>-1</v>
      </c>
      <c r="CW66">
        <v>0</v>
      </c>
      <c r="CX66">
        <v>0</v>
      </c>
      <c r="CY66" t="s">
        <v>333</v>
      </c>
      <c r="CZ66">
        <v>2.3651599999999999</v>
      </c>
      <c r="DA66">
        <v>2.71374</v>
      </c>
      <c r="DB66">
        <v>0.13004199999999999</v>
      </c>
      <c r="DC66">
        <v>0.145896</v>
      </c>
      <c r="DD66">
        <v>0.115149</v>
      </c>
      <c r="DE66">
        <v>8.6800199999999994E-2</v>
      </c>
      <c r="DF66">
        <v>31777.200000000001</v>
      </c>
      <c r="DG66">
        <v>27520.7</v>
      </c>
      <c r="DH66">
        <v>31181.1</v>
      </c>
      <c r="DI66">
        <v>28074.400000000001</v>
      </c>
      <c r="DJ66">
        <v>37453.199999999997</v>
      </c>
      <c r="DK66">
        <v>36442.6</v>
      </c>
      <c r="DL66">
        <v>44371.8</v>
      </c>
      <c r="DM66">
        <v>42536.9</v>
      </c>
      <c r="DN66">
        <v>1.43475</v>
      </c>
      <c r="DO66">
        <v>2.0760000000000001</v>
      </c>
      <c r="DP66">
        <v>9.5091800000000004E-2</v>
      </c>
      <c r="DQ66">
        <v>0.22500800000000001</v>
      </c>
      <c r="DR66">
        <v>25.4315</v>
      </c>
      <c r="DS66">
        <v>25.405899999999999</v>
      </c>
      <c r="DT66">
        <v>61.6</v>
      </c>
      <c r="DU66">
        <v>26.6</v>
      </c>
      <c r="DV66">
        <v>21.8307</v>
      </c>
      <c r="DW66">
        <v>61.040199999999999</v>
      </c>
      <c r="DX66">
        <v>36.1218</v>
      </c>
      <c r="DY66">
        <v>1</v>
      </c>
      <c r="DZ66">
        <v>-0.14111000000000001</v>
      </c>
      <c r="EA66">
        <v>-0.44143500000000002</v>
      </c>
      <c r="EB66">
        <v>20.189900000000002</v>
      </c>
      <c r="EC66">
        <v>5.2442500000000001</v>
      </c>
      <c r="ED66">
        <v>12.039899999999999</v>
      </c>
      <c r="EE66">
        <v>5.0172499999999998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1.8688499999999999</v>
      </c>
      <c r="EL66">
        <v>1.86449</v>
      </c>
      <c r="EM66">
        <v>1.86913</v>
      </c>
      <c r="EN66">
        <v>1.86717</v>
      </c>
      <c r="EO66">
        <v>1.8632599999999999</v>
      </c>
      <c r="EP66">
        <v>1.86432</v>
      </c>
      <c r="EQ66">
        <v>1.87012</v>
      </c>
      <c r="ER66">
        <v>1.8693500000000001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-0.61199999999999999</v>
      </c>
      <c r="FG66">
        <v>0.21110000000000001</v>
      </c>
      <c r="FH66">
        <v>-0.150361779349652</v>
      </c>
      <c r="FI66">
        <v>-6.1462078757559423E-4</v>
      </c>
      <c r="FJ66">
        <v>-1.8861989874597051E-7</v>
      </c>
      <c r="FK66">
        <v>1.1980462299894961E-10</v>
      </c>
      <c r="FL66">
        <v>0.21114761904761539</v>
      </c>
      <c r="FM66">
        <v>0</v>
      </c>
      <c r="FN66">
        <v>0</v>
      </c>
      <c r="FO66">
        <v>0</v>
      </c>
      <c r="FP66">
        <v>3</v>
      </c>
      <c r="FQ66">
        <v>2158</v>
      </c>
      <c r="FR66">
        <v>1</v>
      </c>
      <c r="FS66">
        <v>19</v>
      </c>
      <c r="FT66">
        <v>17.399999999999999</v>
      </c>
      <c r="FU66">
        <v>17.600000000000001</v>
      </c>
      <c r="FV66">
        <v>1.79077</v>
      </c>
      <c r="FW66">
        <v>2.5610400000000002</v>
      </c>
      <c r="FX66">
        <v>1.5490699999999999</v>
      </c>
      <c r="FY66">
        <v>2.33887</v>
      </c>
      <c r="FZ66">
        <v>1.50146</v>
      </c>
      <c r="GA66">
        <v>2.34009</v>
      </c>
      <c r="GB66">
        <v>31.848800000000001</v>
      </c>
      <c r="GC66">
        <v>23.991199999999999</v>
      </c>
      <c r="GD66">
        <v>19</v>
      </c>
      <c r="GE66">
        <v>263.19900000000001</v>
      </c>
      <c r="GF66">
        <v>609.26900000000001</v>
      </c>
      <c r="GG66">
        <v>25.461600000000001</v>
      </c>
      <c r="GH66">
        <v>25.6798</v>
      </c>
      <c r="GI66">
        <v>30</v>
      </c>
      <c r="GJ66">
        <v>25.760300000000001</v>
      </c>
      <c r="GK66">
        <v>25.724</v>
      </c>
      <c r="GL66">
        <v>35.795900000000003</v>
      </c>
      <c r="GM66">
        <v>32.260100000000001</v>
      </c>
      <c r="GN66">
        <v>99.254199999999997</v>
      </c>
      <c r="GO66">
        <v>25.473400000000002</v>
      </c>
      <c r="GP66">
        <v>800</v>
      </c>
      <c r="GQ66">
        <v>16.665500000000002</v>
      </c>
      <c r="GR66">
        <v>99.763900000000007</v>
      </c>
      <c r="GS66">
        <v>99.521799999999999</v>
      </c>
    </row>
    <row r="67" spans="1:201" x14ac:dyDescent="0.25">
      <c r="A67">
        <v>51</v>
      </c>
      <c r="B67">
        <v>1690377266</v>
      </c>
      <c r="C67">
        <v>549.5</v>
      </c>
      <c r="D67" t="s">
        <v>435</v>
      </c>
      <c r="E67" t="s">
        <v>436</v>
      </c>
      <c r="F67" t="s">
        <v>330</v>
      </c>
      <c r="H67">
        <v>1690377266</v>
      </c>
      <c r="I67">
        <f t="shared" si="0"/>
        <v>6.9832175465159763E-4</v>
      </c>
      <c r="J67">
        <f t="shared" si="1"/>
        <v>0.69832175465159763</v>
      </c>
      <c r="K67">
        <f t="shared" si="2"/>
        <v>10.951552161211053</v>
      </c>
      <c r="L67">
        <f t="shared" si="3"/>
        <v>668.78099999999995</v>
      </c>
      <c r="M67">
        <f t="shared" si="4"/>
        <v>227.13001408600371</v>
      </c>
      <c r="N67">
        <f t="shared" si="5"/>
        <v>22.428936032493382</v>
      </c>
      <c r="O67">
        <f t="shared" si="6"/>
        <v>66.041673660386991</v>
      </c>
      <c r="P67">
        <f t="shared" si="7"/>
        <v>4.1206192039261118E-2</v>
      </c>
      <c r="Q67">
        <f t="shared" si="8"/>
        <v>2.0083967735964472</v>
      </c>
      <c r="R67">
        <f t="shared" si="9"/>
        <v>4.0742219233341342E-2</v>
      </c>
      <c r="S67">
        <f t="shared" si="10"/>
        <v>2.550513775845778E-2</v>
      </c>
      <c r="T67">
        <f t="shared" si="11"/>
        <v>276.11221493641239</v>
      </c>
      <c r="U67">
        <f t="shared" si="12"/>
        <v>29.149004905589603</v>
      </c>
      <c r="V67">
        <f t="shared" si="13"/>
        <v>29.149004905589603</v>
      </c>
      <c r="W67">
        <f t="shared" si="14"/>
        <v>4.0565801015016207</v>
      </c>
      <c r="X67">
        <f t="shared" si="15"/>
        <v>67.19099740865812</v>
      </c>
      <c r="Y67">
        <f t="shared" si="16"/>
        <v>2.4195165104231995</v>
      </c>
      <c r="Z67">
        <f t="shared" si="17"/>
        <v>3.6009534070578098</v>
      </c>
      <c r="AA67">
        <f t="shared" si="18"/>
        <v>1.6370635910784213</v>
      </c>
      <c r="AB67">
        <f t="shared" si="19"/>
        <v>-30.795989380135456</v>
      </c>
      <c r="AC67">
        <f t="shared" si="20"/>
        <v>-221.49132179798337</v>
      </c>
      <c r="AD67">
        <f t="shared" si="21"/>
        <v>-24.069610346960118</v>
      </c>
      <c r="AE67">
        <f t="shared" si="22"/>
        <v>-0.24470658866658823</v>
      </c>
      <c r="AF67">
        <v>14</v>
      </c>
      <c r="AG67">
        <v>5</v>
      </c>
      <c r="AH67">
        <f t="shared" si="23"/>
        <v>1</v>
      </c>
      <c r="AI67">
        <f t="shared" si="24"/>
        <v>0</v>
      </c>
      <c r="AJ67">
        <f t="shared" si="25"/>
        <v>52197.993113053162</v>
      </c>
      <c r="AK67">
        <f t="shared" si="26"/>
        <v>1799.98</v>
      </c>
      <c r="AL67">
        <f t="shared" si="27"/>
        <v>1499.09639258834</v>
      </c>
      <c r="AM67">
        <f t="shared" si="28"/>
        <v>0.83284058299999997</v>
      </c>
      <c r="AN67">
        <f t="shared" si="29"/>
        <v>0.15339737938</v>
      </c>
      <c r="AO67">
        <v>34.5</v>
      </c>
      <c r="AP67">
        <v>0.5</v>
      </c>
      <c r="AQ67" t="s">
        <v>331</v>
      </c>
      <c r="AR67">
        <v>2</v>
      </c>
      <c r="AS67">
        <v>1690377266</v>
      </c>
      <c r="AT67">
        <v>668.78099999999995</v>
      </c>
      <c r="AU67">
        <v>799.97</v>
      </c>
      <c r="AV67">
        <v>24.5016</v>
      </c>
      <c r="AW67">
        <v>16.6751</v>
      </c>
      <c r="AX67">
        <v>669.39099999999996</v>
      </c>
      <c r="AY67">
        <v>24.290500000000002</v>
      </c>
      <c r="AZ67">
        <v>300.28500000000003</v>
      </c>
      <c r="BA67">
        <v>98.649299999999997</v>
      </c>
      <c r="BB67">
        <v>0.100027</v>
      </c>
      <c r="BC67">
        <v>27.103400000000001</v>
      </c>
      <c r="BD67">
        <v>27.0001</v>
      </c>
      <c r="BE67">
        <v>29.1</v>
      </c>
      <c r="BF67">
        <v>0</v>
      </c>
      <c r="BG67">
        <v>0</v>
      </c>
      <c r="BH67">
        <v>10010.6</v>
      </c>
      <c r="BI67">
        <v>1082.78</v>
      </c>
      <c r="BJ67">
        <v>1.3455900000000001</v>
      </c>
      <c r="BK67">
        <v>-131.18899999999999</v>
      </c>
      <c r="BL67">
        <v>685.57799999999997</v>
      </c>
      <c r="BM67">
        <v>813.53599999999994</v>
      </c>
      <c r="BN67">
        <v>7.8265599999999997</v>
      </c>
      <c r="BO67">
        <v>799.97</v>
      </c>
      <c r="BP67">
        <v>16.6751</v>
      </c>
      <c r="BQ67">
        <v>2.4170699999999998</v>
      </c>
      <c r="BR67">
        <v>1.6449800000000001</v>
      </c>
      <c r="BS67">
        <v>20.4786</v>
      </c>
      <c r="BT67">
        <v>14.386799999999999</v>
      </c>
      <c r="BU67">
        <v>1799.98</v>
      </c>
      <c r="BV67">
        <v>0.91000300000000001</v>
      </c>
      <c r="BW67">
        <v>3.3998599999999997E-2</v>
      </c>
      <c r="BX67">
        <v>2.1998899999999998E-2</v>
      </c>
      <c r="BY67">
        <v>3.4000000000000002E-2</v>
      </c>
      <c r="BZ67">
        <v>25</v>
      </c>
      <c r="CA67">
        <v>33528.1</v>
      </c>
      <c r="CB67">
        <v>1690376213.5999999</v>
      </c>
      <c r="CC67" t="s">
        <v>332</v>
      </c>
      <c r="CD67">
        <v>1690376213.5999999</v>
      </c>
      <c r="CE67">
        <v>1690376198.0999999</v>
      </c>
      <c r="CF67">
        <v>2</v>
      </c>
      <c r="CG67">
        <v>0.66900000000000004</v>
      </c>
      <c r="CH67">
        <v>-2.1000000000000001E-2</v>
      </c>
      <c r="CI67">
        <v>-0.70099999999999996</v>
      </c>
      <c r="CJ67">
        <v>0.21099999999999999</v>
      </c>
      <c r="CK67">
        <v>799</v>
      </c>
      <c r="CL67">
        <v>21</v>
      </c>
      <c r="CM67">
        <v>0.11</v>
      </c>
      <c r="CN67">
        <v>0.17</v>
      </c>
      <c r="CO67">
        <v>-128.09297560975611</v>
      </c>
      <c r="CP67">
        <v>-16.383972125435811</v>
      </c>
      <c r="CQ67">
        <v>1.615826051489889</v>
      </c>
      <c r="CR67">
        <v>-1</v>
      </c>
      <c r="CS67">
        <v>7.6820012195121974</v>
      </c>
      <c r="CT67">
        <v>0.82487205574909861</v>
      </c>
      <c r="CU67">
        <v>8.1893710208315235E-2</v>
      </c>
      <c r="CV67">
        <v>-1</v>
      </c>
      <c r="CW67">
        <v>0</v>
      </c>
      <c r="CX67">
        <v>0</v>
      </c>
      <c r="CY67" t="s">
        <v>333</v>
      </c>
      <c r="CZ67">
        <v>2.36544</v>
      </c>
      <c r="DA67">
        <v>2.7138300000000002</v>
      </c>
      <c r="DB67">
        <v>0.12967200000000001</v>
      </c>
      <c r="DC67">
        <v>0.14588000000000001</v>
      </c>
      <c r="DD67">
        <v>0.115171</v>
      </c>
      <c r="DE67">
        <v>8.6396100000000003E-2</v>
      </c>
      <c r="DF67">
        <v>31790.5</v>
      </c>
      <c r="DG67">
        <v>27521.4</v>
      </c>
      <c r="DH67">
        <v>31180.799999999999</v>
      </c>
      <c r="DI67">
        <v>28074.6</v>
      </c>
      <c r="DJ67">
        <v>37452.1</v>
      </c>
      <c r="DK67">
        <v>36459</v>
      </c>
      <c r="DL67">
        <v>44371.7</v>
      </c>
      <c r="DM67">
        <v>42537.2</v>
      </c>
      <c r="DN67">
        <v>1.4353199999999999</v>
      </c>
      <c r="DO67">
        <v>2.0755499999999998</v>
      </c>
      <c r="DP67">
        <v>9.5788399999999996E-2</v>
      </c>
      <c r="DQ67">
        <v>0.225745</v>
      </c>
      <c r="DR67">
        <v>25.4315</v>
      </c>
      <c r="DS67">
        <v>25.409700000000001</v>
      </c>
      <c r="DT67">
        <v>61.6</v>
      </c>
      <c r="DU67">
        <v>26.6</v>
      </c>
      <c r="DV67">
        <v>21.831399999999999</v>
      </c>
      <c r="DW67">
        <v>61.270200000000003</v>
      </c>
      <c r="DX67">
        <v>35.729199999999999</v>
      </c>
      <c r="DY67">
        <v>1</v>
      </c>
      <c r="DZ67">
        <v>-0.14102899999999999</v>
      </c>
      <c r="EA67">
        <v>-0.41333300000000001</v>
      </c>
      <c r="EB67">
        <v>20.190000000000001</v>
      </c>
      <c r="EC67">
        <v>5.2438000000000002</v>
      </c>
      <c r="ED67">
        <v>12.039899999999999</v>
      </c>
      <c r="EE67">
        <v>5.0170500000000002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1.8688</v>
      </c>
      <c r="EL67">
        <v>1.86449</v>
      </c>
      <c r="EM67">
        <v>1.8691599999999999</v>
      </c>
      <c r="EN67">
        <v>1.8671899999999999</v>
      </c>
      <c r="EO67">
        <v>1.8632599999999999</v>
      </c>
      <c r="EP67">
        <v>1.86432</v>
      </c>
      <c r="EQ67">
        <v>1.87012</v>
      </c>
      <c r="ER67">
        <v>1.8693500000000001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-0.61</v>
      </c>
      <c r="FG67">
        <v>0.21110000000000001</v>
      </c>
      <c r="FH67">
        <v>-0.150361779349652</v>
      </c>
      <c r="FI67">
        <v>-6.1462078757559423E-4</v>
      </c>
      <c r="FJ67">
        <v>-1.8861989874597051E-7</v>
      </c>
      <c r="FK67">
        <v>1.1980462299894961E-10</v>
      </c>
      <c r="FL67">
        <v>0.21114761904761539</v>
      </c>
      <c r="FM67">
        <v>0</v>
      </c>
      <c r="FN67">
        <v>0</v>
      </c>
      <c r="FO67">
        <v>0</v>
      </c>
      <c r="FP67">
        <v>3</v>
      </c>
      <c r="FQ67">
        <v>2158</v>
      </c>
      <c r="FR67">
        <v>1</v>
      </c>
      <c r="FS67">
        <v>19</v>
      </c>
      <c r="FT67">
        <v>17.5</v>
      </c>
      <c r="FU67">
        <v>17.8</v>
      </c>
      <c r="FV67">
        <v>1.79077</v>
      </c>
      <c r="FW67">
        <v>2.5659200000000002</v>
      </c>
      <c r="FX67">
        <v>1.5490699999999999</v>
      </c>
      <c r="FY67">
        <v>2.33887</v>
      </c>
      <c r="FZ67">
        <v>1.50146</v>
      </c>
      <c r="GA67">
        <v>2.3584000000000001</v>
      </c>
      <c r="GB67">
        <v>31.848800000000001</v>
      </c>
      <c r="GC67">
        <v>23.991199999999999</v>
      </c>
      <c r="GD67">
        <v>19</v>
      </c>
      <c r="GE67">
        <v>263.43299999999999</v>
      </c>
      <c r="GF67">
        <v>608.91200000000003</v>
      </c>
      <c r="GG67">
        <v>25.481400000000001</v>
      </c>
      <c r="GH67">
        <v>25.6798</v>
      </c>
      <c r="GI67">
        <v>30.0001</v>
      </c>
      <c r="GJ67">
        <v>25.760899999999999</v>
      </c>
      <c r="GK67">
        <v>25.726199999999999</v>
      </c>
      <c r="GL67">
        <v>35.793999999999997</v>
      </c>
      <c r="GM67">
        <v>32.852200000000003</v>
      </c>
      <c r="GN67">
        <v>98.884</v>
      </c>
      <c r="GO67">
        <v>25.4834</v>
      </c>
      <c r="GP67">
        <v>800</v>
      </c>
      <c r="GQ67">
        <v>16.529499999999999</v>
      </c>
      <c r="GR67">
        <v>99.763300000000001</v>
      </c>
      <c r="GS67">
        <v>99.522400000000005</v>
      </c>
    </row>
    <row r="68" spans="1:201" x14ac:dyDescent="0.25">
      <c r="A68">
        <v>52</v>
      </c>
      <c r="B68">
        <v>1690377276</v>
      </c>
      <c r="C68">
        <v>559.5</v>
      </c>
      <c r="D68" t="s">
        <v>437</v>
      </c>
      <c r="E68" t="s">
        <v>438</v>
      </c>
      <c r="F68" t="s">
        <v>330</v>
      </c>
      <c r="H68">
        <v>1690377276</v>
      </c>
      <c r="I68">
        <f t="shared" si="0"/>
        <v>7.1105463775921764E-4</v>
      </c>
      <c r="J68">
        <f t="shared" si="1"/>
        <v>0.71105463775921762</v>
      </c>
      <c r="K68">
        <f t="shared" si="2"/>
        <v>11.193948978338883</v>
      </c>
      <c r="L68">
        <f t="shared" si="3"/>
        <v>665.93899999999996</v>
      </c>
      <c r="M68">
        <f t="shared" si="4"/>
        <v>222.6941126419311</v>
      </c>
      <c r="N68">
        <f t="shared" si="5"/>
        <v>21.990472635685883</v>
      </c>
      <c r="O68">
        <f t="shared" si="6"/>
        <v>65.759768782404009</v>
      </c>
      <c r="P68">
        <f t="shared" si="7"/>
        <v>4.1962210235992697E-2</v>
      </c>
      <c r="Q68">
        <f t="shared" si="8"/>
        <v>1.9992563529475886</v>
      </c>
      <c r="R68">
        <f t="shared" si="9"/>
        <v>4.1478991257658103E-2</v>
      </c>
      <c r="S68">
        <f t="shared" si="10"/>
        <v>2.5967321123426784E-2</v>
      </c>
      <c r="T68">
        <f t="shared" si="11"/>
        <v>276.11333464250771</v>
      </c>
      <c r="U68">
        <f t="shared" si="12"/>
        <v>29.153251930219874</v>
      </c>
      <c r="V68">
        <f t="shared" si="13"/>
        <v>29.153251930219874</v>
      </c>
      <c r="W68">
        <f t="shared" si="14"/>
        <v>4.0575760380929706</v>
      </c>
      <c r="X68">
        <f t="shared" si="15"/>
        <v>67.211321907762724</v>
      </c>
      <c r="Y68">
        <f t="shared" si="16"/>
        <v>2.4203194058472004</v>
      </c>
      <c r="Z68">
        <f t="shared" si="17"/>
        <v>3.6010590733042256</v>
      </c>
      <c r="AA68">
        <f t="shared" si="18"/>
        <v>1.6372566322457702</v>
      </c>
      <c r="AB68">
        <f t="shared" si="19"/>
        <v>-31.357509525181499</v>
      </c>
      <c r="AC68">
        <f t="shared" si="20"/>
        <v>-220.88716093134357</v>
      </c>
      <c r="AD68">
        <f t="shared" si="21"/>
        <v>-24.114270933982851</v>
      </c>
      <c r="AE68">
        <f t="shared" si="22"/>
        <v>-0.2456067480001991</v>
      </c>
      <c r="AF68">
        <v>14</v>
      </c>
      <c r="AG68">
        <v>5</v>
      </c>
      <c r="AH68">
        <f t="shared" si="23"/>
        <v>1</v>
      </c>
      <c r="AI68">
        <f t="shared" si="24"/>
        <v>0</v>
      </c>
      <c r="AJ68">
        <f t="shared" si="25"/>
        <v>51762.124412526755</v>
      </c>
      <c r="AK68">
        <f t="shared" si="26"/>
        <v>1799.99</v>
      </c>
      <c r="AL68">
        <f t="shared" si="27"/>
        <v>1499.1055939893201</v>
      </c>
      <c r="AM68">
        <f t="shared" si="28"/>
        <v>0.83284106800000002</v>
      </c>
      <c r="AN68">
        <f t="shared" si="29"/>
        <v>0.15339714923</v>
      </c>
      <c r="AO68">
        <v>34.5</v>
      </c>
      <c r="AP68">
        <v>0.5</v>
      </c>
      <c r="AQ68" t="s">
        <v>331</v>
      </c>
      <c r="AR68">
        <v>2</v>
      </c>
      <c r="AS68">
        <v>1690377276</v>
      </c>
      <c r="AT68">
        <v>665.93899999999996</v>
      </c>
      <c r="AU68">
        <v>799.99199999999996</v>
      </c>
      <c r="AV68">
        <v>24.510200000000001</v>
      </c>
      <c r="AW68">
        <v>16.540800000000001</v>
      </c>
      <c r="AX68">
        <v>666.54700000000003</v>
      </c>
      <c r="AY68">
        <v>24.299099999999999</v>
      </c>
      <c r="AZ68">
        <v>300.27499999999998</v>
      </c>
      <c r="BA68">
        <v>98.647400000000005</v>
      </c>
      <c r="BB68">
        <v>0.100036</v>
      </c>
      <c r="BC68">
        <v>27.103899999999999</v>
      </c>
      <c r="BD68">
        <v>27.007100000000001</v>
      </c>
      <c r="BE68">
        <v>29.125900000000001</v>
      </c>
      <c r="BF68">
        <v>0</v>
      </c>
      <c r="BG68">
        <v>0</v>
      </c>
      <c r="BH68">
        <v>9923.75</v>
      </c>
      <c r="BI68">
        <v>1082.74</v>
      </c>
      <c r="BJ68">
        <v>1.3455900000000001</v>
      </c>
      <c r="BK68">
        <v>-134.053</v>
      </c>
      <c r="BL68">
        <v>682.67200000000003</v>
      </c>
      <c r="BM68">
        <v>813.447</v>
      </c>
      <c r="BN68">
        <v>7.9694099999999999</v>
      </c>
      <c r="BO68">
        <v>799.99199999999996</v>
      </c>
      <c r="BP68">
        <v>16.540800000000001</v>
      </c>
      <c r="BQ68">
        <v>2.4178700000000002</v>
      </c>
      <c r="BR68">
        <v>1.63171</v>
      </c>
      <c r="BS68">
        <v>20.484000000000002</v>
      </c>
      <c r="BT68">
        <v>14.2616</v>
      </c>
      <c r="BU68">
        <v>1799.99</v>
      </c>
      <c r="BV68">
        <v>0.91001100000000001</v>
      </c>
      <c r="BW68">
        <v>3.3995499999999998E-2</v>
      </c>
      <c r="BX68">
        <v>2.19969E-2</v>
      </c>
      <c r="BY68">
        <v>3.3996899999999997E-2</v>
      </c>
      <c r="BZ68">
        <v>25</v>
      </c>
      <c r="CA68">
        <v>33528.400000000001</v>
      </c>
      <c r="CB68">
        <v>1690376213.5999999</v>
      </c>
      <c r="CC68" t="s">
        <v>332</v>
      </c>
      <c r="CD68">
        <v>1690376213.5999999</v>
      </c>
      <c r="CE68">
        <v>1690376198.0999999</v>
      </c>
      <c r="CF68">
        <v>2</v>
      </c>
      <c r="CG68">
        <v>0.66900000000000004</v>
      </c>
      <c r="CH68">
        <v>-2.1000000000000001E-2</v>
      </c>
      <c r="CI68">
        <v>-0.70099999999999996</v>
      </c>
      <c r="CJ68">
        <v>0.21099999999999999</v>
      </c>
      <c r="CK68">
        <v>799</v>
      </c>
      <c r="CL68">
        <v>21</v>
      </c>
      <c r="CM68">
        <v>0.11</v>
      </c>
      <c r="CN68">
        <v>0.17</v>
      </c>
      <c r="CO68">
        <v>-131.07342499999999</v>
      </c>
      <c r="CP68">
        <v>-16.852649155722421</v>
      </c>
      <c r="CQ68">
        <v>1.621986388467856</v>
      </c>
      <c r="CR68">
        <v>-1</v>
      </c>
      <c r="CS68">
        <v>7.8309709999999999</v>
      </c>
      <c r="CT68">
        <v>0.78769778611631203</v>
      </c>
      <c r="CU68">
        <v>7.6501679060005018E-2</v>
      </c>
      <c r="CV68">
        <v>-1</v>
      </c>
      <c r="CW68">
        <v>0</v>
      </c>
      <c r="CX68">
        <v>0</v>
      </c>
      <c r="CY68" t="s">
        <v>333</v>
      </c>
      <c r="CZ68">
        <v>2.3654099999999998</v>
      </c>
      <c r="DA68">
        <v>2.7137600000000002</v>
      </c>
      <c r="DB68">
        <v>0.12928899999999999</v>
      </c>
      <c r="DC68">
        <v>0.14587700000000001</v>
      </c>
      <c r="DD68">
        <v>0.11519699999999999</v>
      </c>
      <c r="DE68">
        <v>8.5890300000000003E-2</v>
      </c>
      <c r="DF68">
        <v>31804.1</v>
      </c>
      <c r="DG68">
        <v>27521.4</v>
      </c>
      <c r="DH68">
        <v>31180.5</v>
      </c>
      <c r="DI68">
        <v>28074.5</v>
      </c>
      <c r="DJ68">
        <v>37450.6</v>
      </c>
      <c r="DK68">
        <v>36479.199999999997</v>
      </c>
      <c r="DL68">
        <v>44371.3</v>
      </c>
      <c r="DM68">
        <v>42537.1</v>
      </c>
      <c r="DN68">
        <v>1.43537</v>
      </c>
      <c r="DO68">
        <v>2.0753499999999998</v>
      </c>
      <c r="DP68">
        <v>9.6086400000000002E-2</v>
      </c>
      <c r="DQ68">
        <v>0.227105</v>
      </c>
      <c r="DR68">
        <v>25.433700000000002</v>
      </c>
      <c r="DS68">
        <v>25.413399999999999</v>
      </c>
      <c r="DT68">
        <v>61.6</v>
      </c>
      <c r="DU68">
        <v>26.6</v>
      </c>
      <c r="DV68">
        <v>21.8337</v>
      </c>
      <c r="DW68">
        <v>61.680199999999999</v>
      </c>
      <c r="DX68">
        <v>35.817300000000003</v>
      </c>
      <c r="DY68">
        <v>1</v>
      </c>
      <c r="DZ68">
        <v>-0.14097299999999999</v>
      </c>
      <c r="EA68">
        <v>-0.400561</v>
      </c>
      <c r="EB68">
        <v>20.190000000000001</v>
      </c>
      <c r="EC68">
        <v>5.2442500000000001</v>
      </c>
      <c r="ED68">
        <v>12.039899999999999</v>
      </c>
      <c r="EE68">
        <v>5.0171999999999999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1.86883</v>
      </c>
      <c r="EL68">
        <v>1.8645</v>
      </c>
      <c r="EM68">
        <v>1.86917</v>
      </c>
      <c r="EN68">
        <v>1.8671599999999999</v>
      </c>
      <c r="EO68">
        <v>1.8632500000000001</v>
      </c>
      <c r="EP68">
        <v>1.8643099999999999</v>
      </c>
      <c r="EQ68">
        <v>1.87012</v>
      </c>
      <c r="ER68">
        <v>1.8693500000000001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-0.60799999999999998</v>
      </c>
      <c r="FG68">
        <v>0.21110000000000001</v>
      </c>
      <c r="FH68">
        <v>-0.150361779349652</v>
      </c>
      <c r="FI68">
        <v>-6.1462078757559423E-4</v>
      </c>
      <c r="FJ68">
        <v>-1.8861989874597051E-7</v>
      </c>
      <c r="FK68">
        <v>1.1980462299894961E-10</v>
      </c>
      <c r="FL68">
        <v>0.21114761904761539</v>
      </c>
      <c r="FM68">
        <v>0</v>
      </c>
      <c r="FN68">
        <v>0</v>
      </c>
      <c r="FO68">
        <v>0</v>
      </c>
      <c r="FP68">
        <v>3</v>
      </c>
      <c r="FQ68">
        <v>2158</v>
      </c>
      <c r="FR68">
        <v>1</v>
      </c>
      <c r="FS68">
        <v>19</v>
      </c>
      <c r="FT68">
        <v>17.7</v>
      </c>
      <c r="FU68">
        <v>18</v>
      </c>
      <c r="FV68">
        <v>1.78955</v>
      </c>
      <c r="FW68">
        <v>2.5622600000000002</v>
      </c>
      <c r="FX68">
        <v>1.5490699999999999</v>
      </c>
      <c r="FY68">
        <v>2.33887</v>
      </c>
      <c r="FZ68">
        <v>1.50146</v>
      </c>
      <c r="GA68">
        <v>2.4108900000000002</v>
      </c>
      <c r="GB68">
        <v>31.870699999999999</v>
      </c>
      <c r="GC68">
        <v>23.991199999999999</v>
      </c>
      <c r="GD68">
        <v>19</v>
      </c>
      <c r="GE68">
        <v>263.45999999999998</v>
      </c>
      <c r="GF68">
        <v>608.74099999999999</v>
      </c>
      <c r="GG68">
        <v>25.4862</v>
      </c>
      <c r="GH68">
        <v>25.677600000000002</v>
      </c>
      <c r="GI68">
        <v>30.0001</v>
      </c>
      <c r="GJ68">
        <v>25.762499999999999</v>
      </c>
      <c r="GK68">
        <v>25.726199999999999</v>
      </c>
      <c r="GL68">
        <v>35.792200000000001</v>
      </c>
      <c r="GM68">
        <v>33.472499999999997</v>
      </c>
      <c r="GN68">
        <v>98.884</v>
      </c>
      <c r="GO68">
        <v>25.354900000000001</v>
      </c>
      <c r="GP68">
        <v>800</v>
      </c>
      <c r="GQ68">
        <v>16.392099999999999</v>
      </c>
      <c r="GR68">
        <v>99.762299999999996</v>
      </c>
      <c r="GS68">
        <v>99.522199999999998</v>
      </c>
    </row>
    <row r="69" spans="1:201" x14ac:dyDescent="0.25">
      <c r="A69">
        <v>53</v>
      </c>
      <c r="B69">
        <v>1690377286</v>
      </c>
      <c r="C69">
        <v>569.5</v>
      </c>
      <c r="D69" t="s">
        <v>439</v>
      </c>
      <c r="E69" t="s">
        <v>440</v>
      </c>
      <c r="F69" t="s">
        <v>330</v>
      </c>
      <c r="H69">
        <v>1690377286</v>
      </c>
      <c r="I69">
        <f t="shared" si="0"/>
        <v>7.2302984588790294E-4</v>
      </c>
      <c r="J69">
        <f t="shared" si="1"/>
        <v>0.72302984588790298</v>
      </c>
      <c r="K69">
        <f t="shared" si="2"/>
        <v>11.434921168574693</v>
      </c>
      <c r="L69">
        <f t="shared" si="3"/>
        <v>663.07600000000002</v>
      </c>
      <c r="M69">
        <f t="shared" si="4"/>
        <v>219.15465016011183</v>
      </c>
      <c r="N69">
        <f t="shared" si="5"/>
        <v>21.641089092031631</v>
      </c>
      <c r="O69">
        <f t="shared" si="6"/>
        <v>65.477446087976006</v>
      </c>
      <c r="P69">
        <f t="shared" si="7"/>
        <v>4.2792389357469665E-2</v>
      </c>
      <c r="Q69">
        <f t="shared" si="8"/>
        <v>2.0102829869807053</v>
      </c>
      <c r="R69">
        <f t="shared" si="9"/>
        <v>4.2292705765709468E-2</v>
      </c>
      <c r="S69">
        <f t="shared" si="10"/>
        <v>2.6477349463650383E-2</v>
      </c>
      <c r="T69">
        <f t="shared" si="11"/>
        <v>276.11284218324357</v>
      </c>
      <c r="U69">
        <f t="shared" si="12"/>
        <v>29.133008974989387</v>
      </c>
      <c r="V69">
        <f t="shared" si="13"/>
        <v>29.133008974989387</v>
      </c>
      <c r="W69">
        <f t="shared" si="14"/>
        <v>4.0528309335837651</v>
      </c>
      <c r="X69">
        <f t="shared" si="15"/>
        <v>67.224335896125638</v>
      </c>
      <c r="Y69">
        <f t="shared" si="16"/>
        <v>2.4199783739715999</v>
      </c>
      <c r="Z69">
        <f t="shared" si="17"/>
        <v>3.5998546385209753</v>
      </c>
      <c r="AA69">
        <f t="shared" si="18"/>
        <v>1.6328525596121652</v>
      </c>
      <c r="AB69">
        <f t="shared" si="19"/>
        <v>-31.885616203656518</v>
      </c>
      <c r="AC69">
        <f t="shared" si="20"/>
        <v>-220.5292929815005</v>
      </c>
      <c r="AD69">
        <f t="shared" si="21"/>
        <v>-23.9400492925881</v>
      </c>
      <c r="AE69">
        <f t="shared" si="22"/>
        <v>-0.24211629450155669</v>
      </c>
      <c r="AF69">
        <v>14</v>
      </c>
      <c r="AG69">
        <v>5</v>
      </c>
      <c r="AH69">
        <f t="shared" si="23"/>
        <v>1</v>
      </c>
      <c r="AI69">
        <f t="shared" si="24"/>
        <v>0</v>
      </c>
      <c r="AJ69">
        <f t="shared" si="25"/>
        <v>52289.129652385891</v>
      </c>
      <c r="AK69">
        <f t="shared" si="26"/>
        <v>1799.99</v>
      </c>
      <c r="AL69">
        <f t="shared" si="27"/>
        <v>1499.1054787899598</v>
      </c>
      <c r="AM69">
        <f t="shared" si="28"/>
        <v>0.83284100399999983</v>
      </c>
      <c r="AN69">
        <f t="shared" si="29"/>
        <v>0.15339687563999999</v>
      </c>
      <c r="AO69">
        <v>34.5</v>
      </c>
      <c r="AP69">
        <v>0.5</v>
      </c>
      <c r="AQ69" t="s">
        <v>331</v>
      </c>
      <c r="AR69">
        <v>2</v>
      </c>
      <c r="AS69">
        <v>1690377286</v>
      </c>
      <c r="AT69">
        <v>663.07600000000002</v>
      </c>
      <c r="AU69">
        <v>800.01199999999994</v>
      </c>
      <c r="AV69">
        <v>24.506599999999999</v>
      </c>
      <c r="AW69">
        <v>16.400200000000002</v>
      </c>
      <c r="AX69">
        <v>663.68299999999999</v>
      </c>
      <c r="AY69">
        <v>24.295500000000001</v>
      </c>
      <c r="AZ69">
        <v>300.173</v>
      </c>
      <c r="BA69">
        <v>98.647900000000007</v>
      </c>
      <c r="BB69">
        <v>0.10012600000000001</v>
      </c>
      <c r="BC69">
        <v>27.098199999999999</v>
      </c>
      <c r="BD69">
        <v>26.985399999999998</v>
      </c>
      <c r="BE69">
        <v>29.096399999999999</v>
      </c>
      <c r="BF69">
        <v>0</v>
      </c>
      <c r="BG69">
        <v>0</v>
      </c>
      <c r="BH69">
        <v>10028.799999999999</v>
      </c>
      <c r="BI69">
        <v>1082.67</v>
      </c>
      <c r="BJ69">
        <v>1.3455900000000001</v>
      </c>
      <c r="BK69">
        <v>-136.93600000000001</v>
      </c>
      <c r="BL69">
        <v>679.73400000000004</v>
      </c>
      <c r="BM69">
        <v>813.351</v>
      </c>
      <c r="BN69">
        <v>8.1064600000000002</v>
      </c>
      <c r="BO69">
        <v>800.01199999999994</v>
      </c>
      <c r="BP69">
        <v>16.400200000000002</v>
      </c>
      <c r="BQ69">
        <v>2.4175300000000002</v>
      </c>
      <c r="BR69">
        <v>1.6178399999999999</v>
      </c>
      <c r="BS69">
        <v>20.4817</v>
      </c>
      <c r="BT69">
        <v>14.129799999999999</v>
      </c>
      <c r="BU69">
        <v>1799.99</v>
      </c>
      <c r="BV69">
        <v>0.91001699999999996</v>
      </c>
      <c r="BW69">
        <v>3.3993000000000002E-2</v>
      </c>
      <c r="BX69">
        <v>2.1995199999999999E-2</v>
      </c>
      <c r="BY69">
        <v>3.3994400000000001E-2</v>
      </c>
      <c r="BZ69">
        <v>25</v>
      </c>
      <c r="CA69">
        <v>33528.300000000003</v>
      </c>
      <c r="CB69">
        <v>1690376213.5999999</v>
      </c>
      <c r="CC69" t="s">
        <v>332</v>
      </c>
      <c r="CD69">
        <v>1690376213.5999999</v>
      </c>
      <c r="CE69">
        <v>1690376198.0999999</v>
      </c>
      <c r="CF69">
        <v>2</v>
      </c>
      <c r="CG69">
        <v>0.66900000000000004</v>
      </c>
      <c r="CH69">
        <v>-2.1000000000000001E-2</v>
      </c>
      <c r="CI69">
        <v>-0.70099999999999996</v>
      </c>
      <c r="CJ69">
        <v>0.21099999999999999</v>
      </c>
      <c r="CK69">
        <v>799</v>
      </c>
      <c r="CL69">
        <v>21</v>
      </c>
      <c r="CM69">
        <v>0.11</v>
      </c>
      <c r="CN69">
        <v>0.17</v>
      </c>
      <c r="CO69">
        <v>-133.884075</v>
      </c>
      <c r="CP69">
        <v>-16.961864915571951</v>
      </c>
      <c r="CQ69">
        <v>1.6321580865145999</v>
      </c>
      <c r="CR69">
        <v>-1</v>
      </c>
      <c r="CS69">
        <v>7.9698460000000004</v>
      </c>
      <c r="CT69">
        <v>0.85623624765476569</v>
      </c>
      <c r="CU69">
        <v>8.2828419784516133E-2</v>
      </c>
      <c r="CV69">
        <v>-1</v>
      </c>
      <c r="CW69">
        <v>0</v>
      </c>
      <c r="CX69">
        <v>0</v>
      </c>
      <c r="CY69" t="s">
        <v>333</v>
      </c>
      <c r="CZ69">
        <v>2.3650699999999998</v>
      </c>
      <c r="DA69">
        <v>2.71394</v>
      </c>
      <c r="DB69">
        <v>0.12890499999999999</v>
      </c>
      <c r="DC69">
        <v>0.14587800000000001</v>
      </c>
      <c r="DD69">
        <v>0.115185</v>
      </c>
      <c r="DE69">
        <v>8.5360500000000006E-2</v>
      </c>
      <c r="DF69">
        <v>31817.9</v>
      </c>
      <c r="DG69">
        <v>27521</v>
      </c>
      <c r="DH69">
        <v>31180.3</v>
      </c>
      <c r="DI69">
        <v>28074.1</v>
      </c>
      <c r="DJ69">
        <v>37450.800000000003</v>
      </c>
      <c r="DK69">
        <v>36500</v>
      </c>
      <c r="DL69">
        <v>44371</v>
      </c>
      <c r="DM69">
        <v>42536.6</v>
      </c>
      <c r="DN69">
        <v>1.4350000000000001</v>
      </c>
      <c r="DO69">
        <v>2.0752299999999999</v>
      </c>
      <c r="DP69">
        <v>9.4622399999999995E-2</v>
      </c>
      <c r="DQ69">
        <v>0.22500000000000001</v>
      </c>
      <c r="DR69">
        <v>25.4359</v>
      </c>
      <c r="DS69">
        <v>25.418299999999999</v>
      </c>
      <c r="DT69">
        <v>61.6</v>
      </c>
      <c r="DU69">
        <v>26.6</v>
      </c>
      <c r="DV69">
        <v>21.8291</v>
      </c>
      <c r="DW69">
        <v>61.340200000000003</v>
      </c>
      <c r="DX69">
        <v>36.173900000000003</v>
      </c>
      <c r="DY69">
        <v>1</v>
      </c>
      <c r="DZ69">
        <v>-0.140597</v>
      </c>
      <c r="EA69">
        <v>-0.15857299999999999</v>
      </c>
      <c r="EB69">
        <v>20.1907</v>
      </c>
      <c r="EC69">
        <v>5.2442500000000001</v>
      </c>
      <c r="ED69">
        <v>12.039899999999999</v>
      </c>
      <c r="EE69">
        <v>5.0168999999999997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1.8688499999999999</v>
      </c>
      <c r="EL69">
        <v>1.8645</v>
      </c>
      <c r="EM69">
        <v>1.86913</v>
      </c>
      <c r="EN69">
        <v>1.86713</v>
      </c>
      <c r="EO69">
        <v>1.8632599999999999</v>
      </c>
      <c r="EP69">
        <v>1.86432</v>
      </c>
      <c r="EQ69">
        <v>1.87012</v>
      </c>
      <c r="ER69">
        <v>1.86934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-0.60699999999999998</v>
      </c>
      <c r="FG69">
        <v>0.21110000000000001</v>
      </c>
      <c r="FH69">
        <v>-0.150361779349652</v>
      </c>
      <c r="FI69">
        <v>-6.1462078757559423E-4</v>
      </c>
      <c r="FJ69">
        <v>-1.8861989874597051E-7</v>
      </c>
      <c r="FK69">
        <v>1.1980462299894961E-10</v>
      </c>
      <c r="FL69">
        <v>0.21114761904761539</v>
      </c>
      <c r="FM69">
        <v>0</v>
      </c>
      <c r="FN69">
        <v>0</v>
      </c>
      <c r="FO69">
        <v>0</v>
      </c>
      <c r="FP69">
        <v>3</v>
      </c>
      <c r="FQ69">
        <v>2158</v>
      </c>
      <c r="FR69">
        <v>1</v>
      </c>
      <c r="FS69">
        <v>19</v>
      </c>
      <c r="FT69">
        <v>17.899999999999999</v>
      </c>
      <c r="FU69">
        <v>18.100000000000001</v>
      </c>
      <c r="FV69">
        <v>1.78955</v>
      </c>
      <c r="FW69">
        <v>2.5695800000000002</v>
      </c>
      <c r="FX69">
        <v>1.5490699999999999</v>
      </c>
      <c r="FY69">
        <v>2.33887</v>
      </c>
      <c r="FZ69">
        <v>1.50146</v>
      </c>
      <c r="GA69">
        <v>2.4011200000000001</v>
      </c>
      <c r="GB69">
        <v>31.870699999999999</v>
      </c>
      <c r="GC69">
        <v>23.991199999999999</v>
      </c>
      <c r="GD69">
        <v>19</v>
      </c>
      <c r="GE69">
        <v>263.30799999999999</v>
      </c>
      <c r="GF69">
        <v>608.63499999999999</v>
      </c>
      <c r="GG69">
        <v>25.340399999999999</v>
      </c>
      <c r="GH69">
        <v>25.677600000000002</v>
      </c>
      <c r="GI69">
        <v>30.0001</v>
      </c>
      <c r="GJ69">
        <v>25.762499999999999</v>
      </c>
      <c r="GK69">
        <v>25.726299999999998</v>
      </c>
      <c r="GL69">
        <v>35.7883</v>
      </c>
      <c r="GM69">
        <v>34.033799999999999</v>
      </c>
      <c r="GN69">
        <v>98.505700000000004</v>
      </c>
      <c r="GO69">
        <v>25.348500000000001</v>
      </c>
      <c r="GP69">
        <v>800</v>
      </c>
      <c r="GQ69">
        <v>16.265599999999999</v>
      </c>
      <c r="GR69">
        <v>99.761600000000001</v>
      </c>
      <c r="GS69">
        <v>99.521000000000001</v>
      </c>
    </row>
    <row r="70" spans="1:201" x14ac:dyDescent="0.25">
      <c r="A70">
        <v>54</v>
      </c>
      <c r="B70">
        <v>1690377296</v>
      </c>
      <c r="C70">
        <v>579.5</v>
      </c>
      <c r="D70" t="s">
        <v>441</v>
      </c>
      <c r="E70" t="s">
        <v>442</v>
      </c>
      <c r="F70" t="s">
        <v>330</v>
      </c>
      <c r="H70">
        <v>1690377296</v>
      </c>
      <c r="I70">
        <f t="shared" si="0"/>
        <v>7.3408045653646544E-4</v>
      </c>
      <c r="J70">
        <f t="shared" si="1"/>
        <v>0.73408045653646548</v>
      </c>
      <c r="K70">
        <f t="shared" si="2"/>
        <v>11.685621004473592</v>
      </c>
      <c r="L70">
        <f t="shared" si="3"/>
        <v>660.16800000000001</v>
      </c>
      <c r="M70">
        <f t="shared" si="4"/>
        <v>213.81958020930017</v>
      </c>
      <c r="N70">
        <f t="shared" si="5"/>
        <v>21.114738946321623</v>
      </c>
      <c r="O70">
        <f t="shared" si="6"/>
        <v>65.191761049528807</v>
      </c>
      <c r="P70">
        <f t="shared" si="7"/>
        <v>4.3482190653438162E-2</v>
      </c>
      <c r="Q70">
        <f t="shared" si="8"/>
        <v>2.0056624140269608</v>
      </c>
      <c r="R70">
        <f t="shared" si="9"/>
        <v>4.2965199346829512E-2</v>
      </c>
      <c r="S70">
        <f t="shared" si="10"/>
        <v>2.6899186987258114E-2</v>
      </c>
      <c r="T70">
        <f t="shared" si="11"/>
        <v>276.11437831200004</v>
      </c>
      <c r="U70">
        <f t="shared" si="12"/>
        <v>29.126797662956282</v>
      </c>
      <c r="V70">
        <f t="shared" si="13"/>
        <v>29.126797662956282</v>
      </c>
      <c r="W70">
        <f t="shared" si="14"/>
        <v>4.0513759246352032</v>
      </c>
      <c r="X70">
        <f t="shared" si="15"/>
        <v>67.23519594943545</v>
      </c>
      <c r="Y70">
        <f t="shared" si="16"/>
        <v>2.4194603481572803</v>
      </c>
      <c r="Z70">
        <f t="shared" si="17"/>
        <v>3.5985027097665436</v>
      </c>
      <c r="AA70">
        <f t="shared" si="18"/>
        <v>1.631915576477923</v>
      </c>
      <c r="AB70">
        <f t="shared" si="19"/>
        <v>-32.372948133258127</v>
      </c>
      <c r="AC70">
        <f t="shared" si="20"/>
        <v>-220.04281594948282</v>
      </c>
      <c r="AD70">
        <f t="shared" si="21"/>
        <v>-23.940765224749665</v>
      </c>
      <c r="AE70">
        <f t="shared" si="22"/>
        <v>-0.24215099549056163</v>
      </c>
      <c r="AF70">
        <v>14</v>
      </c>
      <c r="AG70">
        <v>5</v>
      </c>
      <c r="AH70">
        <f t="shared" si="23"/>
        <v>1</v>
      </c>
      <c r="AI70">
        <f t="shared" si="24"/>
        <v>0</v>
      </c>
      <c r="AJ70">
        <f t="shared" si="25"/>
        <v>52069.388085318642</v>
      </c>
      <c r="AK70">
        <f t="shared" si="26"/>
        <v>1800</v>
      </c>
      <c r="AL70">
        <f t="shared" si="27"/>
        <v>1499.1108912</v>
      </c>
      <c r="AM70">
        <f t="shared" si="28"/>
        <v>0.83283938400000002</v>
      </c>
      <c r="AN70">
        <f t="shared" si="29"/>
        <v>0.15339687684000003</v>
      </c>
      <c r="AO70">
        <v>34.5</v>
      </c>
      <c r="AP70">
        <v>0.5</v>
      </c>
      <c r="AQ70" t="s">
        <v>331</v>
      </c>
      <c r="AR70">
        <v>2</v>
      </c>
      <c r="AS70">
        <v>1690377296</v>
      </c>
      <c r="AT70">
        <v>660.16800000000001</v>
      </c>
      <c r="AU70">
        <v>800.04600000000005</v>
      </c>
      <c r="AV70">
        <v>24.500800000000002</v>
      </c>
      <c r="AW70">
        <v>16.270399999999999</v>
      </c>
      <c r="AX70">
        <v>660.77200000000005</v>
      </c>
      <c r="AY70">
        <v>24.2896</v>
      </c>
      <c r="AZ70">
        <v>300.17099999999999</v>
      </c>
      <c r="BA70">
        <v>98.650300000000001</v>
      </c>
      <c r="BB70">
        <v>9.9959099999999995E-2</v>
      </c>
      <c r="BC70">
        <v>27.091799999999999</v>
      </c>
      <c r="BD70">
        <v>26.981000000000002</v>
      </c>
      <c r="BE70">
        <v>29.107099999999999</v>
      </c>
      <c r="BF70">
        <v>0</v>
      </c>
      <c r="BG70">
        <v>0</v>
      </c>
      <c r="BH70">
        <v>9984.3799999999992</v>
      </c>
      <c r="BI70">
        <v>1082.72</v>
      </c>
      <c r="BJ70">
        <v>1.3455900000000001</v>
      </c>
      <c r="BK70">
        <v>-139.87799999999999</v>
      </c>
      <c r="BL70">
        <v>676.74900000000002</v>
      </c>
      <c r="BM70">
        <v>813.27800000000002</v>
      </c>
      <c r="BN70">
        <v>8.2303999999999995</v>
      </c>
      <c r="BO70">
        <v>800.04600000000005</v>
      </c>
      <c r="BP70">
        <v>16.270399999999999</v>
      </c>
      <c r="BQ70">
        <v>2.4170099999999999</v>
      </c>
      <c r="BR70">
        <v>1.6050800000000001</v>
      </c>
      <c r="BS70">
        <v>20.478200000000001</v>
      </c>
      <c r="BT70">
        <v>14.0076</v>
      </c>
      <c r="BU70">
        <v>1800</v>
      </c>
      <c r="BV70">
        <v>0.91000800000000004</v>
      </c>
      <c r="BW70">
        <v>3.40074E-2</v>
      </c>
      <c r="BX70">
        <v>2.1993200000000001E-2</v>
      </c>
      <c r="BY70">
        <v>3.3991199999999999E-2</v>
      </c>
      <c r="BZ70">
        <v>25</v>
      </c>
      <c r="CA70">
        <v>33528.400000000001</v>
      </c>
      <c r="CB70">
        <v>1690376213.5999999</v>
      </c>
      <c r="CC70" t="s">
        <v>332</v>
      </c>
      <c r="CD70">
        <v>1690376213.5999999</v>
      </c>
      <c r="CE70">
        <v>1690376198.0999999</v>
      </c>
      <c r="CF70">
        <v>2</v>
      </c>
      <c r="CG70">
        <v>0.66900000000000004</v>
      </c>
      <c r="CH70">
        <v>-2.1000000000000001E-2</v>
      </c>
      <c r="CI70">
        <v>-0.70099999999999996</v>
      </c>
      <c r="CJ70">
        <v>0.21099999999999999</v>
      </c>
      <c r="CK70">
        <v>799</v>
      </c>
      <c r="CL70">
        <v>21</v>
      </c>
      <c r="CM70">
        <v>0.11</v>
      </c>
      <c r="CN70">
        <v>0.17</v>
      </c>
      <c r="CO70">
        <v>-136.753175</v>
      </c>
      <c r="CP70">
        <v>-17.59655909943648</v>
      </c>
      <c r="CQ70">
        <v>1.692986368632363</v>
      </c>
      <c r="CR70">
        <v>-1</v>
      </c>
      <c r="CS70">
        <v>8.1041660000000011</v>
      </c>
      <c r="CT70">
        <v>0.77806919324576429</v>
      </c>
      <c r="CU70">
        <v>7.5408273710515325E-2</v>
      </c>
      <c r="CV70">
        <v>-1</v>
      </c>
      <c r="CW70">
        <v>0</v>
      </c>
      <c r="CX70">
        <v>0</v>
      </c>
      <c r="CY70" t="s">
        <v>333</v>
      </c>
      <c r="CZ70">
        <v>2.3650600000000002</v>
      </c>
      <c r="DA70">
        <v>2.71374</v>
      </c>
      <c r="DB70">
        <v>0.12851699999999999</v>
      </c>
      <c r="DC70">
        <v>0.14588200000000001</v>
      </c>
      <c r="DD70">
        <v>0.11516800000000001</v>
      </c>
      <c r="DE70">
        <v>8.4871299999999997E-2</v>
      </c>
      <c r="DF70">
        <v>31832.799999999999</v>
      </c>
      <c r="DG70">
        <v>27521.1</v>
      </c>
      <c r="DH70">
        <v>31181</v>
      </c>
      <c r="DI70">
        <v>28074.3</v>
      </c>
      <c r="DJ70">
        <v>37452.300000000003</v>
      </c>
      <c r="DK70">
        <v>36520</v>
      </c>
      <c r="DL70">
        <v>44372</v>
      </c>
      <c r="DM70">
        <v>42537.1</v>
      </c>
      <c r="DN70">
        <v>1.4353199999999999</v>
      </c>
      <c r="DO70">
        <v>2.0749200000000001</v>
      </c>
      <c r="DP70">
        <v>9.4097100000000003E-2</v>
      </c>
      <c r="DQ70">
        <v>0.22536100000000001</v>
      </c>
      <c r="DR70">
        <v>25.440200000000001</v>
      </c>
      <c r="DS70">
        <v>25.422999999999998</v>
      </c>
      <c r="DT70">
        <v>61.6</v>
      </c>
      <c r="DU70">
        <v>26.6</v>
      </c>
      <c r="DV70">
        <v>21.829000000000001</v>
      </c>
      <c r="DW70">
        <v>61.420200000000001</v>
      </c>
      <c r="DX70">
        <v>36.470399999999998</v>
      </c>
      <c r="DY70">
        <v>1</v>
      </c>
      <c r="DZ70">
        <v>-0.14058200000000001</v>
      </c>
      <c r="EA70">
        <v>-0.29005199999999998</v>
      </c>
      <c r="EB70">
        <v>20.1906</v>
      </c>
      <c r="EC70">
        <v>5.2431999999999999</v>
      </c>
      <c r="ED70">
        <v>12.039899999999999</v>
      </c>
      <c r="EE70">
        <v>5.0171000000000001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1.8688199999999999</v>
      </c>
      <c r="EL70">
        <v>1.8645</v>
      </c>
      <c r="EM70">
        <v>1.86917</v>
      </c>
      <c r="EN70">
        <v>1.8671199999999999</v>
      </c>
      <c r="EO70">
        <v>1.8632599999999999</v>
      </c>
      <c r="EP70">
        <v>1.8643099999999999</v>
      </c>
      <c r="EQ70">
        <v>1.87012</v>
      </c>
      <c r="ER70">
        <v>1.8693500000000001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-0.60399999999999998</v>
      </c>
      <c r="FG70">
        <v>0.2112</v>
      </c>
      <c r="FH70">
        <v>-0.150361779349652</v>
      </c>
      <c r="FI70">
        <v>-6.1462078757559423E-4</v>
      </c>
      <c r="FJ70">
        <v>-1.8861989874597051E-7</v>
      </c>
      <c r="FK70">
        <v>1.1980462299894961E-10</v>
      </c>
      <c r="FL70">
        <v>0.21114761904761539</v>
      </c>
      <c r="FM70">
        <v>0</v>
      </c>
      <c r="FN70">
        <v>0</v>
      </c>
      <c r="FO70">
        <v>0</v>
      </c>
      <c r="FP70">
        <v>3</v>
      </c>
      <c r="FQ70">
        <v>2158</v>
      </c>
      <c r="FR70">
        <v>1</v>
      </c>
      <c r="FS70">
        <v>19</v>
      </c>
      <c r="FT70">
        <v>18</v>
      </c>
      <c r="FU70">
        <v>18.3</v>
      </c>
      <c r="FV70">
        <v>1.78955</v>
      </c>
      <c r="FW70">
        <v>2.5671400000000002</v>
      </c>
      <c r="FX70">
        <v>1.5490699999999999</v>
      </c>
      <c r="FY70">
        <v>2.33887</v>
      </c>
      <c r="FZ70">
        <v>1.50146</v>
      </c>
      <c r="GA70">
        <v>2.3852500000000001</v>
      </c>
      <c r="GB70">
        <v>31.870699999999999</v>
      </c>
      <c r="GC70">
        <v>23.991199999999999</v>
      </c>
      <c r="GD70">
        <v>19</v>
      </c>
      <c r="GE70">
        <v>263.43900000000002</v>
      </c>
      <c r="GF70">
        <v>608.40499999999997</v>
      </c>
      <c r="GG70">
        <v>25.332699999999999</v>
      </c>
      <c r="GH70">
        <v>25.6755</v>
      </c>
      <c r="GI70">
        <v>30.0001</v>
      </c>
      <c r="GJ70">
        <v>25.762499999999999</v>
      </c>
      <c r="GK70">
        <v>25.728400000000001</v>
      </c>
      <c r="GL70">
        <v>35.7851</v>
      </c>
      <c r="GM70">
        <v>34.583799999999997</v>
      </c>
      <c r="GN70">
        <v>98.505700000000004</v>
      </c>
      <c r="GO70">
        <v>25.3566</v>
      </c>
      <c r="GP70">
        <v>800</v>
      </c>
      <c r="GQ70">
        <v>16.133400000000002</v>
      </c>
      <c r="GR70">
        <v>99.763900000000007</v>
      </c>
      <c r="GS70">
        <v>99.522000000000006</v>
      </c>
    </row>
    <row r="71" spans="1:201" x14ac:dyDescent="0.25">
      <c r="A71">
        <v>55</v>
      </c>
      <c r="B71">
        <v>1690377306</v>
      </c>
      <c r="C71">
        <v>589.5</v>
      </c>
      <c r="D71" t="s">
        <v>443</v>
      </c>
      <c r="E71" t="s">
        <v>444</v>
      </c>
      <c r="F71" t="s">
        <v>330</v>
      </c>
      <c r="H71">
        <v>1690377306</v>
      </c>
      <c r="I71">
        <f t="shared" si="0"/>
        <v>7.4745305122981512E-4</v>
      </c>
      <c r="J71">
        <f t="shared" si="1"/>
        <v>0.74745305122981509</v>
      </c>
      <c r="K71">
        <f t="shared" si="2"/>
        <v>11.931323651878628</v>
      </c>
      <c r="L71">
        <f t="shared" si="3"/>
        <v>657.21100000000001</v>
      </c>
      <c r="M71">
        <f t="shared" si="4"/>
        <v>210.81729258090704</v>
      </c>
      <c r="N71">
        <f t="shared" si="5"/>
        <v>20.818148402705354</v>
      </c>
      <c r="O71">
        <f t="shared" si="6"/>
        <v>64.899401573709</v>
      </c>
      <c r="P71">
        <f t="shared" si="7"/>
        <v>4.4390047208234459E-2</v>
      </c>
      <c r="Q71">
        <f t="shared" si="8"/>
        <v>2.0057210401351417</v>
      </c>
      <c r="R71">
        <f t="shared" si="9"/>
        <v>4.3851401972113339E-2</v>
      </c>
      <c r="S71">
        <f t="shared" si="10"/>
        <v>2.7454976730427211E-2</v>
      </c>
      <c r="T71">
        <f t="shared" si="11"/>
        <v>276.11263010842185</v>
      </c>
      <c r="U71">
        <f t="shared" si="12"/>
        <v>29.114121022551419</v>
      </c>
      <c r="V71">
        <f t="shared" si="13"/>
        <v>29.114121022551419</v>
      </c>
      <c r="W71">
        <f t="shared" si="14"/>
        <v>4.0484078162900961</v>
      </c>
      <c r="X71">
        <f t="shared" si="15"/>
        <v>67.289930283635115</v>
      </c>
      <c r="Y71">
        <f t="shared" si="16"/>
        <v>2.4203358627461999</v>
      </c>
      <c r="Z71">
        <f t="shared" si="17"/>
        <v>3.596876757850981</v>
      </c>
      <c r="AA71">
        <f t="shared" si="18"/>
        <v>1.6280719535438961</v>
      </c>
      <c r="AB71">
        <f t="shared" si="19"/>
        <v>-32.96267955923485</v>
      </c>
      <c r="AC71">
        <f t="shared" si="20"/>
        <v>-219.51111163263141</v>
      </c>
      <c r="AD71">
        <f t="shared" si="21"/>
        <v>-23.879791988140195</v>
      </c>
      <c r="AE71">
        <f t="shared" si="22"/>
        <v>-0.2409530715846131</v>
      </c>
      <c r="AF71">
        <v>14</v>
      </c>
      <c r="AG71">
        <v>5</v>
      </c>
      <c r="AH71">
        <f t="shared" si="23"/>
        <v>1</v>
      </c>
      <c r="AI71">
        <f t="shared" si="24"/>
        <v>0</v>
      </c>
      <c r="AJ71">
        <f t="shared" si="25"/>
        <v>52073.50990608579</v>
      </c>
      <c r="AK71">
        <f t="shared" si="26"/>
        <v>1799.99</v>
      </c>
      <c r="AL71">
        <f t="shared" si="27"/>
        <v>1499.10299120378</v>
      </c>
      <c r="AM71">
        <f t="shared" si="28"/>
        <v>0.83283962199999995</v>
      </c>
      <c r="AN71">
        <f t="shared" si="29"/>
        <v>0.15339675782000003</v>
      </c>
      <c r="AO71">
        <v>34.5</v>
      </c>
      <c r="AP71">
        <v>0.5</v>
      </c>
      <c r="AQ71" t="s">
        <v>331</v>
      </c>
      <c r="AR71">
        <v>2</v>
      </c>
      <c r="AS71">
        <v>1690377306</v>
      </c>
      <c r="AT71">
        <v>657.21100000000001</v>
      </c>
      <c r="AU71">
        <v>800.029</v>
      </c>
      <c r="AV71">
        <v>24.509799999999998</v>
      </c>
      <c r="AW71">
        <v>16.127199999999998</v>
      </c>
      <c r="AX71">
        <v>657.81299999999999</v>
      </c>
      <c r="AY71">
        <v>24.2987</v>
      </c>
      <c r="AZ71">
        <v>300.08699999999999</v>
      </c>
      <c r="BA71">
        <v>98.649699999999996</v>
      </c>
      <c r="BB71">
        <v>0.100019</v>
      </c>
      <c r="BC71">
        <v>27.084099999999999</v>
      </c>
      <c r="BD71">
        <v>26.968800000000002</v>
      </c>
      <c r="BE71">
        <v>29.076000000000001</v>
      </c>
      <c r="BF71">
        <v>0</v>
      </c>
      <c r="BG71">
        <v>0</v>
      </c>
      <c r="BH71">
        <v>9985</v>
      </c>
      <c r="BI71">
        <v>1082.5</v>
      </c>
      <c r="BJ71">
        <v>1.3455900000000001</v>
      </c>
      <c r="BK71">
        <v>-142.81800000000001</v>
      </c>
      <c r="BL71">
        <v>673.72400000000005</v>
      </c>
      <c r="BM71">
        <v>813.14300000000003</v>
      </c>
      <c r="BN71">
        <v>8.3826099999999997</v>
      </c>
      <c r="BO71">
        <v>800.029</v>
      </c>
      <c r="BP71">
        <v>16.127199999999998</v>
      </c>
      <c r="BQ71">
        <v>2.4178899999999999</v>
      </c>
      <c r="BR71">
        <v>1.5909500000000001</v>
      </c>
      <c r="BS71">
        <v>20.484100000000002</v>
      </c>
      <c r="BT71">
        <v>13.8714</v>
      </c>
      <c r="BU71">
        <v>1799.99</v>
      </c>
      <c r="BV71">
        <v>0.91001200000000004</v>
      </c>
      <c r="BW71">
        <v>3.4007500000000003E-2</v>
      </c>
      <c r="BX71">
        <v>2.19916E-2</v>
      </c>
      <c r="BY71">
        <v>3.39888E-2</v>
      </c>
      <c r="BZ71">
        <v>25</v>
      </c>
      <c r="CA71">
        <v>33528.300000000003</v>
      </c>
      <c r="CB71">
        <v>1690376213.5999999</v>
      </c>
      <c r="CC71" t="s">
        <v>332</v>
      </c>
      <c r="CD71">
        <v>1690376213.5999999</v>
      </c>
      <c r="CE71">
        <v>1690376198.0999999</v>
      </c>
      <c r="CF71">
        <v>2</v>
      </c>
      <c r="CG71">
        <v>0.66900000000000004</v>
      </c>
      <c r="CH71">
        <v>-2.1000000000000001E-2</v>
      </c>
      <c r="CI71">
        <v>-0.70099999999999996</v>
      </c>
      <c r="CJ71">
        <v>0.21099999999999999</v>
      </c>
      <c r="CK71">
        <v>799</v>
      </c>
      <c r="CL71">
        <v>21</v>
      </c>
      <c r="CM71">
        <v>0.11</v>
      </c>
      <c r="CN71">
        <v>0.17</v>
      </c>
      <c r="CO71">
        <v>-139.672</v>
      </c>
      <c r="CP71">
        <v>-17.389575984990291</v>
      </c>
      <c r="CQ71">
        <v>1.672984294606497</v>
      </c>
      <c r="CR71">
        <v>-1</v>
      </c>
      <c r="CS71">
        <v>8.2331752499999986</v>
      </c>
      <c r="CT71">
        <v>0.8170987992494938</v>
      </c>
      <c r="CU71">
        <v>7.918982450376745E-2</v>
      </c>
      <c r="CV71">
        <v>-1</v>
      </c>
      <c r="CW71">
        <v>0</v>
      </c>
      <c r="CX71">
        <v>0</v>
      </c>
      <c r="CY71" t="s">
        <v>333</v>
      </c>
      <c r="CZ71">
        <v>2.3647800000000001</v>
      </c>
      <c r="DA71">
        <v>2.7138</v>
      </c>
      <c r="DB71">
        <v>0.12811900000000001</v>
      </c>
      <c r="DC71">
        <v>0.14587600000000001</v>
      </c>
      <c r="DD71">
        <v>0.11519799999999999</v>
      </c>
      <c r="DE71">
        <v>8.4327799999999994E-2</v>
      </c>
      <c r="DF71">
        <v>31847.5</v>
      </c>
      <c r="DG71">
        <v>27521.9</v>
      </c>
      <c r="DH71">
        <v>31181.1</v>
      </c>
      <c r="DI71">
        <v>28075</v>
      </c>
      <c r="DJ71">
        <v>37451.300000000003</v>
      </c>
      <c r="DK71">
        <v>36542.400000000001</v>
      </c>
      <c r="DL71">
        <v>44372.3</v>
      </c>
      <c r="DM71">
        <v>42537.9</v>
      </c>
      <c r="DN71">
        <v>1.4355800000000001</v>
      </c>
      <c r="DO71">
        <v>2.0748000000000002</v>
      </c>
      <c r="DP71">
        <v>9.3221700000000005E-2</v>
      </c>
      <c r="DQ71">
        <v>0.22346199999999999</v>
      </c>
      <c r="DR71">
        <v>25.442299999999999</v>
      </c>
      <c r="DS71">
        <v>25.422999999999998</v>
      </c>
      <c r="DT71">
        <v>61.6</v>
      </c>
      <c r="DU71">
        <v>26.6</v>
      </c>
      <c r="DV71">
        <v>21.829599999999999</v>
      </c>
      <c r="DW71">
        <v>61.7102</v>
      </c>
      <c r="DX71">
        <v>36.887</v>
      </c>
      <c r="DY71">
        <v>1</v>
      </c>
      <c r="DZ71">
        <v>-0.14066300000000001</v>
      </c>
      <c r="EA71">
        <v>-0.39765</v>
      </c>
      <c r="EB71">
        <v>20.190200000000001</v>
      </c>
      <c r="EC71">
        <v>5.24275</v>
      </c>
      <c r="ED71">
        <v>12.039899999999999</v>
      </c>
      <c r="EE71">
        <v>5.0170500000000002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1.8688100000000001</v>
      </c>
      <c r="EL71">
        <v>1.8644799999999999</v>
      </c>
      <c r="EM71">
        <v>1.8691500000000001</v>
      </c>
      <c r="EN71">
        <v>1.86713</v>
      </c>
      <c r="EO71">
        <v>1.8632599999999999</v>
      </c>
      <c r="EP71">
        <v>1.86432</v>
      </c>
      <c r="EQ71">
        <v>1.87012</v>
      </c>
      <c r="ER71">
        <v>1.8693500000000001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-0.60199999999999998</v>
      </c>
      <c r="FG71">
        <v>0.21110000000000001</v>
      </c>
      <c r="FH71">
        <v>-0.150361779349652</v>
      </c>
      <c r="FI71">
        <v>-6.1462078757559423E-4</v>
      </c>
      <c r="FJ71">
        <v>-1.8861989874597051E-7</v>
      </c>
      <c r="FK71">
        <v>1.1980462299894961E-10</v>
      </c>
      <c r="FL71">
        <v>0.21114761904761539</v>
      </c>
      <c r="FM71">
        <v>0</v>
      </c>
      <c r="FN71">
        <v>0</v>
      </c>
      <c r="FO71">
        <v>0</v>
      </c>
      <c r="FP71">
        <v>3</v>
      </c>
      <c r="FQ71">
        <v>2158</v>
      </c>
      <c r="FR71">
        <v>1</v>
      </c>
      <c r="FS71">
        <v>19</v>
      </c>
      <c r="FT71">
        <v>18.2</v>
      </c>
      <c r="FU71">
        <v>18.5</v>
      </c>
      <c r="FV71">
        <v>1.78955</v>
      </c>
      <c r="FW71">
        <v>2.5720200000000002</v>
      </c>
      <c r="FX71">
        <v>1.5490699999999999</v>
      </c>
      <c r="FY71">
        <v>2.33887</v>
      </c>
      <c r="FZ71">
        <v>1.50146</v>
      </c>
      <c r="GA71">
        <v>2.35107</v>
      </c>
      <c r="GB71">
        <v>31.870699999999999</v>
      </c>
      <c r="GC71">
        <v>23.991199999999999</v>
      </c>
      <c r="GD71">
        <v>19</v>
      </c>
      <c r="GE71">
        <v>263.53899999999999</v>
      </c>
      <c r="GF71">
        <v>608.298</v>
      </c>
      <c r="GG71">
        <v>25.365600000000001</v>
      </c>
      <c r="GH71">
        <v>25.6755</v>
      </c>
      <c r="GI71">
        <v>30.0001</v>
      </c>
      <c r="GJ71">
        <v>25.762499999999999</v>
      </c>
      <c r="GK71">
        <v>25.728400000000001</v>
      </c>
      <c r="GL71">
        <v>35.781300000000002</v>
      </c>
      <c r="GM71">
        <v>34.865299999999998</v>
      </c>
      <c r="GN71">
        <v>98.133799999999994</v>
      </c>
      <c r="GO71">
        <v>25.395099999999999</v>
      </c>
      <c r="GP71">
        <v>800</v>
      </c>
      <c r="GQ71">
        <v>15.992800000000001</v>
      </c>
      <c r="GR71">
        <v>99.764499999999998</v>
      </c>
      <c r="GS71">
        <v>99.524000000000001</v>
      </c>
    </row>
    <row r="72" spans="1:201" x14ac:dyDescent="0.25">
      <c r="A72">
        <v>56</v>
      </c>
      <c r="B72">
        <v>1690377316</v>
      </c>
      <c r="C72">
        <v>599.5</v>
      </c>
      <c r="D72" t="s">
        <v>445</v>
      </c>
      <c r="E72" t="s">
        <v>446</v>
      </c>
      <c r="F72" t="s">
        <v>330</v>
      </c>
      <c r="H72">
        <v>1690377316</v>
      </c>
      <c r="I72">
        <f t="shared" si="0"/>
        <v>7.6180607811069908E-4</v>
      </c>
      <c r="J72">
        <f t="shared" si="1"/>
        <v>0.76180607811069911</v>
      </c>
      <c r="K72">
        <f t="shared" si="2"/>
        <v>12.192289763348461</v>
      </c>
      <c r="L72">
        <f t="shared" si="3"/>
        <v>654.11</v>
      </c>
      <c r="M72">
        <f t="shared" si="4"/>
        <v>207.42584795422911</v>
      </c>
      <c r="N72">
        <f t="shared" si="5"/>
        <v>20.483348741444217</v>
      </c>
      <c r="O72">
        <f t="shared" si="6"/>
        <v>64.593508366530003</v>
      </c>
      <c r="P72">
        <f t="shared" si="7"/>
        <v>4.5328942584145569E-2</v>
      </c>
      <c r="Q72">
        <f t="shared" si="8"/>
        <v>2.0074230760899323</v>
      </c>
      <c r="R72">
        <f t="shared" si="9"/>
        <v>4.4767895748827426E-2</v>
      </c>
      <c r="S72">
        <f t="shared" si="10"/>
        <v>2.8029764048594245E-2</v>
      </c>
      <c r="T72">
        <f t="shared" si="11"/>
        <v>276.11524393199994</v>
      </c>
      <c r="U72">
        <f t="shared" si="12"/>
        <v>29.112198699426042</v>
      </c>
      <c r="V72">
        <f t="shared" si="13"/>
        <v>29.112198699426042</v>
      </c>
      <c r="W72">
        <f t="shared" si="14"/>
        <v>4.0479578891862333</v>
      </c>
      <c r="X72">
        <f t="shared" si="15"/>
        <v>67.333501709592468</v>
      </c>
      <c r="Y72">
        <f t="shared" si="16"/>
        <v>2.4225997207697998</v>
      </c>
      <c r="Z72">
        <f t="shared" si="17"/>
        <v>3.5979113803087288</v>
      </c>
      <c r="AA72">
        <f t="shared" si="18"/>
        <v>1.6253581684164335</v>
      </c>
      <c r="AB72">
        <f t="shared" si="19"/>
        <v>-33.59564804468183</v>
      </c>
      <c r="AC72">
        <f t="shared" si="20"/>
        <v>-218.95904627752745</v>
      </c>
      <c r="AD72">
        <f t="shared" si="21"/>
        <v>-23.799890028502801</v>
      </c>
      <c r="AE72">
        <f t="shared" si="22"/>
        <v>-0.23934041871214617</v>
      </c>
      <c r="AF72">
        <v>14</v>
      </c>
      <c r="AG72">
        <v>5</v>
      </c>
      <c r="AH72">
        <f t="shared" si="23"/>
        <v>1</v>
      </c>
      <c r="AI72">
        <f t="shared" si="24"/>
        <v>0</v>
      </c>
      <c r="AJ72">
        <f t="shared" si="25"/>
        <v>52153.966663240019</v>
      </c>
      <c r="AK72">
        <f t="shared" si="26"/>
        <v>1800</v>
      </c>
      <c r="AL72">
        <f t="shared" si="27"/>
        <v>1499.1129432000002</v>
      </c>
      <c r="AM72">
        <f t="shared" si="28"/>
        <v>0.83284052400000008</v>
      </c>
      <c r="AN72">
        <f t="shared" si="29"/>
        <v>0.15339735773999996</v>
      </c>
      <c r="AO72">
        <v>34.5</v>
      </c>
      <c r="AP72">
        <v>0.5</v>
      </c>
      <c r="AQ72" t="s">
        <v>331</v>
      </c>
      <c r="AR72">
        <v>2</v>
      </c>
      <c r="AS72">
        <v>1690377316</v>
      </c>
      <c r="AT72">
        <v>654.11</v>
      </c>
      <c r="AU72">
        <v>799.99300000000005</v>
      </c>
      <c r="AV72">
        <v>24.532599999999999</v>
      </c>
      <c r="AW72">
        <v>15.9902</v>
      </c>
      <c r="AX72">
        <v>654.71</v>
      </c>
      <c r="AY72">
        <v>24.3215</v>
      </c>
      <c r="AZ72">
        <v>300.12099999999998</v>
      </c>
      <c r="BA72">
        <v>98.650199999999998</v>
      </c>
      <c r="BB72">
        <v>0.100023</v>
      </c>
      <c r="BC72">
        <v>27.088999999999999</v>
      </c>
      <c r="BD72">
        <v>26.9678</v>
      </c>
      <c r="BE72">
        <v>29.082599999999999</v>
      </c>
      <c r="BF72">
        <v>0</v>
      </c>
      <c r="BG72">
        <v>0</v>
      </c>
      <c r="BH72">
        <v>10001.200000000001</v>
      </c>
      <c r="BI72">
        <v>1082.42</v>
      </c>
      <c r="BJ72">
        <v>1.3441799999999999</v>
      </c>
      <c r="BK72">
        <v>-145.88300000000001</v>
      </c>
      <c r="BL72">
        <v>670.56100000000004</v>
      </c>
      <c r="BM72">
        <v>812.99300000000005</v>
      </c>
      <c r="BN72">
        <v>8.5424299999999995</v>
      </c>
      <c r="BO72">
        <v>799.99300000000005</v>
      </c>
      <c r="BP72">
        <v>15.9902</v>
      </c>
      <c r="BQ72">
        <v>2.42015</v>
      </c>
      <c r="BR72">
        <v>1.57744</v>
      </c>
      <c r="BS72">
        <v>20.499199999999998</v>
      </c>
      <c r="BT72">
        <v>13.7402</v>
      </c>
      <c r="BU72">
        <v>1800</v>
      </c>
      <c r="BV72">
        <v>0.91000899999999996</v>
      </c>
      <c r="BW72">
        <v>3.4004699999999999E-2</v>
      </c>
      <c r="BX72">
        <v>2.2000200000000001E-2</v>
      </c>
      <c r="BY72">
        <v>3.3986000000000002E-2</v>
      </c>
      <c r="BZ72">
        <v>25</v>
      </c>
      <c r="CA72">
        <v>33528.300000000003</v>
      </c>
      <c r="CB72">
        <v>1690376213.5999999</v>
      </c>
      <c r="CC72" t="s">
        <v>332</v>
      </c>
      <c r="CD72">
        <v>1690376213.5999999</v>
      </c>
      <c r="CE72">
        <v>1690376198.0999999</v>
      </c>
      <c r="CF72">
        <v>2</v>
      </c>
      <c r="CG72">
        <v>0.66900000000000004</v>
      </c>
      <c r="CH72">
        <v>-2.1000000000000001E-2</v>
      </c>
      <c r="CI72">
        <v>-0.70099999999999996</v>
      </c>
      <c r="CJ72">
        <v>0.21099999999999999</v>
      </c>
      <c r="CK72">
        <v>799</v>
      </c>
      <c r="CL72">
        <v>21</v>
      </c>
      <c r="CM72">
        <v>0.11</v>
      </c>
      <c r="CN72">
        <v>0.17</v>
      </c>
      <c r="CO72">
        <v>-142.72087804878049</v>
      </c>
      <c r="CP72">
        <v>-18.201386759581951</v>
      </c>
      <c r="CQ72">
        <v>1.79523087984726</v>
      </c>
      <c r="CR72">
        <v>-1</v>
      </c>
      <c r="CS72">
        <v>8.3769797560975618</v>
      </c>
      <c r="CT72">
        <v>0.91860041811845861</v>
      </c>
      <c r="CU72">
        <v>9.0854957379486512E-2</v>
      </c>
      <c r="CV72">
        <v>-1</v>
      </c>
      <c r="CW72">
        <v>0</v>
      </c>
      <c r="CX72">
        <v>0</v>
      </c>
      <c r="CY72" t="s">
        <v>333</v>
      </c>
      <c r="CZ72">
        <v>2.3648899999999999</v>
      </c>
      <c r="DA72">
        <v>2.7138100000000001</v>
      </c>
      <c r="DB72">
        <v>0.12770100000000001</v>
      </c>
      <c r="DC72">
        <v>0.14587</v>
      </c>
      <c r="DD72">
        <v>0.115274</v>
      </c>
      <c r="DE72">
        <v>8.3806800000000001E-2</v>
      </c>
      <c r="DF72">
        <v>31862.9</v>
      </c>
      <c r="DG72">
        <v>27521.9</v>
      </c>
      <c r="DH72">
        <v>31181.200000000001</v>
      </c>
      <c r="DI72">
        <v>28074.799999999999</v>
      </c>
      <c r="DJ72">
        <v>37448.199999999997</v>
      </c>
      <c r="DK72">
        <v>36563.1</v>
      </c>
      <c r="DL72">
        <v>44372.6</v>
      </c>
      <c r="DM72">
        <v>42537.8</v>
      </c>
      <c r="DN72">
        <v>1.4356</v>
      </c>
      <c r="DO72">
        <v>2.0745200000000001</v>
      </c>
      <c r="DP72">
        <v>9.3128500000000003E-2</v>
      </c>
      <c r="DQ72">
        <v>0.223991</v>
      </c>
      <c r="DR72">
        <v>25.442799999999998</v>
      </c>
      <c r="DS72">
        <v>25.4209</v>
      </c>
      <c r="DT72">
        <v>61.6</v>
      </c>
      <c r="DU72">
        <v>26.6</v>
      </c>
      <c r="DV72">
        <v>21.8306</v>
      </c>
      <c r="DW72">
        <v>61.550199999999997</v>
      </c>
      <c r="DX72">
        <v>36.979199999999999</v>
      </c>
      <c r="DY72">
        <v>1</v>
      </c>
      <c r="DZ72">
        <v>-0.14074200000000001</v>
      </c>
      <c r="EA72">
        <v>-0.42824600000000002</v>
      </c>
      <c r="EB72">
        <v>20.190000000000001</v>
      </c>
      <c r="EC72">
        <v>5.2436499999999997</v>
      </c>
      <c r="ED72">
        <v>12.039899999999999</v>
      </c>
      <c r="EE72">
        <v>5.0171999999999999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1.86883</v>
      </c>
      <c r="EL72">
        <v>1.86449</v>
      </c>
      <c r="EM72">
        <v>1.86913</v>
      </c>
      <c r="EN72">
        <v>1.8671199999999999</v>
      </c>
      <c r="EO72">
        <v>1.86327</v>
      </c>
      <c r="EP72">
        <v>1.86432</v>
      </c>
      <c r="EQ72">
        <v>1.87012</v>
      </c>
      <c r="ER72">
        <v>1.8693500000000001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-0.6</v>
      </c>
      <c r="FG72">
        <v>0.21110000000000001</v>
      </c>
      <c r="FH72">
        <v>-0.150361779349652</v>
      </c>
      <c r="FI72">
        <v>-6.1462078757559423E-4</v>
      </c>
      <c r="FJ72">
        <v>-1.8861989874597051E-7</v>
      </c>
      <c r="FK72">
        <v>1.1980462299894961E-10</v>
      </c>
      <c r="FL72">
        <v>0.21114761904761539</v>
      </c>
      <c r="FM72">
        <v>0</v>
      </c>
      <c r="FN72">
        <v>0</v>
      </c>
      <c r="FO72">
        <v>0</v>
      </c>
      <c r="FP72">
        <v>3</v>
      </c>
      <c r="FQ72">
        <v>2158</v>
      </c>
      <c r="FR72">
        <v>1</v>
      </c>
      <c r="FS72">
        <v>19</v>
      </c>
      <c r="FT72">
        <v>18.399999999999999</v>
      </c>
      <c r="FU72">
        <v>18.600000000000001</v>
      </c>
      <c r="FV72">
        <v>1.78955</v>
      </c>
      <c r="FW72">
        <v>2.5708000000000002</v>
      </c>
      <c r="FX72">
        <v>1.5490699999999999</v>
      </c>
      <c r="FY72">
        <v>2.33887</v>
      </c>
      <c r="FZ72">
        <v>1.50146</v>
      </c>
      <c r="GA72">
        <v>2.34985</v>
      </c>
      <c r="GB72">
        <v>31.870699999999999</v>
      </c>
      <c r="GC72">
        <v>23.991199999999999</v>
      </c>
      <c r="GD72">
        <v>19</v>
      </c>
      <c r="GE72">
        <v>263.55</v>
      </c>
      <c r="GF72">
        <v>608.06399999999996</v>
      </c>
      <c r="GG72">
        <v>25.409400000000002</v>
      </c>
      <c r="GH72">
        <v>25.6755</v>
      </c>
      <c r="GI72">
        <v>30</v>
      </c>
      <c r="GJ72">
        <v>25.762499999999999</v>
      </c>
      <c r="GK72">
        <v>25.728400000000001</v>
      </c>
      <c r="GL72">
        <v>35.778799999999997</v>
      </c>
      <c r="GM72">
        <v>35.7652</v>
      </c>
      <c r="GN72">
        <v>97.755799999999994</v>
      </c>
      <c r="GO72">
        <v>25.4269</v>
      </c>
      <c r="GP72">
        <v>800</v>
      </c>
      <c r="GQ72">
        <v>15.839</v>
      </c>
      <c r="GR72">
        <v>99.765000000000001</v>
      </c>
      <c r="GS72">
        <v>99.523600000000002</v>
      </c>
    </row>
    <row r="73" spans="1:201" x14ac:dyDescent="0.25">
      <c r="A73">
        <v>57</v>
      </c>
      <c r="B73">
        <v>1690377326</v>
      </c>
      <c r="C73">
        <v>609.5</v>
      </c>
      <c r="D73" t="s">
        <v>447</v>
      </c>
      <c r="E73" t="s">
        <v>448</v>
      </c>
      <c r="F73" t="s">
        <v>330</v>
      </c>
      <c r="H73">
        <v>1690377326</v>
      </c>
      <c r="I73">
        <f t="shared" si="0"/>
        <v>7.7702870248622026E-4</v>
      </c>
      <c r="J73">
        <f t="shared" si="1"/>
        <v>0.77702870248622025</v>
      </c>
      <c r="K73">
        <f t="shared" si="2"/>
        <v>12.449855172804766</v>
      </c>
      <c r="L73">
        <f t="shared" si="3"/>
        <v>651.02599999999995</v>
      </c>
      <c r="M73">
        <f t="shared" si="4"/>
        <v>204.77948723935901</v>
      </c>
      <c r="N73">
        <f t="shared" si="5"/>
        <v>20.222231158363702</v>
      </c>
      <c r="O73">
        <f t="shared" si="6"/>
        <v>64.289633886603994</v>
      </c>
      <c r="P73">
        <f t="shared" si="7"/>
        <v>4.6333017248152107E-2</v>
      </c>
      <c r="Q73">
        <f t="shared" si="8"/>
        <v>2.0088779127930616</v>
      </c>
      <c r="R73">
        <f t="shared" si="9"/>
        <v>4.5747431684886403E-2</v>
      </c>
      <c r="S73">
        <f t="shared" si="10"/>
        <v>2.8644140673265261E-2</v>
      </c>
      <c r="T73">
        <f t="shared" si="11"/>
        <v>276.11668603800001</v>
      </c>
      <c r="U73">
        <f t="shared" si="12"/>
        <v>29.107386907290923</v>
      </c>
      <c r="V73">
        <f t="shared" si="13"/>
        <v>29.107386907290923</v>
      </c>
      <c r="W73">
        <f t="shared" si="14"/>
        <v>4.0468318619215067</v>
      </c>
      <c r="X73">
        <f t="shared" si="15"/>
        <v>67.377499591263188</v>
      </c>
      <c r="Y73">
        <f t="shared" si="16"/>
        <v>2.4244815374556001</v>
      </c>
      <c r="Z73">
        <f t="shared" si="17"/>
        <v>3.5983548694495955</v>
      </c>
      <c r="AA73">
        <f t="shared" si="18"/>
        <v>1.6223503244659065</v>
      </c>
      <c r="AB73">
        <f t="shared" si="19"/>
        <v>-34.266965779642312</v>
      </c>
      <c r="AC73">
        <f t="shared" si="20"/>
        <v>-218.36916689858643</v>
      </c>
      <c r="AD73">
        <f t="shared" si="21"/>
        <v>-23.718260942598555</v>
      </c>
      <c r="AE73">
        <f t="shared" si="22"/>
        <v>-0.23770758282728366</v>
      </c>
      <c r="AF73">
        <v>14</v>
      </c>
      <c r="AG73">
        <v>5</v>
      </c>
      <c r="AH73">
        <f t="shared" si="23"/>
        <v>1</v>
      </c>
      <c r="AI73">
        <f t="shared" si="24"/>
        <v>0</v>
      </c>
      <c r="AJ73">
        <f t="shared" si="25"/>
        <v>52223.1900245742</v>
      </c>
      <c r="AK73">
        <f t="shared" si="26"/>
        <v>1800</v>
      </c>
      <c r="AL73">
        <f t="shared" si="27"/>
        <v>1499.1104717999999</v>
      </c>
      <c r="AM73">
        <f t="shared" si="28"/>
        <v>0.83283915099999994</v>
      </c>
      <c r="AN73">
        <f t="shared" si="29"/>
        <v>0.15339815891</v>
      </c>
      <c r="AO73">
        <v>34.5</v>
      </c>
      <c r="AP73">
        <v>0.5</v>
      </c>
      <c r="AQ73" t="s">
        <v>331</v>
      </c>
      <c r="AR73">
        <v>2</v>
      </c>
      <c r="AS73">
        <v>1690377326</v>
      </c>
      <c r="AT73">
        <v>651.02599999999995</v>
      </c>
      <c r="AU73">
        <v>799.98699999999997</v>
      </c>
      <c r="AV73">
        <v>24.551400000000001</v>
      </c>
      <c r="AW73">
        <v>15.8367</v>
      </c>
      <c r="AX73">
        <v>651.62300000000005</v>
      </c>
      <c r="AY73">
        <v>24.340199999999999</v>
      </c>
      <c r="AZ73">
        <v>300.06</v>
      </c>
      <c r="BA73">
        <v>98.651300000000006</v>
      </c>
      <c r="BB73">
        <v>9.9954000000000001E-2</v>
      </c>
      <c r="BC73">
        <v>27.091100000000001</v>
      </c>
      <c r="BD73">
        <v>26.976900000000001</v>
      </c>
      <c r="BE73">
        <v>29.0852</v>
      </c>
      <c r="BF73">
        <v>0</v>
      </c>
      <c r="BG73">
        <v>0</v>
      </c>
      <c r="BH73">
        <v>10015</v>
      </c>
      <c r="BI73">
        <v>1082.57</v>
      </c>
      <c r="BJ73">
        <v>1.28952</v>
      </c>
      <c r="BK73">
        <v>-148.96100000000001</v>
      </c>
      <c r="BL73">
        <v>667.41099999999994</v>
      </c>
      <c r="BM73">
        <v>812.86</v>
      </c>
      <c r="BN73">
        <v>8.7146600000000003</v>
      </c>
      <c r="BO73">
        <v>799.98699999999997</v>
      </c>
      <c r="BP73">
        <v>15.8367</v>
      </c>
      <c r="BQ73">
        <v>2.4220199999999998</v>
      </c>
      <c r="BR73">
        <v>1.5623100000000001</v>
      </c>
      <c r="BS73">
        <v>20.511800000000001</v>
      </c>
      <c r="BT73">
        <v>13.592000000000001</v>
      </c>
      <c r="BU73">
        <v>1800</v>
      </c>
      <c r="BV73">
        <v>0.90997899999999998</v>
      </c>
      <c r="BW73">
        <v>3.4001799999999999E-2</v>
      </c>
      <c r="BX73">
        <v>2.2008799999999999E-2</v>
      </c>
      <c r="BY73">
        <v>3.4010499999999999E-2</v>
      </c>
      <c r="BZ73">
        <v>25</v>
      </c>
      <c r="CA73">
        <v>33528.1</v>
      </c>
      <c r="CB73">
        <v>1690376213.5999999</v>
      </c>
      <c r="CC73" t="s">
        <v>332</v>
      </c>
      <c r="CD73">
        <v>1690376213.5999999</v>
      </c>
      <c r="CE73">
        <v>1690376198.0999999</v>
      </c>
      <c r="CF73">
        <v>2</v>
      </c>
      <c r="CG73">
        <v>0.66900000000000004</v>
      </c>
      <c r="CH73">
        <v>-2.1000000000000001E-2</v>
      </c>
      <c r="CI73">
        <v>-0.70099999999999996</v>
      </c>
      <c r="CJ73">
        <v>0.21099999999999999</v>
      </c>
      <c r="CK73">
        <v>799</v>
      </c>
      <c r="CL73">
        <v>21</v>
      </c>
      <c r="CM73">
        <v>0.11</v>
      </c>
      <c r="CN73">
        <v>0.17</v>
      </c>
      <c r="CO73">
        <v>-145.45392682926831</v>
      </c>
      <c r="CP73">
        <v>-18.331505226480971</v>
      </c>
      <c r="CQ73">
        <v>1.8078152748045839</v>
      </c>
      <c r="CR73">
        <v>-1</v>
      </c>
      <c r="CS73">
        <v>8.5221397560975625</v>
      </c>
      <c r="CT73">
        <v>1.041152195121956</v>
      </c>
      <c r="CU73">
        <v>0.10290500922856349</v>
      </c>
      <c r="CV73">
        <v>-1</v>
      </c>
      <c r="CW73">
        <v>0</v>
      </c>
      <c r="CX73">
        <v>0</v>
      </c>
      <c r="CY73" t="s">
        <v>333</v>
      </c>
      <c r="CZ73">
        <v>2.3647100000000001</v>
      </c>
      <c r="DA73">
        <v>2.7137600000000002</v>
      </c>
      <c r="DB73">
        <v>0.12728400000000001</v>
      </c>
      <c r="DC73">
        <v>0.145867</v>
      </c>
      <c r="DD73">
        <v>0.115337</v>
      </c>
      <c r="DE73">
        <v>8.32209E-2</v>
      </c>
      <c r="DF73">
        <v>31878.7</v>
      </c>
      <c r="DG73">
        <v>27522.3</v>
      </c>
      <c r="DH73">
        <v>31181.8</v>
      </c>
      <c r="DI73">
        <v>28075.1</v>
      </c>
      <c r="DJ73">
        <v>37446.400000000001</v>
      </c>
      <c r="DK73">
        <v>36587</v>
      </c>
      <c r="DL73">
        <v>44373.7</v>
      </c>
      <c r="DM73">
        <v>42538.3</v>
      </c>
      <c r="DN73">
        <v>1.43502</v>
      </c>
      <c r="DO73">
        <v>2.0741700000000001</v>
      </c>
      <c r="DP73">
        <v>9.3713400000000002E-2</v>
      </c>
      <c r="DQ73">
        <v>0.22415099999999999</v>
      </c>
      <c r="DR73">
        <v>25.442299999999999</v>
      </c>
      <c r="DS73">
        <v>25.4209</v>
      </c>
      <c r="DT73">
        <v>61.6</v>
      </c>
      <c r="DU73">
        <v>26.7</v>
      </c>
      <c r="DV73">
        <v>21.9589</v>
      </c>
      <c r="DW73">
        <v>61.660200000000003</v>
      </c>
      <c r="DX73">
        <v>37.131399999999999</v>
      </c>
      <c r="DY73">
        <v>1</v>
      </c>
      <c r="DZ73">
        <v>-0.139929</v>
      </c>
      <c r="EA73">
        <v>-0.46230700000000002</v>
      </c>
      <c r="EB73">
        <v>20.189800000000002</v>
      </c>
      <c r="EC73">
        <v>5.2438000000000002</v>
      </c>
      <c r="ED73">
        <v>12.039899999999999</v>
      </c>
      <c r="EE73">
        <v>5.01715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1.8688499999999999</v>
      </c>
      <c r="EL73">
        <v>1.86449</v>
      </c>
      <c r="EM73">
        <v>1.8691199999999999</v>
      </c>
      <c r="EN73">
        <v>1.8671199999999999</v>
      </c>
      <c r="EO73">
        <v>1.8632599999999999</v>
      </c>
      <c r="EP73">
        <v>1.86432</v>
      </c>
      <c r="EQ73">
        <v>1.87012</v>
      </c>
      <c r="ER73">
        <v>1.86934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-0.59699999999999998</v>
      </c>
      <c r="FG73">
        <v>0.2112</v>
      </c>
      <c r="FH73">
        <v>-0.150361779349652</v>
      </c>
      <c r="FI73">
        <v>-6.1462078757559423E-4</v>
      </c>
      <c r="FJ73">
        <v>-1.8861989874597051E-7</v>
      </c>
      <c r="FK73">
        <v>1.1980462299894961E-10</v>
      </c>
      <c r="FL73">
        <v>0.21114761904761539</v>
      </c>
      <c r="FM73">
        <v>0</v>
      </c>
      <c r="FN73">
        <v>0</v>
      </c>
      <c r="FO73">
        <v>0</v>
      </c>
      <c r="FP73">
        <v>3</v>
      </c>
      <c r="FQ73">
        <v>2158</v>
      </c>
      <c r="FR73">
        <v>1</v>
      </c>
      <c r="FS73">
        <v>19</v>
      </c>
      <c r="FT73">
        <v>18.5</v>
      </c>
      <c r="FU73">
        <v>18.8</v>
      </c>
      <c r="FV73">
        <v>1.78955</v>
      </c>
      <c r="FW73">
        <v>2.5732400000000002</v>
      </c>
      <c r="FX73">
        <v>1.5490699999999999</v>
      </c>
      <c r="FY73">
        <v>2.33887</v>
      </c>
      <c r="FZ73">
        <v>1.50146</v>
      </c>
      <c r="GA73">
        <v>2.3022499999999999</v>
      </c>
      <c r="GB73">
        <v>31.892700000000001</v>
      </c>
      <c r="GC73">
        <v>23.982399999999998</v>
      </c>
      <c r="GD73">
        <v>19</v>
      </c>
      <c r="GE73">
        <v>263.327</v>
      </c>
      <c r="GF73">
        <v>607.79200000000003</v>
      </c>
      <c r="GG73">
        <v>25.4466</v>
      </c>
      <c r="GH73">
        <v>25.674199999999999</v>
      </c>
      <c r="GI73">
        <v>30.0001</v>
      </c>
      <c r="GJ73">
        <v>25.764700000000001</v>
      </c>
      <c r="GK73">
        <v>25.730499999999999</v>
      </c>
      <c r="GL73">
        <v>35.778100000000002</v>
      </c>
      <c r="GM73">
        <v>36.339500000000001</v>
      </c>
      <c r="GN73">
        <v>97.755799999999994</v>
      </c>
      <c r="GO73">
        <v>25.47</v>
      </c>
      <c r="GP73">
        <v>800</v>
      </c>
      <c r="GQ73">
        <v>15.686999999999999</v>
      </c>
      <c r="GR73">
        <v>99.767200000000003</v>
      </c>
      <c r="GS73">
        <v>99.524699999999996</v>
      </c>
    </row>
    <row r="74" spans="1:201" x14ac:dyDescent="0.25">
      <c r="A74">
        <v>58</v>
      </c>
      <c r="B74">
        <v>1690377336</v>
      </c>
      <c r="C74">
        <v>619.5</v>
      </c>
      <c r="D74" t="s">
        <v>449</v>
      </c>
      <c r="E74" t="s">
        <v>450</v>
      </c>
      <c r="F74" t="s">
        <v>330</v>
      </c>
      <c r="H74">
        <v>1690377336</v>
      </c>
      <c r="I74">
        <f t="shared" si="0"/>
        <v>7.927447492649492E-4</v>
      </c>
      <c r="J74">
        <f t="shared" si="1"/>
        <v>0.7927447492649492</v>
      </c>
      <c r="K74">
        <f t="shared" si="2"/>
        <v>12.716119284215361</v>
      </c>
      <c r="L74">
        <f t="shared" si="3"/>
        <v>647.90200000000004</v>
      </c>
      <c r="M74">
        <f t="shared" si="4"/>
        <v>201.6829469497296</v>
      </c>
      <c r="N74">
        <f t="shared" si="5"/>
        <v>19.916123165142444</v>
      </c>
      <c r="O74">
        <f t="shared" si="6"/>
        <v>63.980104545767205</v>
      </c>
      <c r="P74">
        <f t="shared" si="7"/>
        <v>4.7328157947992916E-2</v>
      </c>
      <c r="Q74">
        <f t="shared" si="8"/>
        <v>2.0064430284427397</v>
      </c>
      <c r="R74">
        <f t="shared" si="9"/>
        <v>4.6716595733264497E-2</v>
      </c>
      <c r="S74">
        <f t="shared" si="10"/>
        <v>2.9252160341121318E-2</v>
      </c>
      <c r="T74">
        <f t="shared" si="11"/>
        <v>276.11642541600003</v>
      </c>
      <c r="U74">
        <f t="shared" si="12"/>
        <v>29.108699684845806</v>
      </c>
      <c r="V74">
        <f t="shared" si="13"/>
        <v>29.108699684845806</v>
      </c>
      <c r="W74">
        <f t="shared" si="14"/>
        <v>4.0471390433007128</v>
      </c>
      <c r="X74">
        <f t="shared" si="15"/>
        <v>67.410264703887336</v>
      </c>
      <c r="Y74">
        <f t="shared" si="16"/>
        <v>2.4263582343828798</v>
      </c>
      <c r="Z74">
        <f t="shared" si="17"/>
        <v>3.5993898630143777</v>
      </c>
      <c r="AA74">
        <f t="shared" si="18"/>
        <v>1.620780808917833</v>
      </c>
      <c r="AB74">
        <f t="shared" si="19"/>
        <v>-34.960043442584258</v>
      </c>
      <c r="AC74">
        <f t="shared" si="20"/>
        <v>-217.71645523633077</v>
      </c>
      <c r="AD74">
        <f t="shared" si="21"/>
        <v>-23.676795082669855</v>
      </c>
      <c r="AE74">
        <f t="shared" si="22"/>
        <v>-0.2368683455848668</v>
      </c>
      <c r="AF74">
        <v>14</v>
      </c>
      <c r="AG74">
        <v>5</v>
      </c>
      <c r="AH74">
        <f t="shared" si="23"/>
        <v>1</v>
      </c>
      <c r="AI74">
        <f t="shared" si="24"/>
        <v>0</v>
      </c>
      <c r="AJ74">
        <f t="shared" si="25"/>
        <v>52105.919817693146</v>
      </c>
      <c r="AK74">
        <f t="shared" si="26"/>
        <v>1800</v>
      </c>
      <c r="AL74">
        <f t="shared" si="27"/>
        <v>1499.1108245999999</v>
      </c>
      <c r="AM74">
        <f t="shared" si="28"/>
        <v>0.83283934699999995</v>
      </c>
      <c r="AN74">
        <f t="shared" si="29"/>
        <v>0.15339801412000001</v>
      </c>
      <c r="AO74">
        <v>34.5</v>
      </c>
      <c r="AP74">
        <v>0.5</v>
      </c>
      <c r="AQ74" t="s">
        <v>331</v>
      </c>
      <c r="AR74">
        <v>2</v>
      </c>
      <c r="AS74">
        <v>1690377336</v>
      </c>
      <c r="AT74">
        <v>647.90200000000004</v>
      </c>
      <c r="AU74">
        <v>800.00699999999995</v>
      </c>
      <c r="AV74">
        <v>24.570799999999998</v>
      </c>
      <c r="AW74">
        <v>15.680400000000001</v>
      </c>
      <c r="AX74">
        <v>648.49699999999996</v>
      </c>
      <c r="AY74">
        <v>24.3596</v>
      </c>
      <c r="AZ74">
        <v>300.07299999999998</v>
      </c>
      <c r="BA74">
        <v>98.649799999999999</v>
      </c>
      <c r="BB74">
        <v>9.9863599999999997E-2</v>
      </c>
      <c r="BC74">
        <v>27.096</v>
      </c>
      <c r="BD74">
        <v>26.9986</v>
      </c>
      <c r="BE74">
        <v>29.081399999999999</v>
      </c>
      <c r="BF74">
        <v>0</v>
      </c>
      <c r="BG74">
        <v>0</v>
      </c>
      <c r="BH74">
        <v>9991.8799999999992</v>
      </c>
      <c r="BI74">
        <v>1082.57</v>
      </c>
      <c r="BJ74">
        <v>1.3455900000000001</v>
      </c>
      <c r="BK74">
        <v>-152.10599999999999</v>
      </c>
      <c r="BL74">
        <v>664.22199999999998</v>
      </c>
      <c r="BM74">
        <v>812.75199999999995</v>
      </c>
      <c r="BN74">
        <v>8.8903400000000001</v>
      </c>
      <c r="BO74">
        <v>800.00699999999995</v>
      </c>
      <c r="BP74">
        <v>15.680400000000001</v>
      </c>
      <c r="BQ74">
        <v>2.4239000000000002</v>
      </c>
      <c r="BR74">
        <v>1.54687</v>
      </c>
      <c r="BS74">
        <v>20.5243</v>
      </c>
      <c r="BT74">
        <v>13.439500000000001</v>
      </c>
      <c r="BU74">
        <v>1800</v>
      </c>
      <c r="BV74">
        <v>0.90998199999999996</v>
      </c>
      <c r="BW74">
        <v>3.39992E-2</v>
      </c>
      <c r="BX74">
        <v>2.2007100000000002E-2</v>
      </c>
      <c r="BY74">
        <v>3.4011800000000002E-2</v>
      </c>
      <c r="BZ74">
        <v>25</v>
      </c>
      <c r="CA74">
        <v>33528.199999999997</v>
      </c>
      <c r="CB74">
        <v>1690376213.5999999</v>
      </c>
      <c r="CC74" t="s">
        <v>332</v>
      </c>
      <c r="CD74">
        <v>1690376213.5999999</v>
      </c>
      <c r="CE74">
        <v>1690376198.0999999</v>
      </c>
      <c r="CF74">
        <v>2</v>
      </c>
      <c r="CG74">
        <v>0.66900000000000004</v>
      </c>
      <c r="CH74">
        <v>-2.1000000000000001E-2</v>
      </c>
      <c r="CI74">
        <v>-0.70099999999999996</v>
      </c>
      <c r="CJ74">
        <v>0.21099999999999999</v>
      </c>
      <c r="CK74">
        <v>799</v>
      </c>
      <c r="CL74">
        <v>21</v>
      </c>
      <c r="CM74">
        <v>0.11</v>
      </c>
      <c r="CN74">
        <v>0.17</v>
      </c>
      <c r="CO74">
        <v>-148.84797560975611</v>
      </c>
      <c r="CP74">
        <v>-18.82208362369327</v>
      </c>
      <c r="CQ74">
        <v>1.856059180719178</v>
      </c>
      <c r="CR74">
        <v>-1</v>
      </c>
      <c r="CS74">
        <v>8.7108507317073176</v>
      </c>
      <c r="CT74">
        <v>1.0457834843205731</v>
      </c>
      <c r="CU74">
        <v>0.10332602485172709</v>
      </c>
      <c r="CV74">
        <v>-1</v>
      </c>
      <c r="CW74">
        <v>0</v>
      </c>
      <c r="CX74">
        <v>0</v>
      </c>
      <c r="CY74" t="s">
        <v>333</v>
      </c>
      <c r="CZ74">
        <v>2.3647499999999999</v>
      </c>
      <c r="DA74">
        <v>2.7136499999999999</v>
      </c>
      <c r="DB74">
        <v>0.126859</v>
      </c>
      <c r="DC74">
        <v>0.14586399999999999</v>
      </c>
      <c r="DD74">
        <v>0.115399</v>
      </c>
      <c r="DE74">
        <v>8.2620399999999997E-2</v>
      </c>
      <c r="DF74">
        <v>31895</v>
      </c>
      <c r="DG74">
        <v>27523.3</v>
      </c>
      <c r="DH74">
        <v>31182.6</v>
      </c>
      <c r="DI74">
        <v>28076</v>
      </c>
      <c r="DJ74">
        <v>37444.199999999997</v>
      </c>
      <c r="DK74">
        <v>36612.199999999997</v>
      </c>
      <c r="DL74">
        <v>44374.3</v>
      </c>
      <c r="DM74">
        <v>42539.6</v>
      </c>
      <c r="DN74">
        <v>1.43537</v>
      </c>
      <c r="DO74">
        <v>2.0741999999999998</v>
      </c>
      <c r="DP74">
        <v>9.4938999999999996E-2</v>
      </c>
      <c r="DQ74">
        <v>0.22378600000000001</v>
      </c>
      <c r="DR74">
        <v>25.443999999999999</v>
      </c>
      <c r="DS74">
        <v>25.422999999999998</v>
      </c>
      <c r="DT74">
        <v>61.6</v>
      </c>
      <c r="DU74">
        <v>26.7</v>
      </c>
      <c r="DV74">
        <v>21.959</v>
      </c>
      <c r="DW74">
        <v>61.410200000000003</v>
      </c>
      <c r="DX74">
        <v>37.011200000000002</v>
      </c>
      <c r="DY74">
        <v>1</v>
      </c>
      <c r="DZ74">
        <v>-0.140295</v>
      </c>
      <c r="EA74">
        <v>-0.47556100000000001</v>
      </c>
      <c r="EB74">
        <v>20.189699999999998</v>
      </c>
      <c r="EC74">
        <v>5.2426000000000004</v>
      </c>
      <c r="ED74">
        <v>12.039899999999999</v>
      </c>
      <c r="EE74">
        <v>5.0166000000000004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1.86883</v>
      </c>
      <c r="EL74">
        <v>1.8644700000000001</v>
      </c>
      <c r="EM74">
        <v>1.86911</v>
      </c>
      <c r="EN74">
        <v>1.8671500000000001</v>
      </c>
      <c r="EO74">
        <v>1.8632500000000001</v>
      </c>
      <c r="EP74">
        <v>1.86432</v>
      </c>
      <c r="EQ74">
        <v>1.8701099999999999</v>
      </c>
      <c r="ER74">
        <v>1.86934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-0.59499999999999997</v>
      </c>
      <c r="FG74">
        <v>0.2112</v>
      </c>
      <c r="FH74">
        <v>-0.150361779349652</v>
      </c>
      <c r="FI74">
        <v>-6.1462078757559423E-4</v>
      </c>
      <c r="FJ74">
        <v>-1.8861989874597051E-7</v>
      </c>
      <c r="FK74">
        <v>1.1980462299894961E-10</v>
      </c>
      <c r="FL74">
        <v>0.21114761904761539</v>
      </c>
      <c r="FM74">
        <v>0</v>
      </c>
      <c r="FN74">
        <v>0</v>
      </c>
      <c r="FO74">
        <v>0</v>
      </c>
      <c r="FP74">
        <v>3</v>
      </c>
      <c r="FQ74">
        <v>2158</v>
      </c>
      <c r="FR74">
        <v>1</v>
      </c>
      <c r="FS74">
        <v>19</v>
      </c>
      <c r="FT74">
        <v>18.7</v>
      </c>
      <c r="FU74">
        <v>19</v>
      </c>
      <c r="FV74">
        <v>1.78955</v>
      </c>
      <c r="FW74">
        <v>2.5634800000000002</v>
      </c>
      <c r="FX74">
        <v>1.5490699999999999</v>
      </c>
      <c r="FY74">
        <v>2.33887</v>
      </c>
      <c r="FZ74">
        <v>1.50146</v>
      </c>
      <c r="GA74">
        <v>2.33765</v>
      </c>
      <c r="GB74">
        <v>31.892700000000001</v>
      </c>
      <c r="GC74">
        <v>23.982399999999998</v>
      </c>
      <c r="GD74">
        <v>19</v>
      </c>
      <c r="GE74">
        <v>263.46899999999999</v>
      </c>
      <c r="GF74">
        <v>607.81299999999999</v>
      </c>
      <c r="GG74">
        <v>25.487300000000001</v>
      </c>
      <c r="GH74">
        <v>25.673300000000001</v>
      </c>
      <c r="GI74">
        <v>29.9999</v>
      </c>
      <c r="GJ74">
        <v>25.764700000000001</v>
      </c>
      <c r="GK74">
        <v>25.730499999999999</v>
      </c>
      <c r="GL74">
        <v>35.774999999999999</v>
      </c>
      <c r="GM74">
        <v>36.904299999999999</v>
      </c>
      <c r="GN74">
        <v>97.372500000000002</v>
      </c>
      <c r="GO74">
        <v>25.489899999999999</v>
      </c>
      <c r="GP74">
        <v>800</v>
      </c>
      <c r="GQ74">
        <v>15.5303</v>
      </c>
      <c r="GR74">
        <v>99.769099999999995</v>
      </c>
      <c r="GS74">
        <v>99.527900000000002</v>
      </c>
    </row>
    <row r="75" spans="1:201" x14ac:dyDescent="0.25">
      <c r="A75">
        <v>59</v>
      </c>
      <c r="B75">
        <v>1690377346</v>
      </c>
      <c r="C75">
        <v>629.5</v>
      </c>
      <c r="D75" t="s">
        <v>451</v>
      </c>
      <c r="E75" t="s">
        <v>452</v>
      </c>
      <c r="F75" t="s">
        <v>330</v>
      </c>
      <c r="H75">
        <v>1690377346</v>
      </c>
      <c r="I75">
        <f t="shared" si="0"/>
        <v>8.0884397469114708E-4</v>
      </c>
      <c r="J75">
        <f t="shared" si="1"/>
        <v>0.80884397469114711</v>
      </c>
      <c r="K75">
        <f t="shared" si="2"/>
        <v>12.98785536587644</v>
      </c>
      <c r="L75">
        <f t="shared" si="3"/>
        <v>644.70500000000004</v>
      </c>
      <c r="M75">
        <f t="shared" si="4"/>
        <v>198.79609188212541</v>
      </c>
      <c r="N75">
        <f t="shared" si="5"/>
        <v>19.631045130875219</v>
      </c>
      <c r="O75">
        <f t="shared" si="6"/>
        <v>63.664395166306001</v>
      </c>
      <c r="P75">
        <f t="shared" si="7"/>
        <v>4.8374578945398976E-2</v>
      </c>
      <c r="Q75">
        <f t="shared" si="8"/>
        <v>2.0071613456773845</v>
      </c>
      <c r="R75">
        <f t="shared" si="9"/>
        <v>4.7736096733430669E-2</v>
      </c>
      <c r="S75">
        <f t="shared" si="10"/>
        <v>2.9891723424058832E-2</v>
      </c>
      <c r="T75">
        <f t="shared" si="11"/>
        <v>276.11443969236853</v>
      </c>
      <c r="U75">
        <f t="shared" si="12"/>
        <v>29.105402807563156</v>
      </c>
      <c r="V75">
        <f t="shared" si="13"/>
        <v>29.105402807563156</v>
      </c>
      <c r="W75">
        <f t="shared" si="14"/>
        <v>4.0463676341167174</v>
      </c>
      <c r="X75">
        <f t="shared" si="15"/>
        <v>67.442736581677138</v>
      </c>
      <c r="Y75">
        <f t="shared" si="16"/>
        <v>2.4279972230896796</v>
      </c>
      <c r="Z75">
        <f t="shared" si="17"/>
        <v>3.6000870459181789</v>
      </c>
      <c r="AA75">
        <f t="shared" si="18"/>
        <v>1.6183704110270378</v>
      </c>
      <c r="AB75">
        <f t="shared" si="19"/>
        <v>-35.670019283879583</v>
      </c>
      <c r="AC75">
        <f t="shared" si="20"/>
        <v>-217.08055024601475</v>
      </c>
      <c r="AD75">
        <f t="shared" si="21"/>
        <v>-23.599190039953537</v>
      </c>
      <c r="AE75">
        <f t="shared" si="22"/>
        <v>-0.23531987747932703</v>
      </c>
      <c r="AF75">
        <v>14</v>
      </c>
      <c r="AG75">
        <v>5</v>
      </c>
      <c r="AH75">
        <f t="shared" si="23"/>
        <v>1</v>
      </c>
      <c r="AI75">
        <f t="shared" si="24"/>
        <v>0</v>
      </c>
      <c r="AJ75">
        <f t="shared" si="25"/>
        <v>52139.658729921699</v>
      </c>
      <c r="AK75">
        <f t="shared" si="26"/>
        <v>1799.99</v>
      </c>
      <c r="AL75">
        <f t="shared" si="27"/>
        <v>1499.1025376062998</v>
      </c>
      <c r="AM75">
        <f t="shared" si="28"/>
        <v>0.83283936999999997</v>
      </c>
      <c r="AN75">
        <f t="shared" si="29"/>
        <v>0.15339776315000003</v>
      </c>
      <c r="AO75">
        <v>34.5</v>
      </c>
      <c r="AP75">
        <v>0.5</v>
      </c>
      <c r="AQ75" t="s">
        <v>331</v>
      </c>
      <c r="AR75">
        <v>2</v>
      </c>
      <c r="AS75">
        <v>1690377346</v>
      </c>
      <c r="AT75">
        <v>644.70500000000004</v>
      </c>
      <c r="AU75">
        <v>799.96799999999996</v>
      </c>
      <c r="AV75">
        <v>24.587399999999999</v>
      </c>
      <c r="AW75">
        <v>15.5199</v>
      </c>
      <c r="AX75">
        <v>645.298</v>
      </c>
      <c r="AY75">
        <v>24.376200000000001</v>
      </c>
      <c r="AZ75">
        <v>300.18200000000002</v>
      </c>
      <c r="BA75">
        <v>98.649699999999996</v>
      </c>
      <c r="BB75">
        <v>9.9953200000000006E-2</v>
      </c>
      <c r="BC75">
        <v>27.099299999999999</v>
      </c>
      <c r="BD75">
        <v>27.005299999999998</v>
      </c>
      <c r="BE75">
        <v>29.080200000000001</v>
      </c>
      <c r="BF75">
        <v>0</v>
      </c>
      <c r="BG75">
        <v>0</v>
      </c>
      <c r="BH75">
        <v>9998.75</v>
      </c>
      <c r="BI75">
        <v>1082.56</v>
      </c>
      <c r="BJ75">
        <v>1.3582000000000001</v>
      </c>
      <c r="BK75">
        <v>-155.26300000000001</v>
      </c>
      <c r="BL75">
        <v>660.95600000000002</v>
      </c>
      <c r="BM75">
        <v>812.57899999999995</v>
      </c>
      <c r="BN75">
        <v>9.0675100000000004</v>
      </c>
      <c r="BO75">
        <v>799.96799999999996</v>
      </c>
      <c r="BP75">
        <v>15.5199</v>
      </c>
      <c r="BQ75">
        <v>2.4255399999999998</v>
      </c>
      <c r="BR75">
        <v>1.5310299999999999</v>
      </c>
      <c r="BS75">
        <v>20.535299999999999</v>
      </c>
      <c r="BT75">
        <v>13.281599999999999</v>
      </c>
      <c r="BU75">
        <v>1799.99</v>
      </c>
      <c r="BV75">
        <v>0.90998800000000002</v>
      </c>
      <c r="BW75">
        <v>3.3996699999999998E-2</v>
      </c>
      <c r="BX75">
        <v>2.2005500000000001E-2</v>
      </c>
      <c r="BY75">
        <v>3.4009299999999999E-2</v>
      </c>
      <c r="BZ75">
        <v>25</v>
      </c>
      <c r="CA75">
        <v>33528.1</v>
      </c>
      <c r="CB75">
        <v>1690376213.5999999</v>
      </c>
      <c r="CC75" t="s">
        <v>332</v>
      </c>
      <c r="CD75">
        <v>1690376213.5999999</v>
      </c>
      <c r="CE75">
        <v>1690376198.0999999</v>
      </c>
      <c r="CF75">
        <v>2</v>
      </c>
      <c r="CG75">
        <v>0.66900000000000004</v>
      </c>
      <c r="CH75">
        <v>-2.1000000000000001E-2</v>
      </c>
      <c r="CI75">
        <v>-0.70099999999999996</v>
      </c>
      <c r="CJ75">
        <v>0.21099999999999999</v>
      </c>
      <c r="CK75">
        <v>799</v>
      </c>
      <c r="CL75">
        <v>21</v>
      </c>
      <c r="CM75">
        <v>0.11</v>
      </c>
      <c r="CN75">
        <v>0.17</v>
      </c>
      <c r="CO75">
        <v>-151.909425</v>
      </c>
      <c r="CP75">
        <v>-18.851043151969691</v>
      </c>
      <c r="CQ75">
        <v>1.813860301780432</v>
      </c>
      <c r="CR75">
        <v>-1</v>
      </c>
      <c r="CS75">
        <v>8.8740507500000003</v>
      </c>
      <c r="CT75">
        <v>1.0166302063789749</v>
      </c>
      <c r="CU75">
        <v>9.8008339170386413E-2</v>
      </c>
      <c r="CV75">
        <v>-1</v>
      </c>
      <c r="CW75">
        <v>0</v>
      </c>
      <c r="CX75">
        <v>0</v>
      </c>
      <c r="CY75" t="s">
        <v>333</v>
      </c>
      <c r="CZ75">
        <v>2.3650799999999998</v>
      </c>
      <c r="DA75">
        <v>2.71374</v>
      </c>
      <c r="DB75">
        <v>0.12642400000000001</v>
      </c>
      <c r="DC75">
        <v>0.14585600000000001</v>
      </c>
      <c r="DD75">
        <v>0.115454</v>
      </c>
      <c r="DE75">
        <v>8.2002199999999997E-2</v>
      </c>
      <c r="DF75">
        <v>31911.200000000001</v>
      </c>
      <c r="DG75">
        <v>27523.9</v>
      </c>
      <c r="DH75">
        <v>31182.9</v>
      </c>
      <c r="DI75">
        <v>28076.400000000001</v>
      </c>
      <c r="DJ75">
        <v>37442.300000000003</v>
      </c>
      <c r="DK75">
        <v>36637.5</v>
      </c>
      <c r="DL75">
        <v>44374.9</v>
      </c>
      <c r="DM75">
        <v>42540.3</v>
      </c>
      <c r="DN75">
        <v>1.43588</v>
      </c>
      <c r="DO75">
        <v>2.0739000000000001</v>
      </c>
      <c r="DP75">
        <v>9.5319000000000001E-2</v>
      </c>
      <c r="DQ75">
        <v>0.22348000000000001</v>
      </c>
      <c r="DR75">
        <v>25.444500000000001</v>
      </c>
      <c r="DS75">
        <v>25.4268</v>
      </c>
      <c r="DT75">
        <v>61.5</v>
      </c>
      <c r="DU75">
        <v>26.7</v>
      </c>
      <c r="DV75">
        <v>21.920500000000001</v>
      </c>
      <c r="DW75">
        <v>61.760199999999998</v>
      </c>
      <c r="DX75">
        <v>36.2941</v>
      </c>
      <c r="DY75">
        <v>1</v>
      </c>
      <c r="DZ75">
        <v>-0.141181</v>
      </c>
      <c r="EA75">
        <v>-0.151416</v>
      </c>
      <c r="EB75">
        <v>20.1906</v>
      </c>
      <c r="EC75">
        <v>5.2433500000000004</v>
      </c>
      <c r="ED75">
        <v>12.039899999999999</v>
      </c>
      <c r="EE75">
        <v>5.0171000000000001</v>
      </c>
      <c r="EF75">
        <v>3.2879999999999998</v>
      </c>
      <c r="EG75">
        <v>9999</v>
      </c>
      <c r="EH75">
        <v>9999</v>
      </c>
      <c r="EI75">
        <v>9999</v>
      </c>
      <c r="EJ75">
        <v>999.9</v>
      </c>
      <c r="EK75">
        <v>1.86887</v>
      </c>
      <c r="EL75">
        <v>1.8644799999999999</v>
      </c>
      <c r="EM75">
        <v>1.8691599999999999</v>
      </c>
      <c r="EN75">
        <v>1.8671500000000001</v>
      </c>
      <c r="EO75">
        <v>1.8632500000000001</v>
      </c>
      <c r="EP75">
        <v>1.86432</v>
      </c>
      <c r="EQ75">
        <v>1.87012</v>
      </c>
      <c r="ER75">
        <v>1.8693500000000001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-0.59299999999999997</v>
      </c>
      <c r="FG75">
        <v>0.2112</v>
      </c>
      <c r="FH75">
        <v>-0.150361779349652</v>
      </c>
      <c r="FI75">
        <v>-6.1462078757559423E-4</v>
      </c>
      <c r="FJ75">
        <v>-1.8861989874597051E-7</v>
      </c>
      <c r="FK75">
        <v>1.1980462299894961E-10</v>
      </c>
      <c r="FL75">
        <v>0.21114761904761539</v>
      </c>
      <c r="FM75">
        <v>0</v>
      </c>
      <c r="FN75">
        <v>0</v>
      </c>
      <c r="FO75">
        <v>0</v>
      </c>
      <c r="FP75">
        <v>3</v>
      </c>
      <c r="FQ75">
        <v>2158</v>
      </c>
      <c r="FR75">
        <v>1</v>
      </c>
      <c r="FS75">
        <v>19</v>
      </c>
      <c r="FT75">
        <v>18.899999999999999</v>
      </c>
      <c r="FU75">
        <v>19.100000000000001</v>
      </c>
      <c r="FV75">
        <v>1.78955</v>
      </c>
      <c r="FW75">
        <v>2.5647000000000002</v>
      </c>
      <c r="FX75">
        <v>1.5490699999999999</v>
      </c>
      <c r="FY75">
        <v>2.33887</v>
      </c>
      <c r="FZ75">
        <v>1.50024</v>
      </c>
      <c r="GA75">
        <v>2.34253</v>
      </c>
      <c r="GB75">
        <v>31.892700000000001</v>
      </c>
      <c r="GC75">
        <v>23.991199999999999</v>
      </c>
      <c r="GD75">
        <v>19</v>
      </c>
      <c r="GE75">
        <v>263.66899999999998</v>
      </c>
      <c r="GF75">
        <v>607.55799999999999</v>
      </c>
      <c r="GG75">
        <v>25.4511</v>
      </c>
      <c r="GH75">
        <v>25.673300000000001</v>
      </c>
      <c r="GI75">
        <v>29.999500000000001</v>
      </c>
      <c r="GJ75">
        <v>25.764700000000001</v>
      </c>
      <c r="GK75">
        <v>25.730499999999999</v>
      </c>
      <c r="GL75">
        <v>35.771500000000003</v>
      </c>
      <c r="GM75">
        <v>37.491</v>
      </c>
      <c r="GN75">
        <v>96.991799999999998</v>
      </c>
      <c r="GO75">
        <v>25.414899999999999</v>
      </c>
      <c r="GP75">
        <v>800</v>
      </c>
      <c r="GQ75">
        <v>15.372299999999999</v>
      </c>
      <c r="GR75">
        <v>99.770200000000003</v>
      </c>
      <c r="GS75">
        <v>99.529399999999995</v>
      </c>
    </row>
    <row r="76" spans="1:201" x14ac:dyDescent="0.25">
      <c r="A76">
        <v>60</v>
      </c>
      <c r="B76">
        <v>1690377356</v>
      </c>
      <c r="C76">
        <v>639.5</v>
      </c>
      <c r="D76" t="s">
        <v>453</v>
      </c>
      <c r="E76" t="s">
        <v>454</v>
      </c>
      <c r="F76" t="s">
        <v>330</v>
      </c>
      <c r="H76">
        <v>1690377356</v>
      </c>
      <c r="I76">
        <f t="shared" si="0"/>
        <v>8.2213375677242257E-4</v>
      </c>
      <c r="J76">
        <f t="shared" si="1"/>
        <v>0.82213375677242262</v>
      </c>
      <c r="K76">
        <f t="shared" si="2"/>
        <v>13.272654011884063</v>
      </c>
      <c r="L76">
        <f t="shared" si="3"/>
        <v>641.48299999999995</v>
      </c>
      <c r="M76">
        <f t="shared" si="4"/>
        <v>194.14470493010259</v>
      </c>
      <c r="N76">
        <f t="shared" si="5"/>
        <v>19.170779282803178</v>
      </c>
      <c r="O76">
        <f t="shared" si="6"/>
        <v>63.343107972468005</v>
      </c>
      <c r="P76">
        <f t="shared" si="7"/>
        <v>4.9268554543370251E-2</v>
      </c>
      <c r="Q76">
        <f t="shared" si="8"/>
        <v>2.0093940077657555</v>
      </c>
      <c r="R76">
        <f t="shared" si="9"/>
        <v>4.8607154839783569E-2</v>
      </c>
      <c r="S76">
        <f t="shared" si="10"/>
        <v>3.0438156165268987E-2</v>
      </c>
      <c r="T76">
        <f t="shared" si="11"/>
        <v>276.11426122336002</v>
      </c>
      <c r="U76">
        <f t="shared" si="12"/>
        <v>29.09401248151757</v>
      </c>
      <c r="V76">
        <f t="shared" si="13"/>
        <v>29.09401248151757</v>
      </c>
      <c r="W76">
        <f t="shared" si="14"/>
        <v>4.043703491970291</v>
      </c>
      <c r="X76">
        <f t="shared" si="15"/>
        <v>67.468481335657401</v>
      </c>
      <c r="Y76">
        <f t="shared" si="16"/>
        <v>2.4282826508340003</v>
      </c>
      <c r="Z76">
        <f t="shared" si="17"/>
        <v>3.5991363711793549</v>
      </c>
      <c r="AA76">
        <f t="shared" si="18"/>
        <v>1.6154208411362907</v>
      </c>
      <c r="AB76">
        <f t="shared" si="19"/>
        <v>-36.256098673663836</v>
      </c>
      <c r="AC76">
        <f t="shared" si="20"/>
        <v>-216.57558726194944</v>
      </c>
      <c r="AD76">
        <f t="shared" si="21"/>
        <v>-23.516270876781352</v>
      </c>
      <c r="AE76">
        <f t="shared" si="22"/>
        <v>-0.23369558903462462</v>
      </c>
      <c r="AF76">
        <v>14</v>
      </c>
      <c r="AG76">
        <v>5</v>
      </c>
      <c r="AH76">
        <f t="shared" si="23"/>
        <v>1</v>
      </c>
      <c r="AI76">
        <f t="shared" si="24"/>
        <v>0</v>
      </c>
      <c r="AJ76">
        <f t="shared" si="25"/>
        <v>52247.097908044001</v>
      </c>
      <c r="AK76">
        <f t="shared" si="26"/>
        <v>1799.99</v>
      </c>
      <c r="AL76">
        <f t="shared" si="27"/>
        <v>1499.1031046031499</v>
      </c>
      <c r="AM76">
        <f t="shared" si="28"/>
        <v>0.83283968499999994</v>
      </c>
      <c r="AN76">
        <f t="shared" si="29"/>
        <v>0.15339766400000002</v>
      </c>
      <c r="AO76">
        <v>34.5</v>
      </c>
      <c r="AP76">
        <v>0.5</v>
      </c>
      <c r="AQ76" t="s">
        <v>331</v>
      </c>
      <c r="AR76">
        <v>2</v>
      </c>
      <c r="AS76">
        <v>1690377356</v>
      </c>
      <c r="AT76">
        <v>641.48299999999995</v>
      </c>
      <c r="AU76">
        <v>800.08299999999997</v>
      </c>
      <c r="AV76">
        <v>24.5915</v>
      </c>
      <c r="AW76">
        <v>15.375299999999999</v>
      </c>
      <c r="AX76">
        <v>642.07399999999996</v>
      </c>
      <c r="AY76">
        <v>24.380400000000002</v>
      </c>
      <c r="AZ76">
        <v>300.19</v>
      </c>
      <c r="BA76">
        <v>98.644800000000004</v>
      </c>
      <c r="BB76">
        <v>9.9996000000000002E-2</v>
      </c>
      <c r="BC76">
        <v>27.094799999999999</v>
      </c>
      <c r="BD76">
        <v>26.995999999999999</v>
      </c>
      <c r="BE76">
        <v>29.089700000000001</v>
      </c>
      <c r="BF76">
        <v>0</v>
      </c>
      <c r="BG76">
        <v>0</v>
      </c>
      <c r="BH76">
        <v>10020.6</v>
      </c>
      <c r="BI76">
        <v>1082.6600000000001</v>
      </c>
      <c r="BJ76">
        <v>1.3455900000000001</v>
      </c>
      <c r="BK76">
        <v>-158.6</v>
      </c>
      <c r="BL76">
        <v>657.65499999999997</v>
      </c>
      <c r="BM76">
        <v>812.57600000000002</v>
      </c>
      <c r="BN76">
        <v>9.2161899999999992</v>
      </c>
      <c r="BO76">
        <v>800.08299999999997</v>
      </c>
      <c r="BP76">
        <v>15.375299999999999</v>
      </c>
      <c r="BQ76">
        <v>2.4258199999999999</v>
      </c>
      <c r="BR76">
        <v>1.5166999999999999</v>
      </c>
      <c r="BS76">
        <v>20.537199999999999</v>
      </c>
      <c r="BT76">
        <v>13.137499999999999</v>
      </c>
      <c r="BU76">
        <v>1799.99</v>
      </c>
      <c r="BV76">
        <v>0.90999200000000002</v>
      </c>
      <c r="BW76">
        <v>3.3995200000000003E-2</v>
      </c>
      <c r="BX76">
        <v>2.20045E-2</v>
      </c>
      <c r="BY76">
        <v>3.4007799999999998E-2</v>
      </c>
      <c r="BZ76">
        <v>25</v>
      </c>
      <c r="CA76">
        <v>33528.199999999997</v>
      </c>
      <c r="CB76">
        <v>1690376213.5999999</v>
      </c>
      <c r="CC76" t="s">
        <v>332</v>
      </c>
      <c r="CD76">
        <v>1690376213.5999999</v>
      </c>
      <c r="CE76">
        <v>1690376198.0999999</v>
      </c>
      <c r="CF76">
        <v>2</v>
      </c>
      <c r="CG76">
        <v>0.66900000000000004</v>
      </c>
      <c r="CH76">
        <v>-2.1000000000000001E-2</v>
      </c>
      <c r="CI76">
        <v>-0.70099999999999996</v>
      </c>
      <c r="CJ76">
        <v>0.21099999999999999</v>
      </c>
      <c r="CK76">
        <v>799</v>
      </c>
      <c r="CL76">
        <v>21</v>
      </c>
      <c r="CM76">
        <v>0.11</v>
      </c>
      <c r="CN76">
        <v>0.17</v>
      </c>
      <c r="CO76">
        <v>-154.8408780487805</v>
      </c>
      <c r="CP76">
        <v>-19.173386759581781</v>
      </c>
      <c r="CQ76">
        <v>1.891179154623907</v>
      </c>
      <c r="CR76">
        <v>-1</v>
      </c>
      <c r="CS76">
        <v>9.0364485365853664</v>
      </c>
      <c r="CT76">
        <v>1.0715165853658819</v>
      </c>
      <c r="CU76">
        <v>0.1060149472333162</v>
      </c>
      <c r="CV76">
        <v>-1</v>
      </c>
      <c r="CW76">
        <v>0</v>
      </c>
      <c r="CX76">
        <v>0</v>
      </c>
      <c r="CY76" t="s">
        <v>333</v>
      </c>
      <c r="CZ76">
        <v>2.36511</v>
      </c>
      <c r="DA76">
        <v>2.7138100000000001</v>
      </c>
      <c r="DB76">
        <v>0.12597900000000001</v>
      </c>
      <c r="DC76">
        <v>0.14585999999999999</v>
      </c>
      <c r="DD76">
        <v>0.115462</v>
      </c>
      <c r="DE76">
        <v>8.1439700000000004E-2</v>
      </c>
      <c r="DF76">
        <v>31926.9</v>
      </c>
      <c r="DG76">
        <v>27523.200000000001</v>
      </c>
      <c r="DH76">
        <v>31182.400000000001</v>
      </c>
      <c r="DI76">
        <v>28075.8</v>
      </c>
      <c r="DJ76">
        <v>37441.199999999997</v>
      </c>
      <c r="DK76">
        <v>36659.300000000003</v>
      </c>
      <c r="DL76">
        <v>44374</v>
      </c>
      <c r="DM76">
        <v>42539.6</v>
      </c>
      <c r="DN76">
        <v>1.43605</v>
      </c>
      <c r="DO76">
        <v>2.0737700000000001</v>
      </c>
      <c r="DP76">
        <v>9.4752799999999998E-2</v>
      </c>
      <c r="DQ76">
        <v>0.22386800000000001</v>
      </c>
      <c r="DR76">
        <v>25.444500000000001</v>
      </c>
      <c r="DS76">
        <v>25.43</v>
      </c>
      <c r="DT76">
        <v>61.5</v>
      </c>
      <c r="DU76">
        <v>26.7</v>
      </c>
      <c r="DV76">
        <v>21.923999999999999</v>
      </c>
      <c r="DW76">
        <v>61.240200000000002</v>
      </c>
      <c r="DX76">
        <v>35.821300000000001</v>
      </c>
      <c r="DY76">
        <v>1</v>
      </c>
      <c r="DZ76">
        <v>-0.140988</v>
      </c>
      <c r="EA76">
        <v>-0.327789</v>
      </c>
      <c r="EB76">
        <v>20.1905</v>
      </c>
      <c r="EC76">
        <v>5.2438000000000002</v>
      </c>
      <c r="ED76">
        <v>12.039899999999999</v>
      </c>
      <c r="EE76">
        <v>5.01715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1.86886</v>
      </c>
      <c r="EL76">
        <v>1.8644799999999999</v>
      </c>
      <c r="EM76">
        <v>1.8691599999999999</v>
      </c>
      <c r="EN76">
        <v>1.86717</v>
      </c>
      <c r="EO76">
        <v>1.8632599999999999</v>
      </c>
      <c r="EP76">
        <v>1.86432</v>
      </c>
      <c r="EQ76">
        <v>1.87012</v>
      </c>
      <c r="ER76">
        <v>1.8693500000000001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-0.59099999999999997</v>
      </c>
      <c r="FG76">
        <v>0.21110000000000001</v>
      </c>
      <c r="FH76">
        <v>-0.150361779349652</v>
      </c>
      <c r="FI76">
        <v>-6.1462078757559423E-4</v>
      </c>
      <c r="FJ76">
        <v>-1.8861989874597051E-7</v>
      </c>
      <c r="FK76">
        <v>1.1980462299894961E-10</v>
      </c>
      <c r="FL76">
        <v>0.21114761904761539</v>
      </c>
      <c r="FM76">
        <v>0</v>
      </c>
      <c r="FN76">
        <v>0</v>
      </c>
      <c r="FO76">
        <v>0</v>
      </c>
      <c r="FP76">
        <v>3</v>
      </c>
      <c r="FQ76">
        <v>2158</v>
      </c>
      <c r="FR76">
        <v>1</v>
      </c>
      <c r="FS76">
        <v>19</v>
      </c>
      <c r="FT76">
        <v>19</v>
      </c>
      <c r="FU76">
        <v>19.3</v>
      </c>
      <c r="FV76">
        <v>1.78833</v>
      </c>
      <c r="FW76">
        <v>2.5647000000000002</v>
      </c>
      <c r="FX76">
        <v>1.5490699999999999</v>
      </c>
      <c r="FY76">
        <v>2.33887</v>
      </c>
      <c r="FZ76">
        <v>1.50146</v>
      </c>
      <c r="GA76">
        <v>2.3742700000000001</v>
      </c>
      <c r="GB76">
        <v>31.892700000000001</v>
      </c>
      <c r="GC76">
        <v>23.991199999999999</v>
      </c>
      <c r="GD76">
        <v>19</v>
      </c>
      <c r="GE76">
        <v>263.74</v>
      </c>
      <c r="GF76">
        <v>607.45799999999997</v>
      </c>
      <c r="GG76">
        <v>25.4072</v>
      </c>
      <c r="GH76">
        <v>25.673300000000001</v>
      </c>
      <c r="GI76">
        <v>29.9999</v>
      </c>
      <c r="GJ76">
        <v>25.764700000000001</v>
      </c>
      <c r="GK76">
        <v>25.731100000000001</v>
      </c>
      <c r="GL76">
        <v>35.766599999999997</v>
      </c>
      <c r="GM76">
        <v>38.043100000000003</v>
      </c>
      <c r="GN76">
        <v>96.613</v>
      </c>
      <c r="GO76">
        <v>25.419599999999999</v>
      </c>
      <c r="GP76">
        <v>800</v>
      </c>
      <c r="GQ76">
        <v>15.224</v>
      </c>
      <c r="GR76">
        <v>99.768500000000003</v>
      </c>
      <c r="GS76">
        <v>99.527500000000003</v>
      </c>
    </row>
    <row r="77" spans="1:201" x14ac:dyDescent="0.25">
      <c r="A77">
        <v>61</v>
      </c>
      <c r="B77">
        <v>1690377366</v>
      </c>
      <c r="C77">
        <v>649.5</v>
      </c>
      <c r="D77" t="s">
        <v>455</v>
      </c>
      <c r="E77" t="s">
        <v>456</v>
      </c>
      <c r="F77" t="s">
        <v>330</v>
      </c>
      <c r="H77">
        <v>1690377366</v>
      </c>
      <c r="I77">
        <f t="shared" si="0"/>
        <v>8.3808263064561698E-4</v>
      </c>
      <c r="J77">
        <f t="shared" si="1"/>
        <v>0.83808263064561694</v>
      </c>
      <c r="K77">
        <f t="shared" si="2"/>
        <v>13.55656780323144</v>
      </c>
      <c r="L77">
        <f t="shared" si="3"/>
        <v>638.16499999999996</v>
      </c>
      <c r="M77">
        <f t="shared" si="4"/>
        <v>190.80405689818576</v>
      </c>
      <c r="N77">
        <f t="shared" si="5"/>
        <v>18.842450706791883</v>
      </c>
      <c r="O77">
        <f t="shared" si="6"/>
        <v>63.020633579694994</v>
      </c>
      <c r="P77">
        <f t="shared" si="7"/>
        <v>5.0320536283689696E-2</v>
      </c>
      <c r="Q77">
        <f t="shared" si="8"/>
        <v>2.0065397996118759</v>
      </c>
      <c r="R77">
        <f t="shared" si="9"/>
        <v>4.9629837262993894E-2</v>
      </c>
      <c r="S77">
        <f t="shared" si="10"/>
        <v>3.1079915002842767E-2</v>
      </c>
      <c r="T77">
        <f t="shared" si="11"/>
        <v>276.11408163835773</v>
      </c>
      <c r="U77">
        <f t="shared" si="12"/>
        <v>29.090608670451545</v>
      </c>
      <c r="V77">
        <f t="shared" si="13"/>
        <v>29.090608670451545</v>
      </c>
      <c r="W77">
        <f t="shared" si="14"/>
        <v>4.0429076539047086</v>
      </c>
      <c r="X77">
        <f t="shared" si="15"/>
        <v>67.515285649616814</v>
      </c>
      <c r="Y77">
        <f t="shared" si="16"/>
        <v>2.4299529402511997</v>
      </c>
      <c r="Z77">
        <f t="shared" si="17"/>
        <v>3.5991152475631885</v>
      </c>
      <c r="AA77">
        <f t="shared" si="18"/>
        <v>1.612954713653509</v>
      </c>
      <c r="AB77">
        <f t="shared" si="19"/>
        <v>-36.95944401147171</v>
      </c>
      <c r="AC77">
        <f t="shared" si="20"/>
        <v>-215.91056134101692</v>
      </c>
      <c r="AD77">
        <f t="shared" si="21"/>
        <v>-23.476998260382803</v>
      </c>
      <c r="AE77">
        <f t="shared" si="22"/>
        <v>-0.23292197451368679</v>
      </c>
      <c r="AF77">
        <v>14</v>
      </c>
      <c r="AG77">
        <v>5</v>
      </c>
      <c r="AH77">
        <f t="shared" si="23"/>
        <v>1</v>
      </c>
      <c r="AI77">
        <f t="shared" si="24"/>
        <v>0</v>
      </c>
      <c r="AJ77">
        <f t="shared" si="25"/>
        <v>52110.831873265422</v>
      </c>
      <c r="AK77">
        <f t="shared" si="26"/>
        <v>1799.99</v>
      </c>
      <c r="AL77">
        <f t="shared" si="27"/>
        <v>1499.10465799452</v>
      </c>
      <c r="AM77">
        <f t="shared" si="28"/>
        <v>0.83284054799999996</v>
      </c>
      <c r="AN77">
        <f t="shared" si="29"/>
        <v>0.15339756423000001</v>
      </c>
      <c r="AO77">
        <v>34.5</v>
      </c>
      <c r="AP77">
        <v>0.5</v>
      </c>
      <c r="AQ77" t="s">
        <v>331</v>
      </c>
      <c r="AR77">
        <v>2</v>
      </c>
      <c r="AS77">
        <v>1690377366</v>
      </c>
      <c r="AT77">
        <v>638.16499999999996</v>
      </c>
      <c r="AU77">
        <v>800.09900000000005</v>
      </c>
      <c r="AV77">
        <v>24.606400000000001</v>
      </c>
      <c r="AW77">
        <v>15.212400000000001</v>
      </c>
      <c r="AX77">
        <v>638.75400000000002</v>
      </c>
      <c r="AY77">
        <v>24.395299999999999</v>
      </c>
      <c r="AZ77">
        <v>300.21699999999998</v>
      </c>
      <c r="BA77">
        <v>98.652799999999999</v>
      </c>
      <c r="BB77">
        <v>0.10008300000000001</v>
      </c>
      <c r="BC77">
        <v>27.0947</v>
      </c>
      <c r="BD77">
        <v>26.974599999999999</v>
      </c>
      <c r="BE77">
        <v>29.092600000000001</v>
      </c>
      <c r="BF77">
        <v>0</v>
      </c>
      <c r="BG77">
        <v>0</v>
      </c>
      <c r="BH77">
        <v>9992.5</v>
      </c>
      <c r="BI77">
        <v>1082.57</v>
      </c>
      <c r="BJ77">
        <v>1.3455900000000001</v>
      </c>
      <c r="BK77">
        <v>-161.934</v>
      </c>
      <c r="BL77">
        <v>654.26400000000001</v>
      </c>
      <c r="BM77">
        <v>812.45799999999997</v>
      </c>
      <c r="BN77">
        <v>9.39405</v>
      </c>
      <c r="BO77">
        <v>800.09900000000005</v>
      </c>
      <c r="BP77">
        <v>15.212400000000001</v>
      </c>
      <c r="BQ77">
        <v>2.4274900000000001</v>
      </c>
      <c r="BR77">
        <v>1.50074</v>
      </c>
      <c r="BS77">
        <v>20.548400000000001</v>
      </c>
      <c r="BT77">
        <v>12.9757</v>
      </c>
      <c r="BU77">
        <v>1799.99</v>
      </c>
      <c r="BV77">
        <v>0.909999</v>
      </c>
      <c r="BW77">
        <v>3.3992700000000001E-2</v>
      </c>
      <c r="BX77">
        <v>2.2002899999999999E-2</v>
      </c>
      <c r="BY77">
        <v>3.4005300000000002E-2</v>
      </c>
      <c r="BZ77">
        <v>25</v>
      </c>
      <c r="CA77">
        <v>33528.199999999997</v>
      </c>
      <c r="CB77">
        <v>1690376213.5999999</v>
      </c>
      <c r="CC77" t="s">
        <v>332</v>
      </c>
      <c r="CD77">
        <v>1690376213.5999999</v>
      </c>
      <c r="CE77">
        <v>1690376198.0999999</v>
      </c>
      <c r="CF77">
        <v>2</v>
      </c>
      <c r="CG77">
        <v>0.66900000000000004</v>
      </c>
      <c r="CH77">
        <v>-2.1000000000000001E-2</v>
      </c>
      <c r="CI77">
        <v>-0.70099999999999996</v>
      </c>
      <c r="CJ77">
        <v>0.21099999999999999</v>
      </c>
      <c r="CK77">
        <v>799</v>
      </c>
      <c r="CL77">
        <v>21</v>
      </c>
      <c r="CM77">
        <v>0.11</v>
      </c>
      <c r="CN77">
        <v>0.17</v>
      </c>
      <c r="CO77">
        <v>-158.33385000000001</v>
      </c>
      <c r="CP77">
        <v>-19.863579737335659</v>
      </c>
      <c r="CQ77">
        <v>1.9111511001226451</v>
      </c>
      <c r="CR77">
        <v>-1</v>
      </c>
      <c r="CS77">
        <v>9.2152619999999992</v>
      </c>
      <c r="CT77">
        <v>0.92169838649152236</v>
      </c>
      <c r="CU77">
        <v>8.921237552044009E-2</v>
      </c>
      <c r="CV77">
        <v>-1</v>
      </c>
      <c r="CW77">
        <v>0</v>
      </c>
      <c r="CX77">
        <v>0</v>
      </c>
      <c r="CY77" t="s">
        <v>333</v>
      </c>
      <c r="CZ77">
        <v>2.3651900000000001</v>
      </c>
      <c r="DA77">
        <v>2.71387</v>
      </c>
      <c r="DB77">
        <v>0.12553600000000001</v>
      </c>
      <c r="DC77">
        <v>0.145869</v>
      </c>
      <c r="DD77">
        <v>0.115521</v>
      </c>
      <c r="DE77">
        <v>8.0813800000000005E-2</v>
      </c>
      <c r="DF77">
        <v>31943.1</v>
      </c>
      <c r="DG77">
        <v>27523.1</v>
      </c>
      <c r="DH77">
        <v>31182.3</v>
      </c>
      <c r="DI77">
        <v>28076</v>
      </c>
      <c r="DJ77">
        <v>37438.9</v>
      </c>
      <c r="DK77">
        <v>36684.6</v>
      </c>
      <c r="DL77">
        <v>44374.400000000001</v>
      </c>
      <c r="DM77">
        <v>42539.8</v>
      </c>
      <c r="DN77">
        <v>1.43652</v>
      </c>
      <c r="DO77">
        <v>2.0734499999999998</v>
      </c>
      <c r="DP77">
        <v>9.3314800000000003E-2</v>
      </c>
      <c r="DQ77">
        <v>0.22382299999999999</v>
      </c>
      <c r="DR77">
        <v>25.4466</v>
      </c>
      <c r="DS77">
        <v>25.433700000000002</v>
      </c>
      <c r="DT77">
        <v>61.5</v>
      </c>
      <c r="DU77">
        <v>26.7</v>
      </c>
      <c r="DV77">
        <v>21.9221</v>
      </c>
      <c r="DW77">
        <v>61.1402</v>
      </c>
      <c r="DX77">
        <v>35.917499999999997</v>
      </c>
      <c r="DY77">
        <v>1</v>
      </c>
      <c r="DZ77">
        <v>-0.14063800000000001</v>
      </c>
      <c r="EA77">
        <v>-0.38942300000000002</v>
      </c>
      <c r="EB77">
        <v>20.190300000000001</v>
      </c>
      <c r="EC77">
        <v>5.2435</v>
      </c>
      <c r="ED77">
        <v>12.039899999999999</v>
      </c>
      <c r="EE77">
        <v>5.0168999999999997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1.86887</v>
      </c>
      <c r="EL77">
        <v>1.8644700000000001</v>
      </c>
      <c r="EM77">
        <v>1.86914</v>
      </c>
      <c r="EN77">
        <v>1.8671599999999999</v>
      </c>
      <c r="EO77">
        <v>1.8632500000000001</v>
      </c>
      <c r="EP77">
        <v>1.86432</v>
      </c>
      <c r="EQ77">
        <v>1.87012</v>
      </c>
      <c r="ER77">
        <v>1.8693299999999999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-0.58899999999999997</v>
      </c>
      <c r="FG77">
        <v>0.21110000000000001</v>
      </c>
      <c r="FH77">
        <v>-0.150361779349652</v>
      </c>
      <c r="FI77">
        <v>-6.1462078757559423E-4</v>
      </c>
      <c r="FJ77">
        <v>-1.8861989874597051E-7</v>
      </c>
      <c r="FK77">
        <v>1.1980462299894961E-10</v>
      </c>
      <c r="FL77">
        <v>0.21114761904761539</v>
      </c>
      <c r="FM77">
        <v>0</v>
      </c>
      <c r="FN77">
        <v>0</v>
      </c>
      <c r="FO77">
        <v>0</v>
      </c>
      <c r="FP77">
        <v>3</v>
      </c>
      <c r="FQ77">
        <v>2158</v>
      </c>
      <c r="FR77">
        <v>1</v>
      </c>
      <c r="FS77">
        <v>19</v>
      </c>
      <c r="FT77">
        <v>19.2</v>
      </c>
      <c r="FU77">
        <v>19.5</v>
      </c>
      <c r="FV77">
        <v>1.78833</v>
      </c>
      <c r="FW77">
        <v>2.5634800000000002</v>
      </c>
      <c r="FX77">
        <v>1.5490699999999999</v>
      </c>
      <c r="FY77">
        <v>2.33887</v>
      </c>
      <c r="FZ77">
        <v>1.50146</v>
      </c>
      <c r="GA77">
        <v>2.4011200000000001</v>
      </c>
      <c r="GB77">
        <v>31.9146</v>
      </c>
      <c r="GC77">
        <v>23.991199999999999</v>
      </c>
      <c r="GD77">
        <v>19</v>
      </c>
      <c r="GE77">
        <v>263.93200000000002</v>
      </c>
      <c r="GF77">
        <v>607.20100000000002</v>
      </c>
      <c r="GG77">
        <v>25.420500000000001</v>
      </c>
      <c r="GH77">
        <v>25.673300000000001</v>
      </c>
      <c r="GI77">
        <v>30.0002</v>
      </c>
      <c r="GJ77">
        <v>25.764700000000001</v>
      </c>
      <c r="GK77">
        <v>25.732700000000001</v>
      </c>
      <c r="GL77">
        <v>35.763199999999998</v>
      </c>
      <c r="GM77">
        <v>38.929600000000001</v>
      </c>
      <c r="GN77">
        <v>96.613</v>
      </c>
      <c r="GO77">
        <v>25.440300000000001</v>
      </c>
      <c r="GP77">
        <v>800</v>
      </c>
      <c r="GQ77">
        <v>15.061199999999999</v>
      </c>
      <c r="GR77">
        <v>99.768799999999999</v>
      </c>
      <c r="GS77">
        <v>99.528199999999998</v>
      </c>
    </row>
    <row r="78" spans="1:201" x14ac:dyDescent="0.25">
      <c r="A78">
        <v>62</v>
      </c>
      <c r="B78">
        <v>1690377376</v>
      </c>
      <c r="C78">
        <v>659.5</v>
      </c>
      <c r="D78" t="s">
        <v>457</v>
      </c>
      <c r="E78" t="s">
        <v>458</v>
      </c>
      <c r="F78" t="s">
        <v>330</v>
      </c>
      <c r="H78">
        <v>1690377376</v>
      </c>
      <c r="I78">
        <f t="shared" si="0"/>
        <v>8.5418813398674236E-4</v>
      </c>
      <c r="J78">
        <f t="shared" si="1"/>
        <v>0.85418813398674232</v>
      </c>
      <c r="K78">
        <f t="shared" si="2"/>
        <v>13.8327207982685</v>
      </c>
      <c r="L78">
        <f t="shared" si="3"/>
        <v>634.79499999999996</v>
      </c>
      <c r="M78">
        <f t="shared" si="4"/>
        <v>188.2781374138508</v>
      </c>
      <c r="N78">
        <f t="shared" si="5"/>
        <v>18.591313694449912</v>
      </c>
      <c r="O78">
        <f t="shared" si="6"/>
        <v>62.682120923723005</v>
      </c>
      <c r="P78">
        <f t="shared" si="7"/>
        <v>5.1445135510183045E-2</v>
      </c>
      <c r="Q78">
        <f t="shared" si="8"/>
        <v>2.0080163832619418</v>
      </c>
      <c r="R78">
        <f t="shared" si="9"/>
        <v>5.0723980437655837E-2</v>
      </c>
      <c r="S78">
        <f t="shared" si="10"/>
        <v>3.1766438494185478E-2</v>
      </c>
      <c r="T78">
        <f t="shared" si="11"/>
        <v>276.11549737199999</v>
      </c>
      <c r="U78">
        <f t="shared" si="12"/>
        <v>29.079479273177427</v>
      </c>
      <c r="V78">
        <f t="shared" si="13"/>
        <v>29.079479273177427</v>
      </c>
      <c r="W78">
        <f t="shared" si="14"/>
        <v>4.0403064656247647</v>
      </c>
      <c r="X78">
        <f t="shared" si="15"/>
        <v>67.586603207405915</v>
      </c>
      <c r="Y78">
        <f t="shared" si="16"/>
        <v>2.4319630057426003</v>
      </c>
      <c r="Z78">
        <f t="shared" si="17"/>
        <v>3.5982915109367619</v>
      </c>
      <c r="AA78">
        <f t="shared" si="18"/>
        <v>1.6083434598821644</v>
      </c>
      <c r="AB78">
        <f t="shared" si="19"/>
        <v>-37.669696708815337</v>
      </c>
      <c r="AC78">
        <f t="shared" si="20"/>
        <v>-215.28681987664066</v>
      </c>
      <c r="AD78">
        <f t="shared" si="21"/>
        <v>-23.390208773227119</v>
      </c>
      <c r="AE78">
        <f t="shared" si="22"/>
        <v>-0.23122798668313749</v>
      </c>
      <c r="AF78">
        <v>14</v>
      </c>
      <c r="AG78">
        <v>5</v>
      </c>
      <c r="AH78">
        <f t="shared" si="23"/>
        <v>1</v>
      </c>
      <c r="AI78">
        <f t="shared" si="24"/>
        <v>0</v>
      </c>
      <c r="AJ78">
        <f t="shared" si="25"/>
        <v>52181.880311838155</v>
      </c>
      <c r="AK78">
        <f t="shared" si="26"/>
        <v>1800</v>
      </c>
      <c r="AL78">
        <f t="shared" si="27"/>
        <v>1499.1118452000001</v>
      </c>
      <c r="AM78">
        <f t="shared" si="28"/>
        <v>0.83283991400000001</v>
      </c>
      <c r="AN78">
        <f t="shared" si="29"/>
        <v>0.15339749853999998</v>
      </c>
      <c r="AO78">
        <v>34.5</v>
      </c>
      <c r="AP78">
        <v>0.5</v>
      </c>
      <c r="AQ78" t="s">
        <v>331</v>
      </c>
      <c r="AR78">
        <v>2</v>
      </c>
      <c r="AS78">
        <v>1690377376</v>
      </c>
      <c r="AT78">
        <v>634.79499999999996</v>
      </c>
      <c r="AU78">
        <v>800.053</v>
      </c>
      <c r="AV78">
        <v>24.629000000000001</v>
      </c>
      <c r="AW78">
        <v>15.0509</v>
      </c>
      <c r="AX78">
        <v>635.38099999999997</v>
      </c>
      <c r="AY78">
        <v>24.417899999999999</v>
      </c>
      <c r="AZ78">
        <v>300.09800000000001</v>
      </c>
      <c r="BA78">
        <v>98.644000000000005</v>
      </c>
      <c r="BB78">
        <v>9.9879399999999993E-2</v>
      </c>
      <c r="BC78">
        <v>27.090800000000002</v>
      </c>
      <c r="BD78">
        <v>26.991399999999999</v>
      </c>
      <c r="BE78">
        <v>29.085599999999999</v>
      </c>
      <c r="BF78">
        <v>0</v>
      </c>
      <c r="BG78">
        <v>0</v>
      </c>
      <c r="BH78">
        <v>10007.5</v>
      </c>
      <c r="BI78">
        <v>1082.55</v>
      </c>
      <c r="BJ78">
        <v>1.3455900000000001</v>
      </c>
      <c r="BK78">
        <v>-165.25800000000001</v>
      </c>
      <c r="BL78">
        <v>650.82399999999996</v>
      </c>
      <c r="BM78">
        <v>812.27800000000002</v>
      </c>
      <c r="BN78">
        <v>9.5781100000000006</v>
      </c>
      <c r="BO78">
        <v>800.053</v>
      </c>
      <c r="BP78">
        <v>15.0509</v>
      </c>
      <c r="BQ78">
        <v>2.4295100000000001</v>
      </c>
      <c r="BR78">
        <v>1.48468</v>
      </c>
      <c r="BS78">
        <v>20.561800000000002</v>
      </c>
      <c r="BT78">
        <v>12.811299999999999</v>
      </c>
      <c r="BU78">
        <v>1800</v>
      </c>
      <c r="BV78">
        <v>0.90999699999999994</v>
      </c>
      <c r="BW78">
        <v>3.39992E-2</v>
      </c>
      <c r="BX78">
        <v>2.2001199999999999E-2</v>
      </c>
      <c r="BY78">
        <v>3.4002600000000001E-2</v>
      </c>
      <c r="BZ78">
        <v>25</v>
      </c>
      <c r="CA78">
        <v>33528.300000000003</v>
      </c>
      <c r="CB78">
        <v>1690376213.5999999</v>
      </c>
      <c r="CC78" t="s">
        <v>332</v>
      </c>
      <c r="CD78">
        <v>1690376213.5999999</v>
      </c>
      <c r="CE78">
        <v>1690376198.0999999</v>
      </c>
      <c r="CF78">
        <v>2</v>
      </c>
      <c r="CG78">
        <v>0.66900000000000004</v>
      </c>
      <c r="CH78">
        <v>-2.1000000000000001E-2</v>
      </c>
      <c r="CI78">
        <v>-0.70099999999999996</v>
      </c>
      <c r="CJ78">
        <v>0.21099999999999999</v>
      </c>
      <c r="CK78">
        <v>799</v>
      </c>
      <c r="CL78">
        <v>21</v>
      </c>
      <c r="CM78">
        <v>0.11</v>
      </c>
      <c r="CN78">
        <v>0.17</v>
      </c>
      <c r="CO78">
        <v>-161.649575</v>
      </c>
      <c r="CP78">
        <v>-20.079883677298071</v>
      </c>
      <c r="CQ78">
        <v>1.9321512866168129</v>
      </c>
      <c r="CR78">
        <v>-1</v>
      </c>
      <c r="CS78">
        <v>9.3839100000000002</v>
      </c>
      <c r="CT78">
        <v>1.143391294559071</v>
      </c>
      <c r="CU78">
        <v>0.1101763805903969</v>
      </c>
      <c r="CV78">
        <v>-1</v>
      </c>
      <c r="CW78">
        <v>0</v>
      </c>
      <c r="CX78">
        <v>0</v>
      </c>
      <c r="CY78" t="s">
        <v>333</v>
      </c>
      <c r="CZ78">
        <v>2.3648099999999999</v>
      </c>
      <c r="DA78">
        <v>2.7136800000000001</v>
      </c>
      <c r="DB78">
        <v>0.12506300000000001</v>
      </c>
      <c r="DC78">
        <v>0.14584800000000001</v>
      </c>
      <c r="DD78">
        <v>0.11558499999999999</v>
      </c>
      <c r="DE78">
        <v>8.0177899999999996E-2</v>
      </c>
      <c r="DF78">
        <v>31960.3</v>
      </c>
      <c r="DG78">
        <v>27524</v>
      </c>
      <c r="DH78">
        <v>31182.3</v>
      </c>
      <c r="DI78">
        <v>28076.2</v>
      </c>
      <c r="DJ78">
        <v>37436</v>
      </c>
      <c r="DK78">
        <v>36710.400000000001</v>
      </c>
      <c r="DL78">
        <v>44374.3</v>
      </c>
      <c r="DM78">
        <v>42540.2</v>
      </c>
      <c r="DN78">
        <v>1.4360999999999999</v>
      </c>
      <c r="DO78">
        <v>2.0731000000000002</v>
      </c>
      <c r="DP78">
        <v>9.4208899999999998E-2</v>
      </c>
      <c r="DQ78">
        <v>0.22339400000000001</v>
      </c>
      <c r="DR78">
        <v>25.448799999999999</v>
      </c>
      <c r="DS78">
        <v>25.433700000000002</v>
      </c>
      <c r="DT78">
        <v>61.5</v>
      </c>
      <c r="DU78">
        <v>26.7</v>
      </c>
      <c r="DV78">
        <v>21.922000000000001</v>
      </c>
      <c r="DW78">
        <v>61.040199999999999</v>
      </c>
      <c r="DX78">
        <v>36.418300000000002</v>
      </c>
      <c r="DY78">
        <v>1</v>
      </c>
      <c r="DZ78">
        <v>-0.14005300000000001</v>
      </c>
      <c r="EA78">
        <v>-0.43854599999999999</v>
      </c>
      <c r="EB78">
        <v>20.189900000000002</v>
      </c>
      <c r="EC78">
        <v>5.2436499999999997</v>
      </c>
      <c r="ED78">
        <v>12.039899999999999</v>
      </c>
      <c r="EE78">
        <v>5.0171999999999999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1.8688400000000001</v>
      </c>
      <c r="EL78">
        <v>1.8644700000000001</v>
      </c>
      <c r="EM78">
        <v>1.8691500000000001</v>
      </c>
      <c r="EN78">
        <v>1.8671</v>
      </c>
      <c r="EO78">
        <v>1.86327</v>
      </c>
      <c r="EP78">
        <v>1.86432</v>
      </c>
      <c r="EQ78">
        <v>1.8701099999999999</v>
      </c>
      <c r="ER78">
        <v>1.8693299999999999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-0.58599999999999997</v>
      </c>
      <c r="FG78">
        <v>0.21110000000000001</v>
      </c>
      <c r="FH78">
        <v>-0.150361779349652</v>
      </c>
      <c r="FI78">
        <v>-6.1462078757559423E-4</v>
      </c>
      <c r="FJ78">
        <v>-1.8861989874597051E-7</v>
      </c>
      <c r="FK78">
        <v>1.1980462299894961E-10</v>
      </c>
      <c r="FL78">
        <v>0.21114761904761539</v>
      </c>
      <c r="FM78">
        <v>0</v>
      </c>
      <c r="FN78">
        <v>0</v>
      </c>
      <c r="FO78">
        <v>0</v>
      </c>
      <c r="FP78">
        <v>3</v>
      </c>
      <c r="FQ78">
        <v>2158</v>
      </c>
      <c r="FR78">
        <v>1</v>
      </c>
      <c r="FS78">
        <v>19</v>
      </c>
      <c r="FT78">
        <v>19.399999999999999</v>
      </c>
      <c r="FU78">
        <v>19.600000000000001</v>
      </c>
      <c r="FV78">
        <v>1.78833</v>
      </c>
      <c r="FW78">
        <v>2.5683600000000002</v>
      </c>
      <c r="FX78">
        <v>1.5490699999999999</v>
      </c>
      <c r="FY78">
        <v>2.33887</v>
      </c>
      <c r="FZ78">
        <v>1.50146</v>
      </c>
      <c r="GA78">
        <v>2.3803700000000001</v>
      </c>
      <c r="GB78">
        <v>31.9146</v>
      </c>
      <c r="GC78">
        <v>23.991199999999999</v>
      </c>
      <c r="GD78">
        <v>19</v>
      </c>
      <c r="GE78">
        <v>263.77</v>
      </c>
      <c r="GF78">
        <v>606.90300000000002</v>
      </c>
      <c r="GG78">
        <v>25.4498</v>
      </c>
      <c r="GH78">
        <v>25.673300000000001</v>
      </c>
      <c r="GI78">
        <v>30.000299999999999</v>
      </c>
      <c r="GJ78">
        <v>25.7668</v>
      </c>
      <c r="GK78">
        <v>25.732700000000001</v>
      </c>
      <c r="GL78">
        <v>35.759700000000002</v>
      </c>
      <c r="GM78">
        <v>39.532699999999998</v>
      </c>
      <c r="GN78">
        <v>96.240300000000005</v>
      </c>
      <c r="GO78">
        <v>25.462399999999999</v>
      </c>
      <c r="GP78">
        <v>800</v>
      </c>
      <c r="GQ78">
        <v>14.8939</v>
      </c>
      <c r="GR78">
        <v>99.768600000000006</v>
      </c>
      <c r="GS78">
        <v>99.528999999999996</v>
      </c>
    </row>
    <row r="79" spans="1:201" x14ac:dyDescent="0.25">
      <c r="A79">
        <v>63</v>
      </c>
      <c r="B79">
        <v>1690377386</v>
      </c>
      <c r="C79">
        <v>669.5</v>
      </c>
      <c r="D79" t="s">
        <v>459</v>
      </c>
      <c r="E79" t="s">
        <v>460</v>
      </c>
      <c r="F79" t="s">
        <v>330</v>
      </c>
      <c r="H79">
        <v>1690377386</v>
      </c>
      <c r="I79">
        <f t="shared" si="0"/>
        <v>8.742484615043934E-4</v>
      </c>
      <c r="J79">
        <f t="shared" si="1"/>
        <v>0.87424846150439339</v>
      </c>
      <c r="K79">
        <f t="shared" si="2"/>
        <v>14.125833847120838</v>
      </c>
      <c r="L79">
        <f t="shared" si="3"/>
        <v>631.37</v>
      </c>
      <c r="M79">
        <f t="shared" si="4"/>
        <v>186.65672291224394</v>
      </c>
      <c r="N79">
        <f t="shared" si="5"/>
        <v>18.431850960909959</v>
      </c>
      <c r="O79">
        <f t="shared" si="6"/>
        <v>62.346094797030005</v>
      </c>
      <c r="P79">
        <f t="shared" si="7"/>
        <v>5.2760170597874738E-2</v>
      </c>
      <c r="Q79">
        <f t="shared" si="8"/>
        <v>2.0056955763342881</v>
      </c>
      <c r="R79">
        <f t="shared" si="9"/>
        <v>5.2001105399280365E-2</v>
      </c>
      <c r="S79">
        <f t="shared" si="10"/>
        <v>3.256798007910737E-2</v>
      </c>
      <c r="T79">
        <f t="shared" si="11"/>
        <v>276.11395848304187</v>
      </c>
      <c r="U79">
        <f t="shared" si="12"/>
        <v>29.075954414935474</v>
      </c>
      <c r="V79">
        <f t="shared" si="13"/>
        <v>29.075954414935474</v>
      </c>
      <c r="W79">
        <f t="shared" si="14"/>
        <v>4.039482931998112</v>
      </c>
      <c r="X79">
        <f t="shared" si="15"/>
        <v>67.629014042843338</v>
      </c>
      <c r="Y79">
        <f t="shared" si="16"/>
        <v>2.4337461735378003</v>
      </c>
      <c r="Z79">
        <f t="shared" si="17"/>
        <v>3.5986716766209388</v>
      </c>
      <c r="AA79">
        <f t="shared" si="18"/>
        <v>1.6057367584603117</v>
      </c>
      <c r="AB79">
        <f t="shared" si="19"/>
        <v>-38.554357152343748</v>
      </c>
      <c r="AC79">
        <f t="shared" si="20"/>
        <v>-214.46221506679672</v>
      </c>
      <c r="AD79">
        <f t="shared" si="21"/>
        <v>-23.327377678403234</v>
      </c>
      <c r="AE79">
        <f t="shared" si="22"/>
        <v>-0.22999141450182492</v>
      </c>
      <c r="AF79">
        <v>14</v>
      </c>
      <c r="AG79">
        <v>5</v>
      </c>
      <c r="AH79">
        <f t="shared" si="23"/>
        <v>1</v>
      </c>
      <c r="AI79">
        <f t="shared" si="24"/>
        <v>0</v>
      </c>
      <c r="AJ79">
        <f t="shared" si="25"/>
        <v>52070.768110332559</v>
      </c>
      <c r="AK79">
        <f t="shared" si="26"/>
        <v>1799.99</v>
      </c>
      <c r="AL79">
        <f t="shared" si="27"/>
        <v>1499.1018914098897</v>
      </c>
      <c r="AM79">
        <f t="shared" si="28"/>
        <v>0.83283901099999991</v>
      </c>
      <c r="AN79">
        <f t="shared" si="29"/>
        <v>0.15339749580999998</v>
      </c>
      <c r="AO79">
        <v>34.5</v>
      </c>
      <c r="AP79">
        <v>0.5</v>
      </c>
      <c r="AQ79" t="s">
        <v>331</v>
      </c>
      <c r="AR79">
        <v>2</v>
      </c>
      <c r="AS79">
        <v>1690377386</v>
      </c>
      <c r="AT79">
        <v>631.37</v>
      </c>
      <c r="AU79">
        <v>800.08100000000002</v>
      </c>
      <c r="AV79">
        <v>24.6462</v>
      </c>
      <c r="AW79">
        <v>14.845000000000001</v>
      </c>
      <c r="AX79">
        <v>631.95399999999995</v>
      </c>
      <c r="AY79">
        <v>24.435099999999998</v>
      </c>
      <c r="AZ79">
        <v>300.149</v>
      </c>
      <c r="BA79">
        <v>98.647300000000001</v>
      </c>
      <c r="BB79">
        <v>0.100019</v>
      </c>
      <c r="BC79">
        <v>27.092600000000001</v>
      </c>
      <c r="BD79">
        <v>26.978000000000002</v>
      </c>
      <c r="BE79">
        <v>29.046600000000002</v>
      </c>
      <c r="BF79">
        <v>0</v>
      </c>
      <c r="BG79">
        <v>0</v>
      </c>
      <c r="BH79">
        <v>9985</v>
      </c>
      <c r="BI79">
        <v>1082.48</v>
      </c>
      <c r="BJ79">
        <v>1.3455900000000001</v>
      </c>
      <c r="BK79">
        <v>-168.71100000000001</v>
      </c>
      <c r="BL79">
        <v>647.32399999999996</v>
      </c>
      <c r="BM79">
        <v>812.13699999999994</v>
      </c>
      <c r="BN79">
        <v>9.8012899999999998</v>
      </c>
      <c r="BO79">
        <v>800.08100000000002</v>
      </c>
      <c r="BP79">
        <v>14.845000000000001</v>
      </c>
      <c r="BQ79">
        <v>2.4312800000000001</v>
      </c>
      <c r="BR79">
        <v>1.46441</v>
      </c>
      <c r="BS79">
        <v>20.573699999999999</v>
      </c>
      <c r="BT79">
        <v>12.601599999999999</v>
      </c>
      <c r="BU79">
        <v>1799.99</v>
      </c>
      <c r="BV79">
        <v>0.90999200000000002</v>
      </c>
      <c r="BW79">
        <v>3.4007900000000001E-2</v>
      </c>
      <c r="BX79">
        <v>2.19998E-2</v>
      </c>
      <c r="BY79">
        <v>3.4000500000000003E-2</v>
      </c>
      <c r="BZ79">
        <v>25</v>
      </c>
      <c r="CA79">
        <v>33528.199999999997</v>
      </c>
      <c r="CB79">
        <v>1690376213.5999999</v>
      </c>
      <c r="CC79" t="s">
        <v>332</v>
      </c>
      <c r="CD79">
        <v>1690376213.5999999</v>
      </c>
      <c r="CE79">
        <v>1690376198.0999999</v>
      </c>
      <c r="CF79">
        <v>2</v>
      </c>
      <c r="CG79">
        <v>0.66900000000000004</v>
      </c>
      <c r="CH79">
        <v>-2.1000000000000001E-2</v>
      </c>
      <c r="CI79">
        <v>-0.70099999999999996</v>
      </c>
      <c r="CJ79">
        <v>0.21099999999999999</v>
      </c>
      <c r="CK79">
        <v>799</v>
      </c>
      <c r="CL79">
        <v>21</v>
      </c>
      <c r="CM79">
        <v>0.11</v>
      </c>
      <c r="CN79">
        <v>0.17</v>
      </c>
      <c r="CO79">
        <v>-164.74387804878049</v>
      </c>
      <c r="CP79">
        <v>-20.214710801393789</v>
      </c>
      <c r="CQ79">
        <v>1.9937276423717369</v>
      </c>
      <c r="CR79">
        <v>-1</v>
      </c>
      <c r="CS79">
        <v>9.5594739024390254</v>
      </c>
      <c r="CT79">
        <v>1.1697066898954831</v>
      </c>
      <c r="CU79">
        <v>0.1155836134448395</v>
      </c>
      <c r="CV79">
        <v>-1</v>
      </c>
      <c r="CW79">
        <v>0</v>
      </c>
      <c r="CX79">
        <v>0</v>
      </c>
      <c r="CY79" t="s">
        <v>333</v>
      </c>
      <c r="CZ79">
        <v>2.36497</v>
      </c>
      <c r="DA79">
        <v>2.7138</v>
      </c>
      <c r="DB79">
        <v>0.124597</v>
      </c>
      <c r="DC79">
        <v>0.14585200000000001</v>
      </c>
      <c r="DD79">
        <v>0.115645</v>
      </c>
      <c r="DE79">
        <v>7.9374500000000001E-2</v>
      </c>
      <c r="DF79">
        <v>31977.8</v>
      </c>
      <c r="DG79">
        <v>27524.400000000001</v>
      </c>
      <c r="DH79">
        <v>31182.7</v>
      </c>
      <c r="DI79">
        <v>28076.799999999999</v>
      </c>
      <c r="DJ79">
        <v>37433.800000000003</v>
      </c>
      <c r="DK79">
        <v>36743.4</v>
      </c>
      <c r="DL79">
        <v>44374.8</v>
      </c>
      <c r="DM79">
        <v>42541.3</v>
      </c>
      <c r="DN79">
        <v>1.4361999999999999</v>
      </c>
      <c r="DO79">
        <v>2.0726200000000001</v>
      </c>
      <c r="DP79">
        <v>9.3262600000000001E-2</v>
      </c>
      <c r="DQ79">
        <v>0.220999</v>
      </c>
      <c r="DR79">
        <v>25.450900000000001</v>
      </c>
      <c r="DS79">
        <v>25.433700000000002</v>
      </c>
      <c r="DT79">
        <v>61.5</v>
      </c>
      <c r="DU79">
        <v>26.7</v>
      </c>
      <c r="DV79">
        <v>21.9252</v>
      </c>
      <c r="DW79">
        <v>61.630200000000002</v>
      </c>
      <c r="DX79">
        <v>36.887</v>
      </c>
      <c r="DY79">
        <v>1</v>
      </c>
      <c r="DZ79">
        <v>-0.14058699999999999</v>
      </c>
      <c r="EA79">
        <v>-0.42472500000000002</v>
      </c>
      <c r="EB79">
        <v>20.189900000000002</v>
      </c>
      <c r="EC79">
        <v>5.242</v>
      </c>
      <c r="ED79">
        <v>12.039899999999999</v>
      </c>
      <c r="EE79">
        <v>5.01675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1.8688199999999999</v>
      </c>
      <c r="EL79">
        <v>1.8644700000000001</v>
      </c>
      <c r="EM79">
        <v>1.8691599999999999</v>
      </c>
      <c r="EN79">
        <v>1.8671199999999999</v>
      </c>
      <c r="EO79">
        <v>1.8632599999999999</v>
      </c>
      <c r="EP79">
        <v>1.86432</v>
      </c>
      <c r="EQ79">
        <v>1.87012</v>
      </c>
      <c r="ER79">
        <v>1.8693500000000001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-0.58399999999999996</v>
      </c>
      <c r="FG79">
        <v>0.21110000000000001</v>
      </c>
      <c r="FH79">
        <v>-0.150361779349652</v>
      </c>
      <c r="FI79">
        <v>-6.1462078757559423E-4</v>
      </c>
      <c r="FJ79">
        <v>-1.8861989874597051E-7</v>
      </c>
      <c r="FK79">
        <v>1.1980462299894961E-10</v>
      </c>
      <c r="FL79">
        <v>0.21114761904761539</v>
      </c>
      <c r="FM79">
        <v>0</v>
      </c>
      <c r="FN79">
        <v>0</v>
      </c>
      <c r="FO79">
        <v>0</v>
      </c>
      <c r="FP79">
        <v>3</v>
      </c>
      <c r="FQ79">
        <v>2158</v>
      </c>
      <c r="FR79">
        <v>1</v>
      </c>
      <c r="FS79">
        <v>19</v>
      </c>
      <c r="FT79">
        <v>19.5</v>
      </c>
      <c r="FU79">
        <v>19.8</v>
      </c>
      <c r="FV79">
        <v>1.78833</v>
      </c>
      <c r="FW79">
        <v>2.5647000000000002</v>
      </c>
      <c r="FX79">
        <v>1.5490699999999999</v>
      </c>
      <c r="FY79">
        <v>2.33887</v>
      </c>
      <c r="FZ79">
        <v>1.50146</v>
      </c>
      <c r="GA79">
        <v>2.3754900000000001</v>
      </c>
      <c r="GB79">
        <v>31.9146</v>
      </c>
      <c r="GC79">
        <v>23.991199999999999</v>
      </c>
      <c r="GD79">
        <v>19</v>
      </c>
      <c r="GE79">
        <v>263.81</v>
      </c>
      <c r="GF79">
        <v>606.49900000000002</v>
      </c>
      <c r="GG79">
        <v>25.471499999999999</v>
      </c>
      <c r="GH79">
        <v>25.671099999999999</v>
      </c>
      <c r="GI79">
        <v>30.0001</v>
      </c>
      <c r="GJ79">
        <v>25.7668</v>
      </c>
      <c r="GK79">
        <v>25.732700000000001</v>
      </c>
      <c r="GL79">
        <v>35.754600000000003</v>
      </c>
      <c r="GM79">
        <v>39.847299999999997</v>
      </c>
      <c r="GN79">
        <v>95.869</v>
      </c>
      <c r="GO79">
        <v>25.482099999999999</v>
      </c>
      <c r="GP79">
        <v>800</v>
      </c>
      <c r="GQ79">
        <v>14.7226</v>
      </c>
      <c r="GR79">
        <v>99.769900000000007</v>
      </c>
      <c r="GS79">
        <v>99.531300000000002</v>
      </c>
    </row>
    <row r="80" spans="1:201" x14ac:dyDescent="0.25">
      <c r="A80">
        <v>64</v>
      </c>
      <c r="B80">
        <v>1690377396</v>
      </c>
      <c r="C80">
        <v>679.5</v>
      </c>
      <c r="D80" t="s">
        <v>461</v>
      </c>
      <c r="E80" t="s">
        <v>462</v>
      </c>
      <c r="F80" t="s">
        <v>330</v>
      </c>
      <c r="H80">
        <v>1690377396</v>
      </c>
      <c r="I80">
        <f t="shared" si="0"/>
        <v>8.8958213033801337E-4</v>
      </c>
      <c r="J80">
        <f t="shared" si="1"/>
        <v>0.88958213033801337</v>
      </c>
      <c r="K80">
        <f t="shared" si="2"/>
        <v>14.424842618848514</v>
      </c>
      <c r="L80">
        <f t="shared" si="3"/>
        <v>627.93799999999999</v>
      </c>
      <c r="M80">
        <f t="shared" si="4"/>
        <v>182.35222715032214</v>
      </c>
      <c r="N80">
        <f t="shared" si="5"/>
        <v>18.006266820365195</v>
      </c>
      <c r="O80">
        <f t="shared" si="6"/>
        <v>62.005380199308995</v>
      </c>
      <c r="P80">
        <f t="shared" si="7"/>
        <v>5.3766597320713656E-2</v>
      </c>
      <c r="Q80">
        <f t="shared" si="8"/>
        <v>2.0065826585817499</v>
      </c>
      <c r="R80">
        <f t="shared" si="9"/>
        <v>5.297887292643641E-2</v>
      </c>
      <c r="S80">
        <f t="shared" si="10"/>
        <v>3.3181608060602677E-2</v>
      </c>
      <c r="T80">
        <f t="shared" si="11"/>
        <v>276.11200174678123</v>
      </c>
      <c r="U80">
        <f t="shared" si="12"/>
        <v>29.073894660118881</v>
      </c>
      <c r="V80">
        <f t="shared" si="13"/>
        <v>29.073894660118881</v>
      </c>
      <c r="W80">
        <f t="shared" si="14"/>
        <v>4.0390017669678819</v>
      </c>
      <c r="X80">
        <f t="shared" si="15"/>
        <v>67.655111236628812</v>
      </c>
      <c r="Y80">
        <f t="shared" si="16"/>
        <v>2.4353141405353997</v>
      </c>
      <c r="Z80">
        <f t="shared" si="17"/>
        <v>3.5996011181146477</v>
      </c>
      <c r="AA80">
        <f t="shared" si="18"/>
        <v>1.6036876264324822</v>
      </c>
      <c r="AB80">
        <f t="shared" si="19"/>
        <v>-39.230571947906391</v>
      </c>
      <c r="AC80">
        <f t="shared" si="20"/>
        <v>-213.85825868945031</v>
      </c>
      <c r="AD80">
        <f t="shared" si="21"/>
        <v>-23.251670216985588</v>
      </c>
      <c r="AE80">
        <f t="shared" si="22"/>
        <v>-0.22849910756104919</v>
      </c>
      <c r="AF80">
        <v>14</v>
      </c>
      <c r="AG80">
        <v>5</v>
      </c>
      <c r="AH80">
        <f t="shared" si="23"/>
        <v>1</v>
      </c>
      <c r="AI80">
        <f t="shared" si="24"/>
        <v>0</v>
      </c>
      <c r="AJ80">
        <f t="shared" si="25"/>
        <v>52112.301049644957</v>
      </c>
      <c r="AK80">
        <f t="shared" si="26"/>
        <v>1799.98</v>
      </c>
      <c r="AL80">
        <f t="shared" si="27"/>
        <v>1499.0937304179199</v>
      </c>
      <c r="AM80">
        <f t="shared" si="28"/>
        <v>0.83283910399999994</v>
      </c>
      <c r="AN80">
        <f t="shared" si="29"/>
        <v>0.15339726094</v>
      </c>
      <c r="AO80">
        <v>34.5</v>
      </c>
      <c r="AP80">
        <v>0.5</v>
      </c>
      <c r="AQ80" t="s">
        <v>331</v>
      </c>
      <c r="AR80">
        <v>2</v>
      </c>
      <c r="AS80">
        <v>1690377396</v>
      </c>
      <c r="AT80">
        <v>627.93799999999999</v>
      </c>
      <c r="AU80">
        <v>800.17700000000002</v>
      </c>
      <c r="AV80">
        <v>24.662800000000001</v>
      </c>
      <c r="AW80">
        <v>14.689</v>
      </c>
      <c r="AX80">
        <v>628.51900000000001</v>
      </c>
      <c r="AY80">
        <v>24.451699999999999</v>
      </c>
      <c r="AZ80">
        <v>300.12299999999999</v>
      </c>
      <c r="BA80">
        <v>98.644499999999994</v>
      </c>
      <c r="BB80">
        <v>9.9930500000000005E-2</v>
      </c>
      <c r="BC80">
        <v>27.097000000000001</v>
      </c>
      <c r="BD80">
        <v>26.9908</v>
      </c>
      <c r="BE80">
        <v>29.062799999999999</v>
      </c>
      <c r="BF80">
        <v>0</v>
      </c>
      <c r="BG80">
        <v>0</v>
      </c>
      <c r="BH80">
        <v>9993.75</v>
      </c>
      <c r="BI80">
        <v>1082.53</v>
      </c>
      <c r="BJ80">
        <v>1.3455900000000001</v>
      </c>
      <c r="BK80">
        <v>-172.239</v>
      </c>
      <c r="BL80">
        <v>643.81600000000003</v>
      </c>
      <c r="BM80">
        <v>812.10599999999999</v>
      </c>
      <c r="BN80">
        <v>9.9738399999999992</v>
      </c>
      <c r="BO80">
        <v>800.17700000000002</v>
      </c>
      <c r="BP80">
        <v>14.689</v>
      </c>
      <c r="BQ80">
        <v>2.4328500000000002</v>
      </c>
      <c r="BR80">
        <v>1.44899</v>
      </c>
      <c r="BS80">
        <v>20.584099999999999</v>
      </c>
      <c r="BT80">
        <v>12.440200000000001</v>
      </c>
      <c r="BU80">
        <v>1799.98</v>
      </c>
      <c r="BV80">
        <v>0.90999799999999997</v>
      </c>
      <c r="BW80">
        <v>3.4005500000000001E-2</v>
      </c>
      <c r="BX80">
        <v>2.1998199999999999E-2</v>
      </c>
      <c r="BY80">
        <v>3.3998E-2</v>
      </c>
      <c r="BZ80">
        <v>25</v>
      </c>
      <c r="CA80">
        <v>33528.1</v>
      </c>
      <c r="CB80">
        <v>1690376213.5999999</v>
      </c>
      <c r="CC80" t="s">
        <v>332</v>
      </c>
      <c r="CD80">
        <v>1690376213.5999999</v>
      </c>
      <c r="CE80">
        <v>1690376198.0999999</v>
      </c>
      <c r="CF80">
        <v>2</v>
      </c>
      <c r="CG80">
        <v>0.66900000000000004</v>
      </c>
      <c r="CH80">
        <v>-2.1000000000000001E-2</v>
      </c>
      <c r="CI80">
        <v>-0.70099999999999996</v>
      </c>
      <c r="CJ80">
        <v>0.21099999999999999</v>
      </c>
      <c r="CK80">
        <v>799</v>
      </c>
      <c r="CL80">
        <v>21</v>
      </c>
      <c r="CM80">
        <v>0.11</v>
      </c>
      <c r="CN80">
        <v>0.17</v>
      </c>
      <c r="CO80">
        <v>-168.14787804878051</v>
      </c>
      <c r="CP80">
        <v>-20.54343554006963</v>
      </c>
      <c r="CQ80">
        <v>2.0259772131133968</v>
      </c>
      <c r="CR80">
        <v>-1</v>
      </c>
      <c r="CS80">
        <v>9.7516995121951204</v>
      </c>
      <c r="CT80">
        <v>1.1483287108013649</v>
      </c>
      <c r="CU80">
        <v>0.1138682785213713</v>
      </c>
      <c r="CV80">
        <v>-1</v>
      </c>
      <c r="CW80">
        <v>0</v>
      </c>
      <c r="CX80">
        <v>0</v>
      </c>
      <c r="CY80" t="s">
        <v>333</v>
      </c>
      <c r="CZ80">
        <v>2.3649</v>
      </c>
      <c r="DA80">
        <v>2.7137199999999999</v>
      </c>
      <c r="DB80">
        <v>0.124121</v>
      </c>
      <c r="DC80">
        <v>0.14585600000000001</v>
      </c>
      <c r="DD80">
        <v>0.11569699999999999</v>
      </c>
      <c r="DE80">
        <v>7.8758800000000004E-2</v>
      </c>
      <c r="DF80">
        <v>31995.4</v>
      </c>
      <c r="DG80">
        <v>27524.5</v>
      </c>
      <c r="DH80">
        <v>31183</v>
      </c>
      <c r="DI80">
        <v>28077</v>
      </c>
      <c r="DJ80">
        <v>37431.800000000003</v>
      </c>
      <c r="DK80">
        <v>36768.199999999997</v>
      </c>
      <c r="DL80">
        <v>44375.1</v>
      </c>
      <c r="DM80">
        <v>42541.5</v>
      </c>
      <c r="DN80">
        <v>1.4367000000000001</v>
      </c>
      <c r="DO80">
        <v>2.0723699999999998</v>
      </c>
      <c r="DP80">
        <v>9.3873600000000001E-2</v>
      </c>
      <c r="DQ80">
        <v>0.22192300000000001</v>
      </c>
      <c r="DR80">
        <v>25.453600000000002</v>
      </c>
      <c r="DS80">
        <v>25.434899999999999</v>
      </c>
      <c r="DT80">
        <v>61.4</v>
      </c>
      <c r="DU80">
        <v>26.7</v>
      </c>
      <c r="DV80">
        <v>21.888400000000001</v>
      </c>
      <c r="DW80">
        <v>61.440199999999997</v>
      </c>
      <c r="DX80">
        <v>37.135399999999997</v>
      </c>
      <c r="DY80">
        <v>1</v>
      </c>
      <c r="DZ80">
        <v>-0.14046700000000001</v>
      </c>
      <c r="EA80">
        <v>-0.46661999999999998</v>
      </c>
      <c r="EB80">
        <v>20.189800000000002</v>
      </c>
      <c r="EC80">
        <v>5.2431999999999999</v>
      </c>
      <c r="ED80">
        <v>12.039899999999999</v>
      </c>
      <c r="EE80">
        <v>5.01715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1.8688400000000001</v>
      </c>
      <c r="EL80">
        <v>1.8644799999999999</v>
      </c>
      <c r="EM80">
        <v>1.86914</v>
      </c>
      <c r="EN80">
        <v>1.86717</v>
      </c>
      <c r="EO80">
        <v>1.8632599999999999</v>
      </c>
      <c r="EP80">
        <v>1.86432</v>
      </c>
      <c r="EQ80">
        <v>1.87012</v>
      </c>
      <c r="ER80">
        <v>1.86934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-0.58099999999999996</v>
      </c>
      <c r="FG80">
        <v>0.21110000000000001</v>
      </c>
      <c r="FH80">
        <v>-0.150361779349652</v>
      </c>
      <c r="FI80">
        <v>-6.1462078757559423E-4</v>
      </c>
      <c r="FJ80">
        <v>-1.8861989874597051E-7</v>
      </c>
      <c r="FK80">
        <v>1.1980462299894961E-10</v>
      </c>
      <c r="FL80">
        <v>0.21114761904761539</v>
      </c>
      <c r="FM80">
        <v>0</v>
      </c>
      <c r="FN80">
        <v>0</v>
      </c>
      <c r="FO80">
        <v>0</v>
      </c>
      <c r="FP80">
        <v>3</v>
      </c>
      <c r="FQ80">
        <v>2158</v>
      </c>
      <c r="FR80">
        <v>1</v>
      </c>
      <c r="FS80">
        <v>19</v>
      </c>
      <c r="FT80">
        <v>19.7</v>
      </c>
      <c r="FU80">
        <v>20</v>
      </c>
      <c r="FV80">
        <v>1.78833</v>
      </c>
      <c r="FW80">
        <v>2.5671400000000002</v>
      </c>
      <c r="FX80">
        <v>1.5490699999999999</v>
      </c>
      <c r="FY80">
        <v>2.33887</v>
      </c>
      <c r="FZ80">
        <v>1.50146</v>
      </c>
      <c r="GA80">
        <v>2.3156699999999999</v>
      </c>
      <c r="GB80">
        <v>31.936499999999999</v>
      </c>
      <c r="GC80">
        <v>23.982399999999998</v>
      </c>
      <c r="GD80">
        <v>19</v>
      </c>
      <c r="GE80">
        <v>264.01100000000002</v>
      </c>
      <c r="GF80">
        <v>606.30600000000004</v>
      </c>
      <c r="GG80">
        <v>25.494299999999999</v>
      </c>
      <c r="GH80">
        <v>25.671099999999999</v>
      </c>
      <c r="GI80">
        <v>30.000299999999999</v>
      </c>
      <c r="GJ80">
        <v>25.7668</v>
      </c>
      <c r="GK80">
        <v>25.734300000000001</v>
      </c>
      <c r="GL80">
        <v>35.746899999999997</v>
      </c>
      <c r="GM80">
        <v>40.411900000000003</v>
      </c>
      <c r="GN80">
        <v>95.482699999999994</v>
      </c>
      <c r="GO80">
        <v>25.509</v>
      </c>
      <c r="GP80">
        <v>800</v>
      </c>
      <c r="GQ80">
        <v>14.550800000000001</v>
      </c>
      <c r="GR80">
        <v>99.770499999999998</v>
      </c>
      <c r="GS80">
        <v>99.531899999999993</v>
      </c>
    </row>
    <row r="81" spans="1:201" x14ac:dyDescent="0.25">
      <c r="A81">
        <v>65</v>
      </c>
      <c r="B81">
        <v>1690377406</v>
      </c>
      <c r="C81">
        <v>689.5</v>
      </c>
      <c r="D81" t="s">
        <v>463</v>
      </c>
      <c r="E81" t="s">
        <v>464</v>
      </c>
      <c r="F81" t="s">
        <v>330</v>
      </c>
      <c r="H81">
        <v>1690377406</v>
      </c>
      <c r="I81">
        <f t="shared" ref="I81:I144" si="30">(J81)/1000</f>
        <v>9.0702558198911803E-4</v>
      </c>
      <c r="J81">
        <f t="shared" ref="J81:J144" si="31">1000*AZ81*AH81*(AV81-AW81)/(100*AO81*(1000-AH81*AV81))</f>
        <v>0.90702558198911798</v>
      </c>
      <c r="K81">
        <f t="shared" ref="K81:K144" si="32">AZ81*AH81*(AU81-AT81*(1000-AH81*AW81)/(1000-AH81*AV81))/(100*AO81)</f>
        <v>14.717288348370367</v>
      </c>
      <c r="L81">
        <f t="shared" ref="L81:L144" si="33">AT81 - IF(AH81&gt;1, K81*AO81*100/(AJ81*BH81), 0)</f>
        <v>624.45000000000005</v>
      </c>
      <c r="M81">
        <f t="shared" ref="M81:M144" si="34">((S81-I81/2)*L81-K81)/(S81+I81/2)</f>
        <v>179.91234999406248</v>
      </c>
      <c r="N81">
        <f t="shared" ref="N81:N144" si="35">M81*(BA81+BB81)/1000</f>
        <v>17.765514446330794</v>
      </c>
      <c r="O81">
        <f t="shared" ref="O81:O144" si="36">(AT81 - IF(AH81&gt;1, K81*AO81*100/(AJ81*BH81), 0))*(BA81+BB81)/1000</f>
        <v>61.661556287700002</v>
      </c>
      <c r="P81">
        <f t="shared" ref="P81:P144" si="37">2/((1/R81-1/Q81)+SIGN(R81)*SQRT((1/R81-1/Q81)*(1/R81-1/Q81) + 4*AP81/((AP81+1)*(AP81+1))*(2*1/R81*1/Q81-1/Q81*1/Q81)))</f>
        <v>5.4990896961931664E-2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2.0069848693345964</v>
      </c>
      <c r="R81">
        <f t="shared" ref="R81:R144" si="39">I81*(1000-(1000*0.61365*EXP(17.502*V81/(240.97+V81))/(BA81+BB81)+AV81)/2)/(1000*0.61365*EXP(17.502*V81/(240.97+V81))/(BA81+BB81)-AV81)</f>
        <v>5.4167348881298288E-2</v>
      </c>
      <c r="S81">
        <f t="shared" ref="S81:S144" si="40">1/((AP81+1)/(P81/1.6)+1/(Q81/1.37)) + AP81/((AP81+1)/(P81/1.6) + AP81/(Q81/1.37))</f>
        <v>3.3927558132557878E-2</v>
      </c>
      <c r="T81">
        <f t="shared" ref="T81:T144" si="41">(AK81*AN81)</f>
        <v>276.11485262999997</v>
      </c>
      <c r="U81">
        <f t="shared" ref="U81:U144" si="42">(BC81+(T81+2*0.95*0.0000000567*(((BC81+$B$7)+273)^4-(BC81+273)^4)-44100*I81)/(1.84*29.3*Q81+8*0.95*0.0000000567*(BC81+273)^3))</f>
        <v>29.065644968630952</v>
      </c>
      <c r="V81">
        <f t="shared" ref="V81:V144" si="43">($C$7*BD81+$D$7*BE81+$E$7*U81)</f>
        <v>29.065644968630952</v>
      </c>
      <c r="W81">
        <f t="shared" ref="W81:W144" si="44">0.61365*EXP(17.502*V81/(240.97+V81))</f>
        <v>4.0370751146584709</v>
      </c>
      <c r="X81">
        <f t="shared" ref="X81:X144" si="45">(Y81/Z81*100)</f>
        <v>67.730309090958016</v>
      </c>
      <c r="Y81">
        <f t="shared" ref="Y81:Y144" si="46">AV81*(BA81+BB81)/1000</f>
        <v>2.4378063404907997</v>
      </c>
      <c r="Z81">
        <f t="shared" ref="Z81:Z144" si="47">0.61365*EXP(17.502*BC81/(240.97+BC81))</f>
        <v>3.5992842395226075</v>
      </c>
      <c r="AA81">
        <f t="shared" ref="AA81:AA144" si="48">(W81-AV81*(BA81+BB81)/1000)</f>
        <v>1.5992687741676712</v>
      </c>
      <c r="AB81">
        <f t="shared" ref="AB81:AB144" si="49">(-I81*44100)</f>
        <v>-39.999828165720103</v>
      </c>
      <c r="AC81">
        <f t="shared" ref="AC81:AC144" si="50">2*29.3*Q81*0.92*(BC81-V81)</f>
        <v>-213.17080519111758</v>
      </c>
      <c r="AD81">
        <f t="shared" ref="AD81:AD144" si="51">2*0.95*0.0000000567*(((BC81+$B$7)+273)^4-(V81+273)^4)</f>
        <v>-23.171155057244533</v>
      </c>
      <c r="AE81">
        <f t="shared" ref="AE81:AE144" si="52">T81+AD81+AB81+AC81</f>
        <v>-0.2269357840822579</v>
      </c>
      <c r="AF81">
        <v>14</v>
      </c>
      <c r="AG81">
        <v>5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52131.794263610085</v>
      </c>
      <c r="AK81">
        <f t="shared" ref="AK81:AK144" si="56">$B$11*BI81+$C$11*BJ81+$D$11*BU81</f>
        <v>1800</v>
      </c>
      <c r="AL81">
        <f t="shared" ref="AL81:AL144" si="57">AK81*AM81</f>
        <v>1499.1111090000002</v>
      </c>
      <c r="AM81">
        <f t="shared" ref="AM81:AM144" si="58">($B$11*$D$9+$C$11*$D$9+$D$11*(BV81*$E$9+BW81*$F$9+BX81*$G$9+BY81*$H$9))/($B$11+$C$11+$D$11)</f>
        <v>0.83283950500000004</v>
      </c>
      <c r="AN81">
        <f t="shared" ref="AN81:AN144" si="59">($B$11*$K$9+$C$11*$K$9+$D$11*(BV81*$L$9+BW81*$M$9+BX81*$N$9+BY81*$O$9))/($B$11+$C$11+$D$11)</f>
        <v>0.15339714034999999</v>
      </c>
      <c r="AO81">
        <v>34.5</v>
      </c>
      <c r="AP81">
        <v>0.5</v>
      </c>
      <c r="AQ81" t="s">
        <v>331</v>
      </c>
      <c r="AR81">
        <v>2</v>
      </c>
      <c r="AS81">
        <v>1690377406</v>
      </c>
      <c r="AT81">
        <v>624.45000000000005</v>
      </c>
      <c r="AU81">
        <v>800.12800000000004</v>
      </c>
      <c r="AV81">
        <v>24.687799999999999</v>
      </c>
      <c r="AW81">
        <v>14.519399999999999</v>
      </c>
      <c r="AX81">
        <v>625.029</v>
      </c>
      <c r="AY81">
        <v>24.476700000000001</v>
      </c>
      <c r="AZ81">
        <v>300.14400000000001</v>
      </c>
      <c r="BA81">
        <v>98.645399999999995</v>
      </c>
      <c r="BB81">
        <v>9.9986000000000005E-2</v>
      </c>
      <c r="BC81">
        <v>27.095500000000001</v>
      </c>
      <c r="BD81">
        <v>26.988499999999998</v>
      </c>
      <c r="BE81">
        <v>29.085799999999999</v>
      </c>
      <c r="BF81">
        <v>0</v>
      </c>
      <c r="BG81">
        <v>0</v>
      </c>
      <c r="BH81">
        <v>9997.5</v>
      </c>
      <c r="BI81">
        <v>1082.49</v>
      </c>
      <c r="BJ81">
        <v>1.3455900000000001</v>
      </c>
      <c r="BK81">
        <v>-175.678</v>
      </c>
      <c r="BL81">
        <v>640.25699999999995</v>
      </c>
      <c r="BM81">
        <v>811.91700000000003</v>
      </c>
      <c r="BN81">
        <v>10.1684</v>
      </c>
      <c r="BO81">
        <v>800.12800000000004</v>
      </c>
      <c r="BP81">
        <v>14.519399999999999</v>
      </c>
      <c r="BQ81">
        <v>2.4353400000000001</v>
      </c>
      <c r="BR81">
        <v>1.4322699999999999</v>
      </c>
      <c r="BS81">
        <v>20.6007</v>
      </c>
      <c r="BT81">
        <v>12.2636</v>
      </c>
      <c r="BU81">
        <v>1800</v>
      </c>
      <c r="BV81">
        <v>0.91000300000000001</v>
      </c>
      <c r="BW81">
        <v>3.4003600000000002E-2</v>
      </c>
      <c r="BX81">
        <v>2.1996999999999999E-2</v>
      </c>
      <c r="BY81">
        <v>3.3996100000000001E-2</v>
      </c>
      <c r="BZ81">
        <v>25</v>
      </c>
      <c r="CA81">
        <v>33528.300000000003</v>
      </c>
      <c r="CB81">
        <v>1690376213.5999999</v>
      </c>
      <c r="CC81" t="s">
        <v>332</v>
      </c>
      <c r="CD81">
        <v>1690376213.5999999</v>
      </c>
      <c r="CE81">
        <v>1690376198.0999999</v>
      </c>
      <c r="CF81">
        <v>2</v>
      </c>
      <c r="CG81">
        <v>0.66900000000000004</v>
      </c>
      <c r="CH81">
        <v>-2.1000000000000001E-2</v>
      </c>
      <c r="CI81">
        <v>-0.70099999999999996</v>
      </c>
      <c r="CJ81">
        <v>0.21099999999999999</v>
      </c>
      <c r="CK81">
        <v>799</v>
      </c>
      <c r="CL81">
        <v>21</v>
      </c>
      <c r="CM81">
        <v>0.11</v>
      </c>
      <c r="CN81">
        <v>0.17</v>
      </c>
      <c r="CO81">
        <v>-171.8432</v>
      </c>
      <c r="CP81">
        <v>-20.476097560974932</v>
      </c>
      <c r="CQ81">
        <v>1.9708398996367</v>
      </c>
      <c r="CR81">
        <v>-1</v>
      </c>
      <c r="CS81">
        <v>9.9556825</v>
      </c>
      <c r="CT81">
        <v>1.0768669418386241</v>
      </c>
      <c r="CU81">
        <v>0.10403838526596811</v>
      </c>
      <c r="CV81">
        <v>-1</v>
      </c>
      <c r="CW81">
        <v>0</v>
      </c>
      <c r="CX81">
        <v>0</v>
      </c>
      <c r="CY81" t="s">
        <v>333</v>
      </c>
      <c r="CZ81">
        <v>2.3649399999999998</v>
      </c>
      <c r="DA81">
        <v>2.7137699999999998</v>
      </c>
      <c r="DB81">
        <v>0.12364</v>
      </c>
      <c r="DC81">
        <v>0.14584800000000001</v>
      </c>
      <c r="DD81">
        <v>0.115781</v>
      </c>
      <c r="DE81">
        <v>7.8089800000000001E-2</v>
      </c>
      <c r="DF81">
        <v>32012.6</v>
      </c>
      <c r="DG81">
        <v>27524.400000000001</v>
      </c>
      <c r="DH81">
        <v>31182.7</v>
      </c>
      <c r="DI81">
        <v>28076.7</v>
      </c>
      <c r="DJ81">
        <v>37427.9</v>
      </c>
      <c r="DK81">
        <v>36794.699999999997</v>
      </c>
      <c r="DL81">
        <v>44374.8</v>
      </c>
      <c r="DM81">
        <v>42541.1</v>
      </c>
      <c r="DN81">
        <v>1.43702</v>
      </c>
      <c r="DO81">
        <v>2.0720800000000001</v>
      </c>
      <c r="DP81">
        <v>9.3542E-2</v>
      </c>
      <c r="DQ81">
        <v>0.223272</v>
      </c>
      <c r="DR81">
        <v>25.456800000000001</v>
      </c>
      <c r="DS81">
        <v>25.4359</v>
      </c>
      <c r="DT81">
        <v>61.4</v>
      </c>
      <c r="DU81">
        <v>26.7</v>
      </c>
      <c r="DV81">
        <v>21.886700000000001</v>
      </c>
      <c r="DW81">
        <v>61.6402</v>
      </c>
      <c r="DX81">
        <v>37.099400000000003</v>
      </c>
      <c r="DY81">
        <v>1</v>
      </c>
      <c r="DZ81">
        <v>-0.140711</v>
      </c>
      <c r="EA81">
        <v>-0.45921299999999998</v>
      </c>
      <c r="EB81">
        <v>20.189699999999998</v>
      </c>
      <c r="EC81">
        <v>5.2430500000000002</v>
      </c>
      <c r="ED81">
        <v>12.039899999999999</v>
      </c>
      <c r="EE81">
        <v>5.0171000000000001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1.8688400000000001</v>
      </c>
      <c r="EL81">
        <v>1.8644700000000001</v>
      </c>
      <c r="EM81">
        <v>1.8691500000000001</v>
      </c>
      <c r="EN81">
        <v>1.8671599999999999</v>
      </c>
      <c r="EO81">
        <v>1.86327</v>
      </c>
      <c r="EP81">
        <v>1.86432</v>
      </c>
      <c r="EQ81">
        <v>1.8701099999999999</v>
      </c>
      <c r="ER81">
        <v>1.8693500000000001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-0.57899999999999996</v>
      </c>
      <c r="FG81">
        <v>0.21110000000000001</v>
      </c>
      <c r="FH81">
        <v>-0.150361779349652</v>
      </c>
      <c r="FI81">
        <v>-6.1462078757559423E-4</v>
      </c>
      <c r="FJ81">
        <v>-1.8861989874597051E-7</v>
      </c>
      <c r="FK81">
        <v>1.1980462299894961E-10</v>
      </c>
      <c r="FL81">
        <v>0.21114761904761539</v>
      </c>
      <c r="FM81">
        <v>0</v>
      </c>
      <c r="FN81">
        <v>0</v>
      </c>
      <c r="FO81">
        <v>0</v>
      </c>
      <c r="FP81">
        <v>3</v>
      </c>
      <c r="FQ81">
        <v>2158</v>
      </c>
      <c r="FR81">
        <v>1</v>
      </c>
      <c r="FS81">
        <v>19</v>
      </c>
      <c r="FT81">
        <v>19.899999999999999</v>
      </c>
      <c r="FU81">
        <v>20.100000000000001</v>
      </c>
      <c r="FV81">
        <v>1.78711</v>
      </c>
      <c r="FW81">
        <v>2.5744600000000002</v>
      </c>
      <c r="FX81">
        <v>1.5490699999999999</v>
      </c>
      <c r="FY81">
        <v>2.33887</v>
      </c>
      <c r="FZ81">
        <v>1.50146</v>
      </c>
      <c r="GA81">
        <v>2.2766099999999998</v>
      </c>
      <c r="GB81">
        <v>31.936499999999999</v>
      </c>
      <c r="GC81">
        <v>23.982399999999998</v>
      </c>
      <c r="GD81">
        <v>19</v>
      </c>
      <c r="GE81">
        <v>264.142</v>
      </c>
      <c r="GF81">
        <v>606.05700000000002</v>
      </c>
      <c r="GG81">
        <v>25.519100000000002</v>
      </c>
      <c r="GH81">
        <v>25.671099999999999</v>
      </c>
      <c r="GI81">
        <v>30.0001</v>
      </c>
      <c r="GJ81">
        <v>25.7668</v>
      </c>
      <c r="GK81">
        <v>25.7348</v>
      </c>
      <c r="GL81">
        <v>35.747199999999999</v>
      </c>
      <c r="GM81">
        <v>41.297899999999998</v>
      </c>
      <c r="GN81">
        <v>95.107200000000006</v>
      </c>
      <c r="GO81">
        <v>25.527100000000001</v>
      </c>
      <c r="GP81">
        <v>800</v>
      </c>
      <c r="GQ81">
        <v>14.370699999999999</v>
      </c>
      <c r="GR81">
        <v>99.769800000000004</v>
      </c>
      <c r="GS81">
        <v>99.530900000000003</v>
      </c>
    </row>
    <row r="82" spans="1:201" x14ac:dyDescent="0.25">
      <c r="A82">
        <v>66</v>
      </c>
      <c r="B82">
        <v>1690377416</v>
      </c>
      <c r="C82">
        <v>699.5</v>
      </c>
      <c r="D82" t="s">
        <v>465</v>
      </c>
      <c r="E82" t="s">
        <v>466</v>
      </c>
      <c r="F82" t="s">
        <v>330</v>
      </c>
      <c r="H82">
        <v>1690377416</v>
      </c>
      <c r="I82">
        <f t="shared" si="30"/>
        <v>9.2654960160895236E-4</v>
      </c>
      <c r="J82">
        <f t="shared" si="31"/>
        <v>0.92654960160895239</v>
      </c>
      <c r="K82">
        <f t="shared" si="32"/>
        <v>15.010987558866542</v>
      </c>
      <c r="L82">
        <f t="shared" si="33"/>
        <v>620.96299999999997</v>
      </c>
      <c r="M82">
        <f t="shared" si="34"/>
        <v>177.45248118752562</v>
      </c>
      <c r="N82">
        <f t="shared" si="35"/>
        <v>17.521993519607708</v>
      </c>
      <c r="O82">
        <f t="shared" si="36"/>
        <v>61.315060736840401</v>
      </c>
      <c r="P82">
        <f t="shared" si="37"/>
        <v>5.6227131530094898E-2</v>
      </c>
      <c r="Q82">
        <f t="shared" si="38"/>
        <v>2.0051140350988099</v>
      </c>
      <c r="R82">
        <f t="shared" si="39"/>
        <v>5.5365662015324418E-2</v>
      </c>
      <c r="S82">
        <f t="shared" si="40"/>
        <v>3.4679838875199855E-2</v>
      </c>
      <c r="T82">
        <f t="shared" si="41"/>
        <v>276.11315781149011</v>
      </c>
      <c r="U82">
        <f t="shared" si="42"/>
        <v>29.069382164890328</v>
      </c>
      <c r="V82">
        <f t="shared" si="43"/>
        <v>29.069382164890328</v>
      </c>
      <c r="W82">
        <f t="shared" si="44"/>
        <v>4.037947808936134</v>
      </c>
      <c r="X82">
        <f t="shared" si="45"/>
        <v>67.745793202527025</v>
      </c>
      <c r="Y82">
        <f t="shared" si="46"/>
        <v>2.4396948895082402</v>
      </c>
      <c r="Z82">
        <f t="shared" si="47"/>
        <v>3.6012492793681479</v>
      </c>
      <c r="AA82">
        <f t="shared" si="48"/>
        <v>1.5982529194278938</v>
      </c>
      <c r="AB82">
        <f t="shared" si="49"/>
        <v>-40.860837430954803</v>
      </c>
      <c r="AC82">
        <f t="shared" si="50"/>
        <v>-212.37075809209608</v>
      </c>
      <c r="AD82">
        <f t="shared" si="51"/>
        <v>-23.107229522702436</v>
      </c>
      <c r="AE82">
        <f t="shared" si="52"/>
        <v>-0.22566723426319868</v>
      </c>
      <c r="AF82">
        <v>14</v>
      </c>
      <c r="AG82">
        <v>5</v>
      </c>
      <c r="AH82">
        <f t="shared" si="53"/>
        <v>1</v>
      </c>
      <c r="AI82">
        <f t="shared" si="54"/>
        <v>0</v>
      </c>
      <c r="AJ82">
        <f t="shared" si="55"/>
        <v>52040.783416766601</v>
      </c>
      <c r="AK82">
        <f t="shared" si="56"/>
        <v>1799.99</v>
      </c>
      <c r="AL82">
        <f t="shared" si="57"/>
        <v>1499.1047497940099</v>
      </c>
      <c r="AM82">
        <f t="shared" si="58"/>
        <v>0.83284059899999996</v>
      </c>
      <c r="AN82">
        <f t="shared" si="59"/>
        <v>0.15339705099000001</v>
      </c>
      <c r="AO82">
        <v>34.5</v>
      </c>
      <c r="AP82">
        <v>0.5</v>
      </c>
      <c r="AQ82" t="s">
        <v>331</v>
      </c>
      <c r="AR82">
        <v>2</v>
      </c>
      <c r="AS82">
        <v>1690377416</v>
      </c>
      <c r="AT82">
        <v>620.96299999999997</v>
      </c>
      <c r="AU82">
        <v>800.10500000000002</v>
      </c>
      <c r="AV82">
        <v>24.707799999999999</v>
      </c>
      <c r="AW82">
        <v>14.3216</v>
      </c>
      <c r="AX82">
        <v>621.54</v>
      </c>
      <c r="AY82">
        <v>24.496600000000001</v>
      </c>
      <c r="AZ82">
        <v>300.16899999999998</v>
      </c>
      <c r="BA82">
        <v>98.641900000000007</v>
      </c>
      <c r="BB82">
        <v>9.9990800000000005E-2</v>
      </c>
      <c r="BC82">
        <v>27.104800000000001</v>
      </c>
      <c r="BD82">
        <v>27.005400000000002</v>
      </c>
      <c r="BE82">
        <v>29.0625</v>
      </c>
      <c r="BF82">
        <v>0</v>
      </c>
      <c r="BG82">
        <v>0</v>
      </c>
      <c r="BH82">
        <v>9980</v>
      </c>
      <c r="BI82">
        <v>1082.33</v>
      </c>
      <c r="BJ82">
        <v>1.3455900000000001</v>
      </c>
      <c r="BK82">
        <v>-179.142</v>
      </c>
      <c r="BL82">
        <v>636.69500000000005</v>
      </c>
      <c r="BM82">
        <v>811.73099999999999</v>
      </c>
      <c r="BN82">
        <v>10.386200000000001</v>
      </c>
      <c r="BO82">
        <v>800.10500000000002</v>
      </c>
      <c r="BP82">
        <v>14.3216</v>
      </c>
      <c r="BQ82">
        <v>2.4372199999999999</v>
      </c>
      <c r="BR82">
        <v>1.4127099999999999</v>
      </c>
      <c r="BS82">
        <v>20.613199999999999</v>
      </c>
      <c r="BT82">
        <v>12.0547</v>
      </c>
      <c r="BU82">
        <v>1799.99</v>
      </c>
      <c r="BV82">
        <v>0.91001100000000001</v>
      </c>
      <c r="BW82">
        <v>3.4000799999999998E-2</v>
      </c>
      <c r="BX82">
        <v>2.1995199999999999E-2</v>
      </c>
      <c r="BY82">
        <v>3.3993299999999997E-2</v>
      </c>
      <c r="BZ82">
        <v>25</v>
      </c>
      <c r="CA82">
        <v>33528.400000000001</v>
      </c>
      <c r="CB82">
        <v>1690376213.5999999</v>
      </c>
      <c r="CC82" t="s">
        <v>332</v>
      </c>
      <c r="CD82">
        <v>1690376213.5999999</v>
      </c>
      <c r="CE82">
        <v>1690376198.0999999</v>
      </c>
      <c r="CF82">
        <v>2</v>
      </c>
      <c r="CG82">
        <v>0.66900000000000004</v>
      </c>
      <c r="CH82">
        <v>-2.1000000000000001E-2</v>
      </c>
      <c r="CI82">
        <v>-0.70099999999999996</v>
      </c>
      <c r="CJ82">
        <v>0.21099999999999999</v>
      </c>
      <c r="CK82">
        <v>799</v>
      </c>
      <c r="CL82">
        <v>21</v>
      </c>
      <c r="CM82">
        <v>0.11</v>
      </c>
      <c r="CN82">
        <v>0.17</v>
      </c>
      <c r="CO82">
        <v>-175.05834146341459</v>
      </c>
      <c r="CP82">
        <v>-20.77179094076665</v>
      </c>
      <c r="CQ82">
        <v>2.0496885142269701</v>
      </c>
      <c r="CR82">
        <v>-1</v>
      </c>
      <c r="CS82">
        <v>10.134277073170731</v>
      </c>
      <c r="CT82">
        <v>1.174794355400695</v>
      </c>
      <c r="CU82">
        <v>0.1161003672237193</v>
      </c>
      <c r="CV82">
        <v>-1</v>
      </c>
      <c r="CW82">
        <v>0</v>
      </c>
      <c r="CX82">
        <v>0</v>
      </c>
      <c r="CY82" t="s">
        <v>333</v>
      </c>
      <c r="CZ82">
        <v>2.36503</v>
      </c>
      <c r="DA82">
        <v>2.7137600000000002</v>
      </c>
      <c r="DB82">
        <v>0.123154</v>
      </c>
      <c r="DC82">
        <v>0.14583599999999999</v>
      </c>
      <c r="DD82">
        <v>0.115843</v>
      </c>
      <c r="DE82">
        <v>7.7302599999999999E-2</v>
      </c>
      <c r="DF82">
        <v>32030.799999999999</v>
      </c>
      <c r="DG82">
        <v>27525.1</v>
      </c>
      <c r="DH82">
        <v>31183.1</v>
      </c>
      <c r="DI82">
        <v>28076.9</v>
      </c>
      <c r="DJ82">
        <v>37425.599999999999</v>
      </c>
      <c r="DK82">
        <v>36826.5</v>
      </c>
      <c r="DL82">
        <v>44375.3</v>
      </c>
      <c r="DM82">
        <v>42541.5</v>
      </c>
      <c r="DN82">
        <v>1.43685</v>
      </c>
      <c r="DO82">
        <v>2.0720499999999999</v>
      </c>
      <c r="DP82">
        <v>9.4544100000000006E-2</v>
      </c>
      <c r="DQ82">
        <v>0.221584</v>
      </c>
      <c r="DR82">
        <v>25.4573</v>
      </c>
      <c r="DS82">
        <v>25.440200000000001</v>
      </c>
      <c r="DT82">
        <v>61.4</v>
      </c>
      <c r="DU82">
        <v>26.7</v>
      </c>
      <c r="DV82">
        <v>21.8949</v>
      </c>
      <c r="DW82">
        <v>61.3902</v>
      </c>
      <c r="DX82">
        <v>36.610599999999998</v>
      </c>
      <c r="DY82">
        <v>1</v>
      </c>
      <c r="DZ82">
        <v>-0.14008599999999999</v>
      </c>
      <c r="EA82">
        <v>-0.45366600000000001</v>
      </c>
      <c r="EB82">
        <v>20.189800000000002</v>
      </c>
      <c r="EC82">
        <v>5.2436499999999997</v>
      </c>
      <c r="ED82">
        <v>12.039899999999999</v>
      </c>
      <c r="EE82">
        <v>5.01715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1.86883</v>
      </c>
      <c r="EL82">
        <v>1.8644700000000001</v>
      </c>
      <c r="EM82">
        <v>1.86914</v>
      </c>
      <c r="EN82">
        <v>1.86714</v>
      </c>
      <c r="EO82">
        <v>1.8632599999999999</v>
      </c>
      <c r="EP82">
        <v>1.86432</v>
      </c>
      <c r="EQ82">
        <v>1.87012</v>
      </c>
      <c r="ER82">
        <v>1.8693500000000001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-0.57699999999999996</v>
      </c>
      <c r="FG82">
        <v>0.2112</v>
      </c>
      <c r="FH82">
        <v>-0.150361779349652</v>
      </c>
      <c r="FI82">
        <v>-6.1462078757559423E-4</v>
      </c>
      <c r="FJ82">
        <v>-1.8861989874597051E-7</v>
      </c>
      <c r="FK82">
        <v>1.1980462299894961E-10</v>
      </c>
      <c r="FL82">
        <v>0.21114761904761539</v>
      </c>
      <c r="FM82">
        <v>0</v>
      </c>
      <c r="FN82">
        <v>0</v>
      </c>
      <c r="FO82">
        <v>0</v>
      </c>
      <c r="FP82">
        <v>3</v>
      </c>
      <c r="FQ82">
        <v>2158</v>
      </c>
      <c r="FR82">
        <v>1</v>
      </c>
      <c r="FS82">
        <v>19</v>
      </c>
      <c r="FT82">
        <v>20</v>
      </c>
      <c r="FU82">
        <v>20.3</v>
      </c>
      <c r="FV82">
        <v>1.78711</v>
      </c>
      <c r="FW82">
        <v>2.5671400000000002</v>
      </c>
      <c r="FX82">
        <v>1.5490699999999999</v>
      </c>
      <c r="FY82">
        <v>2.33887</v>
      </c>
      <c r="FZ82">
        <v>1.50146</v>
      </c>
      <c r="GA82">
        <v>2.3132299999999999</v>
      </c>
      <c r="GB82">
        <v>31.936499999999999</v>
      </c>
      <c r="GC82">
        <v>23.982399999999998</v>
      </c>
      <c r="GD82">
        <v>19</v>
      </c>
      <c r="GE82">
        <v>264.072</v>
      </c>
      <c r="GF82">
        <v>606.03599999999994</v>
      </c>
      <c r="GG82">
        <v>25.533200000000001</v>
      </c>
      <c r="GH82">
        <v>25.671099999999999</v>
      </c>
      <c r="GI82">
        <v>30.0002</v>
      </c>
      <c r="GJ82">
        <v>25.7668</v>
      </c>
      <c r="GK82">
        <v>25.7348</v>
      </c>
      <c r="GL82">
        <v>35.740600000000001</v>
      </c>
      <c r="GM82">
        <v>41.908799999999999</v>
      </c>
      <c r="GN82">
        <v>94.727099999999993</v>
      </c>
      <c r="GO82">
        <v>25.474799999999998</v>
      </c>
      <c r="GP82">
        <v>800</v>
      </c>
      <c r="GQ82">
        <v>14.186199999999999</v>
      </c>
      <c r="GR82">
        <v>99.771100000000004</v>
      </c>
      <c r="GS82">
        <v>99.531800000000004</v>
      </c>
    </row>
    <row r="83" spans="1:201" x14ac:dyDescent="0.25">
      <c r="A83">
        <v>67</v>
      </c>
      <c r="B83">
        <v>1690377426</v>
      </c>
      <c r="C83">
        <v>709.5</v>
      </c>
      <c r="D83" t="s">
        <v>467</v>
      </c>
      <c r="E83" t="s">
        <v>468</v>
      </c>
      <c r="F83" t="s">
        <v>330</v>
      </c>
      <c r="H83">
        <v>1690377426</v>
      </c>
      <c r="I83">
        <f t="shared" si="30"/>
        <v>9.4310740010754724E-4</v>
      </c>
      <c r="J83">
        <f t="shared" si="31"/>
        <v>0.94310740010754723</v>
      </c>
      <c r="K83">
        <f t="shared" si="32"/>
        <v>15.304669845143442</v>
      </c>
      <c r="L83">
        <f t="shared" si="33"/>
        <v>617.48299999999995</v>
      </c>
      <c r="M83">
        <f t="shared" si="34"/>
        <v>174.80905288322595</v>
      </c>
      <c r="N83">
        <f t="shared" si="35"/>
        <v>17.261572544479066</v>
      </c>
      <c r="O83">
        <f t="shared" si="36"/>
        <v>60.973544697383005</v>
      </c>
      <c r="P83">
        <f t="shared" si="37"/>
        <v>5.7436787141165076E-2</v>
      </c>
      <c r="Q83">
        <f t="shared" si="38"/>
        <v>2.0105788603770476</v>
      </c>
      <c r="R83">
        <f t="shared" si="39"/>
        <v>5.6540572794486037E-2</v>
      </c>
      <c r="S83">
        <f t="shared" si="40"/>
        <v>3.5417214399716901E-2</v>
      </c>
      <c r="T83">
        <f t="shared" si="41"/>
        <v>276.11280198946696</v>
      </c>
      <c r="U83">
        <f t="shared" si="42"/>
        <v>29.052985019396697</v>
      </c>
      <c r="V83">
        <f t="shared" si="43"/>
        <v>29.052985019396697</v>
      </c>
      <c r="W83">
        <f t="shared" si="44"/>
        <v>4.0341200388585436</v>
      </c>
      <c r="X83">
        <f t="shared" si="45"/>
        <v>67.804838667392019</v>
      </c>
      <c r="Y83">
        <f t="shared" si="46"/>
        <v>2.4410332133705004</v>
      </c>
      <c r="Z83">
        <f t="shared" si="47"/>
        <v>3.6000870459181789</v>
      </c>
      <c r="AA83">
        <f t="shared" si="48"/>
        <v>1.5930868254880433</v>
      </c>
      <c r="AB83">
        <f t="shared" si="49"/>
        <v>-41.591036344742832</v>
      </c>
      <c r="AC83">
        <f t="shared" si="50"/>
        <v>-211.76837386466801</v>
      </c>
      <c r="AD83">
        <f t="shared" si="51"/>
        <v>-22.976548936633542</v>
      </c>
      <c r="AE83">
        <f t="shared" si="52"/>
        <v>-0.22315715657742885</v>
      </c>
      <c r="AF83">
        <v>14</v>
      </c>
      <c r="AG83">
        <v>5</v>
      </c>
      <c r="AH83">
        <f t="shared" si="53"/>
        <v>1</v>
      </c>
      <c r="AI83">
        <f t="shared" si="54"/>
        <v>0</v>
      </c>
      <c r="AJ83">
        <f t="shared" si="55"/>
        <v>52303.049939954457</v>
      </c>
      <c r="AK83">
        <f t="shared" si="56"/>
        <v>1799.99</v>
      </c>
      <c r="AL83">
        <f t="shared" si="57"/>
        <v>1499.1048973931902</v>
      </c>
      <c r="AM83">
        <f t="shared" si="58"/>
        <v>0.83284068100000008</v>
      </c>
      <c r="AN83">
        <f t="shared" si="59"/>
        <v>0.15339685331000003</v>
      </c>
      <c r="AO83">
        <v>34.5</v>
      </c>
      <c r="AP83">
        <v>0.5</v>
      </c>
      <c r="AQ83" t="s">
        <v>331</v>
      </c>
      <c r="AR83">
        <v>2</v>
      </c>
      <c r="AS83">
        <v>1690377426</v>
      </c>
      <c r="AT83">
        <v>617.48299999999995</v>
      </c>
      <c r="AU83">
        <v>800.05899999999997</v>
      </c>
      <c r="AV83">
        <v>24.720500000000001</v>
      </c>
      <c r="AW83">
        <v>14.1501</v>
      </c>
      <c r="AX83">
        <v>618.05700000000002</v>
      </c>
      <c r="AY83">
        <v>24.5093</v>
      </c>
      <c r="AZ83">
        <v>300.20499999999998</v>
      </c>
      <c r="BA83">
        <v>98.645300000000006</v>
      </c>
      <c r="BB83">
        <v>0.10000100000000001</v>
      </c>
      <c r="BC83">
        <v>27.099299999999999</v>
      </c>
      <c r="BD83">
        <v>26.993500000000001</v>
      </c>
      <c r="BE83">
        <v>29.071400000000001</v>
      </c>
      <c r="BF83">
        <v>0</v>
      </c>
      <c r="BG83">
        <v>0</v>
      </c>
      <c r="BH83">
        <v>10031.9</v>
      </c>
      <c r="BI83">
        <v>1082.44</v>
      </c>
      <c r="BJ83">
        <v>1.1801900000000001</v>
      </c>
      <c r="BK83">
        <v>-182.57599999999999</v>
      </c>
      <c r="BL83">
        <v>633.13499999999999</v>
      </c>
      <c r="BM83">
        <v>811.54300000000001</v>
      </c>
      <c r="BN83">
        <v>10.570399999999999</v>
      </c>
      <c r="BO83">
        <v>800.05899999999997</v>
      </c>
      <c r="BP83">
        <v>14.1501</v>
      </c>
      <c r="BQ83">
        <v>2.4385599999999998</v>
      </c>
      <c r="BR83">
        <v>1.39584</v>
      </c>
      <c r="BS83">
        <v>20.6221</v>
      </c>
      <c r="BT83">
        <v>11.8725</v>
      </c>
      <c r="BU83">
        <v>1799.99</v>
      </c>
      <c r="BV83">
        <v>0.91001600000000005</v>
      </c>
      <c r="BW83">
        <v>3.3998800000000003E-2</v>
      </c>
      <c r="BX83">
        <v>2.1993800000000001E-2</v>
      </c>
      <c r="BY83">
        <v>3.3991300000000002E-2</v>
      </c>
      <c r="BZ83">
        <v>25</v>
      </c>
      <c r="CA83">
        <v>33528.400000000001</v>
      </c>
      <c r="CB83">
        <v>1690376213.5999999</v>
      </c>
      <c r="CC83" t="s">
        <v>332</v>
      </c>
      <c r="CD83">
        <v>1690376213.5999999</v>
      </c>
      <c r="CE83">
        <v>1690376198.0999999</v>
      </c>
      <c r="CF83">
        <v>2</v>
      </c>
      <c r="CG83">
        <v>0.66900000000000004</v>
      </c>
      <c r="CH83">
        <v>-2.1000000000000001E-2</v>
      </c>
      <c r="CI83">
        <v>-0.70099999999999996</v>
      </c>
      <c r="CJ83">
        <v>0.21099999999999999</v>
      </c>
      <c r="CK83">
        <v>799</v>
      </c>
      <c r="CL83">
        <v>21</v>
      </c>
      <c r="CM83">
        <v>0.11</v>
      </c>
      <c r="CN83">
        <v>0.17</v>
      </c>
      <c r="CO83">
        <v>-178.57624390243899</v>
      </c>
      <c r="CP83">
        <v>-21.109254355401049</v>
      </c>
      <c r="CQ83">
        <v>2.0818411619137591</v>
      </c>
      <c r="CR83">
        <v>-1</v>
      </c>
      <c r="CS83">
        <v>10.335321951219511</v>
      </c>
      <c r="CT83">
        <v>1.187548432055771</v>
      </c>
      <c r="CU83">
        <v>0.11746884903562201</v>
      </c>
      <c r="CV83">
        <v>-1</v>
      </c>
      <c r="CW83">
        <v>0</v>
      </c>
      <c r="CX83">
        <v>0</v>
      </c>
      <c r="CY83" t="s">
        <v>333</v>
      </c>
      <c r="CZ83">
        <v>2.3651399999999998</v>
      </c>
      <c r="DA83">
        <v>2.7138200000000001</v>
      </c>
      <c r="DB83">
        <v>0.12267400000000001</v>
      </c>
      <c r="DC83">
        <v>0.14583199999999999</v>
      </c>
      <c r="DD83">
        <v>0.115888</v>
      </c>
      <c r="DE83">
        <v>7.6621499999999995E-2</v>
      </c>
      <c r="DF83">
        <v>32048.5</v>
      </c>
      <c r="DG83">
        <v>27525.3</v>
      </c>
      <c r="DH83">
        <v>31183.200000000001</v>
      </c>
      <c r="DI83">
        <v>28077.1</v>
      </c>
      <c r="DJ83">
        <v>37423.800000000003</v>
      </c>
      <c r="DK83">
        <v>36853.800000000003</v>
      </c>
      <c r="DL83">
        <v>44375.5</v>
      </c>
      <c r="DM83">
        <v>42541.599999999999</v>
      </c>
      <c r="DN83">
        <v>1.4371</v>
      </c>
      <c r="DO83">
        <v>2.07192</v>
      </c>
      <c r="DP83">
        <v>9.3646300000000002E-2</v>
      </c>
      <c r="DQ83">
        <v>0.22186700000000001</v>
      </c>
      <c r="DR83">
        <v>25.460100000000001</v>
      </c>
      <c r="DS83">
        <v>25.444500000000001</v>
      </c>
      <c r="DT83">
        <v>61.4</v>
      </c>
      <c r="DU83">
        <v>26.7</v>
      </c>
      <c r="DV83">
        <v>21.887</v>
      </c>
      <c r="DW83">
        <v>61.3202</v>
      </c>
      <c r="DX83">
        <v>36.137799999999999</v>
      </c>
      <c r="DY83">
        <v>1</v>
      </c>
      <c r="DZ83">
        <v>-0.14036599999999999</v>
      </c>
      <c r="EA83">
        <v>-0.36852099999999999</v>
      </c>
      <c r="EB83">
        <v>20.190100000000001</v>
      </c>
      <c r="EC83">
        <v>5.2428999999999997</v>
      </c>
      <c r="ED83">
        <v>12.039899999999999</v>
      </c>
      <c r="EE83">
        <v>5.0172999999999996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1.86887</v>
      </c>
      <c r="EL83">
        <v>1.8644700000000001</v>
      </c>
      <c r="EM83">
        <v>1.86914</v>
      </c>
      <c r="EN83">
        <v>1.8671800000000001</v>
      </c>
      <c r="EO83">
        <v>1.8632500000000001</v>
      </c>
      <c r="EP83">
        <v>1.86432</v>
      </c>
      <c r="EQ83">
        <v>1.87012</v>
      </c>
      <c r="ER83">
        <v>1.8693500000000001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-0.57399999999999995</v>
      </c>
      <c r="FG83">
        <v>0.2112</v>
      </c>
      <c r="FH83">
        <v>-0.150361779349652</v>
      </c>
      <c r="FI83">
        <v>-6.1462078757559423E-4</v>
      </c>
      <c r="FJ83">
        <v>-1.8861989874597051E-7</v>
      </c>
      <c r="FK83">
        <v>1.1980462299894961E-10</v>
      </c>
      <c r="FL83">
        <v>0.21114761904761539</v>
      </c>
      <c r="FM83">
        <v>0</v>
      </c>
      <c r="FN83">
        <v>0</v>
      </c>
      <c r="FO83">
        <v>0</v>
      </c>
      <c r="FP83">
        <v>3</v>
      </c>
      <c r="FQ83">
        <v>2158</v>
      </c>
      <c r="FR83">
        <v>1</v>
      </c>
      <c r="FS83">
        <v>19</v>
      </c>
      <c r="FT83">
        <v>20.2</v>
      </c>
      <c r="FU83">
        <v>20.5</v>
      </c>
      <c r="FV83">
        <v>1.78711</v>
      </c>
      <c r="FW83">
        <v>2.5659200000000002</v>
      </c>
      <c r="FX83">
        <v>1.5490699999999999</v>
      </c>
      <c r="FY83">
        <v>2.33887</v>
      </c>
      <c r="FZ83">
        <v>1.50146</v>
      </c>
      <c r="GA83">
        <v>2.3547400000000001</v>
      </c>
      <c r="GB83">
        <v>31.936499999999999</v>
      </c>
      <c r="GC83">
        <v>23.991199999999999</v>
      </c>
      <c r="GD83">
        <v>19</v>
      </c>
      <c r="GE83">
        <v>264.18</v>
      </c>
      <c r="GF83">
        <v>605.92999999999995</v>
      </c>
      <c r="GG83">
        <v>25.479600000000001</v>
      </c>
      <c r="GH83">
        <v>25.671099999999999</v>
      </c>
      <c r="GI83">
        <v>30.0002</v>
      </c>
      <c r="GJ83">
        <v>25.7684</v>
      </c>
      <c r="GK83">
        <v>25.7348</v>
      </c>
      <c r="GL83">
        <v>35.737299999999998</v>
      </c>
      <c r="GM83">
        <v>42.483499999999999</v>
      </c>
      <c r="GN83">
        <v>94.352199999999996</v>
      </c>
      <c r="GO83">
        <v>25.492599999999999</v>
      </c>
      <c r="GP83">
        <v>800</v>
      </c>
      <c r="GQ83">
        <v>14.010300000000001</v>
      </c>
      <c r="GR83">
        <v>99.771500000000003</v>
      </c>
      <c r="GS83">
        <v>99.532200000000003</v>
      </c>
    </row>
    <row r="84" spans="1:201" x14ac:dyDescent="0.25">
      <c r="A84">
        <v>68</v>
      </c>
      <c r="B84">
        <v>1690377436</v>
      </c>
      <c r="C84">
        <v>719.5</v>
      </c>
      <c r="D84" t="s">
        <v>469</v>
      </c>
      <c r="E84" t="s">
        <v>470</v>
      </c>
      <c r="F84" t="s">
        <v>330</v>
      </c>
      <c r="H84">
        <v>1690377436</v>
      </c>
      <c r="I84">
        <f t="shared" si="30"/>
        <v>9.6141332736742206E-4</v>
      </c>
      <c r="J84">
        <f t="shared" si="31"/>
        <v>0.96141332736742202</v>
      </c>
      <c r="K84">
        <f t="shared" si="32"/>
        <v>15.616801941329113</v>
      </c>
      <c r="L84">
        <f t="shared" si="33"/>
        <v>613.798</v>
      </c>
      <c r="M84">
        <f t="shared" si="34"/>
        <v>171.91231519657489</v>
      </c>
      <c r="N84">
        <f t="shared" si="35"/>
        <v>16.975819560888695</v>
      </c>
      <c r="O84">
        <f t="shared" si="36"/>
        <v>60.610690298247803</v>
      </c>
      <c r="P84">
        <f t="shared" si="37"/>
        <v>5.8718438075725778E-2</v>
      </c>
      <c r="Q84">
        <f t="shared" si="38"/>
        <v>2.0077239525609687</v>
      </c>
      <c r="R84">
        <f t="shared" si="39"/>
        <v>5.7780824049479963E-2</v>
      </c>
      <c r="S84">
        <f t="shared" si="40"/>
        <v>3.6196008776985748E-2</v>
      </c>
      <c r="T84">
        <f t="shared" si="41"/>
        <v>276.11271132397064</v>
      </c>
      <c r="U84">
        <f t="shared" si="42"/>
        <v>29.044367004546391</v>
      </c>
      <c r="V84">
        <f t="shared" si="43"/>
        <v>29.044367004546391</v>
      </c>
      <c r="W84">
        <f t="shared" si="44"/>
        <v>4.0321095074562283</v>
      </c>
      <c r="X84">
        <f t="shared" si="45"/>
        <v>67.875074149903782</v>
      </c>
      <c r="Y84">
        <f t="shared" si="46"/>
        <v>2.4429308184377301</v>
      </c>
      <c r="Z84">
        <f t="shared" si="47"/>
        <v>3.5991574949037357</v>
      </c>
      <c r="AA84">
        <f t="shared" si="48"/>
        <v>1.5891786890184982</v>
      </c>
      <c r="AB84">
        <f t="shared" si="49"/>
        <v>-42.398327736903312</v>
      </c>
      <c r="AC84">
        <f t="shared" si="50"/>
        <v>-211.01111512599556</v>
      </c>
      <c r="AD84">
        <f t="shared" si="51"/>
        <v>-22.925454482116834</v>
      </c>
      <c r="AE84">
        <f t="shared" si="52"/>
        <v>-0.22218602104504726</v>
      </c>
      <c r="AF84">
        <v>13</v>
      </c>
      <c r="AG84">
        <v>4</v>
      </c>
      <c r="AH84">
        <f t="shared" si="53"/>
        <v>1</v>
      </c>
      <c r="AI84">
        <f t="shared" si="54"/>
        <v>0</v>
      </c>
      <c r="AJ84">
        <f t="shared" si="55"/>
        <v>52167.252713382746</v>
      </c>
      <c r="AK84">
        <f t="shared" si="56"/>
        <v>1799.99</v>
      </c>
      <c r="AL84">
        <f t="shared" si="57"/>
        <v>1499.1061717861098</v>
      </c>
      <c r="AM84">
        <f t="shared" si="58"/>
        <v>0.83284138899999993</v>
      </c>
      <c r="AN84">
        <f t="shared" si="59"/>
        <v>0.15339680294000002</v>
      </c>
      <c r="AO84">
        <v>34.5</v>
      </c>
      <c r="AP84">
        <v>0.5</v>
      </c>
      <c r="AQ84" t="s">
        <v>331</v>
      </c>
      <c r="AR84">
        <v>2</v>
      </c>
      <c r="AS84">
        <v>1690377436</v>
      </c>
      <c r="AT84">
        <v>613.798</v>
      </c>
      <c r="AU84">
        <v>800.01800000000003</v>
      </c>
      <c r="AV84">
        <v>24.7393</v>
      </c>
      <c r="AW84">
        <v>13.9658</v>
      </c>
      <c r="AX84">
        <v>614.37</v>
      </c>
      <c r="AY84">
        <v>24.528099999999998</v>
      </c>
      <c r="AZ84">
        <v>300.25700000000001</v>
      </c>
      <c r="BA84">
        <v>98.647000000000006</v>
      </c>
      <c r="BB84">
        <v>9.9966100000000002E-2</v>
      </c>
      <c r="BC84">
        <v>27.094899999999999</v>
      </c>
      <c r="BD84">
        <v>26.9968</v>
      </c>
      <c r="BE84">
        <v>29.072199999999999</v>
      </c>
      <c r="BF84">
        <v>0</v>
      </c>
      <c r="BG84">
        <v>0</v>
      </c>
      <c r="BH84">
        <v>10004.4</v>
      </c>
      <c r="BI84">
        <v>1082.42</v>
      </c>
      <c r="BJ84">
        <v>1.3455900000000001</v>
      </c>
      <c r="BK84">
        <v>-186.22</v>
      </c>
      <c r="BL84">
        <v>629.36800000000005</v>
      </c>
      <c r="BM84">
        <v>811.34900000000005</v>
      </c>
      <c r="BN84">
        <v>10.7735</v>
      </c>
      <c r="BO84">
        <v>800.01800000000003</v>
      </c>
      <c r="BP84">
        <v>13.9658</v>
      </c>
      <c r="BQ84">
        <v>2.4404599999999999</v>
      </c>
      <c r="BR84">
        <v>1.3776900000000001</v>
      </c>
      <c r="BS84">
        <v>20.634799999999998</v>
      </c>
      <c r="BT84">
        <v>11.674200000000001</v>
      </c>
      <c r="BU84">
        <v>1799.99</v>
      </c>
      <c r="BV84">
        <v>0.91002099999999997</v>
      </c>
      <c r="BW84">
        <v>3.3996999999999999E-2</v>
      </c>
      <c r="BX84">
        <v>2.19927E-2</v>
      </c>
      <c r="BY84">
        <v>3.3989600000000002E-2</v>
      </c>
      <c r="BZ84">
        <v>25</v>
      </c>
      <c r="CA84">
        <v>33528.400000000001</v>
      </c>
      <c r="CB84">
        <v>1690376213.5999999</v>
      </c>
      <c r="CC84" t="s">
        <v>332</v>
      </c>
      <c r="CD84">
        <v>1690376213.5999999</v>
      </c>
      <c r="CE84">
        <v>1690376198.0999999</v>
      </c>
      <c r="CF84">
        <v>2</v>
      </c>
      <c r="CG84">
        <v>0.66900000000000004</v>
      </c>
      <c r="CH84">
        <v>-2.1000000000000001E-2</v>
      </c>
      <c r="CI84">
        <v>-0.70099999999999996</v>
      </c>
      <c r="CJ84">
        <v>0.21099999999999999</v>
      </c>
      <c r="CK84">
        <v>799</v>
      </c>
      <c r="CL84">
        <v>21</v>
      </c>
      <c r="CM84">
        <v>0.11</v>
      </c>
      <c r="CN84">
        <v>0.17</v>
      </c>
      <c r="CO84">
        <v>-182.37162499999999</v>
      </c>
      <c r="CP84">
        <v>-21.257482176360199</v>
      </c>
      <c r="CQ84">
        <v>2.0452079929373941</v>
      </c>
      <c r="CR84">
        <v>-1</v>
      </c>
      <c r="CS84">
        <v>10.547865</v>
      </c>
      <c r="CT84">
        <v>1.1564217636022369</v>
      </c>
      <c r="CU84">
        <v>0.1118281886422202</v>
      </c>
      <c r="CV84">
        <v>-1</v>
      </c>
      <c r="CW84">
        <v>0</v>
      </c>
      <c r="CX84">
        <v>0</v>
      </c>
      <c r="CY84" t="s">
        <v>333</v>
      </c>
      <c r="CZ84">
        <v>2.36531</v>
      </c>
      <c r="DA84">
        <v>2.7137600000000002</v>
      </c>
      <c r="DB84">
        <v>0.12216299999999999</v>
      </c>
      <c r="DC84">
        <v>0.14582600000000001</v>
      </c>
      <c r="DD84">
        <v>0.115952</v>
      </c>
      <c r="DE84">
        <v>7.5884699999999999E-2</v>
      </c>
      <c r="DF84">
        <v>32066.7</v>
      </c>
      <c r="DG84">
        <v>27526.3</v>
      </c>
      <c r="DH84">
        <v>31182.799999999999</v>
      </c>
      <c r="DI84">
        <v>28077.9</v>
      </c>
      <c r="DJ84">
        <v>37420.6</v>
      </c>
      <c r="DK84">
        <v>36884.300000000003</v>
      </c>
      <c r="DL84">
        <v>44375</v>
      </c>
      <c r="DM84">
        <v>42542.7</v>
      </c>
      <c r="DN84">
        <v>1.4378200000000001</v>
      </c>
      <c r="DO84">
        <v>2.07118</v>
      </c>
      <c r="DP84">
        <v>9.3754400000000002E-2</v>
      </c>
      <c r="DQ84">
        <v>0.221916</v>
      </c>
      <c r="DR84">
        <v>25.461600000000001</v>
      </c>
      <c r="DS84">
        <v>25.444500000000001</v>
      </c>
      <c r="DT84">
        <v>61.3</v>
      </c>
      <c r="DU84">
        <v>26.7</v>
      </c>
      <c r="DV84">
        <v>21.8535</v>
      </c>
      <c r="DW84">
        <v>61.310200000000002</v>
      </c>
      <c r="DX84">
        <v>35.841299999999997</v>
      </c>
      <c r="DY84">
        <v>1</v>
      </c>
      <c r="DZ84">
        <v>-0.14030000000000001</v>
      </c>
      <c r="EA84">
        <v>-0.41950999999999999</v>
      </c>
      <c r="EB84">
        <v>20.190200000000001</v>
      </c>
      <c r="EC84">
        <v>5.2433500000000004</v>
      </c>
      <c r="ED84">
        <v>12.039899999999999</v>
      </c>
      <c r="EE84">
        <v>5.0173500000000004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1.8688499999999999</v>
      </c>
      <c r="EL84">
        <v>1.8644799999999999</v>
      </c>
      <c r="EM84">
        <v>1.8691500000000001</v>
      </c>
      <c r="EN84">
        <v>1.86714</v>
      </c>
      <c r="EO84">
        <v>1.8632500000000001</v>
      </c>
      <c r="EP84">
        <v>1.8643099999999999</v>
      </c>
      <c r="EQ84">
        <v>1.87012</v>
      </c>
      <c r="ER84">
        <v>1.8693500000000001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-0.57199999999999995</v>
      </c>
      <c r="FG84">
        <v>0.2112</v>
      </c>
      <c r="FH84">
        <v>-0.150361779349652</v>
      </c>
      <c r="FI84">
        <v>-6.1462078757559423E-4</v>
      </c>
      <c r="FJ84">
        <v>-1.8861989874597051E-7</v>
      </c>
      <c r="FK84">
        <v>1.1980462299894961E-10</v>
      </c>
      <c r="FL84">
        <v>0.21114761904761539</v>
      </c>
      <c r="FM84">
        <v>0</v>
      </c>
      <c r="FN84">
        <v>0</v>
      </c>
      <c r="FO84">
        <v>0</v>
      </c>
      <c r="FP84">
        <v>3</v>
      </c>
      <c r="FQ84">
        <v>2158</v>
      </c>
      <c r="FR84">
        <v>1</v>
      </c>
      <c r="FS84">
        <v>19</v>
      </c>
      <c r="FT84">
        <v>20.399999999999999</v>
      </c>
      <c r="FU84">
        <v>20.6</v>
      </c>
      <c r="FV84">
        <v>1.78711</v>
      </c>
      <c r="FW84">
        <v>2.5610400000000002</v>
      </c>
      <c r="FX84">
        <v>1.5490699999999999</v>
      </c>
      <c r="FY84">
        <v>2.33887</v>
      </c>
      <c r="FZ84">
        <v>1.50146</v>
      </c>
      <c r="GA84">
        <v>2.3962400000000001</v>
      </c>
      <c r="GB84">
        <v>31.936499999999999</v>
      </c>
      <c r="GC84">
        <v>23.991199999999999</v>
      </c>
      <c r="GD84">
        <v>19</v>
      </c>
      <c r="GE84">
        <v>264.47399999999999</v>
      </c>
      <c r="GF84">
        <v>605.29399999999998</v>
      </c>
      <c r="GG84">
        <v>25.491099999999999</v>
      </c>
      <c r="GH84">
        <v>25.671099999999999</v>
      </c>
      <c r="GI84">
        <v>30.0001</v>
      </c>
      <c r="GJ84">
        <v>25.768999999999998</v>
      </c>
      <c r="GK84">
        <v>25.7348</v>
      </c>
      <c r="GL84">
        <v>35.731499999999997</v>
      </c>
      <c r="GM84">
        <v>43.040900000000001</v>
      </c>
      <c r="GN84">
        <v>93.9666</v>
      </c>
      <c r="GO84">
        <v>25.496099999999998</v>
      </c>
      <c r="GP84">
        <v>800</v>
      </c>
      <c r="GQ84">
        <v>13.8238</v>
      </c>
      <c r="GR84">
        <v>99.770300000000006</v>
      </c>
      <c r="GS84">
        <v>99.534800000000004</v>
      </c>
    </row>
    <row r="85" spans="1:201" x14ac:dyDescent="0.25">
      <c r="A85">
        <v>69</v>
      </c>
      <c r="B85">
        <v>1690377446</v>
      </c>
      <c r="C85">
        <v>729.5</v>
      </c>
      <c r="D85" t="s">
        <v>471</v>
      </c>
      <c r="E85" t="s">
        <v>472</v>
      </c>
      <c r="F85" t="s">
        <v>330</v>
      </c>
      <c r="H85">
        <v>1690377446</v>
      </c>
      <c r="I85">
        <f t="shared" si="30"/>
        <v>9.7886935637475658E-4</v>
      </c>
      <c r="J85">
        <f t="shared" si="31"/>
        <v>0.97886935637475658</v>
      </c>
      <c r="K85">
        <f t="shared" si="32"/>
        <v>15.923515940857522</v>
      </c>
      <c r="L85">
        <f t="shared" si="33"/>
        <v>610.20699999999999</v>
      </c>
      <c r="M85">
        <f t="shared" si="34"/>
        <v>168.62406809413699</v>
      </c>
      <c r="N85">
        <f t="shared" si="35"/>
        <v>16.650460503378682</v>
      </c>
      <c r="O85">
        <f t="shared" si="36"/>
        <v>60.253720997367303</v>
      </c>
      <c r="P85">
        <f t="shared" si="37"/>
        <v>5.9915045100863734E-2</v>
      </c>
      <c r="Q85">
        <f t="shared" si="38"/>
        <v>2.0076198015432603</v>
      </c>
      <c r="R85">
        <f t="shared" si="39"/>
        <v>5.8939119563709674E-2</v>
      </c>
      <c r="S85">
        <f t="shared" si="40"/>
        <v>3.6923308615352812E-2</v>
      </c>
      <c r="T85">
        <f t="shared" si="41"/>
        <v>276.11394892200002</v>
      </c>
      <c r="U85">
        <f t="shared" si="42"/>
        <v>29.038246784592793</v>
      </c>
      <c r="V85">
        <f t="shared" si="43"/>
        <v>29.038246784592793</v>
      </c>
      <c r="W85">
        <f t="shared" si="44"/>
        <v>4.0306822273003959</v>
      </c>
      <c r="X85">
        <f t="shared" si="45"/>
        <v>67.918248019636025</v>
      </c>
      <c r="Y85">
        <f t="shared" si="46"/>
        <v>2.4445134079535702</v>
      </c>
      <c r="Z85">
        <f t="shared" si="47"/>
        <v>3.5991997426771531</v>
      </c>
      <c r="AA85">
        <f t="shared" si="48"/>
        <v>1.5861688193468257</v>
      </c>
      <c r="AB85">
        <f t="shared" si="49"/>
        <v>-43.168138616126768</v>
      </c>
      <c r="AC85">
        <f t="shared" si="50"/>
        <v>-210.3161011542343</v>
      </c>
      <c r="AD85">
        <f t="shared" si="51"/>
        <v>-22.850454040506254</v>
      </c>
      <c r="AE85">
        <f t="shared" si="52"/>
        <v>-0.22074488886730137</v>
      </c>
      <c r="AF85">
        <v>13</v>
      </c>
      <c r="AG85">
        <v>4</v>
      </c>
      <c r="AH85">
        <f t="shared" si="53"/>
        <v>1</v>
      </c>
      <c r="AI85">
        <f t="shared" si="54"/>
        <v>0</v>
      </c>
      <c r="AJ85">
        <f t="shared" si="55"/>
        <v>52162.155164055956</v>
      </c>
      <c r="AK85">
        <f t="shared" si="56"/>
        <v>1800</v>
      </c>
      <c r="AL85">
        <f t="shared" si="57"/>
        <v>1499.1152202000001</v>
      </c>
      <c r="AM85">
        <f t="shared" si="58"/>
        <v>0.83284178900000005</v>
      </c>
      <c r="AN85">
        <f t="shared" si="59"/>
        <v>0.15339663829000003</v>
      </c>
      <c r="AO85">
        <v>34.5</v>
      </c>
      <c r="AP85">
        <v>0.5</v>
      </c>
      <c r="AQ85" t="s">
        <v>331</v>
      </c>
      <c r="AR85">
        <v>2</v>
      </c>
      <c r="AS85">
        <v>1690377446</v>
      </c>
      <c r="AT85">
        <v>610.20699999999999</v>
      </c>
      <c r="AU85">
        <v>800.06299999999999</v>
      </c>
      <c r="AV85">
        <v>24.7563</v>
      </c>
      <c r="AW85">
        <v>13.7857</v>
      </c>
      <c r="AX85">
        <v>610.77599999999995</v>
      </c>
      <c r="AY85">
        <v>24.545200000000001</v>
      </c>
      <c r="AZ85">
        <v>300.21100000000001</v>
      </c>
      <c r="BA85">
        <v>98.643100000000004</v>
      </c>
      <c r="BB85">
        <v>9.9983900000000001E-2</v>
      </c>
      <c r="BC85">
        <v>27.095099999999999</v>
      </c>
      <c r="BD85">
        <v>26.974399999999999</v>
      </c>
      <c r="BE85">
        <v>29.052700000000002</v>
      </c>
      <c r="BF85">
        <v>0</v>
      </c>
      <c r="BG85">
        <v>0</v>
      </c>
      <c r="BH85">
        <v>10003.799999999999</v>
      </c>
      <c r="BI85">
        <v>1082.4100000000001</v>
      </c>
      <c r="BJ85">
        <v>1.3455900000000001</v>
      </c>
      <c r="BK85">
        <v>-189.85599999999999</v>
      </c>
      <c r="BL85">
        <v>625.697</v>
      </c>
      <c r="BM85">
        <v>811.24699999999996</v>
      </c>
      <c r="BN85">
        <v>10.970599999999999</v>
      </c>
      <c r="BO85">
        <v>800.06299999999999</v>
      </c>
      <c r="BP85">
        <v>13.7857</v>
      </c>
      <c r="BQ85">
        <v>2.44204</v>
      </c>
      <c r="BR85">
        <v>1.3598600000000001</v>
      </c>
      <c r="BS85">
        <v>20.645299999999999</v>
      </c>
      <c r="BT85">
        <v>11.4773</v>
      </c>
      <c r="BU85">
        <v>1800</v>
      </c>
      <c r="BV85">
        <v>0.91002700000000003</v>
      </c>
      <c r="BW85">
        <v>3.3994700000000003E-2</v>
      </c>
      <c r="BX85">
        <v>2.1991199999999999E-2</v>
      </c>
      <c r="BY85">
        <v>3.3987299999999998E-2</v>
      </c>
      <c r="BZ85">
        <v>25</v>
      </c>
      <c r="CA85">
        <v>33528.5</v>
      </c>
      <c r="CB85">
        <v>1690376213.5999999</v>
      </c>
      <c r="CC85" t="s">
        <v>332</v>
      </c>
      <c r="CD85">
        <v>1690376213.5999999</v>
      </c>
      <c r="CE85">
        <v>1690376198.0999999</v>
      </c>
      <c r="CF85">
        <v>2</v>
      </c>
      <c r="CG85">
        <v>0.66900000000000004</v>
      </c>
      <c r="CH85">
        <v>-2.1000000000000001E-2</v>
      </c>
      <c r="CI85">
        <v>-0.70099999999999996</v>
      </c>
      <c r="CJ85">
        <v>0.21099999999999999</v>
      </c>
      <c r="CK85">
        <v>799</v>
      </c>
      <c r="CL85">
        <v>21</v>
      </c>
      <c r="CM85">
        <v>0.11</v>
      </c>
      <c r="CN85">
        <v>0.17</v>
      </c>
      <c r="CO85">
        <v>-185.95122499999999</v>
      </c>
      <c r="CP85">
        <v>-21.788363977485648</v>
      </c>
      <c r="CQ85">
        <v>2.0960777238392221</v>
      </c>
      <c r="CR85">
        <v>-1</v>
      </c>
      <c r="CS85">
        <v>10.748035</v>
      </c>
      <c r="CT85">
        <v>1.2502874296435149</v>
      </c>
      <c r="CU85">
        <v>0.1207234288570365</v>
      </c>
      <c r="CV85">
        <v>-1</v>
      </c>
      <c r="CW85">
        <v>0</v>
      </c>
      <c r="CX85">
        <v>0</v>
      </c>
      <c r="CY85" t="s">
        <v>333</v>
      </c>
      <c r="CZ85">
        <v>2.3651800000000001</v>
      </c>
      <c r="DA85">
        <v>2.7137799999999999</v>
      </c>
      <c r="DB85">
        <v>0.121657</v>
      </c>
      <c r="DC85">
        <v>0.14582200000000001</v>
      </c>
      <c r="DD85">
        <v>0.116004</v>
      </c>
      <c r="DE85">
        <v>7.5156500000000001E-2</v>
      </c>
      <c r="DF85">
        <v>32085.5</v>
      </c>
      <c r="DG85">
        <v>27526.2</v>
      </c>
      <c r="DH85">
        <v>31183.1</v>
      </c>
      <c r="DI85">
        <v>28077.7</v>
      </c>
      <c r="DJ85">
        <v>37418.9</v>
      </c>
      <c r="DK85">
        <v>36913.300000000003</v>
      </c>
      <c r="DL85">
        <v>44375.7</v>
      </c>
      <c r="DM85">
        <v>42542.6</v>
      </c>
      <c r="DN85">
        <v>1.4377500000000001</v>
      </c>
      <c r="DO85">
        <v>2.0707200000000001</v>
      </c>
      <c r="DP85">
        <v>9.2554800000000007E-2</v>
      </c>
      <c r="DQ85">
        <v>0.22098400000000001</v>
      </c>
      <c r="DR85">
        <v>25.4589</v>
      </c>
      <c r="DS85">
        <v>25.440100000000001</v>
      </c>
      <c r="DT85">
        <v>61.3</v>
      </c>
      <c r="DU85">
        <v>26.7</v>
      </c>
      <c r="DV85">
        <v>21.857299999999999</v>
      </c>
      <c r="DW85">
        <v>61.450200000000002</v>
      </c>
      <c r="DX85">
        <v>36.037700000000001</v>
      </c>
      <c r="DY85">
        <v>1</v>
      </c>
      <c r="DZ85">
        <v>-0.14025399999999999</v>
      </c>
      <c r="EA85">
        <v>-0.42601600000000001</v>
      </c>
      <c r="EB85">
        <v>20.190100000000001</v>
      </c>
      <c r="EC85">
        <v>5.2433500000000004</v>
      </c>
      <c r="ED85">
        <v>12.039899999999999</v>
      </c>
      <c r="EE85">
        <v>5.0173500000000004</v>
      </c>
      <c r="EF85">
        <v>3.2879999999999998</v>
      </c>
      <c r="EG85">
        <v>9999</v>
      </c>
      <c r="EH85">
        <v>9999</v>
      </c>
      <c r="EI85">
        <v>9999</v>
      </c>
      <c r="EJ85">
        <v>999.9</v>
      </c>
      <c r="EK85">
        <v>1.8688499999999999</v>
      </c>
      <c r="EL85">
        <v>1.86449</v>
      </c>
      <c r="EM85">
        <v>1.86914</v>
      </c>
      <c r="EN85">
        <v>1.86714</v>
      </c>
      <c r="EO85">
        <v>1.8632500000000001</v>
      </c>
      <c r="EP85">
        <v>1.86432</v>
      </c>
      <c r="EQ85">
        <v>1.8701099999999999</v>
      </c>
      <c r="ER85">
        <v>1.86934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-0.56899999999999995</v>
      </c>
      <c r="FG85">
        <v>0.21110000000000001</v>
      </c>
      <c r="FH85">
        <v>-0.150361779349652</v>
      </c>
      <c r="FI85">
        <v>-6.1462078757559423E-4</v>
      </c>
      <c r="FJ85">
        <v>-1.8861989874597051E-7</v>
      </c>
      <c r="FK85">
        <v>1.1980462299894961E-10</v>
      </c>
      <c r="FL85">
        <v>0.21114761904761539</v>
      </c>
      <c r="FM85">
        <v>0</v>
      </c>
      <c r="FN85">
        <v>0</v>
      </c>
      <c r="FO85">
        <v>0</v>
      </c>
      <c r="FP85">
        <v>3</v>
      </c>
      <c r="FQ85">
        <v>2158</v>
      </c>
      <c r="FR85">
        <v>1</v>
      </c>
      <c r="FS85">
        <v>19</v>
      </c>
      <c r="FT85">
        <v>20.5</v>
      </c>
      <c r="FU85">
        <v>20.8</v>
      </c>
      <c r="FV85">
        <v>1.78711</v>
      </c>
      <c r="FW85">
        <v>2.5647000000000002</v>
      </c>
      <c r="FX85">
        <v>1.5490699999999999</v>
      </c>
      <c r="FY85">
        <v>2.33887</v>
      </c>
      <c r="FZ85">
        <v>1.50146</v>
      </c>
      <c r="GA85">
        <v>2.4084500000000002</v>
      </c>
      <c r="GB85">
        <v>31.958500000000001</v>
      </c>
      <c r="GC85">
        <v>23.991199999999999</v>
      </c>
      <c r="GD85">
        <v>19</v>
      </c>
      <c r="GE85">
        <v>264.44299999999998</v>
      </c>
      <c r="GF85">
        <v>604.91800000000001</v>
      </c>
      <c r="GG85">
        <v>25.500900000000001</v>
      </c>
      <c r="GH85">
        <v>25.671099999999999</v>
      </c>
      <c r="GI85">
        <v>30.0001</v>
      </c>
      <c r="GJ85">
        <v>25.768999999999998</v>
      </c>
      <c r="GK85">
        <v>25.735299999999999</v>
      </c>
      <c r="GL85">
        <v>35.722000000000001</v>
      </c>
      <c r="GM85">
        <v>43.628100000000003</v>
      </c>
      <c r="GN85">
        <v>93.594899999999996</v>
      </c>
      <c r="GO85">
        <v>25.515499999999999</v>
      </c>
      <c r="GP85">
        <v>800</v>
      </c>
      <c r="GQ85">
        <v>13.6327</v>
      </c>
      <c r="GR85">
        <v>99.771600000000007</v>
      </c>
      <c r="GS85">
        <v>99.534400000000005</v>
      </c>
    </row>
    <row r="86" spans="1:201" x14ac:dyDescent="0.25">
      <c r="A86">
        <v>70</v>
      </c>
      <c r="B86">
        <v>1690377456</v>
      </c>
      <c r="C86">
        <v>739.5</v>
      </c>
      <c r="D86" t="s">
        <v>473</v>
      </c>
      <c r="E86" t="s">
        <v>474</v>
      </c>
      <c r="F86" t="s">
        <v>330</v>
      </c>
      <c r="H86">
        <v>1690377456</v>
      </c>
      <c r="I86">
        <f t="shared" si="30"/>
        <v>9.969387644220987E-4</v>
      </c>
      <c r="J86">
        <f t="shared" si="31"/>
        <v>0.99693876442209861</v>
      </c>
      <c r="K86">
        <f t="shared" si="32"/>
        <v>16.224830052644791</v>
      </c>
      <c r="L86">
        <f t="shared" si="33"/>
        <v>606.63499999999999</v>
      </c>
      <c r="M86">
        <f t="shared" si="34"/>
        <v>166.45009199904425</v>
      </c>
      <c r="N86">
        <f t="shared" si="35"/>
        <v>16.4355619198803</v>
      </c>
      <c r="O86">
        <f t="shared" si="36"/>
        <v>59.900159774762002</v>
      </c>
      <c r="P86">
        <f t="shared" si="37"/>
        <v>6.1248962220126553E-2</v>
      </c>
      <c r="Q86">
        <f t="shared" si="38"/>
        <v>2.0111883367584054</v>
      </c>
      <c r="R86">
        <f t="shared" si="39"/>
        <v>6.023127301528218E-2</v>
      </c>
      <c r="S86">
        <f t="shared" si="40"/>
        <v>3.7734572446572981E-2</v>
      </c>
      <c r="T86">
        <f t="shared" si="41"/>
        <v>276.11313243163113</v>
      </c>
      <c r="U86">
        <f t="shared" si="42"/>
        <v>29.023998552206692</v>
      </c>
      <c r="V86">
        <f t="shared" si="43"/>
        <v>29.023998552206692</v>
      </c>
      <c r="W86">
        <f t="shared" si="44"/>
        <v>4.0273611415630617</v>
      </c>
      <c r="X86">
        <f t="shared" si="45"/>
        <v>67.993674001974412</v>
      </c>
      <c r="Y86">
        <f t="shared" si="46"/>
        <v>2.4465818801011201</v>
      </c>
      <c r="Z86">
        <f t="shared" si="47"/>
        <v>3.5982492724691943</v>
      </c>
      <c r="AA86">
        <f t="shared" si="48"/>
        <v>1.5807792614619416</v>
      </c>
      <c r="AB86">
        <f t="shared" si="49"/>
        <v>-43.964999511014554</v>
      </c>
      <c r="AC86">
        <f t="shared" si="50"/>
        <v>-209.63296368077087</v>
      </c>
      <c r="AD86">
        <f t="shared" si="51"/>
        <v>-22.733693584498504</v>
      </c>
      <c r="AE86">
        <f t="shared" si="52"/>
        <v>-0.21852434465279202</v>
      </c>
      <c r="AF86">
        <v>13</v>
      </c>
      <c r="AG86">
        <v>4</v>
      </c>
      <c r="AH86">
        <f t="shared" si="53"/>
        <v>1</v>
      </c>
      <c r="AI86">
        <f t="shared" si="54"/>
        <v>0</v>
      </c>
      <c r="AJ86">
        <f t="shared" si="55"/>
        <v>52333.686260668634</v>
      </c>
      <c r="AK86">
        <f t="shared" si="56"/>
        <v>1799.99</v>
      </c>
      <c r="AL86">
        <f t="shared" si="57"/>
        <v>1499.10574878846</v>
      </c>
      <c r="AM86">
        <f t="shared" si="58"/>
        <v>0.83284115400000003</v>
      </c>
      <c r="AN86">
        <f t="shared" si="59"/>
        <v>0.15339703689</v>
      </c>
      <c r="AO86">
        <v>34.5</v>
      </c>
      <c r="AP86">
        <v>0.5</v>
      </c>
      <c r="AQ86" t="s">
        <v>331</v>
      </c>
      <c r="AR86">
        <v>2</v>
      </c>
      <c r="AS86">
        <v>1690377456</v>
      </c>
      <c r="AT86">
        <v>606.63499999999999</v>
      </c>
      <c r="AU86">
        <v>800.11099999999999</v>
      </c>
      <c r="AV86">
        <v>24.7776</v>
      </c>
      <c r="AW86">
        <v>13.6006</v>
      </c>
      <c r="AX86">
        <v>607.20100000000002</v>
      </c>
      <c r="AY86">
        <v>24.566500000000001</v>
      </c>
      <c r="AZ86">
        <v>300.10000000000002</v>
      </c>
      <c r="BA86">
        <v>98.641800000000003</v>
      </c>
      <c r="BB86">
        <v>9.9881200000000003E-2</v>
      </c>
      <c r="BC86">
        <v>27.090599999999998</v>
      </c>
      <c r="BD86">
        <v>26.977900000000002</v>
      </c>
      <c r="BE86">
        <v>29.044799999999999</v>
      </c>
      <c r="BF86">
        <v>0</v>
      </c>
      <c r="BG86">
        <v>0</v>
      </c>
      <c r="BH86">
        <v>10038.1</v>
      </c>
      <c r="BI86">
        <v>1082.32</v>
      </c>
      <c r="BJ86">
        <v>1.4016500000000001</v>
      </c>
      <c r="BK86">
        <v>-193.477</v>
      </c>
      <c r="BL86">
        <v>622.04700000000003</v>
      </c>
      <c r="BM86">
        <v>811.14300000000003</v>
      </c>
      <c r="BN86">
        <v>11.177</v>
      </c>
      <c r="BO86">
        <v>800.11099999999999</v>
      </c>
      <c r="BP86">
        <v>13.6006</v>
      </c>
      <c r="BQ86">
        <v>2.4441099999999998</v>
      </c>
      <c r="BR86">
        <v>1.3415900000000001</v>
      </c>
      <c r="BS86">
        <v>20.658999999999999</v>
      </c>
      <c r="BT86">
        <v>11.273099999999999</v>
      </c>
      <c r="BU86">
        <v>1799.99</v>
      </c>
      <c r="BV86">
        <v>0.91001600000000005</v>
      </c>
      <c r="BW86">
        <v>3.3992700000000001E-2</v>
      </c>
      <c r="BX86">
        <v>2.1997699999999999E-2</v>
      </c>
      <c r="BY86">
        <v>3.3993099999999998E-2</v>
      </c>
      <c r="BZ86">
        <v>25</v>
      </c>
      <c r="CA86">
        <v>33528.400000000001</v>
      </c>
      <c r="CB86">
        <v>1690376213.5999999</v>
      </c>
      <c r="CC86" t="s">
        <v>332</v>
      </c>
      <c r="CD86">
        <v>1690376213.5999999</v>
      </c>
      <c r="CE86">
        <v>1690376198.0999999</v>
      </c>
      <c r="CF86">
        <v>2</v>
      </c>
      <c r="CG86">
        <v>0.66900000000000004</v>
      </c>
      <c r="CH86">
        <v>-2.1000000000000001E-2</v>
      </c>
      <c r="CI86">
        <v>-0.70099999999999996</v>
      </c>
      <c r="CJ86">
        <v>0.21099999999999999</v>
      </c>
      <c r="CK86">
        <v>799</v>
      </c>
      <c r="CL86">
        <v>21</v>
      </c>
      <c r="CM86">
        <v>0.11</v>
      </c>
      <c r="CN86">
        <v>0.17</v>
      </c>
      <c r="CO86">
        <v>-189.578225</v>
      </c>
      <c r="CP86">
        <v>-21.726968105065339</v>
      </c>
      <c r="CQ86">
        <v>2.090110074703003</v>
      </c>
      <c r="CR86">
        <v>-1</v>
      </c>
      <c r="CS86">
        <v>10.956735</v>
      </c>
      <c r="CT86">
        <v>1.275462664165095</v>
      </c>
      <c r="CU86">
        <v>0.1230048465508576</v>
      </c>
      <c r="CV86">
        <v>-1</v>
      </c>
      <c r="CW86">
        <v>0</v>
      </c>
      <c r="CX86">
        <v>0</v>
      </c>
      <c r="CY86" t="s">
        <v>333</v>
      </c>
      <c r="CZ86">
        <v>2.3648400000000001</v>
      </c>
      <c r="DA86">
        <v>2.7137099999999998</v>
      </c>
      <c r="DB86">
        <v>0.121155</v>
      </c>
      <c r="DC86">
        <v>0.14582100000000001</v>
      </c>
      <c r="DD86">
        <v>0.11607199999999999</v>
      </c>
      <c r="DE86">
        <v>7.4406299999999995E-2</v>
      </c>
      <c r="DF86">
        <v>32104.1</v>
      </c>
      <c r="DG86">
        <v>27526.3</v>
      </c>
      <c r="DH86">
        <v>31183.3</v>
      </c>
      <c r="DI86">
        <v>28077.8</v>
      </c>
      <c r="DJ86">
        <v>37415.9</v>
      </c>
      <c r="DK86">
        <v>36943.4</v>
      </c>
      <c r="DL86">
        <v>44375.7</v>
      </c>
      <c r="DM86">
        <v>42542.7</v>
      </c>
      <c r="DN86">
        <v>1.4372499999999999</v>
      </c>
      <c r="DO86">
        <v>2.07057</v>
      </c>
      <c r="DP86">
        <v>9.2990699999999996E-2</v>
      </c>
      <c r="DQ86">
        <v>0.22062999999999999</v>
      </c>
      <c r="DR86">
        <v>25.455200000000001</v>
      </c>
      <c r="DS86">
        <v>25.437999999999999</v>
      </c>
      <c r="DT86">
        <v>61.2</v>
      </c>
      <c r="DU86">
        <v>26.7</v>
      </c>
      <c r="DV86">
        <v>21.816800000000001</v>
      </c>
      <c r="DW86">
        <v>61.380200000000002</v>
      </c>
      <c r="DX86">
        <v>36.642600000000002</v>
      </c>
      <c r="DY86">
        <v>1</v>
      </c>
      <c r="DZ86">
        <v>-0.14028499999999999</v>
      </c>
      <c r="EA86">
        <v>-0.46627999999999997</v>
      </c>
      <c r="EB86">
        <v>20.189699999999998</v>
      </c>
      <c r="EC86">
        <v>5.24275</v>
      </c>
      <c r="ED86">
        <v>12.039899999999999</v>
      </c>
      <c r="EE86">
        <v>5.0172499999999998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1.8688400000000001</v>
      </c>
      <c r="EL86">
        <v>1.8644700000000001</v>
      </c>
      <c r="EM86">
        <v>1.86913</v>
      </c>
      <c r="EN86">
        <v>1.86714</v>
      </c>
      <c r="EO86">
        <v>1.8632500000000001</v>
      </c>
      <c r="EP86">
        <v>1.86432</v>
      </c>
      <c r="EQ86">
        <v>1.87012</v>
      </c>
      <c r="ER86">
        <v>1.8693500000000001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-0.56599999999999995</v>
      </c>
      <c r="FG86">
        <v>0.21110000000000001</v>
      </c>
      <c r="FH86">
        <v>-0.150361779349652</v>
      </c>
      <c r="FI86">
        <v>-6.1462078757559423E-4</v>
      </c>
      <c r="FJ86">
        <v>-1.8861989874597051E-7</v>
      </c>
      <c r="FK86">
        <v>1.1980462299894961E-10</v>
      </c>
      <c r="FL86">
        <v>0.21114761904761539</v>
      </c>
      <c r="FM86">
        <v>0</v>
      </c>
      <c r="FN86">
        <v>0</v>
      </c>
      <c r="FO86">
        <v>0</v>
      </c>
      <c r="FP86">
        <v>3</v>
      </c>
      <c r="FQ86">
        <v>2158</v>
      </c>
      <c r="FR86">
        <v>1</v>
      </c>
      <c r="FS86">
        <v>19</v>
      </c>
      <c r="FT86">
        <v>20.7</v>
      </c>
      <c r="FU86">
        <v>21</v>
      </c>
      <c r="FV86">
        <v>1.78711</v>
      </c>
      <c r="FW86">
        <v>2.5695800000000002</v>
      </c>
      <c r="FX86">
        <v>1.5490699999999999</v>
      </c>
      <c r="FY86">
        <v>2.33887</v>
      </c>
      <c r="FZ86">
        <v>1.50146</v>
      </c>
      <c r="GA86">
        <v>2.36572</v>
      </c>
      <c r="GB86">
        <v>31.958500000000001</v>
      </c>
      <c r="GC86">
        <v>23.991199999999999</v>
      </c>
      <c r="GD86">
        <v>19</v>
      </c>
      <c r="GE86">
        <v>264.24200000000002</v>
      </c>
      <c r="GF86">
        <v>604.80999999999995</v>
      </c>
      <c r="GG86">
        <v>25.525400000000001</v>
      </c>
      <c r="GH86">
        <v>25.671099999999999</v>
      </c>
      <c r="GI86">
        <v>30.0001</v>
      </c>
      <c r="GJ86">
        <v>25.768999999999998</v>
      </c>
      <c r="GK86">
        <v>25.736899999999999</v>
      </c>
      <c r="GL86">
        <v>35.716700000000003</v>
      </c>
      <c r="GM86">
        <v>44.506799999999998</v>
      </c>
      <c r="GN86">
        <v>92.825000000000003</v>
      </c>
      <c r="GO86">
        <v>25.535299999999999</v>
      </c>
      <c r="GP86">
        <v>800</v>
      </c>
      <c r="GQ86">
        <v>13.4377</v>
      </c>
      <c r="GR86">
        <v>99.771900000000002</v>
      </c>
      <c r="GS86">
        <v>99.534700000000001</v>
      </c>
    </row>
    <row r="87" spans="1:201" x14ac:dyDescent="0.25">
      <c r="A87">
        <v>71</v>
      </c>
      <c r="B87">
        <v>1690377466</v>
      </c>
      <c r="C87">
        <v>749.5</v>
      </c>
      <c r="D87" t="s">
        <v>475</v>
      </c>
      <c r="E87" t="s">
        <v>476</v>
      </c>
      <c r="F87" t="s">
        <v>330</v>
      </c>
      <c r="H87">
        <v>1690377466</v>
      </c>
      <c r="I87">
        <f t="shared" si="30"/>
        <v>1.016153737660592E-3</v>
      </c>
      <c r="J87">
        <f t="shared" si="31"/>
        <v>1.016153737660592</v>
      </c>
      <c r="K87">
        <f t="shared" si="32"/>
        <v>16.533904824900581</v>
      </c>
      <c r="L87">
        <f t="shared" si="33"/>
        <v>602.92600000000004</v>
      </c>
      <c r="M87">
        <f t="shared" si="34"/>
        <v>164.17050245586029</v>
      </c>
      <c r="N87">
        <f t="shared" si="35"/>
        <v>16.211207129630079</v>
      </c>
      <c r="O87">
        <f t="shared" si="36"/>
        <v>59.536628831767601</v>
      </c>
      <c r="P87">
        <f t="shared" si="37"/>
        <v>6.262783603024473E-2</v>
      </c>
      <c r="Q87">
        <f t="shared" si="38"/>
        <v>2.0120166623905407</v>
      </c>
      <c r="R87">
        <f t="shared" si="39"/>
        <v>6.1564668135383284E-2</v>
      </c>
      <c r="S87">
        <f t="shared" si="40"/>
        <v>3.8571935642257041E-2</v>
      </c>
      <c r="T87">
        <f t="shared" si="41"/>
        <v>276.11653996799993</v>
      </c>
      <c r="U87">
        <f t="shared" si="42"/>
        <v>29.015055758151835</v>
      </c>
      <c r="V87">
        <f t="shared" si="43"/>
        <v>29.015055758151835</v>
      </c>
      <c r="W87">
        <f t="shared" si="44"/>
        <v>4.0252779064957256</v>
      </c>
      <c r="X87">
        <f t="shared" si="45"/>
        <v>68.061653236390612</v>
      </c>
      <c r="Y87">
        <f t="shared" si="46"/>
        <v>2.4488554593986995</v>
      </c>
      <c r="Z87">
        <f t="shared" si="47"/>
        <v>3.5979958507522221</v>
      </c>
      <c r="AA87">
        <f t="shared" si="48"/>
        <v>1.5764224470970261</v>
      </c>
      <c r="AB87">
        <f t="shared" si="49"/>
        <v>-44.812379830832107</v>
      </c>
      <c r="AC87">
        <f t="shared" si="50"/>
        <v>-208.87942772772223</v>
      </c>
      <c r="AD87">
        <f t="shared" si="51"/>
        <v>-22.641504529692668</v>
      </c>
      <c r="AE87">
        <f t="shared" si="52"/>
        <v>-0.2167721202470716</v>
      </c>
      <c r="AF87">
        <v>13</v>
      </c>
      <c r="AG87">
        <v>4</v>
      </c>
      <c r="AH87">
        <f t="shared" si="53"/>
        <v>1</v>
      </c>
      <c r="AI87">
        <f t="shared" si="54"/>
        <v>0</v>
      </c>
      <c r="AJ87">
        <f t="shared" si="55"/>
        <v>52373.694977843086</v>
      </c>
      <c r="AK87">
        <f t="shared" si="56"/>
        <v>1800</v>
      </c>
      <c r="AL87">
        <f t="shared" si="57"/>
        <v>1499.1124697999999</v>
      </c>
      <c r="AM87">
        <f t="shared" si="58"/>
        <v>0.83284026099999997</v>
      </c>
      <c r="AN87">
        <f t="shared" si="59"/>
        <v>0.15339807775999997</v>
      </c>
      <c r="AO87">
        <v>34.5</v>
      </c>
      <c r="AP87">
        <v>0.5</v>
      </c>
      <c r="AQ87" t="s">
        <v>331</v>
      </c>
      <c r="AR87">
        <v>2</v>
      </c>
      <c r="AS87">
        <v>1690377466</v>
      </c>
      <c r="AT87">
        <v>602.92600000000004</v>
      </c>
      <c r="AU87">
        <v>800.03599999999994</v>
      </c>
      <c r="AV87">
        <v>24.799499999999998</v>
      </c>
      <c r="AW87">
        <v>13.4079</v>
      </c>
      <c r="AX87">
        <v>603.49</v>
      </c>
      <c r="AY87">
        <v>24.5884</v>
      </c>
      <c r="AZ87">
        <v>300.11500000000001</v>
      </c>
      <c r="BA87">
        <v>98.646199999999993</v>
      </c>
      <c r="BB87">
        <v>9.9962599999999999E-2</v>
      </c>
      <c r="BC87">
        <v>27.089400000000001</v>
      </c>
      <c r="BD87">
        <v>26.987100000000002</v>
      </c>
      <c r="BE87">
        <v>29.030899999999999</v>
      </c>
      <c r="BF87">
        <v>0</v>
      </c>
      <c r="BG87">
        <v>0</v>
      </c>
      <c r="BH87">
        <v>10045.6</v>
      </c>
      <c r="BI87">
        <v>1082.3499999999999</v>
      </c>
      <c r="BJ87">
        <v>1.3595999999999999</v>
      </c>
      <c r="BK87">
        <v>-197.10900000000001</v>
      </c>
      <c r="BL87">
        <v>618.25900000000001</v>
      </c>
      <c r="BM87">
        <v>810.90800000000002</v>
      </c>
      <c r="BN87">
        <v>11.3916</v>
      </c>
      <c r="BO87">
        <v>800.03599999999994</v>
      </c>
      <c r="BP87">
        <v>13.4079</v>
      </c>
      <c r="BQ87">
        <v>2.44638</v>
      </c>
      <c r="BR87">
        <v>1.32264</v>
      </c>
      <c r="BS87">
        <v>20.674099999999999</v>
      </c>
      <c r="BT87">
        <v>11.0586</v>
      </c>
      <c r="BU87">
        <v>1800</v>
      </c>
      <c r="BV87">
        <v>0.90998599999999996</v>
      </c>
      <c r="BW87">
        <v>3.3990399999999997E-2</v>
      </c>
      <c r="BX87">
        <v>2.2009299999999999E-2</v>
      </c>
      <c r="BY87">
        <v>3.4014200000000001E-2</v>
      </c>
      <c r="BZ87">
        <v>25</v>
      </c>
      <c r="CA87">
        <v>33528.300000000003</v>
      </c>
      <c r="CB87">
        <v>1690376213.5999999</v>
      </c>
      <c r="CC87" t="s">
        <v>332</v>
      </c>
      <c r="CD87">
        <v>1690376213.5999999</v>
      </c>
      <c r="CE87">
        <v>1690376198.0999999</v>
      </c>
      <c r="CF87">
        <v>2</v>
      </c>
      <c r="CG87">
        <v>0.66900000000000004</v>
      </c>
      <c r="CH87">
        <v>-2.1000000000000001E-2</v>
      </c>
      <c r="CI87">
        <v>-0.70099999999999996</v>
      </c>
      <c r="CJ87">
        <v>0.21099999999999999</v>
      </c>
      <c r="CK87">
        <v>799</v>
      </c>
      <c r="CL87">
        <v>21</v>
      </c>
      <c r="CM87">
        <v>0.11</v>
      </c>
      <c r="CN87">
        <v>0.17</v>
      </c>
      <c r="CO87">
        <v>-192.93851219512189</v>
      </c>
      <c r="CP87">
        <v>-21.91093379790939</v>
      </c>
      <c r="CQ87">
        <v>2.1605686370067319</v>
      </c>
      <c r="CR87">
        <v>-1</v>
      </c>
      <c r="CS87">
        <v>11.152719512195119</v>
      </c>
      <c r="CT87">
        <v>1.2976515679442631</v>
      </c>
      <c r="CU87">
        <v>0.1282661128936057</v>
      </c>
      <c r="CV87">
        <v>-1</v>
      </c>
      <c r="CW87">
        <v>0</v>
      </c>
      <c r="CX87">
        <v>0</v>
      </c>
      <c r="CY87" t="s">
        <v>333</v>
      </c>
      <c r="CZ87">
        <v>2.3649</v>
      </c>
      <c r="DA87">
        <v>2.7137899999999999</v>
      </c>
      <c r="DB87">
        <v>0.12064</v>
      </c>
      <c r="DC87">
        <v>0.145815</v>
      </c>
      <c r="DD87">
        <v>0.11615</v>
      </c>
      <c r="DE87">
        <v>7.3626200000000003E-2</v>
      </c>
      <c r="DF87">
        <v>32122.7</v>
      </c>
      <c r="DG87">
        <v>27526.9</v>
      </c>
      <c r="DH87">
        <v>31183.200000000001</v>
      </c>
      <c r="DI87">
        <v>28078.2</v>
      </c>
      <c r="DJ87">
        <v>37412.300000000003</v>
      </c>
      <c r="DK87">
        <v>36975.300000000003</v>
      </c>
      <c r="DL87">
        <v>44375.4</v>
      </c>
      <c r="DM87">
        <v>42543.5</v>
      </c>
      <c r="DN87">
        <v>1.4374499999999999</v>
      </c>
      <c r="DO87">
        <v>2.0698500000000002</v>
      </c>
      <c r="DP87">
        <v>9.3683600000000006E-2</v>
      </c>
      <c r="DQ87">
        <v>0.219777</v>
      </c>
      <c r="DR87">
        <v>25.452999999999999</v>
      </c>
      <c r="DS87">
        <v>25.437999999999999</v>
      </c>
      <c r="DT87">
        <v>61.2</v>
      </c>
      <c r="DU87">
        <v>26.7</v>
      </c>
      <c r="DV87">
        <v>21.818899999999999</v>
      </c>
      <c r="DW87">
        <v>61.310200000000002</v>
      </c>
      <c r="DX87">
        <v>36.975200000000001</v>
      </c>
      <c r="DY87">
        <v>1</v>
      </c>
      <c r="DZ87">
        <v>-0.14064499999999999</v>
      </c>
      <c r="EA87">
        <v>-0.492919</v>
      </c>
      <c r="EB87">
        <v>20.189599999999999</v>
      </c>
      <c r="EC87">
        <v>5.2418500000000003</v>
      </c>
      <c r="ED87">
        <v>12.039899999999999</v>
      </c>
      <c r="EE87">
        <v>5.0174500000000002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1.8688100000000001</v>
      </c>
      <c r="EL87">
        <v>1.8644799999999999</v>
      </c>
      <c r="EM87">
        <v>1.86913</v>
      </c>
      <c r="EN87">
        <v>1.8671500000000001</v>
      </c>
      <c r="EO87">
        <v>1.8632500000000001</v>
      </c>
      <c r="EP87">
        <v>1.8643099999999999</v>
      </c>
      <c r="EQ87">
        <v>1.8701099999999999</v>
      </c>
      <c r="ER87">
        <v>1.8693500000000001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-0.56399999999999995</v>
      </c>
      <c r="FG87">
        <v>0.21110000000000001</v>
      </c>
      <c r="FH87">
        <v>-0.150361779349652</v>
      </c>
      <c r="FI87">
        <v>-6.1462078757559423E-4</v>
      </c>
      <c r="FJ87">
        <v>-1.8861989874597051E-7</v>
      </c>
      <c r="FK87">
        <v>1.1980462299894961E-10</v>
      </c>
      <c r="FL87">
        <v>0.21114761904761539</v>
      </c>
      <c r="FM87">
        <v>0</v>
      </c>
      <c r="FN87">
        <v>0</v>
      </c>
      <c r="FO87">
        <v>0</v>
      </c>
      <c r="FP87">
        <v>3</v>
      </c>
      <c r="FQ87">
        <v>2158</v>
      </c>
      <c r="FR87">
        <v>1</v>
      </c>
      <c r="FS87">
        <v>19</v>
      </c>
      <c r="FT87">
        <v>20.9</v>
      </c>
      <c r="FU87">
        <v>21.1</v>
      </c>
      <c r="FV87">
        <v>1.78711</v>
      </c>
      <c r="FW87">
        <v>2.5683600000000002</v>
      </c>
      <c r="FX87">
        <v>1.5490699999999999</v>
      </c>
      <c r="FY87">
        <v>2.33887</v>
      </c>
      <c r="FZ87">
        <v>1.50146</v>
      </c>
      <c r="GA87">
        <v>2.34619</v>
      </c>
      <c r="GB87">
        <v>31.958500000000001</v>
      </c>
      <c r="GC87">
        <v>23.991199999999999</v>
      </c>
      <c r="GD87">
        <v>19</v>
      </c>
      <c r="GE87">
        <v>264.322</v>
      </c>
      <c r="GF87">
        <v>604.19600000000003</v>
      </c>
      <c r="GG87">
        <v>25.549399999999999</v>
      </c>
      <c r="GH87">
        <v>25.671099999999999</v>
      </c>
      <c r="GI87">
        <v>30</v>
      </c>
      <c r="GJ87">
        <v>25.768999999999998</v>
      </c>
      <c r="GK87">
        <v>25.736899999999999</v>
      </c>
      <c r="GL87">
        <v>35.716900000000003</v>
      </c>
      <c r="GM87">
        <v>45.071100000000001</v>
      </c>
      <c r="GN87">
        <v>92.440200000000004</v>
      </c>
      <c r="GO87">
        <v>25.560600000000001</v>
      </c>
      <c r="GP87">
        <v>800</v>
      </c>
      <c r="GQ87">
        <v>13.237</v>
      </c>
      <c r="GR87">
        <v>99.7714</v>
      </c>
      <c r="GS87">
        <v>99.536500000000004</v>
      </c>
    </row>
    <row r="88" spans="1:201" x14ac:dyDescent="0.25">
      <c r="A88">
        <v>72</v>
      </c>
      <c r="B88">
        <v>1690377476</v>
      </c>
      <c r="C88">
        <v>759.5</v>
      </c>
      <c r="D88" t="s">
        <v>477</v>
      </c>
      <c r="E88" t="s">
        <v>478</v>
      </c>
      <c r="F88" t="s">
        <v>330</v>
      </c>
      <c r="H88">
        <v>1690377476</v>
      </c>
      <c r="I88">
        <f t="shared" si="30"/>
        <v>1.0370388356485093E-3</v>
      </c>
      <c r="J88">
        <f t="shared" si="31"/>
        <v>1.0370388356485092</v>
      </c>
      <c r="K88">
        <f t="shared" si="32"/>
        <v>16.849691378440429</v>
      </c>
      <c r="L88">
        <f t="shared" si="33"/>
        <v>599.28899999999999</v>
      </c>
      <c r="M88">
        <f t="shared" si="34"/>
        <v>161.20363128885387</v>
      </c>
      <c r="N88">
        <f t="shared" si="35"/>
        <v>15.919467649334056</v>
      </c>
      <c r="O88">
        <f t="shared" si="36"/>
        <v>59.182052983699798</v>
      </c>
      <c r="P88">
        <f t="shared" si="37"/>
        <v>6.393284282673993E-2</v>
      </c>
      <c r="Q88">
        <f t="shared" si="38"/>
        <v>2.0068771548072135</v>
      </c>
      <c r="R88">
        <f t="shared" si="39"/>
        <v>6.2822544953838225E-2</v>
      </c>
      <c r="S88">
        <f t="shared" si="40"/>
        <v>3.9362240345091046E-2</v>
      </c>
      <c r="T88">
        <f t="shared" si="41"/>
        <v>276.11496926742643</v>
      </c>
      <c r="U88">
        <f t="shared" si="42"/>
        <v>29.025483838771731</v>
      </c>
      <c r="V88">
        <f t="shared" si="43"/>
        <v>29.025483838771731</v>
      </c>
      <c r="W88">
        <f t="shared" si="44"/>
        <v>4.0277072319484821</v>
      </c>
      <c r="X88">
        <f t="shared" si="45"/>
        <v>68.066770070654215</v>
      </c>
      <c r="Y88">
        <f t="shared" si="46"/>
        <v>2.4510095226570803</v>
      </c>
      <c r="Z88">
        <f t="shared" si="47"/>
        <v>3.6008900086090465</v>
      </c>
      <c r="AA88">
        <f t="shared" si="48"/>
        <v>1.5766977092914018</v>
      </c>
      <c r="AB88">
        <f t="shared" si="49"/>
        <v>-45.733412652099261</v>
      </c>
      <c r="AC88">
        <f t="shared" si="50"/>
        <v>-207.99186031291063</v>
      </c>
      <c r="AD88">
        <f t="shared" si="51"/>
        <v>-22.605750520004666</v>
      </c>
      <c r="AE88">
        <f t="shared" si="52"/>
        <v>-0.21605421758815169</v>
      </c>
      <c r="AF88">
        <v>13</v>
      </c>
      <c r="AG88">
        <v>4</v>
      </c>
      <c r="AH88">
        <f t="shared" si="53"/>
        <v>1</v>
      </c>
      <c r="AI88">
        <f t="shared" si="54"/>
        <v>0</v>
      </c>
      <c r="AJ88">
        <f t="shared" si="55"/>
        <v>52125.509182614158</v>
      </c>
      <c r="AK88">
        <f t="shared" si="56"/>
        <v>1799.99</v>
      </c>
      <c r="AL88">
        <f t="shared" si="57"/>
        <v>1499.10106341449</v>
      </c>
      <c r="AM88">
        <f t="shared" si="58"/>
        <v>0.83283855100000004</v>
      </c>
      <c r="AN88">
        <f t="shared" si="59"/>
        <v>0.15339805736000001</v>
      </c>
      <c r="AO88">
        <v>34.5</v>
      </c>
      <c r="AP88">
        <v>0.5</v>
      </c>
      <c r="AQ88" t="s">
        <v>331</v>
      </c>
      <c r="AR88">
        <v>2</v>
      </c>
      <c r="AS88">
        <v>1690377476</v>
      </c>
      <c r="AT88">
        <v>599.28899999999999</v>
      </c>
      <c r="AU88">
        <v>800.16</v>
      </c>
      <c r="AV88">
        <v>24.819400000000002</v>
      </c>
      <c r="AW88">
        <v>13.1922</v>
      </c>
      <c r="AX88">
        <v>599.85</v>
      </c>
      <c r="AY88">
        <v>24.6083</v>
      </c>
      <c r="AZ88">
        <v>300.07100000000003</v>
      </c>
      <c r="BA88">
        <v>98.653800000000004</v>
      </c>
      <c r="BB88">
        <v>9.9978200000000003E-2</v>
      </c>
      <c r="BC88">
        <v>27.103100000000001</v>
      </c>
      <c r="BD88">
        <v>26.996300000000002</v>
      </c>
      <c r="BE88">
        <v>29.022099999999998</v>
      </c>
      <c r="BF88">
        <v>0</v>
      </c>
      <c r="BG88">
        <v>0</v>
      </c>
      <c r="BH88">
        <v>9995.6200000000008</v>
      </c>
      <c r="BI88">
        <v>1082.3399999999999</v>
      </c>
      <c r="BJ88">
        <v>1.3455900000000001</v>
      </c>
      <c r="BK88">
        <v>-200.87100000000001</v>
      </c>
      <c r="BL88">
        <v>614.54100000000005</v>
      </c>
      <c r="BM88">
        <v>810.85699999999997</v>
      </c>
      <c r="BN88">
        <v>11.6273</v>
      </c>
      <c r="BO88">
        <v>800.16</v>
      </c>
      <c r="BP88">
        <v>13.1922</v>
      </c>
      <c r="BQ88">
        <v>2.4485299999999999</v>
      </c>
      <c r="BR88">
        <v>1.3014600000000001</v>
      </c>
      <c r="BS88">
        <v>20.688400000000001</v>
      </c>
      <c r="BT88">
        <v>10.8157</v>
      </c>
      <c r="BU88">
        <v>1799.99</v>
      </c>
      <c r="BV88">
        <v>0.90997700000000004</v>
      </c>
      <c r="BW88">
        <v>3.4001499999999997E-2</v>
      </c>
      <c r="BX88">
        <v>2.2008300000000001E-2</v>
      </c>
      <c r="BY88">
        <v>3.4012800000000003E-2</v>
      </c>
      <c r="BZ88">
        <v>25</v>
      </c>
      <c r="CA88">
        <v>33528.1</v>
      </c>
      <c r="CB88">
        <v>1690376213.5999999</v>
      </c>
      <c r="CC88" t="s">
        <v>332</v>
      </c>
      <c r="CD88">
        <v>1690376213.5999999</v>
      </c>
      <c r="CE88">
        <v>1690376198.0999999</v>
      </c>
      <c r="CF88">
        <v>2</v>
      </c>
      <c r="CG88">
        <v>0.66900000000000004</v>
      </c>
      <c r="CH88">
        <v>-2.1000000000000001E-2</v>
      </c>
      <c r="CI88">
        <v>-0.70099999999999996</v>
      </c>
      <c r="CJ88">
        <v>0.21099999999999999</v>
      </c>
      <c r="CK88">
        <v>799</v>
      </c>
      <c r="CL88">
        <v>21</v>
      </c>
      <c r="CM88">
        <v>0.11</v>
      </c>
      <c r="CN88">
        <v>0.17</v>
      </c>
      <c r="CO88">
        <v>-196.59395121951221</v>
      </c>
      <c r="CP88">
        <v>-22.04251567944247</v>
      </c>
      <c r="CQ88">
        <v>2.1735581141688511</v>
      </c>
      <c r="CR88">
        <v>-1</v>
      </c>
      <c r="CS88">
        <v>11.36165365853658</v>
      </c>
      <c r="CT88">
        <v>1.2637965156794591</v>
      </c>
      <c r="CU88">
        <v>0.1249167627204866</v>
      </c>
      <c r="CV88">
        <v>-1</v>
      </c>
      <c r="CW88">
        <v>0</v>
      </c>
      <c r="CX88">
        <v>0</v>
      </c>
      <c r="CY88" t="s">
        <v>333</v>
      </c>
      <c r="CZ88">
        <v>2.36476</v>
      </c>
      <c r="DA88">
        <v>2.7137600000000002</v>
      </c>
      <c r="DB88">
        <v>0.12013600000000001</v>
      </c>
      <c r="DC88">
        <v>0.14583599999999999</v>
      </c>
      <c r="DD88">
        <v>0.11622399999999999</v>
      </c>
      <c r="DE88">
        <v>7.2748999999999994E-2</v>
      </c>
      <c r="DF88">
        <v>32141.5</v>
      </c>
      <c r="DG88">
        <v>27526.3</v>
      </c>
      <c r="DH88">
        <v>31183.5</v>
      </c>
      <c r="DI88">
        <v>28078.3</v>
      </c>
      <c r="DJ88">
        <v>37409.5</v>
      </c>
      <c r="DK88">
        <v>37010.699999999997</v>
      </c>
      <c r="DL88">
        <v>44375.9</v>
      </c>
      <c r="DM88">
        <v>42543.8</v>
      </c>
      <c r="DN88">
        <v>1.4378200000000001</v>
      </c>
      <c r="DO88">
        <v>2.0696500000000002</v>
      </c>
      <c r="DP88">
        <v>9.4119499999999995E-2</v>
      </c>
      <c r="DQ88">
        <v>0.21910299999999999</v>
      </c>
      <c r="DR88">
        <v>25.455200000000001</v>
      </c>
      <c r="DS88">
        <v>25.440200000000001</v>
      </c>
      <c r="DT88">
        <v>61.1</v>
      </c>
      <c r="DU88">
        <v>26.7</v>
      </c>
      <c r="DV88">
        <v>21.778500000000001</v>
      </c>
      <c r="DW88">
        <v>61.300199999999997</v>
      </c>
      <c r="DX88">
        <v>37.279600000000002</v>
      </c>
      <c r="DY88">
        <v>1</v>
      </c>
      <c r="DZ88">
        <v>-0.14010900000000001</v>
      </c>
      <c r="EA88">
        <v>-0.483205</v>
      </c>
      <c r="EB88">
        <v>20.189900000000002</v>
      </c>
      <c r="EC88">
        <v>5.242</v>
      </c>
      <c r="ED88">
        <v>12.039899999999999</v>
      </c>
      <c r="EE88">
        <v>5.0174500000000002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1.8688499999999999</v>
      </c>
      <c r="EL88">
        <v>1.86449</v>
      </c>
      <c r="EM88">
        <v>1.8691500000000001</v>
      </c>
      <c r="EN88">
        <v>1.86717</v>
      </c>
      <c r="EO88">
        <v>1.86327</v>
      </c>
      <c r="EP88">
        <v>1.86432</v>
      </c>
      <c r="EQ88">
        <v>1.87012</v>
      </c>
      <c r="ER88">
        <v>1.8693500000000001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-0.56100000000000005</v>
      </c>
      <c r="FG88">
        <v>0.21110000000000001</v>
      </c>
      <c r="FH88">
        <v>-0.150361779349652</v>
      </c>
      <c r="FI88">
        <v>-6.1462078757559423E-4</v>
      </c>
      <c r="FJ88">
        <v>-1.8861989874597051E-7</v>
      </c>
      <c r="FK88">
        <v>1.1980462299894961E-10</v>
      </c>
      <c r="FL88">
        <v>0.21114761904761539</v>
      </c>
      <c r="FM88">
        <v>0</v>
      </c>
      <c r="FN88">
        <v>0</v>
      </c>
      <c r="FO88">
        <v>0</v>
      </c>
      <c r="FP88">
        <v>3</v>
      </c>
      <c r="FQ88">
        <v>2158</v>
      </c>
      <c r="FR88">
        <v>1</v>
      </c>
      <c r="FS88">
        <v>19</v>
      </c>
      <c r="FT88">
        <v>21</v>
      </c>
      <c r="FU88">
        <v>21.3</v>
      </c>
      <c r="FV88">
        <v>1.78589</v>
      </c>
      <c r="FW88">
        <v>2.5659200000000002</v>
      </c>
      <c r="FX88">
        <v>1.5490699999999999</v>
      </c>
      <c r="FY88">
        <v>2.33765</v>
      </c>
      <c r="FZ88">
        <v>1.50146</v>
      </c>
      <c r="GA88">
        <v>2.3132299999999999</v>
      </c>
      <c r="GB88">
        <v>31.958500000000001</v>
      </c>
      <c r="GC88">
        <v>23.982399999999998</v>
      </c>
      <c r="GD88">
        <v>19</v>
      </c>
      <c r="GE88">
        <v>264.47500000000002</v>
      </c>
      <c r="GF88">
        <v>604.02599999999995</v>
      </c>
      <c r="GG88">
        <v>25.570900000000002</v>
      </c>
      <c r="GH88">
        <v>25.671099999999999</v>
      </c>
      <c r="GI88">
        <v>30.0001</v>
      </c>
      <c r="GJ88">
        <v>25.769100000000002</v>
      </c>
      <c r="GK88">
        <v>25.736899999999999</v>
      </c>
      <c r="GL88">
        <v>35.703899999999997</v>
      </c>
      <c r="GM88">
        <v>45.677199999999999</v>
      </c>
      <c r="GN88">
        <v>92.062100000000001</v>
      </c>
      <c r="GO88">
        <v>25.5732</v>
      </c>
      <c r="GP88">
        <v>800</v>
      </c>
      <c r="GQ88">
        <v>13.036199999999999</v>
      </c>
      <c r="GR88">
        <v>99.772300000000001</v>
      </c>
      <c r="GS88">
        <v>99.537000000000006</v>
      </c>
    </row>
    <row r="89" spans="1:201" x14ac:dyDescent="0.25">
      <c r="A89">
        <v>73</v>
      </c>
      <c r="B89">
        <v>1690377486</v>
      </c>
      <c r="C89">
        <v>769.5</v>
      </c>
      <c r="D89" t="s">
        <v>479</v>
      </c>
      <c r="E89" t="s">
        <v>480</v>
      </c>
      <c r="F89" t="s">
        <v>330</v>
      </c>
      <c r="H89">
        <v>1690377486</v>
      </c>
      <c r="I89">
        <f t="shared" si="30"/>
        <v>1.0583292682465205E-3</v>
      </c>
      <c r="J89">
        <f t="shared" si="31"/>
        <v>1.0583292682465204</v>
      </c>
      <c r="K89">
        <f t="shared" si="32"/>
        <v>17.167536942253911</v>
      </c>
      <c r="L89">
        <f t="shared" si="33"/>
        <v>595.529</v>
      </c>
      <c r="M89">
        <f t="shared" si="34"/>
        <v>159.78166877359362</v>
      </c>
      <c r="N89">
        <f t="shared" si="35"/>
        <v>15.778010777611714</v>
      </c>
      <c r="O89">
        <f t="shared" si="36"/>
        <v>58.806889754635002</v>
      </c>
      <c r="P89">
        <f t="shared" si="37"/>
        <v>6.5504256982356998E-2</v>
      </c>
      <c r="Q89">
        <f t="shared" si="38"/>
        <v>2.0074655608315672</v>
      </c>
      <c r="R89">
        <f t="shared" si="39"/>
        <v>6.433957901296132E-2</v>
      </c>
      <c r="S89">
        <f t="shared" si="40"/>
        <v>4.0315153707315018E-2</v>
      </c>
      <c r="T89">
        <f t="shared" si="41"/>
        <v>276.11493166563531</v>
      </c>
      <c r="U89">
        <f t="shared" si="42"/>
        <v>29.010854013020356</v>
      </c>
      <c r="V89">
        <f t="shared" si="43"/>
        <v>29.010854013020356</v>
      </c>
      <c r="W89">
        <f t="shared" si="44"/>
        <v>4.0242994292074252</v>
      </c>
      <c r="X89">
        <f t="shared" si="45"/>
        <v>68.154696458645631</v>
      </c>
      <c r="Y89">
        <f t="shared" si="46"/>
        <v>2.4532684191285004</v>
      </c>
      <c r="Z89">
        <f t="shared" si="47"/>
        <v>3.5995588662287936</v>
      </c>
      <c r="AA89">
        <f t="shared" si="48"/>
        <v>1.5710310100789249</v>
      </c>
      <c r="AB89">
        <f t="shared" si="49"/>
        <v>-46.672320729671554</v>
      </c>
      <c r="AC89">
        <f t="shared" si="50"/>
        <v>-207.15133470521175</v>
      </c>
      <c r="AD89">
        <f t="shared" si="51"/>
        <v>-22.505449215851229</v>
      </c>
      <c r="AE89">
        <f t="shared" si="52"/>
        <v>-0.21417298509922489</v>
      </c>
      <c r="AF89">
        <v>13</v>
      </c>
      <c r="AG89">
        <v>4</v>
      </c>
      <c r="AH89">
        <f t="shared" si="53"/>
        <v>1</v>
      </c>
      <c r="AI89">
        <f t="shared" si="54"/>
        <v>0</v>
      </c>
      <c r="AJ89">
        <f t="shared" si="55"/>
        <v>52154.578782907403</v>
      </c>
      <c r="AK89">
        <f t="shared" si="56"/>
        <v>1799.99</v>
      </c>
      <c r="AL89">
        <f t="shared" si="57"/>
        <v>1499.1009302152299</v>
      </c>
      <c r="AM89">
        <f t="shared" si="58"/>
        <v>0.83283847700000002</v>
      </c>
      <c r="AN89">
        <f t="shared" si="59"/>
        <v>0.15339803647</v>
      </c>
      <c r="AO89">
        <v>34.5</v>
      </c>
      <c r="AP89">
        <v>0.5</v>
      </c>
      <c r="AQ89" t="s">
        <v>331</v>
      </c>
      <c r="AR89">
        <v>2</v>
      </c>
      <c r="AS89">
        <v>1690377486</v>
      </c>
      <c r="AT89">
        <v>595.529</v>
      </c>
      <c r="AU89">
        <v>800.08100000000002</v>
      </c>
      <c r="AV89">
        <v>24.843900000000001</v>
      </c>
      <c r="AW89">
        <v>12.9826</v>
      </c>
      <c r="AX89">
        <v>596.08699999999999</v>
      </c>
      <c r="AY89">
        <v>24.6328</v>
      </c>
      <c r="AZ89">
        <v>300.18</v>
      </c>
      <c r="BA89">
        <v>98.647300000000001</v>
      </c>
      <c r="BB89">
        <v>0.10001500000000001</v>
      </c>
      <c r="BC89">
        <v>27.096800000000002</v>
      </c>
      <c r="BD89">
        <v>26.9879</v>
      </c>
      <c r="BE89">
        <v>29.037099999999999</v>
      </c>
      <c r="BF89">
        <v>0</v>
      </c>
      <c r="BG89">
        <v>0</v>
      </c>
      <c r="BH89">
        <v>10001.9</v>
      </c>
      <c r="BI89">
        <v>1082.23</v>
      </c>
      <c r="BJ89">
        <v>1.3455900000000001</v>
      </c>
      <c r="BK89">
        <v>-204.553</v>
      </c>
      <c r="BL89">
        <v>610.70100000000002</v>
      </c>
      <c r="BM89">
        <v>810.60500000000002</v>
      </c>
      <c r="BN89">
        <v>11.8614</v>
      </c>
      <c r="BO89">
        <v>800.08100000000002</v>
      </c>
      <c r="BP89">
        <v>12.9826</v>
      </c>
      <c r="BQ89">
        <v>2.45079</v>
      </c>
      <c r="BR89">
        <v>1.2806999999999999</v>
      </c>
      <c r="BS89">
        <v>20.703299999999999</v>
      </c>
      <c r="BT89">
        <v>10.574199999999999</v>
      </c>
      <c r="BU89">
        <v>1799.99</v>
      </c>
      <c r="BV89">
        <v>0.90997700000000004</v>
      </c>
      <c r="BW89">
        <v>3.4006399999999999E-2</v>
      </c>
      <c r="BX89">
        <v>2.2006600000000001E-2</v>
      </c>
      <c r="BY89">
        <v>3.4010100000000001E-2</v>
      </c>
      <c r="BZ89">
        <v>25</v>
      </c>
      <c r="CA89">
        <v>33528.1</v>
      </c>
      <c r="CB89">
        <v>1690376213.5999999</v>
      </c>
      <c r="CC89" t="s">
        <v>332</v>
      </c>
      <c r="CD89">
        <v>1690376213.5999999</v>
      </c>
      <c r="CE89">
        <v>1690376198.0999999</v>
      </c>
      <c r="CF89">
        <v>2</v>
      </c>
      <c r="CG89">
        <v>0.66900000000000004</v>
      </c>
      <c r="CH89">
        <v>-2.1000000000000001E-2</v>
      </c>
      <c r="CI89">
        <v>-0.70099999999999996</v>
      </c>
      <c r="CJ89">
        <v>0.21099999999999999</v>
      </c>
      <c r="CK89">
        <v>799</v>
      </c>
      <c r="CL89">
        <v>21</v>
      </c>
      <c r="CM89">
        <v>0.11</v>
      </c>
      <c r="CN89">
        <v>0.17</v>
      </c>
      <c r="CO89">
        <v>-200.24773170731709</v>
      </c>
      <c r="CP89">
        <v>-21.780731707317429</v>
      </c>
      <c r="CQ89">
        <v>2.14805807961165</v>
      </c>
      <c r="CR89">
        <v>-1</v>
      </c>
      <c r="CS89">
        <v>11.585375609756101</v>
      </c>
      <c r="CT89">
        <v>1.409172125435542</v>
      </c>
      <c r="CU89">
        <v>0.1392217756665606</v>
      </c>
      <c r="CV89">
        <v>-1</v>
      </c>
      <c r="CW89">
        <v>0</v>
      </c>
      <c r="CX89">
        <v>0</v>
      </c>
      <c r="CY89" t="s">
        <v>333</v>
      </c>
      <c r="CZ89">
        <v>2.3651200000000001</v>
      </c>
      <c r="DA89">
        <v>2.7138100000000001</v>
      </c>
      <c r="DB89">
        <v>0.11959699999999999</v>
      </c>
      <c r="DC89">
        <v>0.145813</v>
      </c>
      <c r="DD89">
        <v>0.116297</v>
      </c>
      <c r="DE89">
        <v>7.1881899999999999E-2</v>
      </c>
      <c r="DF89">
        <v>32161.200000000001</v>
      </c>
      <c r="DG89">
        <v>27527</v>
      </c>
      <c r="DH89">
        <v>31183.5</v>
      </c>
      <c r="DI89">
        <v>28078.2</v>
      </c>
      <c r="DJ89">
        <v>37406.300000000003</v>
      </c>
      <c r="DK89">
        <v>37045.300000000003</v>
      </c>
      <c r="DL89">
        <v>44375.9</v>
      </c>
      <c r="DM89">
        <v>42543.7</v>
      </c>
      <c r="DN89">
        <v>1.4392</v>
      </c>
      <c r="DO89">
        <v>2.0698799999999999</v>
      </c>
      <c r="DP89">
        <v>9.3601599999999993E-2</v>
      </c>
      <c r="DQ89">
        <v>0.21975900000000001</v>
      </c>
      <c r="DR89">
        <v>25.455200000000001</v>
      </c>
      <c r="DS89">
        <v>25.444500000000001</v>
      </c>
      <c r="DT89">
        <v>61.1</v>
      </c>
      <c r="DU89">
        <v>26.7</v>
      </c>
      <c r="DV89">
        <v>21.7803</v>
      </c>
      <c r="DW89">
        <v>61.410200000000003</v>
      </c>
      <c r="DX89">
        <v>37.239600000000003</v>
      </c>
      <c r="DY89">
        <v>1</v>
      </c>
      <c r="DZ89">
        <v>-0.140287</v>
      </c>
      <c r="EA89">
        <v>-0.459534</v>
      </c>
      <c r="EB89">
        <v>20.189900000000002</v>
      </c>
      <c r="EC89">
        <v>5.242</v>
      </c>
      <c r="ED89">
        <v>12.039899999999999</v>
      </c>
      <c r="EE89">
        <v>5.01755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1.86883</v>
      </c>
      <c r="EL89">
        <v>1.8645</v>
      </c>
      <c r="EM89">
        <v>1.8691599999999999</v>
      </c>
      <c r="EN89">
        <v>1.86713</v>
      </c>
      <c r="EO89">
        <v>1.86327</v>
      </c>
      <c r="EP89">
        <v>1.86432</v>
      </c>
      <c r="EQ89">
        <v>1.87012</v>
      </c>
      <c r="ER89">
        <v>1.8693500000000001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-0.55800000000000005</v>
      </c>
      <c r="FG89">
        <v>0.21110000000000001</v>
      </c>
      <c r="FH89">
        <v>-0.150361779349652</v>
      </c>
      <c r="FI89">
        <v>-6.1462078757559423E-4</v>
      </c>
      <c r="FJ89">
        <v>-1.8861989874597051E-7</v>
      </c>
      <c r="FK89">
        <v>1.1980462299894961E-10</v>
      </c>
      <c r="FL89">
        <v>0.21114761904761539</v>
      </c>
      <c r="FM89">
        <v>0</v>
      </c>
      <c r="FN89">
        <v>0</v>
      </c>
      <c r="FO89">
        <v>0</v>
      </c>
      <c r="FP89">
        <v>3</v>
      </c>
      <c r="FQ89">
        <v>2158</v>
      </c>
      <c r="FR89">
        <v>1</v>
      </c>
      <c r="FS89">
        <v>19</v>
      </c>
      <c r="FT89">
        <v>21.2</v>
      </c>
      <c r="FU89">
        <v>21.5</v>
      </c>
      <c r="FV89">
        <v>1.78589</v>
      </c>
      <c r="FW89">
        <v>2.5732400000000002</v>
      </c>
      <c r="FX89">
        <v>1.5490699999999999</v>
      </c>
      <c r="FY89">
        <v>2.33765</v>
      </c>
      <c r="FZ89">
        <v>1.50146</v>
      </c>
      <c r="GA89">
        <v>2.3083499999999999</v>
      </c>
      <c r="GB89">
        <v>31.980499999999999</v>
      </c>
      <c r="GC89">
        <v>23.982399999999998</v>
      </c>
      <c r="GD89">
        <v>19</v>
      </c>
      <c r="GE89">
        <v>265.03800000000001</v>
      </c>
      <c r="GF89">
        <v>604.21699999999998</v>
      </c>
      <c r="GG89">
        <v>25.5778</v>
      </c>
      <c r="GH89">
        <v>25.671099999999999</v>
      </c>
      <c r="GI89">
        <v>30.000299999999999</v>
      </c>
      <c r="GJ89">
        <v>25.7712</v>
      </c>
      <c r="GK89">
        <v>25.736899999999999</v>
      </c>
      <c r="GL89">
        <v>35.706899999999997</v>
      </c>
      <c r="GM89">
        <v>46.546100000000003</v>
      </c>
      <c r="GN89">
        <v>91.680499999999995</v>
      </c>
      <c r="GO89">
        <v>25.584</v>
      </c>
      <c r="GP89">
        <v>800</v>
      </c>
      <c r="GQ89">
        <v>12.8287</v>
      </c>
      <c r="GR89">
        <v>99.772400000000005</v>
      </c>
      <c r="GS89">
        <v>99.536699999999996</v>
      </c>
    </row>
    <row r="90" spans="1:201" x14ac:dyDescent="0.25">
      <c r="A90">
        <v>74</v>
      </c>
      <c r="B90">
        <v>1690377496</v>
      </c>
      <c r="C90">
        <v>779.5</v>
      </c>
      <c r="D90" t="s">
        <v>481</v>
      </c>
      <c r="E90" t="s">
        <v>482</v>
      </c>
      <c r="F90" t="s">
        <v>330</v>
      </c>
      <c r="H90">
        <v>1690377496</v>
      </c>
      <c r="I90">
        <f t="shared" si="30"/>
        <v>1.0768508632412902E-3</v>
      </c>
      <c r="J90">
        <f t="shared" si="31"/>
        <v>1.0768508632412901</v>
      </c>
      <c r="K90">
        <f t="shared" si="32"/>
        <v>17.472800803249953</v>
      </c>
      <c r="L90">
        <f t="shared" si="33"/>
        <v>591.92399999999998</v>
      </c>
      <c r="M90">
        <f t="shared" si="34"/>
        <v>156.65289353194424</v>
      </c>
      <c r="N90">
        <f t="shared" si="35"/>
        <v>15.468628877183356</v>
      </c>
      <c r="O90">
        <f t="shared" si="36"/>
        <v>58.449304529639996</v>
      </c>
      <c r="P90">
        <f t="shared" si="37"/>
        <v>6.6747812332273435E-2</v>
      </c>
      <c r="Q90">
        <f t="shared" si="38"/>
        <v>2.0065177378117927</v>
      </c>
      <c r="R90">
        <f t="shared" si="39"/>
        <v>6.5538373276523509E-2</v>
      </c>
      <c r="S90">
        <f t="shared" si="40"/>
        <v>4.1068321270626373E-2</v>
      </c>
      <c r="T90">
        <f t="shared" si="41"/>
        <v>276.11630591399995</v>
      </c>
      <c r="U90">
        <f t="shared" si="42"/>
        <v>29.009955467000911</v>
      </c>
      <c r="V90">
        <f t="shared" si="43"/>
        <v>29.009955467000911</v>
      </c>
      <c r="W90">
        <f t="shared" si="44"/>
        <v>4.0240902081026277</v>
      </c>
      <c r="X90">
        <f t="shared" si="45"/>
        <v>68.178506140872656</v>
      </c>
      <c r="Y90">
        <f t="shared" si="46"/>
        <v>2.454860125827</v>
      </c>
      <c r="Z90">
        <f t="shared" si="47"/>
        <v>3.6006364245568649</v>
      </c>
      <c r="AA90">
        <f t="shared" si="48"/>
        <v>1.5692300822756278</v>
      </c>
      <c r="AB90">
        <f t="shared" si="49"/>
        <v>-47.489123068940899</v>
      </c>
      <c r="AC90">
        <f t="shared" si="50"/>
        <v>-206.40463337211344</v>
      </c>
      <c r="AD90">
        <f t="shared" si="51"/>
        <v>-22.435386533010721</v>
      </c>
      <c r="AE90">
        <f t="shared" si="52"/>
        <v>-0.21283706006511238</v>
      </c>
      <c r="AF90">
        <v>13</v>
      </c>
      <c r="AG90">
        <v>4</v>
      </c>
      <c r="AH90">
        <f t="shared" si="53"/>
        <v>1</v>
      </c>
      <c r="AI90">
        <f t="shared" si="54"/>
        <v>0</v>
      </c>
      <c r="AJ90">
        <f t="shared" si="55"/>
        <v>52108.351667275201</v>
      </c>
      <c r="AK90">
        <f t="shared" si="56"/>
        <v>1800</v>
      </c>
      <c r="AL90">
        <f t="shared" si="57"/>
        <v>1499.1102413999997</v>
      </c>
      <c r="AM90">
        <f t="shared" si="58"/>
        <v>0.8328390229999999</v>
      </c>
      <c r="AN90">
        <f t="shared" si="59"/>
        <v>0.15339794772999998</v>
      </c>
      <c r="AO90">
        <v>34.5</v>
      </c>
      <c r="AP90">
        <v>0.5</v>
      </c>
      <c r="AQ90" t="s">
        <v>331</v>
      </c>
      <c r="AR90">
        <v>2</v>
      </c>
      <c r="AS90">
        <v>1690377496</v>
      </c>
      <c r="AT90">
        <v>591.92399999999998</v>
      </c>
      <c r="AU90">
        <v>800.08600000000001</v>
      </c>
      <c r="AV90">
        <v>24.860700000000001</v>
      </c>
      <c r="AW90">
        <v>12.790900000000001</v>
      </c>
      <c r="AX90">
        <v>592.48</v>
      </c>
      <c r="AY90">
        <v>24.6496</v>
      </c>
      <c r="AZ90">
        <v>300.15199999999999</v>
      </c>
      <c r="BA90">
        <v>98.644599999999997</v>
      </c>
      <c r="BB90">
        <v>0.10001</v>
      </c>
      <c r="BC90">
        <v>27.101900000000001</v>
      </c>
      <c r="BD90">
        <v>26.997</v>
      </c>
      <c r="BE90">
        <v>29.030999999999999</v>
      </c>
      <c r="BF90">
        <v>0</v>
      </c>
      <c r="BG90">
        <v>0</v>
      </c>
      <c r="BH90">
        <v>9993.1200000000008</v>
      </c>
      <c r="BI90">
        <v>1082.23</v>
      </c>
      <c r="BJ90">
        <v>1.38764</v>
      </c>
      <c r="BK90">
        <v>-208.16200000000001</v>
      </c>
      <c r="BL90">
        <v>607.01499999999999</v>
      </c>
      <c r="BM90">
        <v>810.45299999999997</v>
      </c>
      <c r="BN90">
        <v>12.069800000000001</v>
      </c>
      <c r="BO90">
        <v>800.08600000000001</v>
      </c>
      <c r="BP90">
        <v>12.790900000000001</v>
      </c>
      <c r="BQ90">
        <v>2.4523799999999998</v>
      </c>
      <c r="BR90">
        <v>1.2617499999999999</v>
      </c>
      <c r="BS90">
        <v>20.713799999999999</v>
      </c>
      <c r="BT90">
        <v>10.350899999999999</v>
      </c>
      <c r="BU90">
        <v>1800</v>
      </c>
      <c r="BV90">
        <v>0.90998199999999996</v>
      </c>
      <c r="BW90">
        <v>3.4004600000000003E-2</v>
      </c>
      <c r="BX90">
        <v>2.2005400000000001E-2</v>
      </c>
      <c r="BY90">
        <v>3.4008299999999998E-2</v>
      </c>
      <c r="BZ90">
        <v>25</v>
      </c>
      <c r="CA90">
        <v>33528.199999999997</v>
      </c>
      <c r="CB90">
        <v>1690376213.5999999</v>
      </c>
      <c r="CC90" t="s">
        <v>332</v>
      </c>
      <c r="CD90">
        <v>1690376213.5999999</v>
      </c>
      <c r="CE90">
        <v>1690376198.0999999</v>
      </c>
      <c r="CF90">
        <v>2</v>
      </c>
      <c r="CG90">
        <v>0.66900000000000004</v>
      </c>
      <c r="CH90">
        <v>-2.1000000000000001E-2</v>
      </c>
      <c r="CI90">
        <v>-0.70099999999999996</v>
      </c>
      <c r="CJ90">
        <v>0.21099999999999999</v>
      </c>
      <c r="CK90">
        <v>799</v>
      </c>
      <c r="CL90">
        <v>21</v>
      </c>
      <c r="CM90">
        <v>0.11</v>
      </c>
      <c r="CN90">
        <v>0.17</v>
      </c>
      <c r="CO90">
        <v>-204.3062195121951</v>
      </c>
      <c r="CP90">
        <v>-22.189212543554209</v>
      </c>
      <c r="CQ90">
        <v>2.1887030518952</v>
      </c>
      <c r="CR90">
        <v>-1</v>
      </c>
      <c r="CS90">
        <v>11.83912926829268</v>
      </c>
      <c r="CT90">
        <v>1.305581184669002</v>
      </c>
      <c r="CU90">
        <v>0.128895995593162</v>
      </c>
      <c r="CV90">
        <v>-1</v>
      </c>
      <c r="CW90">
        <v>0</v>
      </c>
      <c r="CX90">
        <v>0</v>
      </c>
      <c r="CY90" t="s">
        <v>333</v>
      </c>
      <c r="CZ90">
        <v>2.3650500000000001</v>
      </c>
      <c r="DA90">
        <v>2.7138</v>
      </c>
      <c r="DB90">
        <v>0.11908299999999999</v>
      </c>
      <c r="DC90">
        <v>0.14580599999999999</v>
      </c>
      <c r="DD90">
        <v>0.11634899999999999</v>
      </c>
      <c r="DE90">
        <v>7.1086800000000006E-2</v>
      </c>
      <c r="DF90">
        <v>32180.1</v>
      </c>
      <c r="DG90">
        <v>27527.5</v>
      </c>
      <c r="DH90">
        <v>31183.599999999999</v>
      </c>
      <c r="DI90">
        <v>28078.6</v>
      </c>
      <c r="DJ90">
        <v>37404.300000000003</v>
      </c>
      <c r="DK90">
        <v>37077.599999999999</v>
      </c>
      <c r="DL90">
        <v>44376.2</v>
      </c>
      <c r="DM90">
        <v>42544.2</v>
      </c>
      <c r="DN90">
        <v>1.4381299999999999</v>
      </c>
      <c r="DO90">
        <v>2.0691199999999998</v>
      </c>
      <c r="DP90">
        <v>9.4123200000000004E-2</v>
      </c>
      <c r="DQ90">
        <v>0.21912499999999999</v>
      </c>
      <c r="DR90">
        <v>25.4558</v>
      </c>
      <c r="DS90">
        <v>25.448799999999999</v>
      </c>
      <c r="DT90">
        <v>61</v>
      </c>
      <c r="DU90">
        <v>26.7</v>
      </c>
      <c r="DV90">
        <v>21.750299999999999</v>
      </c>
      <c r="DW90">
        <v>61.4602</v>
      </c>
      <c r="DX90">
        <v>36.935099999999998</v>
      </c>
      <c r="DY90">
        <v>1</v>
      </c>
      <c r="DZ90">
        <v>-0.14046500000000001</v>
      </c>
      <c r="EA90">
        <v>-0.46601599999999999</v>
      </c>
      <c r="EB90">
        <v>20.189599999999999</v>
      </c>
      <c r="EC90">
        <v>5.2416999999999998</v>
      </c>
      <c r="ED90">
        <v>12.039899999999999</v>
      </c>
      <c r="EE90">
        <v>5.0172999999999996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1.8688499999999999</v>
      </c>
      <c r="EL90">
        <v>1.86453</v>
      </c>
      <c r="EM90">
        <v>1.8691500000000001</v>
      </c>
      <c r="EN90">
        <v>1.8671800000000001</v>
      </c>
      <c r="EO90">
        <v>1.8632899999999999</v>
      </c>
      <c r="EP90">
        <v>1.86432</v>
      </c>
      <c r="EQ90">
        <v>1.87012</v>
      </c>
      <c r="ER90">
        <v>1.8693500000000001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-0.55600000000000005</v>
      </c>
      <c r="FG90">
        <v>0.21110000000000001</v>
      </c>
      <c r="FH90">
        <v>-0.150361779349652</v>
      </c>
      <c r="FI90">
        <v>-6.1462078757559423E-4</v>
      </c>
      <c r="FJ90">
        <v>-1.8861989874597051E-7</v>
      </c>
      <c r="FK90">
        <v>1.1980462299894961E-10</v>
      </c>
      <c r="FL90">
        <v>0.21114761904761539</v>
      </c>
      <c r="FM90">
        <v>0</v>
      </c>
      <c r="FN90">
        <v>0</v>
      </c>
      <c r="FO90">
        <v>0</v>
      </c>
      <c r="FP90">
        <v>3</v>
      </c>
      <c r="FQ90">
        <v>2158</v>
      </c>
      <c r="FR90">
        <v>1</v>
      </c>
      <c r="FS90">
        <v>19</v>
      </c>
      <c r="FT90">
        <v>21.4</v>
      </c>
      <c r="FU90">
        <v>21.6</v>
      </c>
      <c r="FV90">
        <v>1.78589</v>
      </c>
      <c r="FW90">
        <v>2.5683600000000002</v>
      </c>
      <c r="FX90">
        <v>1.5490699999999999</v>
      </c>
      <c r="FY90">
        <v>2.33765</v>
      </c>
      <c r="FZ90">
        <v>1.50146</v>
      </c>
      <c r="GA90">
        <v>2.2888199999999999</v>
      </c>
      <c r="GB90">
        <v>31.980499999999999</v>
      </c>
      <c r="GC90">
        <v>23.982399999999998</v>
      </c>
      <c r="GD90">
        <v>19</v>
      </c>
      <c r="GE90">
        <v>264.60399999999998</v>
      </c>
      <c r="GF90">
        <v>603.58199999999999</v>
      </c>
      <c r="GG90">
        <v>25.587800000000001</v>
      </c>
      <c r="GH90">
        <v>25.671099999999999</v>
      </c>
      <c r="GI90">
        <v>30.0002</v>
      </c>
      <c r="GJ90">
        <v>25.7712</v>
      </c>
      <c r="GK90">
        <v>25.736899999999999</v>
      </c>
      <c r="GL90">
        <v>35.698599999999999</v>
      </c>
      <c r="GM90">
        <v>47.445</v>
      </c>
      <c r="GN90">
        <v>90.932599999999994</v>
      </c>
      <c r="GO90">
        <v>25.590800000000002</v>
      </c>
      <c r="GP90">
        <v>800</v>
      </c>
      <c r="GQ90">
        <v>12.6191</v>
      </c>
      <c r="GR90">
        <v>99.772900000000007</v>
      </c>
      <c r="GS90">
        <v>99.537899999999993</v>
      </c>
    </row>
    <row r="91" spans="1:201" x14ac:dyDescent="0.25">
      <c r="A91">
        <v>75</v>
      </c>
      <c r="B91">
        <v>1690377506</v>
      </c>
      <c r="C91">
        <v>789.5</v>
      </c>
      <c r="D91" t="s">
        <v>483</v>
      </c>
      <c r="E91" t="s">
        <v>484</v>
      </c>
      <c r="F91" t="s">
        <v>330</v>
      </c>
      <c r="H91">
        <v>1690377506</v>
      </c>
      <c r="I91">
        <f t="shared" si="30"/>
        <v>1.0971691030738191E-3</v>
      </c>
      <c r="J91">
        <f t="shared" si="31"/>
        <v>1.0971691030738191</v>
      </c>
      <c r="K91">
        <f t="shared" si="32"/>
        <v>17.786516981784743</v>
      </c>
      <c r="L91">
        <f t="shared" si="33"/>
        <v>588.19000000000005</v>
      </c>
      <c r="M91">
        <f t="shared" si="34"/>
        <v>154.21371806072042</v>
      </c>
      <c r="N91">
        <f t="shared" si="35"/>
        <v>15.227751054723932</v>
      </c>
      <c r="O91">
        <f t="shared" si="36"/>
        <v>58.080506750711997</v>
      </c>
      <c r="P91">
        <f t="shared" si="37"/>
        <v>6.8160961147780308E-2</v>
      </c>
      <c r="Q91">
        <f t="shared" si="38"/>
        <v>2.0048794004104638</v>
      </c>
      <c r="R91">
        <f t="shared" si="39"/>
        <v>6.6899280445764361E-2</v>
      </c>
      <c r="S91">
        <f t="shared" si="40"/>
        <v>4.1923462063906125E-2</v>
      </c>
      <c r="T91">
        <f t="shared" si="41"/>
        <v>276.11604113399994</v>
      </c>
      <c r="U91">
        <f t="shared" si="42"/>
        <v>29.004975212274935</v>
      </c>
      <c r="V91">
        <f t="shared" si="43"/>
        <v>29.004975212274935</v>
      </c>
      <c r="W91">
        <f t="shared" si="44"/>
        <v>4.0229307573248461</v>
      </c>
      <c r="X91">
        <f t="shared" si="45"/>
        <v>68.22309077513134</v>
      </c>
      <c r="Y91">
        <f t="shared" si="46"/>
        <v>2.4566240419732792</v>
      </c>
      <c r="Z91">
        <f t="shared" si="47"/>
        <v>3.6008688760093044</v>
      </c>
      <c r="AA91">
        <f t="shared" si="48"/>
        <v>1.5663067153515668</v>
      </c>
      <c r="AB91">
        <f t="shared" si="49"/>
        <v>-48.385157445555421</v>
      </c>
      <c r="AC91">
        <f t="shared" si="50"/>
        <v>-205.57890553055208</v>
      </c>
      <c r="AD91">
        <f t="shared" si="51"/>
        <v>-22.363459609585142</v>
      </c>
      <c r="AE91">
        <f t="shared" si="52"/>
        <v>-0.21148145169269128</v>
      </c>
      <c r="AF91">
        <v>13</v>
      </c>
      <c r="AG91">
        <v>4</v>
      </c>
      <c r="AH91">
        <f t="shared" si="53"/>
        <v>1</v>
      </c>
      <c r="AI91">
        <f t="shared" si="54"/>
        <v>0</v>
      </c>
      <c r="AJ91">
        <f t="shared" si="55"/>
        <v>52029.956664378311</v>
      </c>
      <c r="AK91">
        <f t="shared" si="56"/>
        <v>1800</v>
      </c>
      <c r="AL91">
        <f t="shared" si="57"/>
        <v>1499.1104214</v>
      </c>
      <c r="AM91">
        <f t="shared" si="58"/>
        <v>0.83283912299999996</v>
      </c>
      <c r="AN91">
        <f t="shared" si="59"/>
        <v>0.15339780062999997</v>
      </c>
      <c r="AO91">
        <v>34.5</v>
      </c>
      <c r="AP91">
        <v>0.5</v>
      </c>
      <c r="AQ91" t="s">
        <v>331</v>
      </c>
      <c r="AR91">
        <v>2</v>
      </c>
      <c r="AS91">
        <v>1690377506</v>
      </c>
      <c r="AT91">
        <v>588.19000000000005</v>
      </c>
      <c r="AU91">
        <v>800.04200000000003</v>
      </c>
      <c r="AV91">
        <v>24.878599999999999</v>
      </c>
      <c r="AW91">
        <v>12.5817</v>
      </c>
      <c r="AX91">
        <v>588.74300000000005</v>
      </c>
      <c r="AY91">
        <v>24.667400000000001</v>
      </c>
      <c r="AZ91">
        <v>300.16199999999998</v>
      </c>
      <c r="BA91">
        <v>98.644499999999994</v>
      </c>
      <c r="BB91">
        <v>9.9964800000000006E-2</v>
      </c>
      <c r="BC91">
        <v>27.103000000000002</v>
      </c>
      <c r="BD91">
        <v>26.99</v>
      </c>
      <c r="BE91">
        <v>29.040099999999999</v>
      </c>
      <c r="BF91">
        <v>0</v>
      </c>
      <c r="BG91">
        <v>0</v>
      </c>
      <c r="BH91">
        <v>9977.5</v>
      </c>
      <c r="BI91">
        <v>1082.3</v>
      </c>
      <c r="BJ91">
        <v>1.4016500000000001</v>
      </c>
      <c r="BK91">
        <v>-211.852</v>
      </c>
      <c r="BL91">
        <v>603.197</v>
      </c>
      <c r="BM91">
        <v>810.23599999999999</v>
      </c>
      <c r="BN91">
        <v>12.296900000000001</v>
      </c>
      <c r="BO91">
        <v>800.04200000000003</v>
      </c>
      <c r="BP91">
        <v>12.5817</v>
      </c>
      <c r="BQ91">
        <v>2.4541400000000002</v>
      </c>
      <c r="BR91">
        <v>1.24112</v>
      </c>
      <c r="BS91">
        <v>20.7255</v>
      </c>
      <c r="BT91">
        <v>10.104100000000001</v>
      </c>
      <c r="BU91">
        <v>1800</v>
      </c>
      <c r="BV91">
        <v>0.90998599999999996</v>
      </c>
      <c r="BW91">
        <v>3.4002900000000003E-2</v>
      </c>
      <c r="BX91">
        <v>2.20044E-2</v>
      </c>
      <c r="BY91">
        <v>3.4006700000000001E-2</v>
      </c>
      <c r="BZ91">
        <v>25</v>
      </c>
      <c r="CA91">
        <v>33528.199999999997</v>
      </c>
      <c r="CB91">
        <v>1690376213.5999999</v>
      </c>
      <c r="CC91" t="s">
        <v>332</v>
      </c>
      <c r="CD91">
        <v>1690376213.5999999</v>
      </c>
      <c r="CE91">
        <v>1690376198.0999999</v>
      </c>
      <c r="CF91">
        <v>2</v>
      </c>
      <c r="CG91">
        <v>0.66900000000000004</v>
      </c>
      <c r="CH91">
        <v>-2.1000000000000001E-2</v>
      </c>
      <c r="CI91">
        <v>-0.70099999999999996</v>
      </c>
      <c r="CJ91">
        <v>0.21099999999999999</v>
      </c>
      <c r="CK91">
        <v>799</v>
      </c>
      <c r="CL91">
        <v>21</v>
      </c>
      <c r="CM91">
        <v>0.11</v>
      </c>
      <c r="CN91">
        <v>0.17</v>
      </c>
      <c r="CO91">
        <v>-207.61312195121951</v>
      </c>
      <c r="CP91">
        <v>-21.731560975609892</v>
      </c>
      <c r="CQ91">
        <v>2.1431399598642482</v>
      </c>
      <c r="CR91">
        <v>-1</v>
      </c>
      <c r="CS91">
        <v>12.040717073170731</v>
      </c>
      <c r="CT91">
        <v>1.3565832752613201</v>
      </c>
      <c r="CU91">
        <v>0.13402511213991419</v>
      </c>
      <c r="CV91">
        <v>-1</v>
      </c>
      <c r="CW91">
        <v>0</v>
      </c>
      <c r="CX91">
        <v>0</v>
      </c>
      <c r="CY91" t="s">
        <v>333</v>
      </c>
      <c r="CZ91">
        <v>2.36511</v>
      </c>
      <c r="DA91">
        <v>2.71374</v>
      </c>
      <c r="DB91">
        <v>0.118551</v>
      </c>
      <c r="DC91">
        <v>0.14579600000000001</v>
      </c>
      <c r="DD91">
        <v>0.116408</v>
      </c>
      <c r="DE91">
        <v>7.0215399999999997E-2</v>
      </c>
      <c r="DF91">
        <v>32199.5</v>
      </c>
      <c r="DG91">
        <v>27528.1</v>
      </c>
      <c r="DH91">
        <v>31183.7</v>
      </c>
      <c r="DI91">
        <v>28078.799999999999</v>
      </c>
      <c r="DJ91">
        <v>37402</v>
      </c>
      <c r="DK91">
        <v>37112.5</v>
      </c>
      <c r="DL91">
        <v>44376.5</v>
      </c>
      <c r="DM91">
        <v>42544.3</v>
      </c>
      <c r="DN91">
        <v>1.4380999999999999</v>
      </c>
      <c r="DO91">
        <v>2.0691000000000002</v>
      </c>
      <c r="DP91">
        <v>9.3501100000000004E-2</v>
      </c>
      <c r="DQ91">
        <v>0.21948300000000001</v>
      </c>
      <c r="DR91">
        <v>25.459</v>
      </c>
      <c r="DS91">
        <v>25.452000000000002</v>
      </c>
      <c r="DT91">
        <v>61</v>
      </c>
      <c r="DU91">
        <v>26.7</v>
      </c>
      <c r="DV91">
        <v>21.7483</v>
      </c>
      <c r="DW91">
        <v>61.540199999999999</v>
      </c>
      <c r="DX91">
        <v>36.590499999999999</v>
      </c>
      <c r="DY91">
        <v>1</v>
      </c>
      <c r="DZ91">
        <v>-0.140569</v>
      </c>
      <c r="EA91">
        <v>-0.27099899999999999</v>
      </c>
      <c r="EB91">
        <v>20.190200000000001</v>
      </c>
      <c r="EC91">
        <v>5.2424499999999998</v>
      </c>
      <c r="ED91">
        <v>12.039899999999999</v>
      </c>
      <c r="EE91">
        <v>5.0176499999999997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1.86883</v>
      </c>
      <c r="EL91">
        <v>1.8645</v>
      </c>
      <c r="EM91">
        <v>1.8691</v>
      </c>
      <c r="EN91">
        <v>1.8671599999999999</v>
      </c>
      <c r="EO91">
        <v>1.8632599999999999</v>
      </c>
      <c r="EP91">
        <v>1.86432</v>
      </c>
      <c r="EQ91">
        <v>1.87012</v>
      </c>
      <c r="ER91">
        <v>1.8693500000000001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-0.55300000000000005</v>
      </c>
      <c r="FG91">
        <v>0.2112</v>
      </c>
      <c r="FH91">
        <v>-0.150361779349652</v>
      </c>
      <c r="FI91">
        <v>-6.1462078757559423E-4</v>
      </c>
      <c r="FJ91">
        <v>-1.8861989874597051E-7</v>
      </c>
      <c r="FK91">
        <v>1.1980462299894961E-10</v>
      </c>
      <c r="FL91">
        <v>0.21114761904761539</v>
      </c>
      <c r="FM91">
        <v>0</v>
      </c>
      <c r="FN91">
        <v>0</v>
      </c>
      <c r="FO91">
        <v>0</v>
      </c>
      <c r="FP91">
        <v>3</v>
      </c>
      <c r="FQ91">
        <v>2158</v>
      </c>
      <c r="FR91">
        <v>1</v>
      </c>
      <c r="FS91">
        <v>19</v>
      </c>
      <c r="FT91">
        <v>21.5</v>
      </c>
      <c r="FU91">
        <v>21.8</v>
      </c>
      <c r="FV91">
        <v>1.78467</v>
      </c>
      <c r="FW91">
        <v>2.5647000000000002</v>
      </c>
      <c r="FX91">
        <v>1.5490699999999999</v>
      </c>
      <c r="FY91">
        <v>2.33765</v>
      </c>
      <c r="FZ91">
        <v>1.50146</v>
      </c>
      <c r="GA91">
        <v>2.33521</v>
      </c>
      <c r="GB91">
        <v>31.980499999999999</v>
      </c>
      <c r="GC91">
        <v>23.991199999999999</v>
      </c>
      <c r="GD91">
        <v>19</v>
      </c>
      <c r="GE91">
        <v>264.59399999999999</v>
      </c>
      <c r="GF91">
        <v>603.58600000000001</v>
      </c>
      <c r="GG91">
        <v>25.559699999999999</v>
      </c>
      <c r="GH91">
        <v>25.671099999999999</v>
      </c>
      <c r="GI91">
        <v>30</v>
      </c>
      <c r="GJ91">
        <v>25.7712</v>
      </c>
      <c r="GK91">
        <v>25.739100000000001</v>
      </c>
      <c r="GL91">
        <v>35.6935</v>
      </c>
      <c r="GM91">
        <v>48.022799999999997</v>
      </c>
      <c r="GN91">
        <v>90.542199999999994</v>
      </c>
      <c r="GO91">
        <v>25.549399999999999</v>
      </c>
      <c r="GP91">
        <v>800</v>
      </c>
      <c r="GQ91">
        <v>12.4084</v>
      </c>
      <c r="GR91">
        <v>99.773399999999995</v>
      </c>
      <c r="GS91">
        <v>99.538499999999999</v>
      </c>
    </row>
    <row r="92" spans="1:201" x14ac:dyDescent="0.25">
      <c r="A92">
        <v>76</v>
      </c>
      <c r="B92">
        <v>1690377516</v>
      </c>
      <c r="C92">
        <v>799.5</v>
      </c>
      <c r="D92" t="s">
        <v>485</v>
      </c>
      <c r="E92" t="s">
        <v>486</v>
      </c>
      <c r="F92" t="s">
        <v>330</v>
      </c>
      <c r="H92">
        <v>1690377516</v>
      </c>
      <c r="I92">
        <f t="shared" si="30"/>
        <v>1.1181439832700225E-3</v>
      </c>
      <c r="J92">
        <f t="shared" si="31"/>
        <v>1.1181439832700226</v>
      </c>
      <c r="K92">
        <f t="shared" si="32"/>
        <v>18.107628400965186</v>
      </c>
      <c r="L92">
        <f t="shared" si="33"/>
        <v>584.49800000000005</v>
      </c>
      <c r="M92">
        <f t="shared" si="34"/>
        <v>152.85175940902766</v>
      </c>
      <c r="N92">
        <f t="shared" si="35"/>
        <v>15.093494637644026</v>
      </c>
      <c r="O92">
        <f t="shared" si="36"/>
        <v>57.716819635067999</v>
      </c>
      <c r="P92">
        <f t="shared" si="37"/>
        <v>6.9778944306016097E-2</v>
      </c>
      <c r="Q92">
        <f t="shared" si="38"/>
        <v>2.0127331257477223</v>
      </c>
      <c r="R92">
        <f t="shared" si="39"/>
        <v>6.8462332143012616E-2</v>
      </c>
      <c r="S92">
        <f t="shared" si="40"/>
        <v>4.2905180812263792E-2</v>
      </c>
      <c r="T92">
        <f t="shared" si="41"/>
        <v>276.11589052800002</v>
      </c>
      <c r="U92">
        <f t="shared" si="42"/>
        <v>28.981490248223697</v>
      </c>
      <c r="V92">
        <f t="shared" si="43"/>
        <v>28.981490248223697</v>
      </c>
      <c r="W92">
        <f t="shared" si="44"/>
        <v>4.0174671585691701</v>
      </c>
      <c r="X92">
        <f t="shared" si="45"/>
        <v>68.286639953251608</v>
      </c>
      <c r="Y92">
        <f t="shared" si="46"/>
        <v>2.4575994764045999</v>
      </c>
      <c r="Z92">
        <f t="shared" si="47"/>
        <v>3.5989462625296094</v>
      </c>
      <c r="AA92">
        <f t="shared" si="48"/>
        <v>1.5598676821645703</v>
      </c>
      <c r="AB92">
        <f t="shared" si="49"/>
        <v>-49.310149662207991</v>
      </c>
      <c r="AC92">
        <f t="shared" si="50"/>
        <v>-204.8233017466641</v>
      </c>
      <c r="AD92">
        <f t="shared" si="51"/>
        <v>-22.190714472851276</v>
      </c>
      <c r="AE92">
        <f t="shared" si="52"/>
        <v>-0.20827535372333728</v>
      </c>
      <c r="AF92">
        <v>13</v>
      </c>
      <c r="AG92">
        <v>4</v>
      </c>
      <c r="AH92">
        <f t="shared" si="53"/>
        <v>1</v>
      </c>
      <c r="AI92">
        <f t="shared" si="54"/>
        <v>0</v>
      </c>
      <c r="AJ92">
        <f t="shared" si="55"/>
        <v>52407.26345329771</v>
      </c>
      <c r="AK92">
        <f t="shared" si="56"/>
        <v>1800</v>
      </c>
      <c r="AL92">
        <f t="shared" si="57"/>
        <v>1499.1121008000002</v>
      </c>
      <c r="AM92">
        <f t="shared" si="58"/>
        <v>0.83284005600000011</v>
      </c>
      <c r="AN92">
        <f t="shared" si="59"/>
        <v>0.15339771696000001</v>
      </c>
      <c r="AO92">
        <v>34.5</v>
      </c>
      <c r="AP92">
        <v>0.5</v>
      </c>
      <c r="AQ92" t="s">
        <v>331</v>
      </c>
      <c r="AR92">
        <v>2</v>
      </c>
      <c r="AS92">
        <v>1690377516</v>
      </c>
      <c r="AT92">
        <v>584.49800000000005</v>
      </c>
      <c r="AU92">
        <v>800.11</v>
      </c>
      <c r="AV92">
        <v>24.888100000000001</v>
      </c>
      <c r="AW92">
        <v>12.357699999999999</v>
      </c>
      <c r="AX92">
        <v>585.04899999999998</v>
      </c>
      <c r="AY92">
        <v>24.6769</v>
      </c>
      <c r="AZ92">
        <v>300.197</v>
      </c>
      <c r="BA92">
        <v>98.646000000000001</v>
      </c>
      <c r="BB92">
        <v>9.9965999999999999E-2</v>
      </c>
      <c r="BC92">
        <v>27.093900000000001</v>
      </c>
      <c r="BD92">
        <v>26.984500000000001</v>
      </c>
      <c r="BE92">
        <v>29.0183</v>
      </c>
      <c r="BF92">
        <v>0</v>
      </c>
      <c r="BG92">
        <v>0</v>
      </c>
      <c r="BH92">
        <v>10052.5</v>
      </c>
      <c r="BI92">
        <v>1082.3399999999999</v>
      </c>
      <c r="BJ92">
        <v>1.4016500000000001</v>
      </c>
      <c r="BK92">
        <v>-215.61199999999999</v>
      </c>
      <c r="BL92">
        <v>599.41600000000005</v>
      </c>
      <c r="BM92">
        <v>810.12099999999998</v>
      </c>
      <c r="BN92">
        <v>12.5303</v>
      </c>
      <c r="BO92">
        <v>800.11</v>
      </c>
      <c r="BP92">
        <v>12.357699999999999</v>
      </c>
      <c r="BQ92">
        <v>2.4551099999999999</v>
      </c>
      <c r="BR92">
        <v>1.2190399999999999</v>
      </c>
      <c r="BS92">
        <v>20.7319</v>
      </c>
      <c r="BT92">
        <v>9.8361499999999999</v>
      </c>
      <c r="BU92">
        <v>1800</v>
      </c>
      <c r="BV92">
        <v>0.90999300000000005</v>
      </c>
      <c r="BW92">
        <v>3.4000500000000003E-2</v>
      </c>
      <c r="BX92">
        <v>2.2002799999999999E-2</v>
      </c>
      <c r="BY92">
        <v>3.4004199999999998E-2</v>
      </c>
      <c r="BZ92">
        <v>25</v>
      </c>
      <c r="CA92">
        <v>33528.199999999997</v>
      </c>
      <c r="CB92">
        <v>1690376213.5999999</v>
      </c>
      <c r="CC92" t="s">
        <v>332</v>
      </c>
      <c r="CD92">
        <v>1690376213.5999999</v>
      </c>
      <c r="CE92">
        <v>1690376198.0999999</v>
      </c>
      <c r="CF92">
        <v>2</v>
      </c>
      <c r="CG92">
        <v>0.66900000000000004</v>
      </c>
      <c r="CH92">
        <v>-2.1000000000000001E-2</v>
      </c>
      <c r="CI92">
        <v>-0.70099999999999996</v>
      </c>
      <c r="CJ92">
        <v>0.21099999999999999</v>
      </c>
      <c r="CK92">
        <v>799</v>
      </c>
      <c r="CL92">
        <v>21</v>
      </c>
      <c r="CM92">
        <v>0.11</v>
      </c>
      <c r="CN92">
        <v>0.17</v>
      </c>
      <c r="CO92">
        <v>-211.557175</v>
      </c>
      <c r="CP92">
        <v>-22.433482176360052</v>
      </c>
      <c r="CQ92">
        <v>2.1582013563092302</v>
      </c>
      <c r="CR92">
        <v>-1</v>
      </c>
      <c r="CS92">
        <v>12.2848775</v>
      </c>
      <c r="CT92">
        <v>1.369273170731689</v>
      </c>
      <c r="CU92">
        <v>0.13190641282269019</v>
      </c>
      <c r="CV92">
        <v>-1</v>
      </c>
      <c r="CW92">
        <v>0</v>
      </c>
      <c r="CX92">
        <v>0</v>
      </c>
      <c r="CY92" t="s">
        <v>333</v>
      </c>
      <c r="CZ92">
        <v>2.3652299999999999</v>
      </c>
      <c r="DA92">
        <v>2.7138</v>
      </c>
      <c r="DB92">
        <v>0.11802600000000001</v>
      </c>
      <c r="DC92">
        <v>0.14580199999999999</v>
      </c>
      <c r="DD92">
        <v>0.116441</v>
      </c>
      <c r="DE92">
        <v>6.9278000000000006E-2</v>
      </c>
      <c r="DF92">
        <v>32218.6</v>
      </c>
      <c r="DG92">
        <v>27527.8</v>
      </c>
      <c r="DH92">
        <v>31183.599999999999</v>
      </c>
      <c r="DI92">
        <v>28078.7</v>
      </c>
      <c r="DJ92">
        <v>37400.300000000003</v>
      </c>
      <c r="DK92">
        <v>37150</v>
      </c>
      <c r="DL92">
        <v>44376.3</v>
      </c>
      <c r="DM92">
        <v>42544.3</v>
      </c>
      <c r="DN92">
        <v>1.43842</v>
      </c>
      <c r="DO92">
        <v>2.0682700000000001</v>
      </c>
      <c r="DP92">
        <v>9.3005599999999994E-2</v>
      </c>
      <c r="DQ92">
        <v>0.21812300000000001</v>
      </c>
      <c r="DR92">
        <v>25.461600000000001</v>
      </c>
      <c r="DS92">
        <v>25.452400000000001</v>
      </c>
      <c r="DT92">
        <v>60.9</v>
      </c>
      <c r="DU92">
        <v>26.7</v>
      </c>
      <c r="DV92">
        <v>21.711099999999998</v>
      </c>
      <c r="DW92">
        <v>61.440199999999997</v>
      </c>
      <c r="DX92">
        <v>36.25</v>
      </c>
      <c r="DY92">
        <v>1</v>
      </c>
      <c r="DZ92">
        <v>-0.140653</v>
      </c>
      <c r="EA92">
        <v>-0.44703399999999999</v>
      </c>
      <c r="EB92">
        <v>20.189800000000002</v>
      </c>
      <c r="EC92">
        <v>5.2413999999999996</v>
      </c>
      <c r="ED92">
        <v>12.039899999999999</v>
      </c>
      <c r="EE92">
        <v>5.0172499999999998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1.8688</v>
      </c>
      <c r="EL92">
        <v>1.8644799999999999</v>
      </c>
      <c r="EM92">
        <v>1.8691</v>
      </c>
      <c r="EN92">
        <v>1.86717</v>
      </c>
      <c r="EO92">
        <v>1.8632599999999999</v>
      </c>
      <c r="EP92">
        <v>1.86432</v>
      </c>
      <c r="EQ92">
        <v>1.87012</v>
      </c>
      <c r="ER92">
        <v>1.8693500000000001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-0.55100000000000005</v>
      </c>
      <c r="FG92">
        <v>0.2112</v>
      </c>
      <c r="FH92">
        <v>-0.150361779349652</v>
      </c>
      <c r="FI92">
        <v>-6.1462078757559423E-4</v>
      </c>
      <c r="FJ92">
        <v>-1.8861989874597051E-7</v>
      </c>
      <c r="FK92">
        <v>1.1980462299894961E-10</v>
      </c>
      <c r="FL92">
        <v>0.21114761904761539</v>
      </c>
      <c r="FM92">
        <v>0</v>
      </c>
      <c r="FN92">
        <v>0</v>
      </c>
      <c r="FO92">
        <v>0</v>
      </c>
      <c r="FP92">
        <v>3</v>
      </c>
      <c r="FQ92">
        <v>2158</v>
      </c>
      <c r="FR92">
        <v>1</v>
      </c>
      <c r="FS92">
        <v>19</v>
      </c>
      <c r="FT92">
        <v>21.7</v>
      </c>
      <c r="FU92">
        <v>22</v>
      </c>
      <c r="FV92">
        <v>1.78467</v>
      </c>
      <c r="FW92">
        <v>2.5634800000000002</v>
      </c>
      <c r="FX92">
        <v>1.5490699999999999</v>
      </c>
      <c r="FY92">
        <v>2.33887</v>
      </c>
      <c r="FZ92">
        <v>1.50146</v>
      </c>
      <c r="GA92">
        <v>2.36084</v>
      </c>
      <c r="GB92">
        <v>31.980499999999999</v>
      </c>
      <c r="GC92">
        <v>23.991199999999999</v>
      </c>
      <c r="GD92">
        <v>19</v>
      </c>
      <c r="GE92">
        <v>264.72500000000002</v>
      </c>
      <c r="GF92">
        <v>602.88699999999994</v>
      </c>
      <c r="GG92">
        <v>25.549099999999999</v>
      </c>
      <c r="GH92">
        <v>25.671099999999999</v>
      </c>
      <c r="GI92">
        <v>30</v>
      </c>
      <c r="GJ92">
        <v>25.7712</v>
      </c>
      <c r="GK92">
        <v>25.739100000000001</v>
      </c>
      <c r="GL92">
        <v>35.686300000000003</v>
      </c>
      <c r="GM92">
        <v>48.607900000000001</v>
      </c>
      <c r="GN92">
        <v>90.150300000000001</v>
      </c>
      <c r="GO92">
        <v>25.566299999999998</v>
      </c>
      <c r="GP92">
        <v>800</v>
      </c>
      <c r="GQ92">
        <v>12.203799999999999</v>
      </c>
      <c r="GR92">
        <v>99.772999999999996</v>
      </c>
      <c r="GS92">
        <v>99.538200000000003</v>
      </c>
    </row>
    <row r="93" spans="1:201" x14ac:dyDescent="0.25">
      <c r="A93">
        <v>77</v>
      </c>
      <c r="B93">
        <v>1690377526</v>
      </c>
      <c r="C93">
        <v>809.5</v>
      </c>
      <c r="D93" t="s">
        <v>487</v>
      </c>
      <c r="E93" t="s">
        <v>488</v>
      </c>
      <c r="F93" t="s">
        <v>330</v>
      </c>
      <c r="H93">
        <v>1690377526</v>
      </c>
      <c r="I93">
        <f t="shared" si="30"/>
        <v>1.1380090498356282E-3</v>
      </c>
      <c r="J93">
        <f t="shared" si="31"/>
        <v>1.1380090498356281</v>
      </c>
      <c r="K93">
        <f t="shared" si="32"/>
        <v>18.416708379348922</v>
      </c>
      <c r="L93">
        <f t="shared" si="33"/>
        <v>580.88800000000003</v>
      </c>
      <c r="M93">
        <f t="shared" si="34"/>
        <v>149.71223443869854</v>
      </c>
      <c r="N93">
        <f t="shared" si="35"/>
        <v>14.783023337913891</v>
      </c>
      <c r="O93">
        <f t="shared" si="36"/>
        <v>57.358577893848</v>
      </c>
      <c r="P93">
        <f t="shared" si="37"/>
        <v>7.1059266356056472E-2</v>
      </c>
      <c r="Q93">
        <f t="shared" si="38"/>
        <v>2.0056488910727852</v>
      </c>
      <c r="R93">
        <f t="shared" si="39"/>
        <v>6.968968440910589E-2</v>
      </c>
      <c r="S93">
        <f t="shared" si="40"/>
        <v>4.3676905621387707E-2</v>
      </c>
      <c r="T93">
        <f t="shared" si="41"/>
        <v>276.11415934392602</v>
      </c>
      <c r="U93">
        <f t="shared" si="42"/>
        <v>28.986169598919929</v>
      </c>
      <c r="V93">
        <f t="shared" si="43"/>
        <v>28.986169598919929</v>
      </c>
      <c r="W93">
        <f t="shared" si="44"/>
        <v>4.0185552575576349</v>
      </c>
      <c r="X93">
        <f t="shared" si="45"/>
        <v>68.301633166980864</v>
      </c>
      <c r="Y93">
        <f t="shared" si="46"/>
        <v>2.4590048359550996</v>
      </c>
      <c r="Z93">
        <f t="shared" si="47"/>
        <v>3.6002138191094657</v>
      </c>
      <c r="AA93">
        <f t="shared" si="48"/>
        <v>1.5595504216025353</v>
      </c>
      <c r="AB93">
        <f t="shared" si="49"/>
        <v>-50.186199097751206</v>
      </c>
      <c r="AC93">
        <f t="shared" si="50"/>
        <v>-203.95958346567349</v>
      </c>
      <c r="AD93">
        <f t="shared" si="51"/>
        <v>-22.176368487039166</v>
      </c>
      <c r="AE93">
        <f t="shared" si="52"/>
        <v>-0.20799170653782539</v>
      </c>
      <c r="AF93">
        <v>13</v>
      </c>
      <c r="AG93">
        <v>4</v>
      </c>
      <c r="AH93">
        <f t="shared" si="53"/>
        <v>1</v>
      </c>
      <c r="AI93">
        <f t="shared" si="54"/>
        <v>0</v>
      </c>
      <c r="AJ93">
        <f t="shared" si="55"/>
        <v>52067.179002591052</v>
      </c>
      <c r="AK93">
        <f t="shared" si="56"/>
        <v>1799.99</v>
      </c>
      <c r="AL93">
        <f t="shared" si="57"/>
        <v>1499.1039235986</v>
      </c>
      <c r="AM93">
        <f t="shared" si="58"/>
        <v>0.83284013999999995</v>
      </c>
      <c r="AN93">
        <f t="shared" si="59"/>
        <v>0.15339760740000002</v>
      </c>
      <c r="AO93">
        <v>34.5</v>
      </c>
      <c r="AP93">
        <v>0.5</v>
      </c>
      <c r="AQ93" t="s">
        <v>331</v>
      </c>
      <c r="AR93">
        <v>2</v>
      </c>
      <c r="AS93">
        <v>1690377526</v>
      </c>
      <c r="AT93">
        <v>580.88800000000003</v>
      </c>
      <c r="AU93">
        <v>800.15</v>
      </c>
      <c r="AV93">
        <v>24.903099999999998</v>
      </c>
      <c r="AW93">
        <v>12.1496</v>
      </c>
      <c r="AX93">
        <v>581.43600000000004</v>
      </c>
      <c r="AY93">
        <v>24.692</v>
      </c>
      <c r="AZ93">
        <v>300.18099999999998</v>
      </c>
      <c r="BA93">
        <v>98.642899999999997</v>
      </c>
      <c r="BB93">
        <v>0.100021</v>
      </c>
      <c r="BC93">
        <v>27.099900000000002</v>
      </c>
      <c r="BD93">
        <v>26.9815</v>
      </c>
      <c r="BE93">
        <v>28.998100000000001</v>
      </c>
      <c r="BF93">
        <v>0</v>
      </c>
      <c r="BG93">
        <v>0</v>
      </c>
      <c r="BH93">
        <v>9985</v>
      </c>
      <c r="BI93">
        <v>1082.44</v>
      </c>
      <c r="BJ93">
        <v>1.32877</v>
      </c>
      <c r="BK93">
        <v>-219.262</v>
      </c>
      <c r="BL93">
        <v>595.72299999999996</v>
      </c>
      <c r="BM93">
        <v>809.99099999999999</v>
      </c>
      <c r="BN93">
        <v>12.753500000000001</v>
      </c>
      <c r="BO93">
        <v>800.15</v>
      </c>
      <c r="BP93">
        <v>12.1496</v>
      </c>
      <c r="BQ93">
        <v>2.4565100000000002</v>
      </c>
      <c r="BR93">
        <v>1.1984699999999999</v>
      </c>
      <c r="BS93">
        <v>20.741199999999999</v>
      </c>
      <c r="BT93">
        <v>9.5825499999999995</v>
      </c>
      <c r="BU93">
        <v>1799.99</v>
      </c>
      <c r="BV93">
        <v>0.90999600000000003</v>
      </c>
      <c r="BW93">
        <v>3.3999300000000003E-2</v>
      </c>
      <c r="BX93">
        <v>2.2002000000000001E-2</v>
      </c>
      <c r="BY93">
        <v>3.4002999999999999E-2</v>
      </c>
      <c r="BZ93">
        <v>25</v>
      </c>
      <c r="CA93">
        <v>33528.199999999997</v>
      </c>
      <c r="CB93">
        <v>1690376213.5999999</v>
      </c>
      <c r="CC93" t="s">
        <v>332</v>
      </c>
      <c r="CD93">
        <v>1690376213.5999999</v>
      </c>
      <c r="CE93">
        <v>1690376198.0999999</v>
      </c>
      <c r="CF93">
        <v>2</v>
      </c>
      <c r="CG93">
        <v>0.66900000000000004</v>
      </c>
      <c r="CH93">
        <v>-2.1000000000000001E-2</v>
      </c>
      <c r="CI93">
        <v>-0.70099999999999996</v>
      </c>
      <c r="CJ93">
        <v>0.21099999999999999</v>
      </c>
      <c r="CK93">
        <v>799</v>
      </c>
      <c r="CL93">
        <v>21</v>
      </c>
      <c r="CM93">
        <v>0.11</v>
      </c>
      <c r="CN93">
        <v>0.17</v>
      </c>
      <c r="CO93">
        <v>-215.37629268292679</v>
      </c>
      <c r="CP93">
        <v>-22.29934494773503</v>
      </c>
      <c r="CQ93">
        <v>2.199374525764223</v>
      </c>
      <c r="CR93">
        <v>-1</v>
      </c>
      <c r="CS93">
        <v>12.51792195121951</v>
      </c>
      <c r="CT93">
        <v>1.344485017421617</v>
      </c>
      <c r="CU93">
        <v>0.13272960688005589</v>
      </c>
      <c r="CV93">
        <v>-1</v>
      </c>
      <c r="CW93">
        <v>0</v>
      </c>
      <c r="CX93">
        <v>0</v>
      </c>
      <c r="CY93" t="s">
        <v>333</v>
      </c>
      <c r="CZ93">
        <v>2.3651599999999999</v>
      </c>
      <c r="DA93">
        <v>2.7138</v>
      </c>
      <c r="DB93">
        <v>0.117507</v>
      </c>
      <c r="DC93">
        <v>0.14579800000000001</v>
      </c>
      <c r="DD93">
        <v>0.11648699999999999</v>
      </c>
      <c r="DE93">
        <v>6.8398200000000006E-2</v>
      </c>
      <c r="DF93">
        <v>32237.7</v>
      </c>
      <c r="DG93">
        <v>27528.3</v>
      </c>
      <c r="DH93">
        <v>31183.7</v>
      </c>
      <c r="DI93">
        <v>28079.1</v>
      </c>
      <c r="DJ93">
        <v>37398.300000000003</v>
      </c>
      <c r="DK93">
        <v>37185.699999999997</v>
      </c>
      <c r="DL93">
        <v>44376.3</v>
      </c>
      <c r="DM93">
        <v>42544.800000000003</v>
      </c>
      <c r="DN93">
        <v>1.4387000000000001</v>
      </c>
      <c r="DO93">
        <v>2.06813</v>
      </c>
      <c r="DP93">
        <v>9.2949699999999996E-2</v>
      </c>
      <c r="DQ93">
        <v>0.216942</v>
      </c>
      <c r="DR93">
        <v>25.459499999999998</v>
      </c>
      <c r="DS93">
        <v>25.451499999999999</v>
      </c>
      <c r="DT93">
        <v>60.8</v>
      </c>
      <c r="DU93">
        <v>26.7</v>
      </c>
      <c r="DV93">
        <v>21.6708</v>
      </c>
      <c r="DW93">
        <v>61.4602</v>
      </c>
      <c r="DX93">
        <v>36.057699999999997</v>
      </c>
      <c r="DY93">
        <v>1</v>
      </c>
      <c r="DZ93">
        <v>-0.14043700000000001</v>
      </c>
      <c r="EA93">
        <v>-0.49193900000000002</v>
      </c>
      <c r="EB93">
        <v>20.189599999999999</v>
      </c>
      <c r="EC93">
        <v>5.2413999999999996</v>
      </c>
      <c r="ED93">
        <v>12.039899999999999</v>
      </c>
      <c r="EE93">
        <v>5.0174000000000003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1.8688400000000001</v>
      </c>
      <c r="EL93">
        <v>1.8645</v>
      </c>
      <c r="EM93">
        <v>1.86914</v>
      </c>
      <c r="EN93">
        <v>1.8671500000000001</v>
      </c>
      <c r="EO93">
        <v>1.86328</v>
      </c>
      <c r="EP93">
        <v>1.86432</v>
      </c>
      <c r="EQ93">
        <v>1.87012</v>
      </c>
      <c r="ER93">
        <v>1.8693500000000001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-0.54800000000000004</v>
      </c>
      <c r="FG93">
        <v>0.21110000000000001</v>
      </c>
      <c r="FH93">
        <v>-0.150361779349652</v>
      </c>
      <c r="FI93">
        <v>-6.1462078757559423E-4</v>
      </c>
      <c r="FJ93">
        <v>-1.8861989874597051E-7</v>
      </c>
      <c r="FK93">
        <v>1.1980462299894961E-10</v>
      </c>
      <c r="FL93">
        <v>0.21114761904761539</v>
      </c>
      <c r="FM93">
        <v>0</v>
      </c>
      <c r="FN93">
        <v>0</v>
      </c>
      <c r="FO93">
        <v>0</v>
      </c>
      <c r="FP93">
        <v>3</v>
      </c>
      <c r="FQ93">
        <v>2158</v>
      </c>
      <c r="FR93">
        <v>1</v>
      </c>
      <c r="FS93">
        <v>19</v>
      </c>
      <c r="FT93">
        <v>21.9</v>
      </c>
      <c r="FU93">
        <v>22.1</v>
      </c>
      <c r="FV93">
        <v>1.78467</v>
      </c>
      <c r="FW93">
        <v>2.5671400000000002</v>
      </c>
      <c r="FX93">
        <v>1.5490699999999999</v>
      </c>
      <c r="FY93">
        <v>2.33765</v>
      </c>
      <c r="FZ93">
        <v>1.50146</v>
      </c>
      <c r="GA93">
        <v>2.3754900000000001</v>
      </c>
      <c r="GB93">
        <v>31.980499999999999</v>
      </c>
      <c r="GC93">
        <v>23.991199999999999</v>
      </c>
      <c r="GD93">
        <v>19</v>
      </c>
      <c r="GE93">
        <v>264.83600000000001</v>
      </c>
      <c r="GF93">
        <v>602.76099999999997</v>
      </c>
      <c r="GG93">
        <v>25.572700000000001</v>
      </c>
      <c r="GH93">
        <v>25.671099999999999</v>
      </c>
      <c r="GI93">
        <v>29.9999</v>
      </c>
      <c r="GJ93">
        <v>25.7712</v>
      </c>
      <c r="GK93">
        <v>25.739100000000001</v>
      </c>
      <c r="GL93">
        <v>35.680500000000002</v>
      </c>
      <c r="GM93">
        <v>49.454300000000003</v>
      </c>
      <c r="GN93">
        <v>89.390799999999999</v>
      </c>
      <c r="GO93">
        <v>25.591000000000001</v>
      </c>
      <c r="GP93">
        <v>800</v>
      </c>
      <c r="GQ93">
        <v>11.9885</v>
      </c>
      <c r="GR93">
        <v>99.773200000000003</v>
      </c>
      <c r="GS93">
        <v>99.539599999999993</v>
      </c>
    </row>
    <row r="94" spans="1:201" x14ac:dyDescent="0.25">
      <c r="A94">
        <v>78</v>
      </c>
      <c r="B94">
        <v>1690377536</v>
      </c>
      <c r="C94">
        <v>819.5</v>
      </c>
      <c r="D94" t="s">
        <v>489</v>
      </c>
      <c r="E94" t="s">
        <v>490</v>
      </c>
      <c r="F94" t="s">
        <v>330</v>
      </c>
      <c r="H94">
        <v>1690377536</v>
      </c>
      <c r="I94">
        <f t="shared" si="30"/>
        <v>1.158533524334522E-3</v>
      </c>
      <c r="J94">
        <f t="shared" si="31"/>
        <v>1.1585335243345221</v>
      </c>
      <c r="K94">
        <f t="shared" si="32"/>
        <v>18.726387832443706</v>
      </c>
      <c r="L94">
        <f t="shared" si="33"/>
        <v>577.17100000000005</v>
      </c>
      <c r="M94">
        <f t="shared" si="34"/>
        <v>147.67421493761051</v>
      </c>
      <c r="N94">
        <f t="shared" si="35"/>
        <v>14.582260327035742</v>
      </c>
      <c r="O94">
        <f t="shared" si="36"/>
        <v>56.993414718821008</v>
      </c>
      <c r="P94">
        <f t="shared" si="37"/>
        <v>7.2551847831739472E-2</v>
      </c>
      <c r="Q94">
        <f t="shared" si="38"/>
        <v>2.0043717338351188</v>
      </c>
      <c r="R94">
        <f t="shared" si="39"/>
        <v>7.1123858832683073E-2</v>
      </c>
      <c r="S94">
        <f t="shared" si="40"/>
        <v>4.4578369941446302E-2</v>
      </c>
      <c r="T94">
        <f t="shared" si="41"/>
        <v>276.11382549978072</v>
      </c>
      <c r="U94">
        <f t="shared" si="42"/>
        <v>28.979091615794829</v>
      </c>
      <c r="V94">
        <f t="shared" si="43"/>
        <v>28.979091615794829</v>
      </c>
      <c r="W94">
        <f t="shared" si="44"/>
        <v>4.0169094992682712</v>
      </c>
      <c r="X94">
        <f t="shared" si="45"/>
        <v>68.364970324538007</v>
      </c>
      <c r="Y94">
        <f t="shared" si="46"/>
        <v>2.4611984405995</v>
      </c>
      <c r="Z94">
        <f t="shared" si="47"/>
        <v>3.6000870459181789</v>
      </c>
      <c r="AA94">
        <f t="shared" si="48"/>
        <v>1.5557110586687712</v>
      </c>
      <c r="AB94">
        <f t="shared" si="49"/>
        <v>-51.091328423152419</v>
      </c>
      <c r="AC94">
        <f t="shared" si="50"/>
        <v>-203.12969722691014</v>
      </c>
      <c r="AD94">
        <f t="shared" si="51"/>
        <v>-22.099361610973652</v>
      </c>
      <c r="AE94">
        <f t="shared" si="52"/>
        <v>-0.20656176125550019</v>
      </c>
      <c r="AF94">
        <v>13</v>
      </c>
      <c r="AG94">
        <v>4</v>
      </c>
      <c r="AH94">
        <f t="shared" si="53"/>
        <v>1</v>
      </c>
      <c r="AI94">
        <f t="shared" si="54"/>
        <v>0</v>
      </c>
      <c r="AJ94">
        <f t="shared" si="55"/>
        <v>52006.417454502378</v>
      </c>
      <c r="AK94">
        <f t="shared" si="56"/>
        <v>1799.99</v>
      </c>
      <c r="AL94">
        <f t="shared" si="57"/>
        <v>1499.1038119992202</v>
      </c>
      <c r="AM94">
        <f t="shared" si="58"/>
        <v>0.83284007800000004</v>
      </c>
      <c r="AN94">
        <f t="shared" si="59"/>
        <v>0.15339742193</v>
      </c>
      <c r="AO94">
        <v>34.5</v>
      </c>
      <c r="AP94">
        <v>0.5</v>
      </c>
      <c r="AQ94" t="s">
        <v>331</v>
      </c>
      <c r="AR94">
        <v>2</v>
      </c>
      <c r="AS94">
        <v>1690377536</v>
      </c>
      <c r="AT94">
        <v>577.17100000000005</v>
      </c>
      <c r="AU94">
        <v>800.05</v>
      </c>
      <c r="AV94">
        <v>24.924499999999998</v>
      </c>
      <c r="AW94">
        <v>11.943</v>
      </c>
      <c r="AX94">
        <v>577.71699999999998</v>
      </c>
      <c r="AY94">
        <v>24.7134</v>
      </c>
      <c r="AZ94">
        <v>300.221</v>
      </c>
      <c r="BA94">
        <v>98.646100000000004</v>
      </c>
      <c r="BB94">
        <v>0.100051</v>
      </c>
      <c r="BC94">
        <v>27.099299999999999</v>
      </c>
      <c r="BD94">
        <v>26.9696</v>
      </c>
      <c r="BE94">
        <v>29.005299999999998</v>
      </c>
      <c r="BF94">
        <v>0</v>
      </c>
      <c r="BG94">
        <v>0</v>
      </c>
      <c r="BH94">
        <v>9972.5</v>
      </c>
      <c r="BI94">
        <v>1082.45</v>
      </c>
      <c r="BJ94">
        <v>1.4016500000000001</v>
      </c>
      <c r="BK94">
        <v>-222.87899999999999</v>
      </c>
      <c r="BL94">
        <v>591.92499999999995</v>
      </c>
      <c r="BM94">
        <v>809.72</v>
      </c>
      <c r="BN94">
        <v>12.9815</v>
      </c>
      <c r="BO94">
        <v>800.05</v>
      </c>
      <c r="BP94">
        <v>11.943</v>
      </c>
      <c r="BQ94">
        <v>2.45871</v>
      </c>
      <c r="BR94">
        <v>1.1781299999999999</v>
      </c>
      <c r="BS94">
        <v>20.755700000000001</v>
      </c>
      <c r="BT94">
        <v>9.3280600000000007</v>
      </c>
      <c r="BU94">
        <v>1799.99</v>
      </c>
      <c r="BV94">
        <v>0.91</v>
      </c>
      <c r="BW94">
        <v>3.3997600000000003E-2</v>
      </c>
      <c r="BX94">
        <v>2.20009E-2</v>
      </c>
      <c r="BY94">
        <v>3.4001299999999998E-2</v>
      </c>
      <c r="BZ94">
        <v>25</v>
      </c>
      <c r="CA94">
        <v>33528.300000000003</v>
      </c>
      <c r="CB94">
        <v>1690376213.5999999</v>
      </c>
      <c r="CC94" t="s">
        <v>332</v>
      </c>
      <c r="CD94">
        <v>1690376213.5999999</v>
      </c>
      <c r="CE94">
        <v>1690376198.0999999</v>
      </c>
      <c r="CF94">
        <v>2</v>
      </c>
      <c r="CG94">
        <v>0.66900000000000004</v>
      </c>
      <c r="CH94">
        <v>-2.1000000000000001E-2</v>
      </c>
      <c r="CI94">
        <v>-0.70099999999999996</v>
      </c>
      <c r="CJ94">
        <v>0.21099999999999999</v>
      </c>
      <c r="CK94">
        <v>799</v>
      </c>
      <c r="CL94">
        <v>21</v>
      </c>
      <c r="CM94">
        <v>0.11</v>
      </c>
      <c r="CN94">
        <v>0.17</v>
      </c>
      <c r="CO94">
        <v>-218.69748780487811</v>
      </c>
      <c r="CP94">
        <v>-22.02140069686412</v>
      </c>
      <c r="CQ94">
        <v>2.172416527032615</v>
      </c>
      <c r="CR94">
        <v>-1</v>
      </c>
      <c r="CS94">
        <v>12.724280487804879</v>
      </c>
      <c r="CT94">
        <v>1.3730362369338229</v>
      </c>
      <c r="CU94">
        <v>0.13554568165159739</v>
      </c>
      <c r="CV94">
        <v>-1</v>
      </c>
      <c r="CW94">
        <v>0</v>
      </c>
      <c r="CX94">
        <v>0</v>
      </c>
      <c r="CY94" t="s">
        <v>333</v>
      </c>
      <c r="CZ94">
        <v>2.36531</v>
      </c>
      <c r="DA94">
        <v>2.7138200000000001</v>
      </c>
      <c r="DB94">
        <v>0.116977</v>
      </c>
      <c r="DC94">
        <v>0.145787</v>
      </c>
      <c r="DD94">
        <v>0.116561</v>
      </c>
      <c r="DE94">
        <v>6.7524100000000004E-2</v>
      </c>
      <c r="DF94">
        <v>32257.3</v>
      </c>
      <c r="DG94">
        <v>27529</v>
      </c>
      <c r="DH94">
        <v>31184</v>
      </c>
      <c r="DI94">
        <v>28079.5</v>
      </c>
      <c r="DJ94">
        <v>37395.4</v>
      </c>
      <c r="DK94">
        <v>37221.4</v>
      </c>
      <c r="DL94">
        <v>44376.7</v>
      </c>
      <c r="DM94">
        <v>42545.599999999999</v>
      </c>
      <c r="DN94">
        <v>1.4392199999999999</v>
      </c>
      <c r="DO94">
        <v>2.0673499999999998</v>
      </c>
      <c r="DP94">
        <v>9.2223299999999994E-2</v>
      </c>
      <c r="DQ94">
        <v>0.21728900000000001</v>
      </c>
      <c r="DR94">
        <v>25.459499999999998</v>
      </c>
      <c r="DS94">
        <v>25.452999999999999</v>
      </c>
      <c r="DT94">
        <v>60.7</v>
      </c>
      <c r="DU94">
        <v>26.8</v>
      </c>
      <c r="DV94">
        <v>21.764800000000001</v>
      </c>
      <c r="DW94">
        <v>61.360199999999999</v>
      </c>
      <c r="DX94">
        <v>35.997599999999998</v>
      </c>
      <c r="DY94">
        <v>1</v>
      </c>
      <c r="DZ94">
        <v>-0.14029700000000001</v>
      </c>
      <c r="EA94">
        <v>-0.49946600000000002</v>
      </c>
      <c r="EB94">
        <v>20.189599999999999</v>
      </c>
      <c r="EC94">
        <v>5.2415500000000002</v>
      </c>
      <c r="ED94">
        <v>12.039899999999999</v>
      </c>
      <c r="EE94">
        <v>5.0175999999999998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1.8688400000000001</v>
      </c>
      <c r="EL94">
        <v>1.8645</v>
      </c>
      <c r="EM94">
        <v>1.86913</v>
      </c>
      <c r="EN94">
        <v>1.8671599999999999</v>
      </c>
      <c r="EO94">
        <v>1.86327</v>
      </c>
      <c r="EP94">
        <v>1.86432</v>
      </c>
      <c r="EQ94">
        <v>1.87012</v>
      </c>
      <c r="ER94">
        <v>1.8693500000000001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-0.54600000000000004</v>
      </c>
      <c r="FG94">
        <v>0.21110000000000001</v>
      </c>
      <c r="FH94">
        <v>-0.150361779349652</v>
      </c>
      <c r="FI94">
        <v>-6.1462078757559423E-4</v>
      </c>
      <c r="FJ94">
        <v>-1.8861989874597051E-7</v>
      </c>
      <c r="FK94">
        <v>1.1980462299894961E-10</v>
      </c>
      <c r="FL94">
        <v>0.21114761904761539</v>
      </c>
      <c r="FM94">
        <v>0</v>
      </c>
      <c r="FN94">
        <v>0</v>
      </c>
      <c r="FO94">
        <v>0</v>
      </c>
      <c r="FP94">
        <v>3</v>
      </c>
      <c r="FQ94">
        <v>2158</v>
      </c>
      <c r="FR94">
        <v>1</v>
      </c>
      <c r="FS94">
        <v>19</v>
      </c>
      <c r="FT94">
        <v>22</v>
      </c>
      <c r="FU94">
        <v>22.3</v>
      </c>
      <c r="FV94">
        <v>1.78467</v>
      </c>
      <c r="FW94">
        <v>2.5634800000000002</v>
      </c>
      <c r="FX94">
        <v>1.5490699999999999</v>
      </c>
      <c r="FY94">
        <v>2.33765</v>
      </c>
      <c r="FZ94">
        <v>1.50146</v>
      </c>
      <c r="GA94">
        <v>2.3950200000000001</v>
      </c>
      <c r="GB94">
        <v>32.002400000000002</v>
      </c>
      <c r="GC94">
        <v>23.991199999999999</v>
      </c>
      <c r="GD94">
        <v>19</v>
      </c>
      <c r="GE94">
        <v>265.05599999999998</v>
      </c>
      <c r="GF94">
        <v>602.10599999999999</v>
      </c>
      <c r="GG94">
        <v>25.6</v>
      </c>
      <c r="GH94">
        <v>25.671099999999999</v>
      </c>
      <c r="GI94">
        <v>30.0001</v>
      </c>
      <c r="GJ94">
        <v>25.7729</v>
      </c>
      <c r="GK94">
        <v>25.739100000000001</v>
      </c>
      <c r="GL94">
        <v>35.671399999999998</v>
      </c>
      <c r="GM94">
        <v>50.037599999999998</v>
      </c>
      <c r="GN94">
        <v>88.976799999999997</v>
      </c>
      <c r="GO94">
        <v>25.6172</v>
      </c>
      <c r="GP94">
        <v>800</v>
      </c>
      <c r="GQ94">
        <v>11.762700000000001</v>
      </c>
      <c r="GR94">
        <v>99.774100000000004</v>
      </c>
      <c r="GS94">
        <v>99.541300000000007</v>
      </c>
    </row>
    <row r="95" spans="1:201" x14ac:dyDescent="0.25">
      <c r="A95">
        <v>79</v>
      </c>
      <c r="B95">
        <v>1690377546</v>
      </c>
      <c r="C95">
        <v>829.5</v>
      </c>
      <c r="D95" t="s">
        <v>491</v>
      </c>
      <c r="E95" t="s">
        <v>492</v>
      </c>
      <c r="F95" t="s">
        <v>330</v>
      </c>
      <c r="H95">
        <v>1690377546</v>
      </c>
      <c r="I95">
        <f t="shared" si="30"/>
        <v>1.1821449905099531E-3</v>
      </c>
      <c r="J95">
        <f t="shared" si="31"/>
        <v>1.182144990509953</v>
      </c>
      <c r="K95">
        <f t="shared" si="32"/>
        <v>19.040294347651745</v>
      </c>
      <c r="L95">
        <f t="shared" si="33"/>
        <v>573.51499999999999</v>
      </c>
      <c r="M95">
        <f t="shared" si="34"/>
        <v>146.92702948514776</v>
      </c>
      <c r="N95">
        <f t="shared" si="35"/>
        <v>14.507838258063842</v>
      </c>
      <c r="O95">
        <f t="shared" si="36"/>
        <v>56.6298991256375</v>
      </c>
      <c r="P95">
        <f t="shared" si="37"/>
        <v>7.4295587905400376E-2</v>
      </c>
      <c r="Q95">
        <f t="shared" si="38"/>
        <v>2.0066199881350157</v>
      </c>
      <c r="R95">
        <f t="shared" si="39"/>
        <v>7.2800535897642113E-2</v>
      </c>
      <c r="S95">
        <f t="shared" si="40"/>
        <v>4.5632153649837512E-2</v>
      </c>
      <c r="T95">
        <f t="shared" si="41"/>
        <v>276.11384312168286</v>
      </c>
      <c r="U95">
        <f t="shared" si="42"/>
        <v>28.965805496519273</v>
      </c>
      <c r="V95">
        <f t="shared" si="43"/>
        <v>28.965805496519273</v>
      </c>
      <c r="W95">
        <f t="shared" si="44"/>
        <v>4.0138218247198543</v>
      </c>
      <c r="X95">
        <f t="shared" si="45"/>
        <v>68.426553059615031</v>
      </c>
      <c r="Y95">
        <f t="shared" si="46"/>
        <v>2.4630251462992501</v>
      </c>
      <c r="Z95">
        <f t="shared" si="47"/>
        <v>3.5995166147758422</v>
      </c>
      <c r="AA95">
        <f t="shared" si="48"/>
        <v>1.5507966784206042</v>
      </c>
      <c r="AB95">
        <f t="shared" si="49"/>
        <v>-52.132594081488932</v>
      </c>
      <c r="AC95">
        <f t="shared" si="50"/>
        <v>-202.21232691757055</v>
      </c>
      <c r="AD95">
        <f t="shared" si="51"/>
        <v>-21.973155448228486</v>
      </c>
      <c r="AE95">
        <f t="shared" si="52"/>
        <v>-0.20423332560508811</v>
      </c>
      <c r="AF95">
        <v>13</v>
      </c>
      <c r="AG95">
        <v>4</v>
      </c>
      <c r="AH95">
        <f t="shared" si="53"/>
        <v>1</v>
      </c>
      <c r="AI95">
        <f t="shared" si="54"/>
        <v>0</v>
      </c>
      <c r="AJ95">
        <f t="shared" si="55"/>
        <v>52114.095381492931</v>
      </c>
      <c r="AK95">
        <f t="shared" si="56"/>
        <v>1799.99</v>
      </c>
      <c r="AL95">
        <f t="shared" si="57"/>
        <v>1499.1052141914299</v>
      </c>
      <c r="AM95">
        <f t="shared" si="58"/>
        <v>0.83284085699999999</v>
      </c>
      <c r="AN95">
        <f t="shared" si="59"/>
        <v>0.15339743172000003</v>
      </c>
      <c r="AO95">
        <v>34.5</v>
      </c>
      <c r="AP95">
        <v>0.5</v>
      </c>
      <c r="AQ95" t="s">
        <v>331</v>
      </c>
      <c r="AR95">
        <v>2</v>
      </c>
      <c r="AS95">
        <v>1690377546</v>
      </c>
      <c r="AT95">
        <v>573.51499999999999</v>
      </c>
      <c r="AU95">
        <v>800.11500000000001</v>
      </c>
      <c r="AV95">
        <v>24.944099999999999</v>
      </c>
      <c r="AW95">
        <v>11.697900000000001</v>
      </c>
      <c r="AX95">
        <v>574.05799999999999</v>
      </c>
      <c r="AY95">
        <v>24.732900000000001</v>
      </c>
      <c r="AZ95">
        <v>300.21199999999999</v>
      </c>
      <c r="BA95">
        <v>98.641800000000003</v>
      </c>
      <c r="BB95">
        <v>9.9992499999999998E-2</v>
      </c>
      <c r="BC95">
        <v>27.096599999999999</v>
      </c>
      <c r="BD95">
        <v>26.9847</v>
      </c>
      <c r="BE95">
        <v>28.9955</v>
      </c>
      <c r="BF95">
        <v>0</v>
      </c>
      <c r="BG95">
        <v>0</v>
      </c>
      <c r="BH95">
        <v>9994.3799999999992</v>
      </c>
      <c r="BI95">
        <v>1082.57</v>
      </c>
      <c r="BJ95">
        <v>1.4016500000000001</v>
      </c>
      <c r="BK95">
        <v>-226.6</v>
      </c>
      <c r="BL95">
        <v>588.18700000000001</v>
      </c>
      <c r="BM95">
        <v>809.58500000000004</v>
      </c>
      <c r="BN95">
        <v>13.2462</v>
      </c>
      <c r="BO95">
        <v>800.11500000000001</v>
      </c>
      <c r="BP95">
        <v>11.697900000000001</v>
      </c>
      <c r="BQ95">
        <v>2.4605299999999999</v>
      </c>
      <c r="BR95">
        <v>1.1538999999999999</v>
      </c>
      <c r="BS95">
        <v>20.767800000000001</v>
      </c>
      <c r="BT95">
        <v>9.0197199999999995</v>
      </c>
      <c r="BU95">
        <v>1799.99</v>
      </c>
      <c r="BV95">
        <v>0.91000400000000004</v>
      </c>
      <c r="BW95">
        <v>3.39963E-2</v>
      </c>
      <c r="BX95">
        <v>2.2000100000000002E-2</v>
      </c>
      <c r="BY95">
        <v>3.4000000000000002E-2</v>
      </c>
      <c r="BZ95">
        <v>25</v>
      </c>
      <c r="CA95">
        <v>33528.199999999997</v>
      </c>
      <c r="CB95">
        <v>1690376213.5999999</v>
      </c>
      <c r="CC95" t="s">
        <v>332</v>
      </c>
      <c r="CD95">
        <v>1690376213.5999999</v>
      </c>
      <c r="CE95">
        <v>1690376198.0999999</v>
      </c>
      <c r="CF95">
        <v>2</v>
      </c>
      <c r="CG95">
        <v>0.66900000000000004</v>
      </c>
      <c r="CH95">
        <v>-2.1000000000000001E-2</v>
      </c>
      <c r="CI95">
        <v>-0.70099999999999996</v>
      </c>
      <c r="CJ95">
        <v>0.21099999999999999</v>
      </c>
      <c r="CK95">
        <v>799</v>
      </c>
      <c r="CL95">
        <v>21</v>
      </c>
      <c r="CM95">
        <v>0.11</v>
      </c>
      <c r="CN95">
        <v>0.17</v>
      </c>
      <c r="CO95">
        <v>-222.36087804878051</v>
      </c>
      <c r="CP95">
        <v>-21.928013937282341</v>
      </c>
      <c r="CQ95">
        <v>2.1630470174644931</v>
      </c>
      <c r="CR95">
        <v>-1</v>
      </c>
      <c r="CS95">
        <v>12.961875609756101</v>
      </c>
      <c r="CT95">
        <v>1.491455749128938</v>
      </c>
      <c r="CU95">
        <v>0.14740974879315941</v>
      </c>
      <c r="CV95">
        <v>-1</v>
      </c>
      <c r="CW95">
        <v>0</v>
      </c>
      <c r="CX95">
        <v>0</v>
      </c>
      <c r="CY95" t="s">
        <v>333</v>
      </c>
      <c r="CZ95">
        <v>2.3652899999999999</v>
      </c>
      <c r="DA95">
        <v>2.7137799999999999</v>
      </c>
      <c r="DB95">
        <v>0.11644599999999999</v>
      </c>
      <c r="DC95">
        <v>0.145784</v>
      </c>
      <c r="DD95">
        <v>0.11662</v>
      </c>
      <c r="DE95">
        <v>6.6473900000000002E-2</v>
      </c>
      <c r="DF95">
        <v>32276.3</v>
      </c>
      <c r="DG95">
        <v>27529.1</v>
      </c>
      <c r="DH95">
        <v>31183.599999999999</v>
      </c>
      <c r="DI95">
        <v>28079.4</v>
      </c>
      <c r="DJ95">
        <v>37392.300000000003</v>
      </c>
      <c r="DK95">
        <v>37263.1</v>
      </c>
      <c r="DL95">
        <v>44376.1</v>
      </c>
      <c r="DM95">
        <v>42545.3</v>
      </c>
      <c r="DN95">
        <v>1.4392</v>
      </c>
      <c r="DO95">
        <v>2.06717</v>
      </c>
      <c r="DP95">
        <v>9.3143400000000001E-2</v>
      </c>
      <c r="DQ95">
        <v>0.21681600000000001</v>
      </c>
      <c r="DR95">
        <v>25.459499999999998</v>
      </c>
      <c r="DS95">
        <v>25.450900000000001</v>
      </c>
      <c r="DT95">
        <v>60.6</v>
      </c>
      <c r="DU95">
        <v>26.8</v>
      </c>
      <c r="DV95">
        <v>21.731300000000001</v>
      </c>
      <c r="DW95">
        <v>61.230200000000004</v>
      </c>
      <c r="DX95">
        <v>36.101799999999997</v>
      </c>
      <c r="DY95">
        <v>1</v>
      </c>
      <c r="DZ95">
        <v>-0.14049</v>
      </c>
      <c r="EA95">
        <v>-0.54495099999999996</v>
      </c>
      <c r="EB95">
        <v>20.189599999999999</v>
      </c>
      <c r="EC95">
        <v>5.2421499999999996</v>
      </c>
      <c r="ED95">
        <v>12.039899999999999</v>
      </c>
      <c r="EE95">
        <v>5.0171999999999999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1.86883</v>
      </c>
      <c r="EL95">
        <v>1.86449</v>
      </c>
      <c r="EM95">
        <v>1.8691</v>
      </c>
      <c r="EN95">
        <v>1.8671800000000001</v>
      </c>
      <c r="EO95">
        <v>1.86328</v>
      </c>
      <c r="EP95">
        <v>1.86432</v>
      </c>
      <c r="EQ95">
        <v>1.87012</v>
      </c>
      <c r="ER95">
        <v>1.8693500000000001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-0.54300000000000004</v>
      </c>
      <c r="FG95">
        <v>0.2112</v>
      </c>
      <c r="FH95">
        <v>-0.150361779349652</v>
      </c>
      <c r="FI95">
        <v>-6.1462078757559423E-4</v>
      </c>
      <c r="FJ95">
        <v>-1.8861989874597051E-7</v>
      </c>
      <c r="FK95">
        <v>1.1980462299894961E-10</v>
      </c>
      <c r="FL95">
        <v>0.21114761904761539</v>
      </c>
      <c r="FM95">
        <v>0</v>
      </c>
      <c r="FN95">
        <v>0</v>
      </c>
      <c r="FO95">
        <v>0</v>
      </c>
      <c r="FP95">
        <v>3</v>
      </c>
      <c r="FQ95">
        <v>2158</v>
      </c>
      <c r="FR95">
        <v>1</v>
      </c>
      <c r="FS95">
        <v>19</v>
      </c>
      <c r="FT95">
        <v>22.2</v>
      </c>
      <c r="FU95">
        <v>22.5</v>
      </c>
      <c r="FV95">
        <v>1.78345</v>
      </c>
      <c r="FW95">
        <v>2.5634800000000002</v>
      </c>
      <c r="FX95">
        <v>1.5490699999999999</v>
      </c>
      <c r="FY95">
        <v>2.33765</v>
      </c>
      <c r="FZ95">
        <v>1.50146</v>
      </c>
      <c r="GA95">
        <v>2.3938000000000001</v>
      </c>
      <c r="GB95">
        <v>32.002400000000002</v>
      </c>
      <c r="GC95">
        <v>23.991199999999999</v>
      </c>
      <c r="GD95">
        <v>19</v>
      </c>
      <c r="GE95">
        <v>265.04700000000003</v>
      </c>
      <c r="GF95">
        <v>601.95799999999997</v>
      </c>
      <c r="GG95">
        <v>25.631399999999999</v>
      </c>
      <c r="GH95">
        <v>25.671099999999999</v>
      </c>
      <c r="GI95">
        <v>30</v>
      </c>
      <c r="GJ95">
        <v>25.773299999999999</v>
      </c>
      <c r="GK95">
        <v>25.739100000000001</v>
      </c>
      <c r="GL95">
        <v>35.663800000000002</v>
      </c>
      <c r="GM95">
        <v>50.658299999999997</v>
      </c>
      <c r="GN95">
        <v>88.222700000000003</v>
      </c>
      <c r="GO95">
        <v>25.638500000000001</v>
      </c>
      <c r="GP95">
        <v>800</v>
      </c>
      <c r="GQ95">
        <v>11.5406</v>
      </c>
      <c r="GR95">
        <v>99.772599999999997</v>
      </c>
      <c r="GS95">
        <v>99.540700000000001</v>
      </c>
    </row>
    <row r="96" spans="1:201" x14ac:dyDescent="0.25">
      <c r="A96">
        <v>80</v>
      </c>
      <c r="B96">
        <v>1690377556</v>
      </c>
      <c r="C96">
        <v>839.5</v>
      </c>
      <c r="D96" t="s">
        <v>493</v>
      </c>
      <c r="E96" t="s">
        <v>494</v>
      </c>
      <c r="F96" t="s">
        <v>330</v>
      </c>
      <c r="H96">
        <v>1690377556</v>
      </c>
      <c r="I96">
        <f t="shared" si="30"/>
        <v>1.2035071891661972E-3</v>
      </c>
      <c r="J96">
        <f t="shared" si="31"/>
        <v>1.2035071891661973</v>
      </c>
      <c r="K96">
        <f t="shared" si="32"/>
        <v>19.341115312980403</v>
      </c>
      <c r="L96">
        <f t="shared" si="33"/>
        <v>569.88699999999994</v>
      </c>
      <c r="M96">
        <f t="shared" si="34"/>
        <v>145.19894919098002</v>
      </c>
      <c r="N96">
        <f t="shared" si="35"/>
        <v>14.337547936788418</v>
      </c>
      <c r="O96">
        <f t="shared" si="36"/>
        <v>56.273011799179898</v>
      </c>
      <c r="P96">
        <f t="shared" si="37"/>
        <v>7.5827295462227912E-2</v>
      </c>
      <c r="Q96">
        <f t="shared" si="38"/>
        <v>2.0036964580132475</v>
      </c>
      <c r="R96">
        <f t="shared" si="39"/>
        <v>7.4268437845389751E-2</v>
      </c>
      <c r="S96">
        <f t="shared" si="40"/>
        <v>4.6555161643182311E-2</v>
      </c>
      <c r="T96">
        <f t="shared" si="41"/>
        <v>276.11350015158825</v>
      </c>
      <c r="U96">
        <f t="shared" si="42"/>
        <v>28.959493845150796</v>
      </c>
      <c r="V96">
        <f t="shared" si="43"/>
        <v>28.959493845150796</v>
      </c>
      <c r="W96">
        <f t="shared" si="44"/>
        <v>4.0123557314965934</v>
      </c>
      <c r="X96">
        <f t="shared" si="45"/>
        <v>68.476798536639208</v>
      </c>
      <c r="Y96">
        <f t="shared" si="46"/>
        <v>2.4647035482708501</v>
      </c>
      <c r="Z96">
        <f t="shared" si="47"/>
        <v>3.5993264885946523</v>
      </c>
      <c r="AA96">
        <f t="shared" si="48"/>
        <v>1.5476521832257433</v>
      </c>
      <c r="AB96">
        <f t="shared" si="49"/>
        <v>-53.074667042229294</v>
      </c>
      <c r="AC96">
        <f t="shared" si="50"/>
        <v>-201.33313081667148</v>
      </c>
      <c r="AD96">
        <f t="shared" si="51"/>
        <v>-21.908751099398611</v>
      </c>
      <c r="AE96">
        <f t="shared" si="52"/>
        <v>-0.20304880671113779</v>
      </c>
      <c r="AF96">
        <v>13</v>
      </c>
      <c r="AG96">
        <v>4</v>
      </c>
      <c r="AH96">
        <f t="shared" si="53"/>
        <v>1</v>
      </c>
      <c r="AI96">
        <f t="shared" si="54"/>
        <v>0</v>
      </c>
      <c r="AJ96">
        <f t="shared" si="55"/>
        <v>51974.806627582373</v>
      </c>
      <c r="AK96">
        <f t="shared" si="56"/>
        <v>1799.99</v>
      </c>
      <c r="AL96">
        <f t="shared" si="57"/>
        <v>1499.1044059959202</v>
      </c>
      <c r="AM96">
        <f t="shared" si="58"/>
        <v>0.83284040800000003</v>
      </c>
      <c r="AN96">
        <f t="shared" si="59"/>
        <v>0.15339724118000003</v>
      </c>
      <c r="AO96">
        <v>34.5</v>
      </c>
      <c r="AP96">
        <v>0.5</v>
      </c>
      <c r="AQ96" t="s">
        <v>331</v>
      </c>
      <c r="AR96">
        <v>2</v>
      </c>
      <c r="AS96">
        <v>1690377556</v>
      </c>
      <c r="AT96">
        <v>569.88699999999994</v>
      </c>
      <c r="AU96">
        <v>800.10900000000004</v>
      </c>
      <c r="AV96">
        <v>24.9605</v>
      </c>
      <c r="AW96">
        <v>11.470800000000001</v>
      </c>
      <c r="AX96">
        <v>570.42700000000002</v>
      </c>
      <c r="AY96">
        <v>24.749400000000001</v>
      </c>
      <c r="AZ96">
        <v>300.11500000000001</v>
      </c>
      <c r="BA96">
        <v>98.644300000000001</v>
      </c>
      <c r="BB96">
        <v>9.9857699999999994E-2</v>
      </c>
      <c r="BC96">
        <v>27.095700000000001</v>
      </c>
      <c r="BD96">
        <v>26.992100000000001</v>
      </c>
      <c r="BE96">
        <v>29.005400000000002</v>
      </c>
      <c r="BF96">
        <v>0</v>
      </c>
      <c r="BG96">
        <v>0</v>
      </c>
      <c r="BH96">
        <v>9966.25</v>
      </c>
      <c r="BI96">
        <v>1082.5899999999999</v>
      </c>
      <c r="BJ96">
        <v>1.3904399999999999</v>
      </c>
      <c r="BK96">
        <v>-230.22300000000001</v>
      </c>
      <c r="BL96">
        <v>584.476</v>
      </c>
      <c r="BM96">
        <v>809.39400000000001</v>
      </c>
      <c r="BN96">
        <v>13.489699999999999</v>
      </c>
      <c r="BO96">
        <v>800.10900000000004</v>
      </c>
      <c r="BP96">
        <v>11.470800000000001</v>
      </c>
      <c r="BQ96">
        <v>2.4622099999999998</v>
      </c>
      <c r="BR96">
        <v>1.1315299999999999</v>
      </c>
      <c r="BS96">
        <v>20.7788</v>
      </c>
      <c r="BT96">
        <v>8.7299500000000005</v>
      </c>
      <c r="BU96">
        <v>1799.99</v>
      </c>
      <c r="BV96">
        <v>0.91000599999999998</v>
      </c>
      <c r="BW96">
        <v>3.3995200000000003E-2</v>
      </c>
      <c r="BX96">
        <v>2.1999399999999999E-2</v>
      </c>
      <c r="BY96">
        <v>3.3999000000000001E-2</v>
      </c>
      <c r="BZ96">
        <v>25</v>
      </c>
      <c r="CA96">
        <v>33528.300000000003</v>
      </c>
      <c r="CB96">
        <v>1690376213.5999999</v>
      </c>
      <c r="CC96" t="s">
        <v>332</v>
      </c>
      <c r="CD96">
        <v>1690376213.5999999</v>
      </c>
      <c r="CE96">
        <v>1690376198.0999999</v>
      </c>
      <c r="CF96">
        <v>2</v>
      </c>
      <c r="CG96">
        <v>0.66900000000000004</v>
      </c>
      <c r="CH96">
        <v>-2.1000000000000001E-2</v>
      </c>
      <c r="CI96">
        <v>-0.70099999999999996</v>
      </c>
      <c r="CJ96">
        <v>0.21099999999999999</v>
      </c>
      <c r="CK96">
        <v>799</v>
      </c>
      <c r="CL96">
        <v>21</v>
      </c>
      <c r="CM96">
        <v>0.11</v>
      </c>
      <c r="CN96">
        <v>0.17</v>
      </c>
      <c r="CO96">
        <v>-226.2884</v>
      </c>
      <c r="CP96">
        <v>-21.784232645402561</v>
      </c>
      <c r="CQ96">
        <v>2.095954553419515</v>
      </c>
      <c r="CR96">
        <v>-1</v>
      </c>
      <c r="CS96">
        <v>13.22274</v>
      </c>
      <c r="CT96">
        <v>1.4620052532832859</v>
      </c>
      <c r="CU96">
        <v>0.14107310657953209</v>
      </c>
      <c r="CV96">
        <v>-1</v>
      </c>
      <c r="CW96">
        <v>0</v>
      </c>
      <c r="CX96">
        <v>0</v>
      </c>
      <c r="CY96" t="s">
        <v>333</v>
      </c>
      <c r="CZ96">
        <v>2.3650000000000002</v>
      </c>
      <c r="DA96">
        <v>2.7136200000000001</v>
      </c>
      <c r="DB96">
        <v>0.115924</v>
      </c>
      <c r="DC96">
        <v>0.14578099999999999</v>
      </c>
      <c r="DD96">
        <v>0.116677</v>
      </c>
      <c r="DE96">
        <v>6.5497700000000006E-2</v>
      </c>
      <c r="DF96">
        <v>32295.5</v>
      </c>
      <c r="DG96">
        <v>27529.200000000001</v>
      </c>
      <c r="DH96">
        <v>31183.7</v>
      </c>
      <c r="DI96">
        <v>28079.5</v>
      </c>
      <c r="DJ96">
        <v>37389.9</v>
      </c>
      <c r="DK96">
        <v>37302.199999999997</v>
      </c>
      <c r="DL96">
        <v>44376.2</v>
      </c>
      <c r="DM96">
        <v>42545.4</v>
      </c>
      <c r="DN96">
        <v>1.4390499999999999</v>
      </c>
      <c r="DO96">
        <v>2.0666699999999998</v>
      </c>
      <c r="DP96">
        <v>9.3728300000000001E-2</v>
      </c>
      <c r="DQ96">
        <v>0.21742300000000001</v>
      </c>
      <c r="DR96">
        <v>25.4573</v>
      </c>
      <c r="DS96">
        <v>25.450900000000001</v>
      </c>
      <c r="DT96">
        <v>60.5</v>
      </c>
      <c r="DU96">
        <v>26.8</v>
      </c>
      <c r="DV96">
        <v>21.6936</v>
      </c>
      <c r="DW96">
        <v>61.160200000000003</v>
      </c>
      <c r="DX96">
        <v>36.229999999999997</v>
      </c>
      <c r="DY96">
        <v>1</v>
      </c>
      <c r="DZ96">
        <v>-0.14025199999999999</v>
      </c>
      <c r="EA96">
        <v>-0.51567499999999999</v>
      </c>
      <c r="EB96">
        <v>20.189599999999999</v>
      </c>
      <c r="EC96">
        <v>5.2413999999999996</v>
      </c>
      <c r="ED96">
        <v>12.039899999999999</v>
      </c>
      <c r="EE96">
        <v>5.0170500000000002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1.8688400000000001</v>
      </c>
      <c r="EL96">
        <v>1.8645</v>
      </c>
      <c r="EM96">
        <v>1.8691199999999999</v>
      </c>
      <c r="EN96">
        <v>1.8671599999999999</v>
      </c>
      <c r="EO96">
        <v>1.86328</v>
      </c>
      <c r="EP96">
        <v>1.86432</v>
      </c>
      <c r="EQ96">
        <v>1.87012</v>
      </c>
      <c r="ER96">
        <v>1.8693500000000001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-0.54</v>
      </c>
      <c r="FG96">
        <v>0.21110000000000001</v>
      </c>
      <c r="FH96">
        <v>-0.150361779349652</v>
      </c>
      <c r="FI96">
        <v>-6.1462078757559423E-4</v>
      </c>
      <c r="FJ96">
        <v>-1.8861989874597051E-7</v>
      </c>
      <c r="FK96">
        <v>1.1980462299894961E-10</v>
      </c>
      <c r="FL96">
        <v>0.21114761904761539</v>
      </c>
      <c r="FM96">
        <v>0</v>
      </c>
      <c r="FN96">
        <v>0</v>
      </c>
      <c r="FO96">
        <v>0</v>
      </c>
      <c r="FP96">
        <v>3</v>
      </c>
      <c r="FQ96">
        <v>2158</v>
      </c>
      <c r="FR96">
        <v>1</v>
      </c>
      <c r="FS96">
        <v>19</v>
      </c>
      <c r="FT96">
        <v>22.4</v>
      </c>
      <c r="FU96">
        <v>22.6</v>
      </c>
      <c r="FV96">
        <v>1.78345</v>
      </c>
      <c r="FW96">
        <v>2.5647000000000002</v>
      </c>
      <c r="FX96">
        <v>1.5490699999999999</v>
      </c>
      <c r="FY96">
        <v>2.33765</v>
      </c>
      <c r="FZ96">
        <v>1.50146</v>
      </c>
      <c r="GA96">
        <v>2.3840300000000001</v>
      </c>
      <c r="GB96">
        <v>32.002400000000002</v>
      </c>
      <c r="GC96">
        <v>23.9999</v>
      </c>
      <c r="GD96">
        <v>19</v>
      </c>
      <c r="GE96">
        <v>264.98700000000002</v>
      </c>
      <c r="GF96">
        <v>601.55499999999995</v>
      </c>
      <c r="GG96">
        <v>25.648299999999999</v>
      </c>
      <c r="GH96">
        <v>25.671099999999999</v>
      </c>
      <c r="GI96">
        <v>30.0001</v>
      </c>
      <c r="GJ96">
        <v>25.773299999999999</v>
      </c>
      <c r="GK96">
        <v>25.7408</v>
      </c>
      <c r="GL96">
        <v>35.658299999999997</v>
      </c>
      <c r="GM96">
        <v>51.245800000000003</v>
      </c>
      <c r="GN96">
        <v>87.836799999999997</v>
      </c>
      <c r="GO96">
        <v>25.598800000000001</v>
      </c>
      <c r="GP96">
        <v>800</v>
      </c>
      <c r="GQ96">
        <v>11.313499999999999</v>
      </c>
      <c r="GR96">
        <v>99.773099999999999</v>
      </c>
      <c r="GS96">
        <v>99.540999999999997</v>
      </c>
    </row>
    <row r="97" spans="1:201" x14ac:dyDescent="0.25">
      <c r="A97">
        <v>81</v>
      </c>
      <c r="B97">
        <v>1690377566</v>
      </c>
      <c r="C97">
        <v>849.5</v>
      </c>
      <c r="D97" t="s">
        <v>495</v>
      </c>
      <c r="E97" t="s">
        <v>496</v>
      </c>
      <c r="F97" t="s">
        <v>330</v>
      </c>
      <c r="H97">
        <v>1690377566</v>
      </c>
      <c r="I97">
        <f t="shared" si="30"/>
        <v>1.2229005992368731E-3</v>
      </c>
      <c r="J97">
        <f t="shared" si="31"/>
        <v>1.2229005992368731</v>
      </c>
      <c r="K97">
        <f t="shared" si="32"/>
        <v>19.640357321329684</v>
      </c>
      <c r="L97">
        <f t="shared" si="33"/>
        <v>566.32299999999998</v>
      </c>
      <c r="M97">
        <f t="shared" si="34"/>
        <v>143.14417983979854</v>
      </c>
      <c r="N97">
        <f t="shared" si="35"/>
        <v>14.134858497365531</v>
      </c>
      <c r="O97">
        <f t="shared" si="36"/>
        <v>55.921906694091994</v>
      </c>
      <c r="P97">
        <f t="shared" si="37"/>
        <v>7.7286333731534082E-2</v>
      </c>
      <c r="Q97">
        <f t="shared" si="38"/>
        <v>2.00777186678049</v>
      </c>
      <c r="R97">
        <f t="shared" si="39"/>
        <v>7.5670810883583323E-2</v>
      </c>
      <c r="S97">
        <f t="shared" si="40"/>
        <v>4.7436592486865867E-2</v>
      </c>
      <c r="T97">
        <f t="shared" si="41"/>
        <v>276.11484604200001</v>
      </c>
      <c r="U97">
        <f t="shared" si="42"/>
        <v>28.945462026946636</v>
      </c>
      <c r="V97">
        <f t="shared" si="43"/>
        <v>28.945462026946636</v>
      </c>
      <c r="W97">
        <f t="shared" si="44"/>
        <v>4.00909804289675</v>
      </c>
      <c r="X97">
        <f t="shared" si="45"/>
        <v>68.516016930579809</v>
      </c>
      <c r="Y97">
        <f t="shared" si="46"/>
        <v>2.4656086099571999</v>
      </c>
      <c r="Z97">
        <f t="shared" si="47"/>
        <v>3.5985871923281034</v>
      </c>
      <c r="AA97">
        <f t="shared" si="48"/>
        <v>1.5434894329395501</v>
      </c>
      <c r="AB97">
        <f t="shared" si="49"/>
        <v>-53.929916426346104</v>
      </c>
      <c r="AC97">
        <f t="shared" si="50"/>
        <v>-200.60263580407261</v>
      </c>
      <c r="AD97">
        <f t="shared" si="51"/>
        <v>-21.783044983622723</v>
      </c>
      <c r="AE97">
        <f t="shared" si="52"/>
        <v>-0.20075117204140724</v>
      </c>
      <c r="AF97">
        <v>13</v>
      </c>
      <c r="AG97">
        <v>4</v>
      </c>
      <c r="AH97">
        <f t="shared" si="53"/>
        <v>1</v>
      </c>
      <c r="AI97">
        <f t="shared" si="54"/>
        <v>0</v>
      </c>
      <c r="AJ97">
        <f t="shared" si="55"/>
        <v>52169.98211769764</v>
      </c>
      <c r="AK97">
        <f t="shared" si="56"/>
        <v>1800</v>
      </c>
      <c r="AL97">
        <f t="shared" si="57"/>
        <v>1499.1135822000001</v>
      </c>
      <c r="AM97">
        <f t="shared" si="58"/>
        <v>0.83284087900000003</v>
      </c>
      <c r="AN97">
        <f t="shared" si="59"/>
        <v>0.15339713668999999</v>
      </c>
      <c r="AO97">
        <v>34.5</v>
      </c>
      <c r="AP97">
        <v>0.5</v>
      </c>
      <c r="AQ97" t="s">
        <v>331</v>
      </c>
      <c r="AR97">
        <v>2</v>
      </c>
      <c r="AS97">
        <v>1690377566</v>
      </c>
      <c r="AT97">
        <v>566.32299999999998</v>
      </c>
      <c r="AU97">
        <v>800.04399999999998</v>
      </c>
      <c r="AV97">
        <v>24.9693</v>
      </c>
      <c r="AW97">
        <v>11.263400000000001</v>
      </c>
      <c r="AX97">
        <v>566.86099999999999</v>
      </c>
      <c r="AY97">
        <v>24.758199999999999</v>
      </c>
      <c r="AZ97">
        <v>300.13799999999998</v>
      </c>
      <c r="BA97">
        <v>98.645600000000002</v>
      </c>
      <c r="BB97">
        <v>0.100004</v>
      </c>
      <c r="BC97">
        <v>27.092199999999998</v>
      </c>
      <c r="BD97">
        <v>26.9922</v>
      </c>
      <c r="BE97">
        <v>29.002099999999999</v>
      </c>
      <c r="BF97">
        <v>0</v>
      </c>
      <c r="BG97">
        <v>0</v>
      </c>
      <c r="BH97">
        <v>10005</v>
      </c>
      <c r="BI97">
        <v>1082.6099999999999</v>
      </c>
      <c r="BJ97">
        <v>1.3161499999999999</v>
      </c>
      <c r="BK97">
        <v>-233.721</v>
      </c>
      <c r="BL97">
        <v>580.82600000000002</v>
      </c>
      <c r="BM97">
        <v>809.15800000000002</v>
      </c>
      <c r="BN97">
        <v>13.706</v>
      </c>
      <c r="BO97">
        <v>800.04399999999998</v>
      </c>
      <c r="BP97">
        <v>11.263400000000001</v>
      </c>
      <c r="BQ97">
        <v>2.4631099999999999</v>
      </c>
      <c r="BR97">
        <v>1.1110800000000001</v>
      </c>
      <c r="BS97">
        <v>20.784800000000001</v>
      </c>
      <c r="BT97">
        <v>8.4606200000000005</v>
      </c>
      <c r="BU97">
        <v>1800</v>
      </c>
      <c r="BV97">
        <v>0.91001100000000001</v>
      </c>
      <c r="BW97">
        <v>3.39934E-2</v>
      </c>
      <c r="BX97">
        <v>2.1998199999999999E-2</v>
      </c>
      <c r="BY97">
        <v>3.3997100000000002E-2</v>
      </c>
      <c r="BZ97">
        <v>25</v>
      </c>
      <c r="CA97">
        <v>33528.400000000001</v>
      </c>
      <c r="CB97">
        <v>1690376213.5999999</v>
      </c>
      <c r="CC97" t="s">
        <v>332</v>
      </c>
      <c r="CD97">
        <v>1690376213.5999999</v>
      </c>
      <c r="CE97">
        <v>1690376198.0999999</v>
      </c>
      <c r="CF97">
        <v>2</v>
      </c>
      <c r="CG97">
        <v>0.66900000000000004</v>
      </c>
      <c r="CH97">
        <v>-2.1000000000000001E-2</v>
      </c>
      <c r="CI97">
        <v>-0.70099999999999996</v>
      </c>
      <c r="CJ97">
        <v>0.21099999999999999</v>
      </c>
      <c r="CK97">
        <v>799</v>
      </c>
      <c r="CL97">
        <v>21</v>
      </c>
      <c r="CM97">
        <v>0.11</v>
      </c>
      <c r="CN97">
        <v>0.17</v>
      </c>
      <c r="CO97">
        <v>-229.90787499999999</v>
      </c>
      <c r="CP97">
        <v>-21.36266791744788</v>
      </c>
      <c r="CQ97">
        <v>2.0554892141227601</v>
      </c>
      <c r="CR97">
        <v>-1</v>
      </c>
      <c r="CS97">
        <v>13.463905</v>
      </c>
      <c r="CT97">
        <v>1.4716165103189309</v>
      </c>
      <c r="CU97">
        <v>0.14174332074210749</v>
      </c>
      <c r="CV97">
        <v>-1</v>
      </c>
      <c r="CW97">
        <v>0</v>
      </c>
      <c r="CX97">
        <v>0</v>
      </c>
      <c r="CY97" t="s">
        <v>333</v>
      </c>
      <c r="CZ97">
        <v>2.3650899999999999</v>
      </c>
      <c r="DA97">
        <v>2.7138</v>
      </c>
      <c r="DB97">
        <v>0.11541</v>
      </c>
      <c r="DC97">
        <v>0.14577100000000001</v>
      </c>
      <c r="DD97">
        <v>0.11670700000000001</v>
      </c>
      <c r="DE97">
        <v>6.4599500000000004E-2</v>
      </c>
      <c r="DF97">
        <v>32313.7</v>
      </c>
      <c r="DG97">
        <v>27529.200000000001</v>
      </c>
      <c r="DH97">
        <v>31183.200000000001</v>
      </c>
      <c r="DI97">
        <v>28079.200000000001</v>
      </c>
      <c r="DJ97">
        <v>37388</v>
      </c>
      <c r="DK97">
        <v>37337.800000000003</v>
      </c>
      <c r="DL97">
        <v>44375.5</v>
      </c>
      <c r="DM97">
        <v>42545</v>
      </c>
      <c r="DN97">
        <v>1.4388700000000001</v>
      </c>
      <c r="DO97">
        <v>2.0659299999999998</v>
      </c>
      <c r="DP97">
        <v>9.3739500000000003E-2</v>
      </c>
      <c r="DQ97">
        <v>0.217225</v>
      </c>
      <c r="DR97">
        <v>25.4573</v>
      </c>
      <c r="DS97">
        <v>25.450900000000001</v>
      </c>
      <c r="DT97">
        <v>60.3</v>
      </c>
      <c r="DU97">
        <v>26.8</v>
      </c>
      <c r="DV97">
        <v>21.625599999999999</v>
      </c>
      <c r="DW97">
        <v>61.510199999999998</v>
      </c>
      <c r="DX97">
        <v>36.302100000000003</v>
      </c>
      <c r="DY97">
        <v>1</v>
      </c>
      <c r="DZ97">
        <v>-0.14016500000000001</v>
      </c>
      <c r="EA97">
        <v>-0.44102400000000003</v>
      </c>
      <c r="EB97">
        <v>20.189900000000002</v>
      </c>
      <c r="EC97">
        <v>5.24125</v>
      </c>
      <c r="ED97">
        <v>12.039899999999999</v>
      </c>
      <c r="EE97">
        <v>5.0172499999999998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1.86886</v>
      </c>
      <c r="EL97">
        <v>1.8645</v>
      </c>
      <c r="EM97">
        <v>1.8691800000000001</v>
      </c>
      <c r="EN97">
        <v>1.8671800000000001</v>
      </c>
      <c r="EO97">
        <v>1.86327</v>
      </c>
      <c r="EP97">
        <v>1.86432</v>
      </c>
      <c r="EQ97">
        <v>1.87012</v>
      </c>
      <c r="ER97">
        <v>1.8693500000000001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-0.53800000000000003</v>
      </c>
      <c r="FG97">
        <v>0.21110000000000001</v>
      </c>
      <c r="FH97">
        <v>-0.150361779349652</v>
      </c>
      <c r="FI97">
        <v>-6.1462078757559423E-4</v>
      </c>
      <c r="FJ97">
        <v>-1.8861989874597051E-7</v>
      </c>
      <c r="FK97">
        <v>1.1980462299894961E-10</v>
      </c>
      <c r="FL97">
        <v>0.21114761904761539</v>
      </c>
      <c r="FM97">
        <v>0</v>
      </c>
      <c r="FN97">
        <v>0</v>
      </c>
      <c r="FO97">
        <v>0</v>
      </c>
      <c r="FP97">
        <v>3</v>
      </c>
      <c r="FQ97">
        <v>2158</v>
      </c>
      <c r="FR97">
        <v>1</v>
      </c>
      <c r="FS97">
        <v>19</v>
      </c>
      <c r="FT97">
        <v>22.5</v>
      </c>
      <c r="FU97">
        <v>22.8</v>
      </c>
      <c r="FV97">
        <v>1.78345</v>
      </c>
      <c r="FW97">
        <v>2.5659200000000002</v>
      </c>
      <c r="FX97">
        <v>1.5490699999999999</v>
      </c>
      <c r="FY97">
        <v>2.33765</v>
      </c>
      <c r="FZ97">
        <v>1.50146</v>
      </c>
      <c r="GA97">
        <v>2.3803700000000001</v>
      </c>
      <c r="GB97">
        <v>32.002400000000002</v>
      </c>
      <c r="GC97">
        <v>23.982399999999998</v>
      </c>
      <c r="GD97">
        <v>19</v>
      </c>
      <c r="GE97">
        <v>264.916</v>
      </c>
      <c r="GF97">
        <v>600.928</v>
      </c>
      <c r="GG97">
        <v>25.6035</v>
      </c>
      <c r="GH97">
        <v>25.671099999999999</v>
      </c>
      <c r="GI97">
        <v>30.0001</v>
      </c>
      <c r="GJ97">
        <v>25.773299999999999</v>
      </c>
      <c r="GK97">
        <v>25.741199999999999</v>
      </c>
      <c r="GL97">
        <v>35.654200000000003</v>
      </c>
      <c r="GM97">
        <v>52.122999999999998</v>
      </c>
      <c r="GN97">
        <v>87.040999999999997</v>
      </c>
      <c r="GO97">
        <v>25.613800000000001</v>
      </c>
      <c r="GP97">
        <v>800</v>
      </c>
      <c r="GQ97">
        <v>11.0939</v>
      </c>
      <c r="GR97">
        <v>99.7714</v>
      </c>
      <c r="GS97">
        <v>99.539900000000003</v>
      </c>
    </row>
    <row r="98" spans="1:201" x14ac:dyDescent="0.25">
      <c r="A98">
        <v>82</v>
      </c>
      <c r="B98">
        <v>1690377576</v>
      </c>
      <c r="C98">
        <v>859.5</v>
      </c>
      <c r="D98" t="s">
        <v>497</v>
      </c>
      <c r="E98" t="s">
        <v>498</v>
      </c>
      <c r="F98" t="s">
        <v>330</v>
      </c>
      <c r="H98">
        <v>1690377576</v>
      </c>
      <c r="I98">
        <f t="shared" si="30"/>
        <v>1.2438700933043382E-3</v>
      </c>
      <c r="J98">
        <f t="shared" si="31"/>
        <v>1.2438700933043383</v>
      </c>
      <c r="K98">
        <f t="shared" si="32"/>
        <v>19.953696965094025</v>
      </c>
      <c r="L98">
        <f t="shared" si="33"/>
        <v>562.64099999999996</v>
      </c>
      <c r="M98">
        <f t="shared" si="34"/>
        <v>140.77413679413868</v>
      </c>
      <c r="N98">
        <f t="shared" si="35"/>
        <v>13.900778415232278</v>
      </c>
      <c r="O98">
        <f t="shared" si="36"/>
        <v>55.558130537585704</v>
      </c>
      <c r="P98">
        <f t="shared" si="37"/>
        <v>7.8775124948678027E-2</v>
      </c>
      <c r="Q98">
        <f t="shared" si="38"/>
        <v>2.0120696199179662</v>
      </c>
      <c r="R98">
        <f t="shared" si="39"/>
        <v>7.7100991225536403E-2</v>
      </c>
      <c r="S98">
        <f t="shared" si="40"/>
        <v>4.8335570459492355E-2</v>
      </c>
      <c r="T98">
        <f t="shared" si="41"/>
        <v>276.11468631000002</v>
      </c>
      <c r="U98">
        <f t="shared" si="42"/>
        <v>28.938280039737183</v>
      </c>
      <c r="V98">
        <f t="shared" si="43"/>
        <v>28.938280039737183</v>
      </c>
      <c r="W98">
        <f t="shared" si="44"/>
        <v>4.0074315337164874</v>
      </c>
      <c r="X98">
        <f t="shared" si="45"/>
        <v>68.526999152856334</v>
      </c>
      <c r="Y98">
        <f t="shared" si="46"/>
        <v>2.46659729019138</v>
      </c>
      <c r="Z98">
        <f t="shared" si="47"/>
        <v>3.5994532384081026</v>
      </c>
      <c r="AA98">
        <f t="shared" si="48"/>
        <v>1.5408342435251074</v>
      </c>
      <c r="AB98">
        <f t="shared" si="49"/>
        <v>-54.854671114721313</v>
      </c>
      <c r="AC98">
        <f t="shared" si="50"/>
        <v>-199.80822733342202</v>
      </c>
      <c r="AD98">
        <f t="shared" si="51"/>
        <v>-21.650102715417795</v>
      </c>
      <c r="AE98">
        <f t="shared" si="52"/>
        <v>-0.19831485356112921</v>
      </c>
      <c r="AF98">
        <v>12</v>
      </c>
      <c r="AG98">
        <v>4</v>
      </c>
      <c r="AH98">
        <f t="shared" si="53"/>
        <v>1</v>
      </c>
      <c r="AI98">
        <f t="shared" si="54"/>
        <v>0</v>
      </c>
      <c r="AJ98">
        <f t="shared" si="55"/>
        <v>52375.009701707691</v>
      </c>
      <c r="AK98">
        <f t="shared" si="56"/>
        <v>1800</v>
      </c>
      <c r="AL98">
        <f t="shared" si="57"/>
        <v>1499.1145650000001</v>
      </c>
      <c r="AM98">
        <f t="shared" si="58"/>
        <v>0.83284142500000002</v>
      </c>
      <c r="AN98">
        <f t="shared" si="59"/>
        <v>0.15339704795</v>
      </c>
      <c r="AO98">
        <v>34.5</v>
      </c>
      <c r="AP98">
        <v>0.5</v>
      </c>
      <c r="AQ98" t="s">
        <v>331</v>
      </c>
      <c r="AR98">
        <v>2</v>
      </c>
      <c r="AS98">
        <v>1690377576</v>
      </c>
      <c r="AT98">
        <v>562.64099999999996</v>
      </c>
      <c r="AU98">
        <v>800.03099999999995</v>
      </c>
      <c r="AV98">
        <v>24.979399999999998</v>
      </c>
      <c r="AW98">
        <v>11.0396</v>
      </c>
      <c r="AX98">
        <v>563.17600000000004</v>
      </c>
      <c r="AY98">
        <v>24.7683</v>
      </c>
      <c r="AZ98">
        <v>300.15899999999999</v>
      </c>
      <c r="BA98">
        <v>98.645300000000006</v>
      </c>
      <c r="BB98">
        <v>9.9957699999999997E-2</v>
      </c>
      <c r="BC98">
        <v>27.096299999999999</v>
      </c>
      <c r="BD98">
        <v>26.987500000000001</v>
      </c>
      <c r="BE98">
        <v>28.988199999999999</v>
      </c>
      <c r="BF98">
        <v>0</v>
      </c>
      <c r="BG98">
        <v>0</v>
      </c>
      <c r="BH98">
        <v>10046.200000000001</v>
      </c>
      <c r="BI98">
        <v>1082.6199999999999</v>
      </c>
      <c r="BJ98">
        <v>1.28952</v>
      </c>
      <c r="BK98">
        <v>-237.39</v>
      </c>
      <c r="BL98">
        <v>577.05499999999995</v>
      </c>
      <c r="BM98">
        <v>808.96100000000001</v>
      </c>
      <c r="BN98">
        <v>13.9398</v>
      </c>
      <c r="BO98">
        <v>800.03099999999995</v>
      </c>
      <c r="BP98">
        <v>11.0396</v>
      </c>
      <c r="BQ98">
        <v>2.4641000000000002</v>
      </c>
      <c r="BR98">
        <v>1.08901</v>
      </c>
      <c r="BS98">
        <v>20.7913</v>
      </c>
      <c r="BT98">
        <v>8.1649600000000007</v>
      </c>
      <c r="BU98">
        <v>1800</v>
      </c>
      <c r="BV98">
        <v>0.91001600000000005</v>
      </c>
      <c r="BW98">
        <v>3.3991599999999997E-2</v>
      </c>
      <c r="BX98">
        <v>2.1996999999999999E-2</v>
      </c>
      <c r="BY98">
        <v>3.3995299999999999E-2</v>
      </c>
      <c r="BZ98">
        <v>25</v>
      </c>
      <c r="CA98">
        <v>33528.400000000001</v>
      </c>
      <c r="CB98">
        <v>1690376213.5999999</v>
      </c>
      <c r="CC98" t="s">
        <v>332</v>
      </c>
      <c r="CD98">
        <v>1690376213.5999999</v>
      </c>
      <c r="CE98">
        <v>1690376198.0999999</v>
      </c>
      <c r="CF98">
        <v>2</v>
      </c>
      <c r="CG98">
        <v>0.66900000000000004</v>
      </c>
      <c r="CH98">
        <v>-2.1000000000000001E-2</v>
      </c>
      <c r="CI98">
        <v>-0.70099999999999996</v>
      </c>
      <c r="CJ98">
        <v>0.21099999999999999</v>
      </c>
      <c r="CK98">
        <v>799</v>
      </c>
      <c r="CL98">
        <v>21</v>
      </c>
      <c r="CM98">
        <v>0.11</v>
      </c>
      <c r="CN98">
        <v>0.17</v>
      </c>
      <c r="CO98">
        <v>-233.23948780487811</v>
      </c>
      <c r="CP98">
        <v>-21.672773519164011</v>
      </c>
      <c r="CQ98">
        <v>2.13768374902063</v>
      </c>
      <c r="CR98">
        <v>-1</v>
      </c>
      <c r="CS98">
        <v>13.683429268292681</v>
      </c>
      <c r="CT98">
        <v>1.3899742160279209</v>
      </c>
      <c r="CU98">
        <v>0.13730306561141981</v>
      </c>
      <c r="CV98">
        <v>-1</v>
      </c>
      <c r="CW98">
        <v>0</v>
      </c>
      <c r="CX98">
        <v>0</v>
      </c>
      <c r="CY98" t="s">
        <v>333</v>
      </c>
      <c r="CZ98">
        <v>2.3651499999999999</v>
      </c>
      <c r="DA98">
        <v>2.7137899999999999</v>
      </c>
      <c r="DB98">
        <v>0.114874</v>
      </c>
      <c r="DC98">
        <v>0.145764</v>
      </c>
      <c r="DD98">
        <v>0.11674</v>
      </c>
      <c r="DE98">
        <v>6.3622899999999996E-2</v>
      </c>
      <c r="DF98">
        <v>32333.200000000001</v>
      </c>
      <c r="DG98">
        <v>27529.3</v>
      </c>
      <c r="DH98">
        <v>31183.1</v>
      </c>
      <c r="DI98">
        <v>28079.1</v>
      </c>
      <c r="DJ98">
        <v>37386.5</v>
      </c>
      <c r="DK98">
        <v>37376.9</v>
      </c>
      <c r="DL98">
        <v>44375.5</v>
      </c>
      <c r="DM98">
        <v>42545</v>
      </c>
      <c r="DN98">
        <v>1.4395</v>
      </c>
      <c r="DO98">
        <v>2.0659000000000001</v>
      </c>
      <c r="DP98">
        <v>9.3452599999999997E-2</v>
      </c>
      <c r="DQ98">
        <v>0.21636900000000001</v>
      </c>
      <c r="DR98">
        <v>25.4573</v>
      </c>
      <c r="DS98">
        <v>25.450900000000001</v>
      </c>
      <c r="DT98">
        <v>60.2</v>
      </c>
      <c r="DU98">
        <v>26.8</v>
      </c>
      <c r="DV98">
        <v>21.585899999999999</v>
      </c>
      <c r="DW98">
        <v>61.170200000000001</v>
      </c>
      <c r="DX98">
        <v>36.406199999999998</v>
      </c>
      <c r="DY98">
        <v>1</v>
      </c>
      <c r="DZ98">
        <v>-0.14063800000000001</v>
      </c>
      <c r="EA98">
        <v>-0.48769600000000002</v>
      </c>
      <c r="EB98">
        <v>20.189599999999999</v>
      </c>
      <c r="EC98">
        <v>5.2415500000000002</v>
      </c>
      <c r="ED98">
        <v>12.039899999999999</v>
      </c>
      <c r="EE98">
        <v>5.0172499999999998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1.86883</v>
      </c>
      <c r="EL98">
        <v>1.8645</v>
      </c>
      <c r="EM98">
        <v>1.86917</v>
      </c>
      <c r="EN98">
        <v>1.8671800000000001</v>
      </c>
      <c r="EO98">
        <v>1.86328</v>
      </c>
      <c r="EP98">
        <v>1.86433</v>
      </c>
      <c r="EQ98">
        <v>1.87012</v>
      </c>
      <c r="ER98">
        <v>1.8693500000000001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-0.53500000000000003</v>
      </c>
      <c r="FG98">
        <v>0.21110000000000001</v>
      </c>
      <c r="FH98">
        <v>-0.150361779349652</v>
      </c>
      <c r="FI98">
        <v>-6.1462078757559423E-4</v>
      </c>
      <c r="FJ98">
        <v>-1.8861989874597051E-7</v>
      </c>
      <c r="FK98">
        <v>1.1980462299894961E-10</v>
      </c>
      <c r="FL98">
        <v>0.21114761904761539</v>
      </c>
      <c r="FM98">
        <v>0</v>
      </c>
      <c r="FN98">
        <v>0</v>
      </c>
      <c r="FO98">
        <v>0</v>
      </c>
      <c r="FP98">
        <v>3</v>
      </c>
      <c r="FQ98">
        <v>2158</v>
      </c>
      <c r="FR98">
        <v>1</v>
      </c>
      <c r="FS98">
        <v>19</v>
      </c>
      <c r="FT98">
        <v>22.7</v>
      </c>
      <c r="FU98">
        <v>23</v>
      </c>
      <c r="FV98">
        <v>1.78345</v>
      </c>
      <c r="FW98">
        <v>2.5659200000000002</v>
      </c>
      <c r="FX98">
        <v>1.5490699999999999</v>
      </c>
      <c r="FY98">
        <v>2.33765</v>
      </c>
      <c r="FZ98">
        <v>1.50146</v>
      </c>
      <c r="GA98">
        <v>2.3938000000000001</v>
      </c>
      <c r="GB98">
        <v>32.002400000000002</v>
      </c>
      <c r="GC98">
        <v>23.9999</v>
      </c>
      <c r="GD98">
        <v>19</v>
      </c>
      <c r="GE98">
        <v>265.16800000000001</v>
      </c>
      <c r="GF98">
        <v>600.90700000000004</v>
      </c>
      <c r="GG98">
        <v>25.614599999999999</v>
      </c>
      <c r="GH98">
        <v>25.671700000000001</v>
      </c>
      <c r="GI98">
        <v>30.000299999999999</v>
      </c>
      <c r="GJ98">
        <v>25.773299999999999</v>
      </c>
      <c r="GK98">
        <v>25.741199999999999</v>
      </c>
      <c r="GL98">
        <v>35.6496</v>
      </c>
      <c r="GM98">
        <v>52.718299999999999</v>
      </c>
      <c r="GN98">
        <v>86.291300000000007</v>
      </c>
      <c r="GO98">
        <v>25.6279</v>
      </c>
      <c r="GP98">
        <v>800</v>
      </c>
      <c r="GQ98">
        <v>10.8674</v>
      </c>
      <c r="GR98">
        <v>99.771199999999993</v>
      </c>
      <c r="GS98">
        <v>99.5398</v>
      </c>
    </row>
    <row r="99" spans="1:201" x14ac:dyDescent="0.25">
      <c r="A99">
        <v>83</v>
      </c>
      <c r="B99">
        <v>1690377586</v>
      </c>
      <c r="C99">
        <v>869.5</v>
      </c>
      <c r="D99" t="s">
        <v>499</v>
      </c>
      <c r="E99" t="s">
        <v>500</v>
      </c>
      <c r="F99" t="s">
        <v>330</v>
      </c>
      <c r="H99">
        <v>1690377586</v>
      </c>
      <c r="I99">
        <f t="shared" si="30"/>
        <v>1.2677104059697424E-3</v>
      </c>
      <c r="J99">
        <f t="shared" si="31"/>
        <v>1.2677104059697424</v>
      </c>
      <c r="K99">
        <f t="shared" si="32"/>
        <v>20.260117141954154</v>
      </c>
      <c r="L99">
        <f t="shared" si="33"/>
        <v>559.02800000000002</v>
      </c>
      <c r="M99">
        <f t="shared" si="34"/>
        <v>139.47121127559174</v>
      </c>
      <c r="N99">
        <f t="shared" si="35"/>
        <v>13.771850166830943</v>
      </c>
      <c r="O99">
        <f t="shared" si="36"/>
        <v>55.200279574904002</v>
      </c>
      <c r="P99">
        <f t="shared" si="37"/>
        <v>8.0455622431404181E-2</v>
      </c>
      <c r="Q99">
        <f t="shared" si="38"/>
        <v>2.0057181232058472</v>
      </c>
      <c r="R99">
        <f t="shared" si="39"/>
        <v>7.8704753680959361E-2</v>
      </c>
      <c r="S99">
        <f t="shared" si="40"/>
        <v>4.9344606159861193E-2</v>
      </c>
      <c r="T99">
        <f t="shared" si="41"/>
        <v>276.11327311884958</v>
      </c>
      <c r="U99">
        <f t="shared" si="42"/>
        <v>28.936353699217637</v>
      </c>
      <c r="V99">
        <f t="shared" si="43"/>
        <v>28.936353699217637</v>
      </c>
      <c r="W99">
        <f t="shared" si="44"/>
        <v>4.0069846481826499</v>
      </c>
      <c r="X99">
        <f t="shared" si="45"/>
        <v>68.577919341366069</v>
      </c>
      <c r="Y99">
        <f t="shared" si="46"/>
        <v>2.4686619446544</v>
      </c>
      <c r="Z99">
        <f t="shared" si="47"/>
        <v>3.5997912569582846</v>
      </c>
      <c r="AA99">
        <f t="shared" si="48"/>
        <v>1.5383227035282498</v>
      </c>
      <c r="AB99">
        <f t="shared" si="49"/>
        <v>-55.906028903265643</v>
      </c>
      <c r="AC99">
        <f t="shared" si="50"/>
        <v>-198.79618182108376</v>
      </c>
      <c r="AD99">
        <f t="shared" si="51"/>
        <v>-21.608619211626092</v>
      </c>
      <c r="AE99">
        <f t="shared" si="52"/>
        <v>-0.19755681712592832</v>
      </c>
      <c r="AF99">
        <v>12</v>
      </c>
      <c r="AG99">
        <v>4</v>
      </c>
      <c r="AH99">
        <f t="shared" si="53"/>
        <v>1</v>
      </c>
      <c r="AI99">
        <f t="shared" si="54"/>
        <v>0</v>
      </c>
      <c r="AJ99">
        <f t="shared" si="55"/>
        <v>52070.839185730503</v>
      </c>
      <c r="AK99">
        <f t="shared" si="56"/>
        <v>1799.99</v>
      </c>
      <c r="AL99">
        <f t="shared" si="57"/>
        <v>1499.1041485973499</v>
      </c>
      <c r="AM99">
        <f t="shared" si="58"/>
        <v>0.83284026499999997</v>
      </c>
      <c r="AN99">
        <f t="shared" si="59"/>
        <v>0.15339711505000003</v>
      </c>
      <c r="AO99">
        <v>34.5</v>
      </c>
      <c r="AP99">
        <v>0.5</v>
      </c>
      <c r="AQ99" t="s">
        <v>331</v>
      </c>
      <c r="AR99">
        <v>2</v>
      </c>
      <c r="AS99">
        <v>1690377586</v>
      </c>
      <c r="AT99">
        <v>559.02800000000002</v>
      </c>
      <c r="AU99">
        <v>800.01499999999999</v>
      </c>
      <c r="AV99">
        <v>25.000800000000002</v>
      </c>
      <c r="AW99">
        <v>10.7957</v>
      </c>
      <c r="AX99">
        <v>559.55999999999995</v>
      </c>
      <c r="AY99">
        <v>24.7897</v>
      </c>
      <c r="AZ99">
        <v>300.19200000000001</v>
      </c>
      <c r="BA99">
        <v>98.643299999999996</v>
      </c>
      <c r="BB99">
        <v>0.100018</v>
      </c>
      <c r="BC99">
        <v>27.097899999999999</v>
      </c>
      <c r="BD99">
        <v>26.991299999999999</v>
      </c>
      <c r="BE99">
        <v>28.9922</v>
      </c>
      <c r="BF99">
        <v>0</v>
      </c>
      <c r="BG99">
        <v>0</v>
      </c>
      <c r="BH99">
        <v>9985.6200000000008</v>
      </c>
      <c r="BI99">
        <v>1082.6500000000001</v>
      </c>
      <c r="BJ99">
        <v>1.28952</v>
      </c>
      <c r="BK99">
        <v>-240.98699999999999</v>
      </c>
      <c r="BL99">
        <v>573.36300000000006</v>
      </c>
      <c r="BM99">
        <v>808.74599999999998</v>
      </c>
      <c r="BN99">
        <v>14.2052</v>
      </c>
      <c r="BO99">
        <v>800.01499999999999</v>
      </c>
      <c r="BP99">
        <v>10.7957</v>
      </c>
      <c r="BQ99">
        <v>2.4661599999999999</v>
      </c>
      <c r="BR99">
        <v>1.0649200000000001</v>
      </c>
      <c r="BS99">
        <v>20.8049</v>
      </c>
      <c r="BT99">
        <v>7.8362100000000003</v>
      </c>
      <c r="BU99">
        <v>1799.99</v>
      </c>
      <c r="BV99">
        <v>0.91000800000000004</v>
      </c>
      <c r="BW99">
        <v>3.4002499999999998E-2</v>
      </c>
      <c r="BX99">
        <v>2.1996000000000002E-2</v>
      </c>
      <c r="BY99">
        <v>3.3993700000000002E-2</v>
      </c>
      <c r="BZ99">
        <v>25</v>
      </c>
      <c r="CA99">
        <v>33528.300000000003</v>
      </c>
      <c r="CB99">
        <v>1690376213.5999999</v>
      </c>
      <c r="CC99" t="s">
        <v>332</v>
      </c>
      <c r="CD99">
        <v>1690376213.5999999</v>
      </c>
      <c r="CE99">
        <v>1690376198.0999999</v>
      </c>
      <c r="CF99">
        <v>2</v>
      </c>
      <c r="CG99">
        <v>0.66900000000000004</v>
      </c>
      <c r="CH99">
        <v>-2.1000000000000001E-2</v>
      </c>
      <c r="CI99">
        <v>-0.70099999999999996</v>
      </c>
      <c r="CJ99">
        <v>0.21099999999999999</v>
      </c>
      <c r="CK99">
        <v>799</v>
      </c>
      <c r="CL99">
        <v>21</v>
      </c>
      <c r="CM99">
        <v>0.11</v>
      </c>
      <c r="CN99">
        <v>0.17</v>
      </c>
      <c r="CO99">
        <v>-237.24543902439021</v>
      </c>
      <c r="CP99">
        <v>-21.969554006968</v>
      </c>
      <c r="CQ99">
        <v>2.1665452329185202</v>
      </c>
      <c r="CR99">
        <v>-1</v>
      </c>
      <c r="CS99">
        <v>13.937787804878051</v>
      </c>
      <c r="CT99">
        <v>1.4486445993031709</v>
      </c>
      <c r="CU99">
        <v>0.14311518675719681</v>
      </c>
      <c r="CV99">
        <v>-1</v>
      </c>
      <c r="CW99">
        <v>0</v>
      </c>
      <c r="CX99">
        <v>0</v>
      </c>
      <c r="CY99" t="s">
        <v>333</v>
      </c>
      <c r="CZ99">
        <v>2.3652700000000002</v>
      </c>
      <c r="DA99">
        <v>2.7138</v>
      </c>
      <c r="DB99">
        <v>0.114345</v>
      </c>
      <c r="DC99">
        <v>0.14575399999999999</v>
      </c>
      <c r="DD99">
        <v>0.116808</v>
      </c>
      <c r="DE99">
        <v>6.2548599999999996E-2</v>
      </c>
      <c r="DF99">
        <v>32352.1</v>
      </c>
      <c r="DG99">
        <v>27529.1</v>
      </c>
      <c r="DH99">
        <v>31182.7</v>
      </c>
      <c r="DI99">
        <v>28078.6</v>
      </c>
      <c r="DJ99">
        <v>37383</v>
      </c>
      <c r="DK99">
        <v>37419.300000000003</v>
      </c>
      <c r="DL99">
        <v>44374.9</v>
      </c>
      <c r="DM99">
        <v>42544.3</v>
      </c>
      <c r="DN99">
        <v>1.43963</v>
      </c>
      <c r="DO99">
        <v>2.0652499999999998</v>
      </c>
      <c r="DP99">
        <v>9.3579300000000004E-2</v>
      </c>
      <c r="DQ99">
        <v>0.21648400000000001</v>
      </c>
      <c r="DR99">
        <v>25.459</v>
      </c>
      <c r="DS99">
        <v>25.452999999999999</v>
      </c>
      <c r="DT99">
        <v>60</v>
      </c>
      <c r="DU99">
        <v>26.8</v>
      </c>
      <c r="DV99">
        <v>21.517700000000001</v>
      </c>
      <c r="DW99">
        <v>61.280200000000001</v>
      </c>
      <c r="DX99">
        <v>36.4343</v>
      </c>
      <c r="DY99">
        <v>1</v>
      </c>
      <c r="DZ99">
        <v>-0.14016000000000001</v>
      </c>
      <c r="EA99">
        <v>-0.51429199999999997</v>
      </c>
      <c r="EB99">
        <v>20.189499999999999</v>
      </c>
      <c r="EC99">
        <v>5.2415500000000002</v>
      </c>
      <c r="ED99">
        <v>12.039899999999999</v>
      </c>
      <c r="EE99">
        <v>5.01715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1.8688199999999999</v>
      </c>
      <c r="EL99">
        <v>1.86449</v>
      </c>
      <c r="EM99">
        <v>1.86914</v>
      </c>
      <c r="EN99">
        <v>1.8671899999999999</v>
      </c>
      <c r="EO99">
        <v>1.86328</v>
      </c>
      <c r="EP99">
        <v>1.86432</v>
      </c>
      <c r="EQ99">
        <v>1.8701099999999999</v>
      </c>
      <c r="ER99">
        <v>1.8693500000000001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-0.53200000000000003</v>
      </c>
      <c r="FG99">
        <v>0.21110000000000001</v>
      </c>
      <c r="FH99">
        <v>-0.150361779349652</v>
      </c>
      <c r="FI99">
        <v>-6.1462078757559423E-4</v>
      </c>
      <c r="FJ99">
        <v>-1.8861989874597051E-7</v>
      </c>
      <c r="FK99">
        <v>1.1980462299894961E-10</v>
      </c>
      <c r="FL99">
        <v>0.21114761904761539</v>
      </c>
      <c r="FM99">
        <v>0</v>
      </c>
      <c r="FN99">
        <v>0</v>
      </c>
      <c r="FO99">
        <v>0</v>
      </c>
      <c r="FP99">
        <v>3</v>
      </c>
      <c r="FQ99">
        <v>2158</v>
      </c>
      <c r="FR99">
        <v>1</v>
      </c>
      <c r="FS99">
        <v>19</v>
      </c>
      <c r="FT99">
        <v>22.9</v>
      </c>
      <c r="FU99">
        <v>23.1</v>
      </c>
      <c r="FV99">
        <v>1.78223</v>
      </c>
      <c r="FW99">
        <v>2.5708000000000002</v>
      </c>
      <c r="FX99">
        <v>1.5490699999999999</v>
      </c>
      <c r="FY99">
        <v>2.33765</v>
      </c>
      <c r="FZ99">
        <v>1.50146</v>
      </c>
      <c r="GA99">
        <v>2.36084</v>
      </c>
      <c r="GB99">
        <v>32.0244</v>
      </c>
      <c r="GC99">
        <v>23.982399999999998</v>
      </c>
      <c r="GD99">
        <v>19</v>
      </c>
      <c r="GE99">
        <v>265.21899999999999</v>
      </c>
      <c r="GF99">
        <v>600.35900000000004</v>
      </c>
      <c r="GG99">
        <v>25.633700000000001</v>
      </c>
      <c r="GH99">
        <v>25.671800000000001</v>
      </c>
      <c r="GI99">
        <v>30.000399999999999</v>
      </c>
      <c r="GJ99">
        <v>25.773299999999999</v>
      </c>
      <c r="GK99">
        <v>25.741199999999999</v>
      </c>
      <c r="GL99">
        <v>35.641199999999998</v>
      </c>
      <c r="GM99">
        <v>53.269399999999997</v>
      </c>
      <c r="GN99">
        <v>85.907700000000006</v>
      </c>
      <c r="GO99">
        <v>25.640699999999999</v>
      </c>
      <c r="GP99">
        <v>800</v>
      </c>
      <c r="GQ99">
        <v>10.6325</v>
      </c>
      <c r="GR99">
        <v>99.769900000000007</v>
      </c>
      <c r="GS99">
        <v>99.537999999999997</v>
      </c>
    </row>
    <row r="100" spans="1:201" x14ac:dyDescent="0.25">
      <c r="A100">
        <v>84</v>
      </c>
      <c r="B100">
        <v>1690377596</v>
      </c>
      <c r="C100">
        <v>879.5</v>
      </c>
      <c r="D100" t="s">
        <v>501</v>
      </c>
      <c r="E100" t="s">
        <v>502</v>
      </c>
      <c r="F100" t="s">
        <v>330</v>
      </c>
      <c r="H100">
        <v>1690377596</v>
      </c>
      <c r="I100">
        <f t="shared" si="30"/>
        <v>1.2889706988409894E-3</v>
      </c>
      <c r="J100">
        <f t="shared" si="31"/>
        <v>1.2889706988409895</v>
      </c>
      <c r="K100">
        <f t="shared" si="32"/>
        <v>20.558764780090257</v>
      </c>
      <c r="L100">
        <f t="shared" si="33"/>
        <v>555.42899999999997</v>
      </c>
      <c r="M100">
        <f t="shared" si="34"/>
        <v>138.05930581663949</v>
      </c>
      <c r="N100">
        <f t="shared" si="35"/>
        <v>13.632546731564535</v>
      </c>
      <c r="O100">
        <f t="shared" si="36"/>
        <v>54.845356158914996</v>
      </c>
      <c r="P100">
        <f t="shared" si="37"/>
        <v>8.2090872160658149E-2</v>
      </c>
      <c r="Q100">
        <f t="shared" si="38"/>
        <v>2.0064474940981718</v>
      </c>
      <c r="R100">
        <f t="shared" si="39"/>
        <v>8.0269622500473453E-2</v>
      </c>
      <c r="S100">
        <f t="shared" si="40"/>
        <v>5.0328780757031226E-2</v>
      </c>
      <c r="T100">
        <f t="shared" si="41"/>
        <v>276.114694536</v>
      </c>
      <c r="U100">
        <f t="shared" si="42"/>
        <v>28.92324553910246</v>
      </c>
      <c r="V100">
        <f t="shared" si="43"/>
        <v>28.92324553910246</v>
      </c>
      <c r="W100">
        <f t="shared" si="44"/>
        <v>4.0039448820944781</v>
      </c>
      <c r="X100">
        <f t="shared" si="45"/>
        <v>68.64213053389318</v>
      </c>
      <c r="Y100">
        <f t="shared" si="46"/>
        <v>2.4702918997084997</v>
      </c>
      <c r="Z100">
        <f t="shared" si="47"/>
        <v>3.5987984063063898</v>
      </c>
      <c r="AA100">
        <f t="shared" si="48"/>
        <v>1.5336529823859784</v>
      </c>
      <c r="AB100">
        <f t="shared" si="49"/>
        <v>-56.843607818887634</v>
      </c>
      <c r="AC100">
        <f t="shared" si="50"/>
        <v>-197.95894909978463</v>
      </c>
      <c r="AD100">
        <f t="shared" si="51"/>
        <v>-21.507881744538341</v>
      </c>
      <c r="AE100">
        <f t="shared" si="52"/>
        <v>-0.1957441272105882</v>
      </c>
      <c r="AF100">
        <v>12</v>
      </c>
      <c r="AG100">
        <v>4</v>
      </c>
      <c r="AH100">
        <f t="shared" si="53"/>
        <v>1</v>
      </c>
      <c r="AI100">
        <f t="shared" si="54"/>
        <v>0</v>
      </c>
      <c r="AJ100">
        <f t="shared" si="55"/>
        <v>52106.496769861747</v>
      </c>
      <c r="AK100">
        <f t="shared" si="56"/>
        <v>1800</v>
      </c>
      <c r="AL100">
        <f t="shared" si="57"/>
        <v>1499.1106806</v>
      </c>
      <c r="AM100">
        <f t="shared" si="58"/>
        <v>0.83283926699999999</v>
      </c>
      <c r="AN100">
        <f t="shared" si="59"/>
        <v>0.15339705251999999</v>
      </c>
      <c r="AO100">
        <v>34.5</v>
      </c>
      <c r="AP100">
        <v>0.5</v>
      </c>
      <c r="AQ100" t="s">
        <v>331</v>
      </c>
      <c r="AR100">
        <v>2</v>
      </c>
      <c r="AS100">
        <v>1690377596</v>
      </c>
      <c r="AT100">
        <v>555.42899999999997</v>
      </c>
      <c r="AU100">
        <v>799.99099999999999</v>
      </c>
      <c r="AV100">
        <v>25.017099999999999</v>
      </c>
      <c r="AW100">
        <v>10.570499999999999</v>
      </c>
      <c r="AX100">
        <v>555.95899999999995</v>
      </c>
      <c r="AY100">
        <v>24.806000000000001</v>
      </c>
      <c r="AZ100">
        <v>300.11900000000003</v>
      </c>
      <c r="BA100">
        <v>98.644099999999995</v>
      </c>
      <c r="BB100">
        <v>0.100035</v>
      </c>
      <c r="BC100">
        <v>27.0932</v>
      </c>
      <c r="BD100">
        <v>26.9941</v>
      </c>
      <c r="BE100">
        <v>28.950500000000002</v>
      </c>
      <c r="BF100">
        <v>0</v>
      </c>
      <c r="BG100">
        <v>0</v>
      </c>
      <c r="BH100">
        <v>9992.5</v>
      </c>
      <c r="BI100">
        <v>1082.6300000000001</v>
      </c>
      <c r="BJ100">
        <v>1.28952</v>
      </c>
      <c r="BK100">
        <v>-244.56200000000001</v>
      </c>
      <c r="BL100">
        <v>569.68100000000004</v>
      </c>
      <c r="BM100">
        <v>808.53800000000001</v>
      </c>
      <c r="BN100">
        <v>14.4467</v>
      </c>
      <c r="BO100">
        <v>799.99099999999999</v>
      </c>
      <c r="BP100">
        <v>10.570499999999999</v>
      </c>
      <c r="BQ100">
        <v>2.4677899999999999</v>
      </c>
      <c r="BR100">
        <v>1.04271</v>
      </c>
      <c r="BS100">
        <v>20.8156</v>
      </c>
      <c r="BT100">
        <v>7.5272800000000002</v>
      </c>
      <c r="BU100">
        <v>1800</v>
      </c>
      <c r="BV100">
        <v>0.91000400000000004</v>
      </c>
      <c r="BW100">
        <v>3.40086E-2</v>
      </c>
      <c r="BX100">
        <v>2.19951E-2</v>
      </c>
      <c r="BY100">
        <v>3.39922E-2</v>
      </c>
      <c r="BZ100">
        <v>25</v>
      </c>
      <c r="CA100">
        <v>33528.400000000001</v>
      </c>
      <c r="CB100">
        <v>1690376213.5999999</v>
      </c>
      <c r="CC100" t="s">
        <v>332</v>
      </c>
      <c r="CD100">
        <v>1690376213.5999999</v>
      </c>
      <c r="CE100">
        <v>1690376198.0999999</v>
      </c>
      <c r="CF100">
        <v>2</v>
      </c>
      <c r="CG100">
        <v>0.66900000000000004</v>
      </c>
      <c r="CH100">
        <v>-2.1000000000000001E-2</v>
      </c>
      <c r="CI100">
        <v>-0.70099999999999996</v>
      </c>
      <c r="CJ100">
        <v>0.21099999999999999</v>
      </c>
      <c r="CK100">
        <v>799</v>
      </c>
      <c r="CL100">
        <v>21</v>
      </c>
      <c r="CM100">
        <v>0.11</v>
      </c>
      <c r="CN100">
        <v>0.17</v>
      </c>
      <c r="CO100">
        <v>-240.5342926829268</v>
      </c>
      <c r="CP100">
        <v>-21.87503832752601</v>
      </c>
      <c r="CQ100">
        <v>2.1572831631577771</v>
      </c>
      <c r="CR100">
        <v>-1</v>
      </c>
      <c r="CS100">
        <v>14.161853658536581</v>
      </c>
      <c r="CT100">
        <v>1.5580327526132201</v>
      </c>
      <c r="CU100">
        <v>0.1538390798419412</v>
      </c>
      <c r="CV100">
        <v>-1</v>
      </c>
      <c r="CW100">
        <v>0</v>
      </c>
      <c r="CX100">
        <v>0</v>
      </c>
      <c r="CY100" t="s">
        <v>333</v>
      </c>
      <c r="CZ100">
        <v>2.36504</v>
      </c>
      <c r="DA100">
        <v>2.7138200000000001</v>
      </c>
      <c r="DB100">
        <v>0.11382</v>
      </c>
      <c r="DC100">
        <v>0.14574899999999999</v>
      </c>
      <c r="DD100">
        <v>0.11686199999999999</v>
      </c>
      <c r="DE100">
        <v>6.1551399999999999E-2</v>
      </c>
      <c r="DF100">
        <v>32371.1</v>
      </c>
      <c r="DG100">
        <v>27529.599999999999</v>
      </c>
      <c r="DH100">
        <v>31182.5</v>
      </c>
      <c r="DI100">
        <v>28078.9</v>
      </c>
      <c r="DJ100">
        <v>37380.6</v>
      </c>
      <c r="DK100">
        <v>37459.699999999997</v>
      </c>
      <c r="DL100">
        <v>44374.9</v>
      </c>
      <c r="DM100">
        <v>42544.800000000003</v>
      </c>
      <c r="DN100">
        <v>1.4398299999999999</v>
      </c>
      <c r="DO100">
        <v>2.0649000000000002</v>
      </c>
      <c r="DP100">
        <v>9.3590499999999993E-2</v>
      </c>
      <c r="DQ100">
        <v>0.21379799999999999</v>
      </c>
      <c r="DR100">
        <v>25.461600000000001</v>
      </c>
      <c r="DS100">
        <v>25.455200000000001</v>
      </c>
      <c r="DT100">
        <v>59.9</v>
      </c>
      <c r="DU100">
        <v>26.8</v>
      </c>
      <c r="DV100">
        <v>21.4801</v>
      </c>
      <c r="DW100">
        <v>61.660200000000003</v>
      </c>
      <c r="DX100">
        <v>36.494399999999999</v>
      </c>
      <c r="DY100">
        <v>1</v>
      </c>
      <c r="DZ100">
        <v>-0.14020299999999999</v>
      </c>
      <c r="EA100">
        <v>-0.50329800000000002</v>
      </c>
      <c r="EB100">
        <v>20.189599999999999</v>
      </c>
      <c r="EC100">
        <v>5.2418500000000003</v>
      </c>
      <c r="ED100">
        <v>12.039899999999999</v>
      </c>
      <c r="EE100">
        <v>5.0173500000000004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1.8688499999999999</v>
      </c>
      <c r="EL100">
        <v>1.8644799999999999</v>
      </c>
      <c r="EM100">
        <v>1.8691500000000001</v>
      </c>
      <c r="EN100">
        <v>1.8671899999999999</v>
      </c>
      <c r="EO100">
        <v>1.86328</v>
      </c>
      <c r="EP100">
        <v>1.86432</v>
      </c>
      <c r="EQ100">
        <v>1.87012</v>
      </c>
      <c r="ER100">
        <v>1.8693500000000001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-0.53</v>
      </c>
      <c r="FG100">
        <v>0.21110000000000001</v>
      </c>
      <c r="FH100">
        <v>-0.150361779349652</v>
      </c>
      <c r="FI100">
        <v>-6.1462078757559423E-4</v>
      </c>
      <c r="FJ100">
        <v>-1.8861989874597051E-7</v>
      </c>
      <c r="FK100">
        <v>1.1980462299894961E-10</v>
      </c>
      <c r="FL100">
        <v>0.21114761904761539</v>
      </c>
      <c r="FM100">
        <v>0</v>
      </c>
      <c r="FN100">
        <v>0</v>
      </c>
      <c r="FO100">
        <v>0</v>
      </c>
      <c r="FP100">
        <v>3</v>
      </c>
      <c r="FQ100">
        <v>2158</v>
      </c>
      <c r="FR100">
        <v>1</v>
      </c>
      <c r="FS100">
        <v>19</v>
      </c>
      <c r="FT100">
        <v>23</v>
      </c>
      <c r="FU100">
        <v>23.3</v>
      </c>
      <c r="FV100">
        <v>1.78223</v>
      </c>
      <c r="FW100">
        <v>2.5659200000000002</v>
      </c>
      <c r="FX100">
        <v>1.5490699999999999</v>
      </c>
      <c r="FY100">
        <v>2.33643</v>
      </c>
      <c r="FZ100">
        <v>1.50146</v>
      </c>
      <c r="GA100">
        <v>2.3718300000000001</v>
      </c>
      <c r="GB100">
        <v>32.0244</v>
      </c>
      <c r="GC100">
        <v>23.991199999999999</v>
      </c>
      <c r="GD100">
        <v>19</v>
      </c>
      <c r="GE100">
        <v>265.30700000000002</v>
      </c>
      <c r="GF100">
        <v>600.06399999999996</v>
      </c>
      <c r="GG100">
        <v>25.646000000000001</v>
      </c>
      <c r="GH100">
        <v>25.671800000000001</v>
      </c>
      <c r="GI100">
        <v>30</v>
      </c>
      <c r="GJ100">
        <v>25.775099999999998</v>
      </c>
      <c r="GK100">
        <v>25.741199999999999</v>
      </c>
      <c r="GL100">
        <v>35.637599999999999</v>
      </c>
      <c r="GM100">
        <v>54.129399999999997</v>
      </c>
      <c r="GN100">
        <v>85.125100000000003</v>
      </c>
      <c r="GO100">
        <v>25.627700000000001</v>
      </c>
      <c r="GP100">
        <v>800</v>
      </c>
      <c r="GQ100">
        <v>10.399699999999999</v>
      </c>
      <c r="GR100">
        <v>99.7697</v>
      </c>
      <c r="GS100">
        <v>99.539299999999997</v>
      </c>
    </row>
    <row r="101" spans="1:201" x14ac:dyDescent="0.25">
      <c r="A101">
        <v>85</v>
      </c>
      <c r="B101">
        <v>1690377606</v>
      </c>
      <c r="C101">
        <v>889.5</v>
      </c>
      <c r="D101" t="s">
        <v>503</v>
      </c>
      <c r="E101" t="s">
        <v>504</v>
      </c>
      <c r="F101" t="s">
        <v>330</v>
      </c>
      <c r="H101">
        <v>1690377606</v>
      </c>
      <c r="I101">
        <f t="shared" si="30"/>
        <v>1.3121023098228875E-3</v>
      </c>
      <c r="J101">
        <f t="shared" si="31"/>
        <v>1.3121023098228874</v>
      </c>
      <c r="K101">
        <f t="shared" si="32"/>
        <v>20.863353619297708</v>
      </c>
      <c r="L101">
        <f t="shared" si="33"/>
        <v>551.86400000000003</v>
      </c>
      <c r="M101">
        <f t="shared" si="34"/>
        <v>136.71684606577267</v>
      </c>
      <c r="N101">
        <f t="shared" si="35"/>
        <v>13.499730524666719</v>
      </c>
      <c r="O101">
        <f t="shared" si="36"/>
        <v>54.492299234876803</v>
      </c>
      <c r="P101">
        <f t="shared" si="37"/>
        <v>8.3779966940716835E-2</v>
      </c>
      <c r="Q101">
        <f t="shared" si="38"/>
        <v>2.0049221555447301</v>
      </c>
      <c r="R101">
        <f t="shared" si="39"/>
        <v>8.188252370020116E-2</v>
      </c>
      <c r="S101">
        <f t="shared" si="40"/>
        <v>5.134347586539411E-2</v>
      </c>
      <c r="T101">
        <f t="shared" si="41"/>
        <v>276.11445549600001</v>
      </c>
      <c r="U101">
        <f t="shared" si="42"/>
        <v>28.914882690068257</v>
      </c>
      <c r="V101">
        <f t="shared" si="43"/>
        <v>28.914882690068257</v>
      </c>
      <c r="W101">
        <f t="shared" si="44"/>
        <v>4.0020065986370632</v>
      </c>
      <c r="X101">
        <f t="shared" si="45"/>
        <v>68.683125910298543</v>
      </c>
      <c r="Y101">
        <f t="shared" si="46"/>
        <v>2.4716076658710797</v>
      </c>
      <c r="Z101">
        <f t="shared" si="47"/>
        <v>3.5985660715254082</v>
      </c>
      <c r="AA101">
        <f t="shared" si="48"/>
        <v>1.5303989327659835</v>
      </c>
      <c r="AB101">
        <f t="shared" si="49"/>
        <v>-57.863711863189337</v>
      </c>
      <c r="AC101">
        <f t="shared" si="50"/>
        <v>-197.02342031210347</v>
      </c>
      <c r="AD101">
        <f t="shared" si="51"/>
        <v>-21.421512292020651</v>
      </c>
      <c r="AE101">
        <f t="shared" si="52"/>
        <v>-0.19418897131345147</v>
      </c>
      <c r="AF101">
        <v>12</v>
      </c>
      <c r="AG101">
        <v>4</v>
      </c>
      <c r="AH101">
        <f t="shared" si="53"/>
        <v>1</v>
      </c>
      <c r="AI101">
        <f t="shared" si="54"/>
        <v>0</v>
      </c>
      <c r="AJ101">
        <f t="shared" si="55"/>
        <v>52033.841580017921</v>
      </c>
      <c r="AK101">
        <f t="shared" si="56"/>
        <v>1800</v>
      </c>
      <c r="AL101">
        <f t="shared" si="57"/>
        <v>1499.1116615999999</v>
      </c>
      <c r="AM101">
        <f t="shared" si="58"/>
        <v>0.83283981200000001</v>
      </c>
      <c r="AN101">
        <f t="shared" si="59"/>
        <v>0.15339691972</v>
      </c>
      <c r="AO101">
        <v>34.5</v>
      </c>
      <c r="AP101">
        <v>0.5</v>
      </c>
      <c r="AQ101" t="s">
        <v>331</v>
      </c>
      <c r="AR101">
        <v>2</v>
      </c>
      <c r="AS101">
        <v>1690377606</v>
      </c>
      <c r="AT101">
        <v>551.86400000000003</v>
      </c>
      <c r="AU101">
        <v>800.06100000000004</v>
      </c>
      <c r="AV101">
        <v>25.030899999999999</v>
      </c>
      <c r="AW101">
        <v>10.322900000000001</v>
      </c>
      <c r="AX101">
        <v>552.39099999999996</v>
      </c>
      <c r="AY101">
        <v>24.819700000000001</v>
      </c>
      <c r="AZ101">
        <v>300.07100000000003</v>
      </c>
      <c r="BA101">
        <v>98.642399999999995</v>
      </c>
      <c r="BB101">
        <v>9.9861199999999997E-2</v>
      </c>
      <c r="BC101">
        <v>27.092099999999999</v>
      </c>
      <c r="BD101">
        <v>26.9923</v>
      </c>
      <c r="BE101">
        <v>28.957999999999998</v>
      </c>
      <c r="BF101">
        <v>0</v>
      </c>
      <c r="BG101">
        <v>0</v>
      </c>
      <c r="BH101">
        <v>9978.1200000000008</v>
      </c>
      <c r="BI101">
        <v>1082.5999999999999</v>
      </c>
      <c r="BJ101">
        <v>1.2446699999999999</v>
      </c>
      <c r="BK101">
        <v>-248.197</v>
      </c>
      <c r="BL101">
        <v>566.03200000000004</v>
      </c>
      <c r="BM101">
        <v>808.40599999999995</v>
      </c>
      <c r="BN101">
        <v>14.708</v>
      </c>
      <c r="BO101">
        <v>800.06100000000004</v>
      </c>
      <c r="BP101">
        <v>10.322900000000001</v>
      </c>
      <c r="BQ101">
        <v>2.4691100000000001</v>
      </c>
      <c r="BR101">
        <v>1.0182800000000001</v>
      </c>
      <c r="BS101">
        <v>20.824300000000001</v>
      </c>
      <c r="BT101">
        <v>7.1805899999999996</v>
      </c>
      <c r="BU101">
        <v>1800</v>
      </c>
      <c r="BV101">
        <v>0.91000999999999999</v>
      </c>
      <c r="BW101">
        <v>3.4006399999999999E-2</v>
      </c>
      <c r="BX101">
        <v>2.1993599999999999E-2</v>
      </c>
      <c r="BY101">
        <v>3.3989999999999999E-2</v>
      </c>
      <c r="BZ101">
        <v>25</v>
      </c>
      <c r="CA101">
        <v>33528.400000000001</v>
      </c>
      <c r="CB101">
        <v>1690376213.5999999</v>
      </c>
      <c r="CC101" t="s">
        <v>332</v>
      </c>
      <c r="CD101">
        <v>1690376213.5999999</v>
      </c>
      <c r="CE101">
        <v>1690376198.0999999</v>
      </c>
      <c r="CF101">
        <v>2</v>
      </c>
      <c r="CG101">
        <v>0.66900000000000004</v>
      </c>
      <c r="CH101">
        <v>-2.1000000000000001E-2</v>
      </c>
      <c r="CI101">
        <v>-0.70099999999999996</v>
      </c>
      <c r="CJ101">
        <v>0.21099999999999999</v>
      </c>
      <c r="CK101">
        <v>799</v>
      </c>
      <c r="CL101">
        <v>21</v>
      </c>
      <c r="CM101">
        <v>0.11</v>
      </c>
      <c r="CN101">
        <v>0.17</v>
      </c>
      <c r="CO101">
        <v>-244.38239999999999</v>
      </c>
      <c r="CP101">
        <v>-21.214086303939428</v>
      </c>
      <c r="CQ101">
        <v>2.0415289221561381</v>
      </c>
      <c r="CR101">
        <v>-1</v>
      </c>
      <c r="CS101">
        <v>14.436055</v>
      </c>
      <c r="CT101">
        <v>1.478179362101268</v>
      </c>
      <c r="CU101">
        <v>0.14233523096900499</v>
      </c>
      <c r="CV101">
        <v>-1</v>
      </c>
      <c r="CW101">
        <v>0</v>
      </c>
      <c r="CX101">
        <v>0</v>
      </c>
      <c r="CY101" t="s">
        <v>333</v>
      </c>
      <c r="CZ101">
        <v>2.3648699999999998</v>
      </c>
      <c r="DA101">
        <v>2.7136300000000002</v>
      </c>
      <c r="DB101">
        <v>0.11329500000000001</v>
      </c>
      <c r="DC101">
        <v>0.14574899999999999</v>
      </c>
      <c r="DD101">
        <v>0.116905</v>
      </c>
      <c r="DE101">
        <v>6.0444699999999997E-2</v>
      </c>
      <c r="DF101">
        <v>32390.400000000001</v>
      </c>
      <c r="DG101">
        <v>27530</v>
      </c>
      <c r="DH101">
        <v>31182.6</v>
      </c>
      <c r="DI101">
        <v>28079.3</v>
      </c>
      <c r="DJ101">
        <v>37378.6</v>
      </c>
      <c r="DK101">
        <v>37504.6</v>
      </c>
      <c r="DL101">
        <v>44374.7</v>
      </c>
      <c r="DM101">
        <v>42545.5</v>
      </c>
      <c r="DN101">
        <v>1.43988</v>
      </c>
      <c r="DO101">
        <v>2.0647500000000001</v>
      </c>
      <c r="DP101">
        <v>9.3486200000000005E-2</v>
      </c>
      <c r="DQ101">
        <v>0.21439</v>
      </c>
      <c r="DR101">
        <v>25.461600000000001</v>
      </c>
      <c r="DS101">
        <v>25.452999999999999</v>
      </c>
      <c r="DT101">
        <v>59.7</v>
      </c>
      <c r="DU101">
        <v>26.8</v>
      </c>
      <c r="DV101">
        <v>21.409199999999998</v>
      </c>
      <c r="DW101">
        <v>60.990200000000002</v>
      </c>
      <c r="DX101">
        <v>36.602600000000002</v>
      </c>
      <c r="DY101">
        <v>1</v>
      </c>
      <c r="DZ101">
        <v>-0.14066100000000001</v>
      </c>
      <c r="EA101">
        <v>-0.46772900000000001</v>
      </c>
      <c r="EB101">
        <v>20.189699999999998</v>
      </c>
      <c r="EC101">
        <v>5.2413999999999996</v>
      </c>
      <c r="ED101">
        <v>12.039899999999999</v>
      </c>
      <c r="EE101">
        <v>5.0163500000000001</v>
      </c>
      <c r="EF101">
        <v>3.2879700000000001</v>
      </c>
      <c r="EG101">
        <v>9999</v>
      </c>
      <c r="EH101">
        <v>9999</v>
      </c>
      <c r="EI101">
        <v>9999</v>
      </c>
      <c r="EJ101">
        <v>999.9</v>
      </c>
      <c r="EK101">
        <v>1.8688199999999999</v>
      </c>
      <c r="EL101">
        <v>1.86449</v>
      </c>
      <c r="EM101">
        <v>1.86914</v>
      </c>
      <c r="EN101">
        <v>1.8671899999999999</v>
      </c>
      <c r="EO101">
        <v>1.86327</v>
      </c>
      <c r="EP101">
        <v>1.86432</v>
      </c>
      <c r="EQ101">
        <v>1.87012</v>
      </c>
      <c r="ER101">
        <v>1.8693500000000001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-0.52700000000000002</v>
      </c>
      <c r="FG101">
        <v>0.2112</v>
      </c>
      <c r="FH101">
        <v>-0.150361779349652</v>
      </c>
      <c r="FI101">
        <v>-6.1462078757559423E-4</v>
      </c>
      <c r="FJ101">
        <v>-1.8861989874597051E-7</v>
      </c>
      <c r="FK101">
        <v>1.1980462299894961E-10</v>
      </c>
      <c r="FL101">
        <v>0.21114761904761539</v>
      </c>
      <c r="FM101">
        <v>0</v>
      </c>
      <c r="FN101">
        <v>0</v>
      </c>
      <c r="FO101">
        <v>0</v>
      </c>
      <c r="FP101">
        <v>3</v>
      </c>
      <c r="FQ101">
        <v>2158</v>
      </c>
      <c r="FR101">
        <v>1</v>
      </c>
      <c r="FS101">
        <v>19</v>
      </c>
      <c r="FT101">
        <v>23.2</v>
      </c>
      <c r="FU101">
        <v>23.5</v>
      </c>
      <c r="FV101">
        <v>1.78223</v>
      </c>
      <c r="FW101">
        <v>2.5695800000000002</v>
      </c>
      <c r="FX101">
        <v>1.5490699999999999</v>
      </c>
      <c r="FY101">
        <v>2.33643</v>
      </c>
      <c r="FZ101">
        <v>1.50146</v>
      </c>
      <c r="GA101">
        <v>2.3730500000000001</v>
      </c>
      <c r="GB101">
        <v>32.0244</v>
      </c>
      <c r="GC101">
        <v>23.991199999999999</v>
      </c>
      <c r="GD101">
        <v>19</v>
      </c>
      <c r="GE101">
        <v>265.32900000000001</v>
      </c>
      <c r="GF101">
        <v>599.93799999999999</v>
      </c>
      <c r="GG101">
        <v>25.630600000000001</v>
      </c>
      <c r="GH101">
        <v>25.673300000000001</v>
      </c>
      <c r="GI101">
        <v>30</v>
      </c>
      <c r="GJ101">
        <v>25.775500000000001</v>
      </c>
      <c r="GK101">
        <v>25.741199999999999</v>
      </c>
      <c r="GL101">
        <v>35.628100000000003</v>
      </c>
      <c r="GM101">
        <v>54.719000000000001</v>
      </c>
      <c r="GN101">
        <v>84.381699999999995</v>
      </c>
      <c r="GO101">
        <v>25.6417</v>
      </c>
      <c r="GP101">
        <v>800</v>
      </c>
      <c r="GQ101">
        <v>10.1608</v>
      </c>
      <c r="GR101">
        <v>99.769599999999997</v>
      </c>
      <c r="GS101">
        <v>99.540899999999993</v>
      </c>
    </row>
    <row r="102" spans="1:201" x14ac:dyDescent="0.25">
      <c r="A102">
        <v>86</v>
      </c>
      <c r="B102">
        <v>1690377616</v>
      </c>
      <c r="C102">
        <v>899.5</v>
      </c>
      <c r="D102" t="s">
        <v>505</v>
      </c>
      <c r="E102" t="s">
        <v>506</v>
      </c>
      <c r="F102" t="s">
        <v>330</v>
      </c>
      <c r="H102">
        <v>1690377616</v>
      </c>
      <c r="I102">
        <f t="shared" si="30"/>
        <v>1.3330705356436295E-3</v>
      </c>
      <c r="J102">
        <f t="shared" si="31"/>
        <v>1.3330705356436294</v>
      </c>
      <c r="K102">
        <f t="shared" si="32"/>
        <v>21.168654207014946</v>
      </c>
      <c r="L102">
        <f t="shared" si="33"/>
        <v>548.26900000000001</v>
      </c>
      <c r="M102">
        <f t="shared" si="34"/>
        <v>134.37874495729289</v>
      </c>
      <c r="N102">
        <f t="shared" si="35"/>
        <v>13.268742786940514</v>
      </c>
      <c r="O102">
        <f t="shared" si="36"/>
        <v>54.136837945354507</v>
      </c>
      <c r="P102">
        <f t="shared" si="37"/>
        <v>8.528119821200407E-2</v>
      </c>
      <c r="Q102">
        <f t="shared" si="38"/>
        <v>2.0041906619113057</v>
      </c>
      <c r="R102">
        <f t="shared" si="39"/>
        <v>8.3315305936884257E-2</v>
      </c>
      <c r="S102">
        <f t="shared" si="40"/>
        <v>5.2244919374332177E-2</v>
      </c>
      <c r="T102">
        <f t="shared" si="41"/>
        <v>276.11266699021689</v>
      </c>
      <c r="U102">
        <f t="shared" si="42"/>
        <v>28.908940757074909</v>
      </c>
      <c r="V102">
        <f t="shared" si="43"/>
        <v>28.908940757074909</v>
      </c>
      <c r="W102">
        <f t="shared" si="44"/>
        <v>4.0006299156580321</v>
      </c>
      <c r="X102">
        <f t="shared" si="45"/>
        <v>68.703741458260993</v>
      </c>
      <c r="Y102">
        <f t="shared" si="46"/>
        <v>2.4725236642722002</v>
      </c>
      <c r="Z102">
        <f t="shared" si="47"/>
        <v>3.59881952829936</v>
      </c>
      <c r="AA102">
        <f t="shared" si="48"/>
        <v>1.5281062513858319</v>
      </c>
      <c r="AB102">
        <f t="shared" si="49"/>
        <v>-58.788410621884061</v>
      </c>
      <c r="AC102">
        <f t="shared" si="50"/>
        <v>-196.17985119655287</v>
      </c>
      <c r="AD102">
        <f t="shared" si="51"/>
        <v>-21.337073885822743</v>
      </c>
      <c r="AE102">
        <f t="shared" si="52"/>
        <v>-0.19266871404278163</v>
      </c>
      <c r="AF102">
        <v>12</v>
      </c>
      <c r="AG102">
        <v>4</v>
      </c>
      <c r="AH102">
        <f t="shared" si="53"/>
        <v>1</v>
      </c>
      <c r="AI102">
        <f t="shared" si="54"/>
        <v>0</v>
      </c>
      <c r="AJ102">
        <f t="shared" si="55"/>
        <v>51998.722805437334</v>
      </c>
      <c r="AK102">
        <f t="shared" si="56"/>
        <v>1799.99</v>
      </c>
      <c r="AL102">
        <f t="shared" si="57"/>
        <v>1499.1032234024899</v>
      </c>
      <c r="AM102">
        <f t="shared" si="58"/>
        <v>0.83283975099999996</v>
      </c>
      <c r="AN102">
        <f t="shared" si="59"/>
        <v>0.15339677831000001</v>
      </c>
      <c r="AO102">
        <v>34.5</v>
      </c>
      <c r="AP102">
        <v>0.5</v>
      </c>
      <c r="AQ102" t="s">
        <v>331</v>
      </c>
      <c r="AR102">
        <v>2</v>
      </c>
      <c r="AS102">
        <v>1690377616</v>
      </c>
      <c r="AT102">
        <v>548.26900000000001</v>
      </c>
      <c r="AU102">
        <v>800.04399999999998</v>
      </c>
      <c r="AV102">
        <v>25.040400000000002</v>
      </c>
      <c r="AW102">
        <v>10.098100000000001</v>
      </c>
      <c r="AX102">
        <v>548.79399999999998</v>
      </c>
      <c r="AY102">
        <v>24.8293</v>
      </c>
      <c r="AZ102">
        <v>300.08300000000003</v>
      </c>
      <c r="BA102">
        <v>98.641400000000004</v>
      </c>
      <c r="BB102">
        <v>9.99805E-2</v>
      </c>
      <c r="BC102">
        <v>27.093299999999999</v>
      </c>
      <c r="BD102">
        <v>26.9939</v>
      </c>
      <c r="BE102">
        <v>28.981999999999999</v>
      </c>
      <c r="BF102">
        <v>0</v>
      </c>
      <c r="BG102">
        <v>0</v>
      </c>
      <c r="BH102">
        <v>9971.25</v>
      </c>
      <c r="BI102">
        <v>1082.5899999999999</v>
      </c>
      <c r="BJ102">
        <v>1.5137799999999999</v>
      </c>
      <c r="BK102">
        <v>-251.77500000000001</v>
      </c>
      <c r="BL102">
        <v>562.351</v>
      </c>
      <c r="BM102">
        <v>808.20500000000004</v>
      </c>
      <c r="BN102">
        <v>14.942399999999999</v>
      </c>
      <c r="BO102">
        <v>800.04399999999998</v>
      </c>
      <c r="BP102">
        <v>10.098100000000001</v>
      </c>
      <c r="BQ102">
        <v>2.4700199999999999</v>
      </c>
      <c r="BR102">
        <v>0.99608699999999994</v>
      </c>
      <c r="BS102">
        <v>20.830300000000001</v>
      </c>
      <c r="BT102">
        <v>6.8592700000000004</v>
      </c>
      <c r="BU102">
        <v>1799.99</v>
      </c>
      <c r="BV102">
        <v>0.91001299999999996</v>
      </c>
      <c r="BW102">
        <v>3.4005100000000003E-2</v>
      </c>
      <c r="BX102">
        <v>2.19928E-2</v>
      </c>
      <c r="BY102">
        <v>3.3988699999999997E-2</v>
      </c>
      <c r="BZ102">
        <v>25</v>
      </c>
      <c r="CA102">
        <v>33528.400000000001</v>
      </c>
      <c r="CB102">
        <v>1690376213.5999999</v>
      </c>
      <c r="CC102" t="s">
        <v>332</v>
      </c>
      <c r="CD102">
        <v>1690376213.5999999</v>
      </c>
      <c r="CE102">
        <v>1690376198.0999999</v>
      </c>
      <c r="CF102">
        <v>2</v>
      </c>
      <c r="CG102">
        <v>0.66900000000000004</v>
      </c>
      <c r="CH102">
        <v>-2.1000000000000001E-2</v>
      </c>
      <c r="CI102">
        <v>-0.70099999999999996</v>
      </c>
      <c r="CJ102">
        <v>0.21099999999999999</v>
      </c>
      <c r="CK102">
        <v>799</v>
      </c>
      <c r="CL102">
        <v>21</v>
      </c>
      <c r="CM102">
        <v>0.11</v>
      </c>
      <c r="CN102">
        <v>0.17</v>
      </c>
      <c r="CO102">
        <v>-248.04914634146351</v>
      </c>
      <c r="CP102">
        <v>-21.685965156794069</v>
      </c>
      <c r="CQ102">
        <v>2.1391441251912582</v>
      </c>
      <c r="CR102">
        <v>-1</v>
      </c>
      <c r="CS102">
        <v>14.68706585365854</v>
      </c>
      <c r="CT102">
        <v>1.462461324041807</v>
      </c>
      <c r="CU102">
        <v>0.1443133660286364</v>
      </c>
      <c r="CV102">
        <v>-1</v>
      </c>
      <c r="CW102">
        <v>0</v>
      </c>
      <c r="CX102">
        <v>0</v>
      </c>
      <c r="CY102" t="s">
        <v>333</v>
      </c>
      <c r="CZ102">
        <v>2.3649300000000002</v>
      </c>
      <c r="DA102">
        <v>2.7137500000000001</v>
      </c>
      <c r="DB102">
        <v>0.112765</v>
      </c>
      <c r="DC102">
        <v>0.14574100000000001</v>
      </c>
      <c r="DD102">
        <v>0.116936</v>
      </c>
      <c r="DE102">
        <v>5.9431400000000002E-2</v>
      </c>
      <c r="DF102">
        <v>32409.200000000001</v>
      </c>
      <c r="DG102">
        <v>27529.7</v>
      </c>
      <c r="DH102">
        <v>31182.1</v>
      </c>
      <c r="DI102">
        <v>28078.799999999999</v>
      </c>
      <c r="DJ102">
        <v>37376.9</v>
      </c>
      <c r="DK102">
        <v>37544.400000000001</v>
      </c>
      <c r="DL102">
        <v>44374.3</v>
      </c>
      <c r="DM102">
        <v>42544.7</v>
      </c>
      <c r="DN102">
        <v>1.44015</v>
      </c>
      <c r="DO102">
        <v>2.0642800000000001</v>
      </c>
      <c r="DP102">
        <v>9.3843800000000005E-2</v>
      </c>
      <c r="DQ102">
        <v>0.21599199999999999</v>
      </c>
      <c r="DR102">
        <v>25.4573</v>
      </c>
      <c r="DS102">
        <v>25.450900000000001</v>
      </c>
      <c r="DT102">
        <v>59.5</v>
      </c>
      <c r="DU102">
        <v>26.8</v>
      </c>
      <c r="DV102">
        <v>21.336200000000002</v>
      </c>
      <c r="DW102">
        <v>61.580199999999998</v>
      </c>
      <c r="DX102">
        <v>36.630600000000001</v>
      </c>
      <c r="DY102">
        <v>1</v>
      </c>
      <c r="DZ102">
        <v>-0.140346</v>
      </c>
      <c r="EA102">
        <v>-0.50381799999999999</v>
      </c>
      <c r="EB102">
        <v>20.189599999999999</v>
      </c>
      <c r="EC102">
        <v>5.2418500000000003</v>
      </c>
      <c r="ED102">
        <v>12.039899999999999</v>
      </c>
      <c r="EE102">
        <v>5.0168499999999998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1.8688400000000001</v>
      </c>
      <c r="EL102">
        <v>1.86449</v>
      </c>
      <c r="EM102">
        <v>1.86913</v>
      </c>
      <c r="EN102">
        <v>1.86717</v>
      </c>
      <c r="EO102">
        <v>1.86327</v>
      </c>
      <c r="EP102">
        <v>1.86432</v>
      </c>
      <c r="EQ102">
        <v>1.87012</v>
      </c>
      <c r="ER102">
        <v>1.8693500000000001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-0.52500000000000002</v>
      </c>
      <c r="FG102">
        <v>0.21110000000000001</v>
      </c>
      <c r="FH102">
        <v>-0.150361779349652</v>
      </c>
      <c r="FI102">
        <v>-6.1462078757559423E-4</v>
      </c>
      <c r="FJ102">
        <v>-1.8861989874597051E-7</v>
      </c>
      <c r="FK102">
        <v>1.1980462299894961E-10</v>
      </c>
      <c r="FL102">
        <v>0.21114761904761539</v>
      </c>
      <c r="FM102">
        <v>0</v>
      </c>
      <c r="FN102">
        <v>0</v>
      </c>
      <c r="FO102">
        <v>0</v>
      </c>
      <c r="FP102">
        <v>3</v>
      </c>
      <c r="FQ102">
        <v>2158</v>
      </c>
      <c r="FR102">
        <v>1</v>
      </c>
      <c r="FS102">
        <v>19</v>
      </c>
      <c r="FT102">
        <v>23.4</v>
      </c>
      <c r="FU102">
        <v>23.6</v>
      </c>
      <c r="FV102">
        <v>1.78101</v>
      </c>
      <c r="FW102">
        <v>2.5671400000000002</v>
      </c>
      <c r="FX102">
        <v>1.5490699999999999</v>
      </c>
      <c r="FY102">
        <v>2.33643</v>
      </c>
      <c r="FZ102">
        <v>1.50146</v>
      </c>
      <c r="GA102">
        <v>2.36938</v>
      </c>
      <c r="GB102">
        <v>32.0244</v>
      </c>
      <c r="GC102">
        <v>23.991199999999999</v>
      </c>
      <c r="GD102">
        <v>19</v>
      </c>
      <c r="GE102">
        <v>265.44099999999997</v>
      </c>
      <c r="GF102">
        <v>599.54999999999995</v>
      </c>
      <c r="GG102">
        <v>25.645299999999999</v>
      </c>
      <c r="GH102">
        <v>25.673300000000001</v>
      </c>
      <c r="GI102">
        <v>30.0001</v>
      </c>
      <c r="GJ102">
        <v>25.775500000000001</v>
      </c>
      <c r="GK102">
        <v>25.7423</v>
      </c>
      <c r="GL102">
        <v>35.619999999999997</v>
      </c>
      <c r="GM102">
        <v>55.6068</v>
      </c>
      <c r="GN102">
        <v>83.6297</v>
      </c>
      <c r="GO102">
        <v>25.648700000000002</v>
      </c>
      <c r="GP102">
        <v>800</v>
      </c>
      <c r="GQ102">
        <v>9.9277099999999994</v>
      </c>
      <c r="GR102">
        <v>99.7684</v>
      </c>
      <c r="GS102">
        <v>99.539000000000001</v>
      </c>
    </row>
    <row r="103" spans="1:201" x14ac:dyDescent="0.25">
      <c r="A103">
        <v>87</v>
      </c>
      <c r="B103">
        <v>1690377626</v>
      </c>
      <c r="C103">
        <v>909.5</v>
      </c>
      <c r="D103" t="s">
        <v>507</v>
      </c>
      <c r="E103" t="s">
        <v>508</v>
      </c>
      <c r="F103" t="s">
        <v>330</v>
      </c>
      <c r="H103">
        <v>1690377626</v>
      </c>
      <c r="I103">
        <f t="shared" si="30"/>
        <v>1.3550361042588728E-3</v>
      </c>
      <c r="J103">
        <f t="shared" si="31"/>
        <v>1.3550361042588728</v>
      </c>
      <c r="K103">
        <f t="shared" si="32"/>
        <v>21.479747084521762</v>
      </c>
      <c r="L103">
        <f t="shared" si="33"/>
        <v>544.73400000000004</v>
      </c>
      <c r="M103">
        <f t="shared" si="34"/>
        <v>132.96018831245124</v>
      </c>
      <c r="N103">
        <f t="shared" si="35"/>
        <v>13.129559722367915</v>
      </c>
      <c r="O103">
        <f t="shared" si="36"/>
        <v>53.791421902902002</v>
      </c>
      <c r="P103">
        <f t="shared" si="37"/>
        <v>8.6998602209242104E-2</v>
      </c>
      <c r="Q103">
        <f t="shared" si="38"/>
        <v>2.010148374009991</v>
      </c>
      <c r="R103">
        <f t="shared" si="39"/>
        <v>8.4959664072235541E-2</v>
      </c>
      <c r="S103">
        <f t="shared" si="40"/>
        <v>5.327900052947937E-2</v>
      </c>
      <c r="T103">
        <f t="shared" si="41"/>
        <v>276.11255758682472</v>
      </c>
      <c r="U103">
        <f t="shared" si="42"/>
        <v>28.895310788592916</v>
      </c>
      <c r="V103">
        <f t="shared" si="43"/>
        <v>28.895310788592916</v>
      </c>
      <c r="W103">
        <f t="shared" si="44"/>
        <v>3.9974735562529427</v>
      </c>
      <c r="X103">
        <f t="shared" si="45"/>
        <v>68.751269641751449</v>
      </c>
      <c r="Y103">
        <f t="shared" si="46"/>
        <v>2.4741324679149996</v>
      </c>
      <c r="Z103">
        <f t="shared" si="47"/>
        <v>3.5986716766209388</v>
      </c>
      <c r="AA103">
        <f t="shared" si="48"/>
        <v>1.523341088337943</v>
      </c>
      <c r="AB103">
        <f t="shared" si="49"/>
        <v>-59.757092197816291</v>
      </c>
      <c r="AC103">
        <f t="shared" si="50"/>
        <v>-195.36178564489308</v>
      </c>
      <c r="AD103">
        <f t="shared" si="51"/>
        <v>-21.18360773924368</v>
      </c>
      <c r="AE103">
        <f t="shared" si="52"/>
        <v>-0.18992799512832903</v>
      </c>
      <c r="AF103">
        <v>12</v>
      </c>
      <c r="AG103">
        <v>4</v>
      </c>
      <c r="AH103">
        <f t="shared" si="53"/>
        <v>1</v>
      </c>
      <c r="AI103">
        <f t="shared" si="54"/>
        <v>0</v>
      </c>
      <c r="AJ103">
        <f t="shared" si="55"/>
        <v>52283.66183468388</v>
      </c>
      <c r="AK103">
        <f t="shared" si="56"/>
        <v>1799.99</v>
      </c>
      <c r="AL103">
        <f t="shared" si="57"/>
        <v>1499.1040819977197</v>
      </c>
      <c r="AM103">
        <f t="shared" si="58"/>
        <v>0.8328402279999999</v>
      </c>
      <c r="AN103">
        <f t="shared" si="59"/>
        <v>0.15339671753</v>
      </c>
      <c r="AO103">
        <v>34.5</v>
      </c>
      <c r="AP103">
        <v>0.5</v>
      </c>
      <c r="AQ103" t="s">
        <v>331</v>
      </c>
      <c r="AR103">
        <v>2</v>
      </c>
      <c r="AS103">
        <v>1690377626</v>
      </c>
      <c r="AT103">
        <v>544.73400000000004</v>
      </c>
      <c r="AU103">
        <v>800.04899999999998</v>
      </c>
      <c r="AV103">
        <v>25.055</v>
      </c>
      <c r="AW103">
        <v>9.8738499999999991</v>
      </c>
      <c r="AX103">
        <v>545.25599999999997</v>
      </c>
      <c r="AY103">
        <v>24.843900000000001</v>
      </c>
      <c r="AZ103">
        <v>300.22399999999999</v>
      </c>
      <c r="BA103">
        <v>98.647999999999996</v>
      </c>
      <c r="BB103">
        <v>0.100053</v>
      </c>
      <c r="BC103">
        <v>27.092600000000001</v>
      </c>
      <c r="BD103">
        <v>26.989699999999999</v>
      </c>
      <c r="BE103">
        <v>28.957599999999999</v>
      </c>
      <c r="BF103">
        <v>0</v>
      </c>
      <c r="BG103">
        <v>0</v>
      </c>
      <c r="BH103">
        <v>10027.5</v>
      </c>
      <c r="BI103">
        <v>1082.54</v>
      </c>
      <c r="BJ103">
        <v>1.5137799999999999</v>
      </c>
      <c r="BK103">
        <v>-255.315</v>
      </c>
      <c r="BL103">
        <v>558.73299999999995</v>
      </c>
      <c r="BM103">
        <v>808.02800000000002</v>
      </c>
      <c r="BN103">
        <v>15.1812</v>
      </c>
      <c r="BO103">
        <v>800.04899999999998</v>
      </c>
      <c r="BP103">
        <v>9.8738499999999991</v>
      </c>
      <c r="BQ103">
        <v>2.4716300000000002</v>
      </c>
      <c r="BR103">
        <v>0.97403600000000001</v>
      </c>
      <c r="BS103">
        <v>20.840900000000001</v>
      </c>
      <c r="BT103">
        <v>6.5336800000000004</v>
      </c>
      <c r="BU103">
        <v>1799.99</v>
      </c>
      <c r="BV103">
        <v>0.91001699999999996</v>
      </c>
      <c r="BW103">
        <v>3.4003600000000002E-2</v>
      </c>
      <c r="BX103">
        <v>2.1991900000000002E-2</v>
      </c>
      <c r="BY103">
        <v>3.3987299999999998E-2</v>
      </c>
      <c r="BZ103">
        <v>25</v>
      </c>
      <c r="CA103">
        <v>33528.300000000003</v>
      </c>
      <c r="CB103">
        <v>1690376213.5999999</v>
      </c>
      <c r="CC103" t="s">
        <v>332</v>
      </c>
      <c r="CD103">
        <v>1690376213.5999999</v>
      </c>
      <c r="CE103">
        <v>1690376198.0999999</v>
      </c>
      <c r="CF103">
        <v>2</v>
      </c>
      <c r="CG103">
        <v>0.66900000000000004</v>
      </c>
      <c r="CH103">
        <v>-2.1000000000000001E-2</v>
      </c>
      <c r="CI103">
        <v>-0.70099999999999996</v>
      </c>
      <c r="CJ103">
        <v>0.21099999999999999</v>
      </c>
      <c r="CK103">
        <v>799</v>
      </c>
      <c r="CL103">
        <v>21</v>
      </c>
      <c r="CM103">
        <v>0.11</v>
      </c>
      <c r="CN103">
        <v>0.17</v>
      </c>
      <c r="CO103">
        <v>-251.2768780487805</v>
      </c>
      <c r="CP103">
        <v>-21.367317073170931</v>
      </c>
      <c r="CQ103">
        <v>2.1074284780286008</v>
      </c>
      <c r="CR103">
        <v>-1</v>
      </c>
      <c r="CS103">
        <v>14.90519756097561</v>
      </c>
      <c r="CT103">
        <v>1.4476055749129171</v>
      </c>
      <c r="CU103">
        <v>0.14283750359438349</v>
      </c>
      <c r="CV103">
        <v>-1</v>
      </c>
      <c r="CW103">
        <v>0</v>
      </c>
      <c r="CX103">
        <v>0</v>
      </c>
      <c r="CY103" t="s">
        <v>333</v>
      </c>
      <c r="CZ103">
        <v>2.36537</v>
      </c>
      <c r="DA103">
        <v>2.71387</v>
      </c>
      <c r="DB103">
        <v>0.11225</v>
      </c>
      <c r="DC103">
        <v>0.14574599999999999</v>
      </c>
      <c r="DD103">
        <v>0.116991</v>
      </c>
      <c r="DE103">
        <v>5.84171E-2</v>
      </c>
      <c r="DF103">
        <v>32428.1</v>
      </c>
      <c r="DG103">
        <v>27529.7</v>
      </c>
      <c r="DH103">
        <v>31182.2</v>
      </c>
      <c r="DI103">
        <v>28079</v>
      </c>
      <c r="DJ103">
        <v>37374.6</v>
      </c>
      <c r="DK103">
        <v>37585.300000000003</v>
      </c>
      <c r="DL103">
        <v>44374.400000000001</v>
      </c>
      <c r="DM103">
        <v>42545.1</v>
      </c>
      <c r="DN103">
        <v>1.4412</v>
      </c>
      <c r="DO103">
        <v>2.06385</v>
      </c>
      <c r="DP103">
        <v>9.3717099999999998E-2</v>
      </c>
      <c r="DQ103">
        <v>0.21449499999999999</v>
      </c>
      <c r="DR103">
        <v>25.455200000000001</v>
      </c>
      <c r="DS103">
        <v>25.450900000000001</v>
      </c>
      <c r="DT103">
        <v>59.4</v>
      </c>
      <c r="DU103">
        <v>26.8</v>
      </c>
      <c r="DV103">
        <v>21.300799999999999</v>
      </c>
      <c r="DW103">
        <v>61.240200000000002</v>
      </c>
      <c r="DX103">
        <v>36.430300000000003</v>
      </c>
      <c r="DY103">
        <v>1</v>
      </c>
      <c r="DZ103">
        <v>-0.14019799999999999</v>
      </c>
      <c r="EA103">
        <v>-0.50623899999999999</v>
      </c>
      <c r="EB103">
        <v>20.189699999999998</v>
      </c>
      <c r="EC103">
        <v>5.2416999999999998</v>
      </c>
      <c r="ED103">
        <v>12.039899999999999</v>
      </c>
      <c r="EE103">
        <v>5.0170000000000003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1.8688499999999999</v>
      </c>
      <c r="EL103">
        <v>1.8645</v>
      </c>
      <c r="EM103">
        <v>1.8691500000000001</v>
      </c>
      <c r="EN103">
        <v>1.86721</v>
      </c>
      <c r="EO103">
        <v>1.86327</v>
      </c>
      <c r="EP103">
        <v>1.86432</v>
      </c>
      <c r="EQ103">
        <v>1.8701099999999999</v>
      </c>
      <c r="ER103">
        <v>1.8693500000000001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-0.52200000000000002</v>
      </c>
      <c r="FG103">
        <v>0.21110000000000001</v>
      </c>
      <c r="FH103">
        <v>-0.150361779349652</v>
      </c>
      <c r="FI103">
        <v>-6.1462078757559423E-4</v>
      </c>
      <c r="FJ103">
        <v>-1.8861989874597051E-7</v>
      </c>
      <c r="FK103">
        <v>1.1980462299894961E-10</v>
      </c>
      <c r="FL103">
        <v>0.21114761904761539</v>
      </c>
      <c r="FM103">
        <v>0</v>
      </c>
      <c r="FN103">
        <v>0</v>
      </c>
      <c r="FO103">
        <v>0</v>
      </c>
      <c r="FP103">
        <v>3</v>
      </c>
      <c r="FQ103">
        <v>2158</v>
      </c>
      <c r="FR103">
        <v>1</v>
      </c>
      <c r="FS103">
        <v>19</v>
      </c>
      <c r="FT103">
        <v>23.5</v>
      </c>
      <c r="FU103">
        <v>23.8</v>
      </c>
      <c r="FV103">
        <v>1.78101</v>
      </c>
      <c r="FW103">
        <v>2.5634800000000002</v>
      </c>
      <c r="FX103">
        <v>1.5490699999999999</v>
      </c>
      <c r="FY103">
        <v>2.33765</v>
      </c>
      <c r="FZ103">
        <v>1.50146</v>
      </c>
      <c r="GA103">
        <v>2.3754900000000001</v>
      </c>
      <c r="GB103">
        <v>32.046399999999998</v>
      </c>
      <c r="GC103">
        <v>23.991199999999999</v>
      </c>
      <c r="GD103">
        <v>19</v>
      </c>
      <c r="GE103">
        <v>265.86599999999999</v>
      </c>
      <c r="GF103">
        <v>599.20500000000004</v>
      </c>
      <c r="GG103">
        <v>25.654800000000002</v>
      </c>
      <c r="GH103">
        <v>25.673300000000001</v>
      </c>
      <c r="GI103">
        <v>30.0002</v>
      </c>
      <c r="GJ103">
        <v>25.775500000000001</v>
      </c>
      <c r="GK103">
        <v>25.743400000000001</v>
      </c>
      <c r="GL103">
        <v>35.613399999999999</v>
      </c>
      <c r="GM103">
        <v>56.435499999999998</v>
      </c>
      <c r="GN103">
        <v>82.859399999999994</v>
      </c>
      <c r="GO103">
        <v>25.657699999999998</v>
      </c>
      <c r="GP103">
        <v>800</v>
      </c>
      <c r="GQ103">
        <v>9.6824399999999997</v>
      </c>
      <c r="GR103">
        <v>99.768699999999995</v>
      </c>
      <c r="GS103">
        <v>99.539699999999996</v>
      </c>
    </row>
    <row r="104" spans="1:201" x14ac:dyDescent="0.25">
      <c r="A104">
        <v>88</v>
      </c>
      <c r="B104">
        <v>1690377636</v>
      </c>
      <c r="C104">
        <v>919.5</v>
      </c>
      <c r="D104" t="s">
        <v>509</v>
      </c>
      <c r="E104" t="s">
        <v>510</v>
      </c>
      <c r="F104" t="s">
        <v>330</v>
      </c>
      <c r="H104">
        <v>1690377636</v>
      </c>
      <c r="I104">
        <f t="shared" si="30"/>
        <v>1.3776091627428781E-3</v>
      </c>
      <c r="J104">
        <f t="shared" si="31"/>
        <v>1.3776091627428781</v>
      </c>
      <c r="K104">
        <f t="shared" si="32"/>
        <v>21.778772470164238</v>
      </c>
      <c r="L104">
        <f t="shared" si="33"/>
        <v>541.23699999999997</v>
      </c>
      <c r="M104">
        <f t="shared" si="34"/>
        <v>130.94175926344448</v>
      </c>
      <c r="N104">
        <f t="shared" si="35"/>
        <v>12.930144909537438</v>
      </c>
      <c r="O104">
        <f t="shared" si="36"/>
        <v>53.445691273502298</v>
      </c>
      <c r="P104">
        <f t="shared" si="37"/>
        <v>8.8551333759361292E-2</v>
      </c>
      <c r="Q104">
        <f t="shared" si="38"/>
        <v>2.0078526677813398</v>
      </c>
      <c r="R104">
        <f t="shared" si="39"/>
        <v>8.6437564501939762E-2</v>
      </c>
      <c r="S104">
        <f t="shared" si="40"/>
        <v>5.4209189068626269E-2</v>
      </c>
      <c r="T104">
        <f t="shared" si="41"/>
        <v>276.11396584199997</v>
      </c>
      <c r="U104">
        <f t="shared" si="42"/>
        <v>28.895069662834494</v>
      </c>
      <c r="V104">
        <f t="shared" si="43"/>
        <v>28.895069662834494</v>
      </c>
      <c r="W104">
        <f t="shared" si="44"/>
        <v>3.9974177371190343</v>
      </c>
      <c r="X104">
        <f t="shared" si="45"/>
        <v>68.755904294955101</v>
      </c>
      <c r="Y104">
        <f t="shared" si="46"/>
        <v>2.4751997691614003</v>
      </c>
      <c r="Z104">
        <f t="shared" si="47"/>
        <v>3.5999814045686485</v>
      </c>
      <c r="AA104">
        <f t="shared" si="48"/>
        <v>1.522217967957634</v>
      </c>
      <c r="AB104">
        <f t="shared" si="49"/>
        <v>-60.752564076960923</v>
      </c>
      <c r="AC104">
        <f t="shared" si="50"/>
        <v>-194.44143632171125</v>
      </c>
      <c r="AD104">
        <f t="shared" si="51"/>
        <v>-21.108543710046423</v>
      </c>
      <c r="AE104">
        <f t="shared" si="52"/>
        <v>-0.18857826671865041</v>
      </c>
      <c r="AF104">
        <v>12</v>
      </c>
      <c r="AG104">
        <v>4</v>
      </c>
      <c r="AH104">
        <f t="shared" si="53"/>
        <v>1</v>
      </c>
      <c r="AI104">
        <f t="shared" si="54"/>
        <v>0</v>
      </c>
      <c r="AJ104">
        <f t="shared" si="55"/>
        <v>52172.734144551046</v>
      </c>
      <c r="AK104">
        <f t="shared" si="56"/>
        <v>1800</v>
      </c>
      <c r="AL104">
        <f t="shared" si="57"/>
        <v>1499.1118271999999</v>
      </c>
      <c r="AM104">
        <f t="shared" si="58"/>
        <v>0.83283990399999996</v>
      </c>
      <c r="AN104">
        <f t="shared" si="59"/>
        <v>0.15339664769</v>
      </c>
      <c r="AO104">
        <v>34.5</v>
      </c>
      <c r="AP104">
        <v>0.5</v>
      </c>
      <c r="AQ104" t="s">
        <v>331</v>
      </c>
      <c r="AR104">
        <v>2</v>
      </c>
      <c r="AS104">
        <v>1690377636</v>
      </c>
      <c r="AT104">
        <v>541.23699999999997</v>
      </c>
      <c r="AU104">
        <v>800.16300000000001</v>
      </c>
      <c r="AV104">
        <v>25.065999999999999</v>
      </c>
      <c r="AW104">
        <v>9.62683</v>
      </c>
      <c r="AX104">
        <v>541.75699999999995</v>
      </c>
      <c r="AY104">
        <v>24.854900000000001</v>
      </c>
      <c r="AZ104">
        <v>300.12099999999998</v>
      </c>
      <c r="BA104">
        <v>98.647300000000001</v>
      </c>
      <c r="BB104">
        <v>9.9997900000000001E-2</v>
      </c>
      <c r="BC104">
        <v>27.098800000000001</v>
      </c>
      <c r="BD104">
        <v>26.988600000000002</v>
      </c>
      <c r="BE104">
        <v>28.944400000000002</v>
      </c>
      <c r="BF104">
        <v>0</v>
      </c>
      <c r="BG104">
        <v>0</v>
      </c>
      <c r="BH104">
        <v>10005.6</v>
      </c>
      <c r="BI104">
        <v>1082.5899999999999</v>
      </c>
      <c r="BJ104">
        <v>1.5137799999999999</v>
      </c>
      <c r="BK104">
        <v>-258.92500000000001</v>
      </c>
      <c r="BL104">
        <v>555.15300000000002</v>
      </c>
      <c r="BM104">
        <v>807.94</v>
      </c>
      <c r="BN104">
        <v>15.4392</v>
      </c>
      <c r="BO104">
        <v>800.16300000000001</v>
      </c>
      <c r="BP104">
        <v>9.62683</v>
      </c>
      <c r="BQ104">
        <v>2.4726900000000001</v>
      </c>
      <c r="BR104">
        <v>0.94965999999999995</v>
      </c>
      <c r="BS104">
        <v>20.847899999999999</v>
      </c>
      <c r="BT104">
        <v>6.1661099999999998</v>
      </c>
      <c r="BU104">
        <v>1800</v>
      </c>
      <c r="BV104">
        <v>0.91001399999999999</v>
      </c>
      <c r="BW104">
        <v>3.4001799999999999E-2</v>
      </c>
      <c r="BX104">
        <v>2.1990699999999998E-2</v>
      </c>
      <c r="BY104">
        <v>3.3993299999999997E-2</v>
      </c>
      <c r="BZ104">
        <v>25</v>
      </c>
      <c r="CA104">
        <v>33528.5</v>
      </c>
      <c r="CB104">
        <v>1690376213.5999999</v>
      </c>
      <c r="CC104" t="s">
        <v>332</v>
      </c>
      <c r="CD104">
        <v>1690376213.5999999</v>
      </c>
      <c r="CE104">
        <v>1690376198.0999999</v>
      </c>
      <c r="CF104">
        <v>2</v>
      </c>
      <c r="CG104">
        <v>0.66900000000000004</v>
      </c>
      <c r="CH104">
        <v>-2.1000000000000001E-2</v>
      </c>
      <c r="CI104">
        <v>-0.70099999999999996</v>
      </c>
      <c r="CJ104">
        <v>0.21099999999999999</v>
      </c>
      <c r="CK104">
        <v>799</v>
      </c>
      <c r="CL104">
        <v>21</v>
      </c>
      <c r="CM104">
        <v>0.11</v>
      </c>
      <c r="CN104">
        <v>0.17</v>
      </c>
      <c r="CO104">
        <v>-254.80329268292681</v>
      </c>
      <c r="CP104">
        <v>-21.223170731707729</v>
      </c>
      <c r="CQ104">
        <v>2.0930111607955539</v>
      </c>
      <c r="CR104">
        <v>-1</v>
      </c>
      <c r="CS104">
        <v>15.15357804878048</v>
      </c>
      <c r="CT104">
        <v>1.5418452961672999</v>
      </c>
      <c r="CU104">
        <v>0.1522569194425788</v>
      </c>
      <c r="CV104">
        <v>-1</v>
      </c>
      <c r="CW104">
        <v>0</v>
      </c>
      <c r="CX104">
        <v>0</v>
      </c>
      <c r="CY104" t="s">
        <v>333</v>
      </c>
      <c r="CZ104">
        <v>2.3650500000000001</v>
      </c>
      <c r="DA104">
        <v>2.7137899999999999</v>
      </c>
      <c r="DB104">
        <v>0.111731</v>
      </c>
      <c r="DC104">
        <v>0.14575399999999999</v>
      </c>
      <c r="DD104">
        <v>0.11702600000000001</v>
      </c>
      <c r="DE104">
        <v>5.7286200000000002E-2</v>
      </c>
      <c r="DF104">
        <v>32447</v>
      </c>
      <c r="DG104">
        <v>27529.5</v>
      </c>
      <c r="DH104">
        <v>31182.2</v>
      </c>
      <c r="DI104">
        <v>28079.1</v>
      </c>
      <c r="DJ104">
        <v>37372.800000000003</v>
      </c>
      <c r="DK104">
        <v>37630.800000000003</v>
      </c>
      <c r="DL104">
        <v>44374.2</v>
      </c>
      <c r="DM104">
        <v>42545.4</v>
      </c>
      <c r="DN104">
        <v>1.44017</v>
      </c>
      <c r="DO104">
        <v>2.06325</v>
      </c>
      <c r="DP104">
        <v>9.3780500000000003E-2</v>
      </c>
      <c r="DQ104">
        <v>0.21381700000000001</v>
      </c>
      <c r="DR104">
        <v>25.452999999999999</v>
      </c>
      <c r="DS104">
        <v>25.448799999999999</v>
      </c>
      <c r="DT104">
        <v>59.2</v>
      </c>
      <c r="DU104">
        <v>26.8</v>
      </c>
      <c r="DV104">
        <v>21.2303</v>
      </c>
      <c r="DW104">
        <v>61.380200000000002</v>
      </c>
      <c r="DX104">
        <v>36.366199999999999</v>
      </c>
      <c r="DY104">
        <v>1</v>
      </c>
      <c r="DZ104">
        <v>-0.14013700000000001</v>
      </c>
      <c r="EA104">
        <v>-0.50325200000000003</v>
      </c>
      <c r="EB104">
        <v>20.189699999999998</v>
      </c>
      <c r="EC104">
        <v>5.24125</v>
      </c>
      <c r="ED104">
        <v>12.039899999999999</v>
      </c>
      <c r="EE104">
        <v>5.01715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1.8688400000000001</v>
      </c>
      <c r="EL104">
        <v>1.86449</v>
      </c>
      <c r="EM104">
        <v>1.8691500000000001</v>
      </c>
      <c r="EN104">
        <v>1.8671599999999999</v>
      </c>
      <c r="EO104">
        <v>1.8632500000000001</v>
      </c>
      <c r="EP104">
        <v>1.86432</v>
      </c>
      <c r="EQ104">
        <v>1.8701099999999999</v>
      </c>
      <c r="ER104">
        <v>1.8693500000000001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-0.52</v>
      </c>
      <c r="FG104">
        <v>0.21110000000000001</v>
      </c>
      <c r="FH104">
        <v>-0.150361779349652</v>
      </c>
      <c r="FI104">
        <v>-6.1462078757559423E-4</v>
      </c>
      <c r="FJ104">
        <v>-1.8861989874597051E-7</v>
      </c>
      <c r="FK104">
        <v>1.1980462299894961E-10</v>
      </c>
      <c r="FL104">
        <v>0.21114761904761539</v>
      </c>
      <c r="FM104">
        <v>0</v>
      </c>
      <c r="FN104">
        <v>0</v>
      </c>
      <c r="FO104">
        <v>0</v>
      </c>
      <c r="FP104">
        <v>3</v>
      </c>
      <c r="FQ104">
        <v>2158</v>
      </c>
      <c r="FR104">
        <v>1</v>
      </c>
      <c r="FS104">
        <v>19</v>
      </c>
      <c r="FT104">
        <v>23.7</v>
      </c>
      <c r="FU104">
        <v>24</v>
      </c>
      <c r="FV104">
        <v>1.78101</v>
      </c>
      <c r="FW104">
        <v>2.5671400000000002</v>
      </c>
      <c r="FX104">
        <v>1.5490699999999999</v>
      </c>
      <c r="FY104">
        <v>2.33765</v>
      </c>
      <c r="FZ104">
        <v>1.50146</v>
      </c>
      <c r="GA104">
        <v>2.3840300000000001</v>
      </c>
      <c r="GB104">
        <v>32.046399999999998</v>
      </c>
      <c r="GC104">
        <v>23.991199999999999</v>
      </c>
      <c r="GD104">
        <v>19</v>
      </c>
      <c r="GE104">
        <v>265.45100000000002</v>
      </c>
      <c r="GF104">
        <v>598.70100000000002</v>
      </c>
      <c r="GG104">
        <v>25.662500000000001</v>
      </c>
      <c r="GH104">
        <v>25.673300000000001</v>
      </c>
      <c r="GI104">
        <v>30.0001</v>
      </c>
      <c r="GJ104">
        <v>25.775500000000001</v>
      </c>
      <c r="GK104">
        <v>25.743400000000001</v>
      </c>
      <c r="GL104">
        <v>35.606900000000003</v>
      </c>
      <c r="GM104">
        <v>57.298499999999997</v>
      </c>
      <c r="GN104">
        <v>82.467699999999994</v>
      </c>
      <c r="GO104">
        <v>25.6663</v>
      </c>
      <c r="GP104">
        <v>800</v>
      </c>
      <c r="GQ104">
        <v>9.4453200000000006</v>
      </c>
      <c r="GR104">
        <v>99.7684</v>
      </c>
      <c r="GS104">
        <v>99.540300000000002</v>
      </c>
    </row>
    <row r="105" spans="1:201" x14ac:dyDescent="0.25">
      <c r="A105">
        <v>89</v>
      </c>
      <c r="B105">
        <v>1690377646</v>
      </c>
      <c r="C105">
        <v>929.5</v>
      </c>
      <c r="D105" t="s">
        <v>511</v>
      </c>
      <c r="E105" t="s">
        <v>512</v>
      </c>
      <c r="F105" t="s">
        <v>330</v>
      </c>
      <c r="H105">
        <v>1690377646</v>
      </c>
      <c r="I105">
        <f t="shared" si="30"/>
        <v>1.4021201970880559E-3</v>
      </c>
      <c r="J105">
        <f t="shared" si="31"/>
        <v>1.4021201970880559</v>
      </c>
      <c r="K105">
        <f t="shared" si="32"/>
        <v>22.069380097282242</v>
      </c>
      <c r="L105">
        <f t="shared" si="33"/>
        <v>537.68399999999997</v>
      </c>
      <c r="M105">
        <f t="shared" si="34"/>
        <v>130.64397806846321</v>
      </c>
      <c r="N105">
        <f t="shared" si="35"/>
        <v>12.900669795995357</v>
      </c>
      <c r="O105">
        <f t="shared" si="36"/>
        <v>53.094553925439591</v>
      </c>
      <c r="P105">
        <f t="shared" si="37"/>
        <v>9.0489833161216338E-2</v>
      </c>
      <c r="Q105">
        <f t="shared" si="38"/>
        <v>2.006476141518946</v>
      </c>
      <c r="R105">
        <f t="shared" si="39"/>
        <v>8.8282272955416921E-2</v>
      </c>
      <c r="S105">
        <f t="shared" si="40"/>
        <v>5.5370275552995812E-2</v>
      </c>
      <c r="T105">
        <f t="shared" si="41"/>
        <v>276.11273114186054</v>
      </c>
      <c r="U105">
        <f t="shared" si="42"/>
        <v>28.878765114159997</v>
      </c>
      <c r="V105">
        <f t="shared" si="43"/>
        <v>28.878765114159997</v>
      </c>
      <c r="W105">
        <f t="shared" si="44"/>
        <v>3.9936449105955485</v>
      </c>
      <c r="X105">
        <f t="shared" si="45"/>
        <v>68.831698960534098</v>
      </c>
      <c r="Y105">
        <f t="shared" si="46"/>
        <v>2.4767070339186597</v>
      </c>
      <c r="Z105">
        <f t="shared" si="47"/>
        <v>3.598207034434417</v>
      </c>
      <c r="AA105">
        <f t="shared" si="48"/>
        <v>1.5169378766768888</v>
      </c>
      <c r="AB105">
        <f t="shared" si="49"/>
        <v>-61.833500691583268</v>
      </c>
      <c r="AC105">
        <f t="shared" si="50"/>
        <v>-193.4530729797074</v>
      </c>
      <c r="AD105">
        <f t="shared" si="51"/>
        <v>-21.013065976151257</v>
      </c>
      <c r="AE105">
        <f t="shared" si="52"/>
        <v>-0.1869085055813855</v>
      </c>
      <c r="AF105">
        <v>12</v>
      </c>
      <c r="AG105">
        <v>4</v>
      </c>
      <c r="AH105">
        <f t="shared" si="53"/>
        <v>1</v>
      </c>
      <c r="AI105">
        <f t="shared" si="54"/>
        <v>0</v>
      </c>
      <c r="AJ105">
        <f t="shared" si="55"/>
        <v>52108.409177410598</v>
      </c>
      <c r="AK105">
        <f t="shared" si="56"/>
        <v>1799.99</v>
      </c>
      <c r="AL105">
        <f t="shared" si="57"/>
        <v>1499.1013496128999</v>
      </c>
      <c r="AM105">
        <f t="shared" si="58"/>
        <v>0.83283870999999998</v>
      </c>
      <c r="AN105">
        <f t="shared" si="59"/>
        <v>0.15339681395000002</v>
      </c>
      <c r="AO105">
        <v>34.5</v>
      </c>
      <c r="AP105">
        <v>0.5</v>
      </c>
      <c r="AQ105" t="s">
        <v>331</v>
      </c>
      <c r="AR105">
        <v>2</v>
      </c>
      <c r="AS105">
        <v>1690377646</v>
      </c>
      <c r="AT105">
        <v>537.68399999999997</v>
      </c>
      <c r="AU105">
        <v>800.04499999999996</v>
      </c>
      <c r="AV105">
        <v>25.081399999999999</v>
      </c>
      <c r="AW105">
        <v>9.3678299999999997</v>
      </c>
      <c r="AX105">
        <v>538.20100000000002</v>
      </c>
      <c r="AY105">
        <v>24.8703</v>
      </c>
      <c r="AZ105">
        <v>300.12200000000001</v>
      </c>
      <c r="BA105">
        <v>98.646799999999999</v>
      </c>
      <c r="BB105">
        <v>9.9961900000000006E-2</v>
      </c>
      <c r="BC105">
        <v>27.090399999999999</v>
      </c>
      <c r="BD105">
        <v>26.9832</v>
      </c>
      <c r="BE105">
        <v>28.931000000000001</v>
      </c>
      <c r="BF105">
        <v>0</v>
      </c>
      <c r="BG105">
        <v>0</v>
      </c>
      <c r="BH105">
        <v>9992.5</v>
      </c>
      <c r="BI105">
        <v>1082.54</v>
      </c>
      <c r="BJ105">
        <v>1.5137799999999999</v>
      </c>
      <c r="BK105">
        <v>-262.36099999999999</v>
      </c>
      <c r="BL105">
        <v>551.51700000000005</v>
      </c>
      <c r="BM105">
        <v>807.61099999999999</v>
      </c>
      <c r="BN105">
        <v>15.7136</v>
      </c>
      <c r="BO105">
        <v>800.04499999999996</v>
      </c>
      <c r="BP105">
        <v>9.3678299999999997</v>
      </c>
      <c r="BQ105">
        <v>2.4742000000000002</v>
      </c>
      <c r="BR105">
        <v>0.92410599999999998</v>
      </c>
      <c r="BS105">
        <v>20.857800000000001</v>
      </c>
      <c r="BT105">
        <v>5.7717200000000002</v>
      </c>
      <c r="BU105">
        <v>1799.99</v>
      </c>
      <c r="BV105">
        <v>0.90999799999999997</v>
      </c>
      <c r="BW105">
        <v>3.4000299999999997E-2</v>
      </c>
      <c r="BX105">
        <v>2.1991500000000001E-2</v>
      </c>
      <c r="BY105">
        <v>3.4010100000000001E-2</v>
      </c>
      <c r="BZ105">
        <v>25</v>
      </c>
      <c r="CA105">
        <v>33528.400000000001</v>
      </c>
      <c r="CB105">
        <v>1690376213.5999999</v>
      </c>
      <c r="CC105" t="s">
        <v>332</v>
      </c>
      <c r="CD105">
        <v>1690376213.5999999</v>
      </c>
      <c r="CE105">
        <v>1690376198.0999999</v>
      </c>
      <c r="CF105">
        <v>2</v>
      </c>
      <c r="CG105">
        <v>0.66900000000000004</v>
      </c>
      <c r="CH105">
        <v>-2.1000000000000001E-2</v>
      </c>
      <c r="CI105">
        <v>-0.70099999999999996</v>
      </c>
      <c r="CJ105">
        <v>0.21099999999999999</v>
      </c>
      <c r="CK105">
        <v>799</v>
      </c>
      <c r="CL105">
        <v>21</v>
      </c>
      <c r="CM105">
        <v>0.11</v>
      </c>
      <c r="CN105">
        <v>0.17</v>
      </c>
      <c r="CO105">
        <v>-258.68404878048779</v>
      </c>
      <c r="CP105">
        <v>-21.139296167248371</v>
      </c>
      <c r="CQ105">
        <v>2.0847301861008218</v>
      </c>
      <c r="CR105">
        <v>-1</v>
      </c>
      <c r="CS105">
        <v>15.43306341463415</v>
      </c>
      <c r="CT105">
        <v>1.5577045296167249</v>
      </c>
      <c r="CU105">
        <v>0.1538750851575483</v>
      </c>
      <c r="CV105">
        <v>-1</v>
      </c>
      <c r="CW105">
        <v>0</v>
      </c>
      <c r="CX105">
        <v>0</v>
      </c>
      <c r="CY105" t="s">
        <v>333</v>
      </c>
      <c r="CZ105">
        <v>2.3650600000000002</v>
      </c>
      <c r="DA105">
        <v>2.7137500000000001</v>
      </c>
      <c r="DB105">
        <v>0.111204</v>
      </c>
      <c r="DC105">
        <v>0.145735</v>
      </c>
      <c r="DD105">
        <v>0.117076</v>
      </c>
      <c r="DE105">
        <v>5.6090399999999999E-2</v>
      </c>
      <c r="DF105">
        <v>32465.9</v>
      </c>
      <c r="DG105">
        <v>27529.8</v>
      </c>
      <c r="DH105">
        <v>31181.8</v>
      </c>
      <c r="DI105">
        <v>28078.799999999999</v>
      </c>
      <c r="DJ105">
        <v>37370.1</v>
      </c>
      <c r="DK105">
        <v>37678.400000000001</v>
      </c>
      <c r="DL105">
        <v>44373.599999999999</v>
      </c>
      <c r="DM105">
        <v>42545</v>
      </c>
      <c r="DN105">
        <v>1.44052</v>
      </c>
      <c r="DO105">
        <v>2.0628500000000001</v>
      </c>
      <c r="DP105">
        <v>9.3318499999999999E-2</v>
      </c>
      <c r="DQ105">
        <v>0.21299000000000001</v>
      </c>
      <c r="DR105">
        <v>25.455200000000001</v>
      </c>
      <c r="DS105">
        <v>25.448799999999999</v>
      </c>
      <c r="DT105">
        <v>59.1</v>
      </c>
      <c r="DU105">
        <v>26.8</v>
      </c>
      <c r="DV105">
        <v>21.1937</v>
      </c>
      <c r="DW105">
        <v>61.670200000000001</v>
      </c>
      <c r="DX105">
        <v>36.418300000000002</v>
      </c>
      <c r="DY105">
        <v>1</v>
      </c>
      <c r="DZ105">
        <v>-0.14002999999999999</v>
      </c>
      <c r="EA105">
        <v>-0.52463199999999999</v>
      </c>
      <c r="EB105">
        <v>20.189499999999999</v>
      </c>
      <c r="EC105">
        <v>5.2411000000000003</v>
      </c>
      <c r="ED105">
        <v>12.039899999999999</v>
      </c>
      <c r="EE105">
        <v>5.0172499999999998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1.8688400000000001</v>
      </c>
      <c r="EL105">
        <v>1.86449</v>
      </c>
      <c r="EM105">
        <v>1.8691599999999999</v>
      </c>
      <c r="EN105">
        <v>1.8671800000000001</v>
      </c>
      <c r="EO105">
        <v>1.8632599999999999</v>
      </c>
      <c r="EP105">
        <v>1.86432</v>
      </c>
      <c r="EQ105">
        <v>1.87012</v>
      </c>
      <c r="ER105">
        <v>1.8693500000000001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-0.51700000000000002</v>
      </c>
      <c r="FG105">
        <v>0.21110000000000001</v>
      </c>
      <c r="FH105">
        <v>-0.150361779349652</v>
      </c>
      <c r="FI105">
        <v>-6.1462078757559423E-4</v>
      </c>
      <c r="FJ105">
        <v>-1.8861989874597051E-7</v>
      </c>
      <c r="FK105">
        <v>1.1980462299894961E-10</v>
      </c>
      <c r="FL105">
        <v>0.21114761904761539</v>
      </c>
      <c r="FM105">
        <v>0</v>
      </c>
      <c r="FN105">
        <v>0</v>
      </c>
      <c r="FO105">
        <v>0</v>
      </c>
      <c r="FP105">
        <v>3</v>
      </c>
      <c r="FQ105">
        <v>2158</v>
      </c>
      <c r="FR105">
        <v>1</v>
      </c>
      <c r="FS105">
        <v>19</v>
      </c>
      <c r="FT105">
        <v>23.9</v>
      </c>
      <c r="FU105">
        <v>24.1</v>
      </c>
      <c r="FV105">
        <v>1.78101</v>
      </c>
      <c r="FW105">
        <v>2.5708000000000002</v>
      </c>
      <c r="FX105">
        <v>1.5490699999999999</v>
      </c>
      <c r="FY105">
        <v>2.33765</v>
      </c>
      <c r="FZ105">
        <v>1.50146</v>
      </c>
      <c r="GA105">
        <v>2.3706100000000001</v>
      </c>
      <c r="GB105">
        <v>32.046399999999998</v>
      </c>
      <c r="GC105">
        <v>23.982399999999998</v>
      </c>
      <c r="GD105">
        <v>19</v>
      </c>
      <c r="GE105">
        <v>265.60199999999998</v>
      </c>
      <c r="GF105">
        <v>598.36400000000003</v>
      </c>
      <c r="GG105">
        <v>25.673200000000001</v>
      </c>
      <c r="GH105">
        <v>25.674900000000001</v>
      </c>
      <c r="GI105">
        <v>30.0002</v>
      </c>
      <c r="GJ105">
        <v>25.7776</v>
      </c>
      <c r="GK105">
        <v>25.743400000000001</v>
      </c>
      <c r="GL105">
        <v>35.602800000000002</v>
      </c>
      <c r="GM105">
        <v>57.8932</v>
      </c>
      <c r="GN105">
        <v>81.6708</v>
      </c>
      <c r="GO105">
        <v>25.682500000000001</v>
      </c>
      <c r="GP105">
        <v>800</v>
      </c>
      <c r="GQ105">
        <v>9.1940000000000008</v>
      </c>
      <c r="GR105">
        <v>99.767200000000003</v>
      </c>
      <c r="GS105">
        <v>99.539400000000001</v>
      </c>
    </row>
    <row r="106" spans="1:201" x14ac:dyDescent="0.25">
      <c r="A106">
        <v>90</v>
      </c>
      <c r="B106">
        <v>1690377656</v>
      </c>
      <c r="C106">
        <v>939.5</v>
      </c>
      <c r="D106" t="s">
        <v>513</v>
      </c>
      <c r="E106" t="s">
        <v>514</v>
      </c>
      <c r="F106" t="s">
        <v>330</v>
      </c>
      <c r="H106">
        <v>1690377656</v>
      </c>
      <c r="I106">
        <f t="shared" si="30"/>
        <v>1.4251179227843802E-3</v>
      </c>
      <c r="J106">
        <f t="shared" si="31"/>
        <v>1.4251179227843802</v>
      </c>
      <c r="K106">
        <f t="shared" si="32"/>
        <v>22.3656105308979</v>
      </c>
      <c r="L106">
        <f t="shared" si="33"/>
        <v>534.279</v>
      </c>
      <c r="M106">
        <f t="shared" si="34"/>
        <v>129.53892610329109</v>
      </c>
      <c r="N106">
        <f t="shared" si="35"/>
        <v>12.791408515490103</v>
      </c>
      <c r="O106">
        <f t="shared" si="36"/>
        <v>52.757739745334405</v>
      </c>
      <c r="P106">
        <f t="shared" si="37"/>
        <v>9.2254662224961884E-2</v>
      </c>
      <c r="Q106">
        <f t="shared" si="38"/>
        <v>2.0077101597097995</v>
      </c>
      <c r="R106">
        <f t="shared" si="39"/>
        <v>8.9962701146607649E-2</v>
      </c>
      <c r="S106">
        <f t="shared" si="40"/>
        <v>5.6427869182788352E-2</v>
      </c>
      <c r="T106">
        <f t="shared" si="41"/>
        <v>276.11616882600003</v>
      </c>
      <c r="U106">
        <f t="shared" si="42"/>
        <v>28.866047294213892</v>
      </c>
      <c r="V106">
        <f t="shared" si="43"/>
        <v>28.866047294213892</v>
      </c>
      <c r="W106">
        <f t="shared" si="44"/>
        <v>3.9907041990242438</v>
      </c>
      <c r="X106">
        <f t="shared" si="45"/>
        <v>68.872270739281731</v>
      </c>
      <c r="Y106">
        <f t="shared" si="46"/>
        <v>2.4776869437017597</v>
      </c>
      <c r="Z106">
        <f t="shared" si="47"/>
        <v>3.5975101693410481</v>
      </c>
      <c r="AA106">
        <f t="shared" si="48"/>
        <v>1.5130172553224841</v>
      </c>
      <c r="AB106">
        <f t="shared" si="49"/>
        <v>-62.847700394791168</v>
      </c>
      <c r="AC106">
        <f t="shared" si="50"/>
        <v>-192.55266830485652</v>
      </c>
      <c r="AD106">
        <f t="shared" si="51"/>
        <v>-20.900737309518536</v>
      </c>
      <c r="AE106">
        <f t="shared" si="52"/>
        <v>-0.18493718316619834</v>
      </c>
      <c r="AF106">
        <v>12</v>
      </c>
      <c r="AG106">
        <v>4</v>
      </c>
      <c r="AH106">
        <f t="shared" si="53"/>
        <v>1</v>
      </c>
      <c r="AI106">
        <f t="shared" si="54"/>
        <v>0</v>
      </c>
      <c r="AJ106">
        <f t="shared" si="55"/>
        <v>52167.921174571893</v>
      </c>
      <c r="AK106">
        <f t="shared" si="56"/>
        <v>1800</v>
      </c>
      <c r="AL106">
        <f t="shared" si="57"/>
        <v>1499.1098076000001</v>
      </c>
      <c r="AM106">
        <f t="shared" si="58"/>
        <v>0.83283878200000006</v>
      </c>
      <c r="AN106">
        <f t="shared" si="59"/>
        <v>0.15339787157000001</v>
      </c>
      <c r="AO106">
        <v>34.5</v>
      </c>
      <c r="AP106">
        <v>0.5</v>
      </c>
      <c r="AQ106" t="s">
        <v>331</v>
      </c>
      <c r="AR106">
        <v>2</v>
      </c>
      <c r="AS106">
        <v>1690377656</v>
      </c>
      <c r="AT106">
        <v>534.279</v>
      </c>
      <c r="AU106">
        <v>800.12099999999998</v>
      </c>
      <c r="AV106">
        <v>25.0916</v>
      </c>
      <c r="AW106">
        <v>9.1211000000000002</v>
      </c>
      <c r="AX106">
        <v>534.79399999999998</v>
      </c>
      <c r="AY106">
        <v>24.880500000000001</v>
      </c>
      <c r="AZ106">
        <v>300.13400000000001</v>
      </c>
      <c r="BA106">
        <v>98.645700000000005</v>
      </c>
      <c r="BB106">
        <v>9.9973599999999996E-2</v>
      </c>
      <c r="BC106">
        <v>27.0871</v>
      </c>
      <c r="BD106">
        <v>26.992999999999999</v>
      </c>
      <c r="BE106">
        <v>28.9269</v>
      </c>
      <c r="BF106">
        <v>0</v>
      </c>
      <c r="BG106">
        <v>0</v>
      </c>
      <c r="BH106">
        <v>10004.4</v>
      </c>
      <c r="BI106">
        <v>1082.58</v>
      </c>
      <c r="BJ106">
        <v>1.5137799999999999</v>
      </c>
      <c r="BK106">
        <v>-265.84199999999998</v>
      </c>
      <c r="BL106">
        <v>548.03</v>
      </c>
      <c r="BM106">
        <v>807.48699999999997</v>
      </c>
      <c r="BN106">
        <v>15.970499999999999</v>
      </c>
      <c r="BO106">
        <v>800.12099999999998</v>
      </c>
      <c r="BP106">
        <v>9.1211000000000002</v>
      </c>
      <c r="BQ106">
        <v>2.4751799999999999</v>
      </c>
      <c r="BR106">
        <v>0.89975799999999995</v>
      </c>
      <c r="BS106">
        <v>20.8642</v>
      </c>
      <c r="BT106">
        <v>5.3868600000000004</v>
      </c>
      <c r="BU106">
        <v>1800</v>
      </c>
      <c r="BV106">
        <v>0.90998100000000004</v>
      </c>
      <c r="BW106">
        <v>3.3998800000000003E-2</v>
      </c>
      <c r="BX106">
        <v>2.2006100000000001E-2</v>
      </c>
      <c r="BY106">
        <v>3.4013700000000001E-2</v>
      </c>
      <c r="BZ106">
        <v>25</v>
      </c>
      <c r="CA106">
        <v>33528.300000000003</v>
      </c>
      <c r="CB106">
        <v>1690376213.5999999</v>
      </c>
      <c r="CC106" t="s">
        <v>332</v>
      </c>
      <c r="CD106">
        <v>1690376213.5999999</v>
      </c>
      <c r="CE106">
        <v>1690376198.0999999</v>
      </c>
      <c r="CF106">
        <v>2</v>
      </c>
      <c r="CG106">
        <v>0.66900000000000004</v>
      </c>
      <c r="CH106">
        <v>-2.1000000000000001E-2</v>
      </c>
      <c r="CI106">
        <v>-0.70099999999999996</v>
      </c>
      <c r="CJ106">
        <v>0.21099999999999999</v>
      </c>
      <c r="CK106">
        <v>799</v>
      </c>
      <c r="CL106">
        <v>21</v>
      </c>
      <c r="CM106">
        <v>0.11</v>
      </c>
      <c r="CN106">
        <v>0.17</v>
      </c>
      <c r="CO106">
        <v>-262.20173170731709</v>
      </c>
      <c r="CP106">
        <v>-21.038529616724151</v>
      </c>
      <c r="CQ106">
        <v>2.0747218682170558</v>
      </c>
      <c r="CR106">
        <v>-1</v>
      </c>
      <c r="CS106">
        <v>15.69463414634146</v>
      </c>
      <c r="CT106">
        <v>1.629541463414629</v>
      </c>
      <c r="CU106">
        <v>0.1607393885429122</v>
      </c>
      <c r="CV106">
        <v>-1</v>
      </c>
      <c r="CW106">
        <v>0</v>
      </c>
      <c r="CX106">
        <v>0</v>
      </c>
      <c r="CY106" t="s">
        <v>333</v>
      </c>
      <c r="CZ106">
        <v>2.3650799999999998</v>
      </c>
      <c r="DA106">
        <v>2.7137699999999998</v>
      </c>
      <c r="DB106">
        <v>0.110695</v>
      </c>
      <c r="DC106">
        <v>0.14573700000000001</v>
      </c>
      <c r="DD106">
        <v>0.117108</v>
      </c>
      <c r="DE106">
        <v>5.4939500000000002E-2</v>
      </c>
      <c r="DF106">
        <v>32484.5</v>
      </c>
      <c r="DG106">
        <v>27529.7</v>
      </c>
      <c r="DH106">
        <v>31181.9</v>
      </c>
      <c r="DI106">
        <v>28078.799999999999</v>
      </c>
      <c r="DJ106">
        <v>37368.699999999997</v>
      </c>
      <c r="DK106">
        <v>37724.300000000003</v>
      </c>
      <c r="DL106">
        <v>44373.599999999999</v>
      </c>
      <c r="DM106">
        <v>42544.9</v>
      </c>
      <c r="DN106">
        <v>1.4411</v>
      </c>
      <c r="DO106">
        <v>2.0625300000000002</v>
      </c>
      <c r="DP106">
        <v>9.3918299999999996E-2</v>
      </c>
      <c r="DQ106">
        <v>0.21274000000000001</v>
      </c>
      <c r="DR106">
        <v>25.455200000000001</v>
      </c>
      <c r="DS106">
        <v>25.448799999999999</v>
      </c>
      <c r="DT106">
        <v>58.8</v>
      </c>
      <c r="DU106">
        <v>26.8</v>
      </c>
      <c r="DV106">
        <v>21.083600000000001</v>
      </c>
      <c r="DW106">
        <v>61.390099999999997</v>
      </c>
      <c r="DX106">
        <v>36.450299999999999</v>
      </c>
      <c r="DY106">
        <v>1</v>
      </c>
      <c r="DZ106">
        <v>-0.13986499999999999</v>
      </c>
      <c r="EA106">
        <v>-0.56105099999999997</v>
      </c>
      <c r="EB106">
        <v>20.1892</v>
      </c>
      <c r="EC106">
        <v>5.24125</v>
      </c>
      <c r="ED106">
        <v>12.039899999999999</v>
      </c>
      <c r="EE106">
        <v>5.0176499999999997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1.86887</v>
      </c>
      <c r="EL106">
        <v>1.86449</v>
      </c>
      <c r="EM106">
        <v>1.8691800000000001</v>
      </c>
      <c r="EN106">
        <v>1.8671800000000001</v>
      </c>
      <c r="EO106">
        <v>1.86327</v>
      </c>
      <c r="EP106">
        <v>1.86432</v>
      </c>
      <c r="EQ106">
        <v>1.8701099999999999</v>
      </c>
      <c r="ER106">
        <v>1.8693500000000001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-0.51500000000000001</v>
      </c>
      <c r="FG106">
        <v>0.21110000000000001</v>
      </c>
      <c r="FH106">
        <v>-0.150361779349652</v>
      </c>
      <c r="FI106">
        <v>-6.1462078757559423E-4</v>
      </c>
      <c r="FJ106">
        <v>-1.8861989874597051E-7</v>
      </c>
      <c r="FK106">
        <v>1.1980462299894961E-10</v>
      </c>
      <c r="FL106">
        <v>0.21114761904761539</v>
      </c>
      <c r="FM106">
        <v>0</v>
      </c>
      <c r="FN106">
        <v>0</v>
      </c>
      <c r="FO106">
        <v>0</v>
      </c>
      <c r="FP106">
        <v>3</v>
      </c>
      <c r="FQ106">
        <v>2158</v>
      </c>
      <c r="FR106">
        <v>1</v>
      </c>
      <c r="FS106">
        <v>19</v>
      </c>
      <c r="FT106">
        <v>24</v>
      </c>
      <c r="FU106">
        <v>24.3</v>
      </c>
      <c r="FV106">
        <v>1.77979</v>
      </c>
      <c r="FW106">
        <v>2.5671400000000002</v>
      </c>
      <c r="FX106">
        <v>1.5490699999999999</v>
      </c>
      <c r="FY106">
        <v>2.33643</v>
      </c>
      <c r="FZ106">
        <v>1.50146</v>
      </c>
      <c r="GA106">
        <v>2.3815900000000001</v>
      </c>
      <c r="GB106">
        <v>32.046399999999998</v>
      </c>
      <c r="GC106">
        <v>23.991199999999999</v>
      </c>
      <c r="GD106">
        <v>19</v>
      </c>
      <c r="GE106">
        <v>265.834</v>
      </c>
      <c r="GF106">
        <v>598.09100000000001</v>
      </c>
      <c r="GG106">
        <v>25.694900000000001</v>
      </c>
      <c r="GH106">
        <v>25.6755</v>
      </c>
      <c r="GI106">
        <v>30.0002</v>
      </c>
      <c r="GJ106">
        <v>25.7776</v>
      </c>
      <c r="GK106">
        <v>25.743400000000001</v>
      </c>
      <c r="GL106">
        <v>35.593400000000003</v>
      </c>
      <c r="GM106">
        <v>58.777900000000002</v>
      </c>
      <c r="GN106">
        <v>80.886700000000005</v>
      </c>
      <c r="GO106">
        <v>25.7072</v>
      </c>
      <c r="GP106">
        <v>800</v>
      </c>
      <c r="GQ106">
        <v>8.9502100000000002</v>
      </c>
      <c r="GR106">
        <v>99.767200000000003</v>
      </c>
      <c r="GS106">
        <v>99.539299999999997</v>
      </c>
    </row>
    <row r="107" spans="1:201" x14ac:dyDescent="0.25">
      <c r="A107">
        <v>91</v>
      </c>
      <c r="B107">
        <v>1690377666</v>
      </c>
      <c r="C107">
        <v>949.5</v>
      </c>
      <c r="D107" t="s">
        <v>515</v>
      </c>
      <c r="E107" t="s">
        <v>516</v>
      </c>
      <c r="F107" t="s">
        <v>330</v>
      </c>
      <c r="H107">
        <v>1690377666</v>
      </c>
      <c r="I107">
        <f t="shared" si="30"/>
        <v>1.4484452545288609E-3</v>
      </c>
      <c r="J107">
        <f t="shared" si="31"/>
        <v>1.4484452545288609</v>
      </c>
      <c r="K107">
        <f t="shared" si="32"/>
        <v>22.650886597856541</v>
      </c>
      <c r="L107">
        <f t="shared" si="33"/>
        <v>530.81899999999996</v>
      </c>
      <c r="M107">
        <f t="shared" si="34"/>
        <v>127.77265159846809</v>
      </c>
      <c r="N107">
        <f t="shared" si="35"/>
        <v>12.616955202518792</v>
      </c>
      <c r="O107">
        <f t="shared" si="36"/>
        <v>52.415907941649998</v>
      </c>
      <c r="P107">
        <f t="shared" si="37"/>
        <v>9.3852357269426395E-2</v>
      </c>
      <c r="Q107">
        <f t="shared" si="38"/>
        <v>2.0056083029977305</v>
      </c>
      <c r="R107">
        <f t="shared" si="39"/>
        <v>9.1479004711710457E-2</v>
      </c>
      <c r="S107">
        <f t="shared" si="40"/>
        <v>5.7382615338895604E-2</v>
      </c>
      <c r="T107">
        <f t="shared" si="41"/>
        <v>276.11495778349024</v>
      </c>
      <c r="U107">
        <f t="shared" si="42"/>
        <v>28.867217126378119</v>
      </c>
      <c r="V107">
        <f t="shared" si="43"/>
        <v>28.867217126378119</v>
      </c>
      <c r="W107">
        <f t="shared" si="44"/>
        <v>3.9909746176811196</v>
      </c>
      <c r="X107">
        <f t="shared" si="45"/>
        <v>68.867568647422161</v>
      </c>
      <c r="Y107">
        <f t="shared" si="46"/>
        <v>2.478695901165</v>
      </c>
      <c r="Z107">
        <f t="shared" si="47"/>
        <v>3.5992208667261876</v>
      </c>
      <c r="AA107">
        <f t="shared" si="48"/>
        <v>1.5122787165161196</v>
      </c>
      <c r="AB107">
        <f t="shared" si="49"/>
        <v>-63.876435724722768</v>
      </c>
      <c r="AC107">
        <f t="shared" si="50"/>
        <v>-191.6017525737482</v>
      </c>
      <c r="AD107">
        <f t="shared" si="51"/>
        <v>-20.820275635543691</v>
      </c>
      <c r="AE107">
        <f t="shared" si="52"/>
        <v>-0.18350615052440844</v>
      </c>
      <c r="AF107">
        <v>12</v>
      </c>
      <c r="AG107">
        <v>4</v>
      </c>
      <c r="AH107">
        <f t="shared" si="53"/>
        <v>1</v>
      </c>
      <c r="AI107">
        <f t="shared" si="54"/>
        <v>0</v>
      </c>
      <c r="AJ107">
        <f t="shared" si="55"/>
        <v>52066.106312315555</v>
      </c>
      <c r="AK107">
        <f t="shared" si="56"/>
        <v>1799.99</v>
      </c>
      <c r="AL107">
        <f t="shared" si="57"/>
        <v>1499.1018770099699</v>
      </c>
      <c r="AM107">
        <f t="shared" si="58"/>
        <v>0.83283900299999991</v>
      </c>
      <c r="AN107">
        <f t="shared" si="59"/>
        <v>0.15339805098000001</v>
      </c>
      <c r="AO107">
        <v>34.5</v>
      </c>
      <c r="AP107">
        <v>0.5</v>
      </c>
      <c r="AQ107" t="s">
        <v>331</v>
      </c>
      <c r="AR107">
        <v>2</v>
      </c>
      <c r="AS107">
        <v>1690377666</v>
      </c>
      <c r="AT107">
        <v>530.81899999999996</v>
      </c>
      <c r="AU107">
        <v>800.01599999999996</v>
      </c>
      <c r="AV107">
        <v>25.101900000000001</v>
      </c>
      <c r="AW107">
        <v>8.8707499999999992</v>
      </c>
      <c r="AX107">
        <v>531.33100000000002</v>
      </c>
      <c r="AY107">
        <v>24.890799999999999</v>
      </c>
      <c r="AZ107">
        <v>300.14499999999998</v>
      </c>
      <c r="BA107">
        <v>98.645200000000003</v>
      </c>
      <c r="BB107">
        <v>0.10015</v>
      </c>
      <c r="BC107">
        <v>27.095199999999998</v>
      </c>
      <c r="BD107">
        <v>26.993400000000001</v>
      </c>
      <c r="BE107">
        <v>28.936599999999999</v>
      </c>
      <c r="BF107">
        <v>0</v>
      </c>
      <c r="BG107">
        <v>0</v>
      </c>
      <c r="BH107">
        <v>9984.3799999999992</v>
      </c>
      <c r="BI107">
        <v>1082.6600000000001</v>
      </c>
      <c r="BJ107">
        <v>1.5137799999999999</v>
      </c>
      <c r="BK107">
        <v>-269.197</v>
      </c>
      <c r="BL107">
        <v>544.48699999999997</v>
      </c>
      <c r="BM107">
        <v>807.17700000000002</v>
      </c>
      <c r="BN107">
        <v>16.231200000000001</v>
      </c>
      <c r="BO107">
        <v>800.01599999999996</v>
      </c>
      <c r="BP107">
        <v>8.8707499999999992</v>
      </c>
      <c r="BQ107">
        <v>2.4761899999999999</v>
      </c>
      <c r="BR107">
        <v>0.87505699999999997</v>
      </c>
      <c r="BS107">
        <v>20.870799999999999</v>
      </c>
      <c r="BT107">
        <v>4.9869300000000001</v>
      </c>
      <c r="BU107">
        <v>1799.99</v>
      </c>
      <c r="BV107">
        <v>0.90998000000000001</v>
      </c>
      <c r="BW107">
        <v>3.3997800000000002E-2</v>
      </c>
      <c r="BX107">
        <v>2.2008900000000001E-2</v>
      </c>
      <c r="BY107">
        <v>3.4012800000000003E-2</v>
      </c>
      <c r="BZ107">
        <v>25</v>
      </c>
      <c r="CA107">
        <v>33528.1</v>
      </c>
      <c r="CB107">
        <v>1690376213.5999999</v>
      </c>
      <c r="CC107" t="s">
        <v>332</v>
      </c>
      <c r="CD107">
        <v>1690376213.5999999</v>
      </c>
      <c r="CE107">
        <v>1690376198.0999999</v>
      </c>
      <c r="CF107">
        <v>2</v>
      </c>
      <c r="CG107">
        <v>0.66900000000000004</v>
      </c>
      <c r="CH107">
        <v>-2.1000000000000001E-2</v>
      </c>
      <c r="CI107">
        <v>-0.70099999999999996</v>
      </c>
      <c r="CJ107">
        <v>0.21099999999999999</v>
      </c>
      <c r="CK107">
        <v>799</v>
      </c>
      <c r="CL107">
        <v>21</v>
      </c>
      <c r="CM107">
        <v>0.11</v>
      </c>
      <c r="CN107">
        <v>0.17</v>
      </c>
      <c r="CO107">
        <v>-265.32131707317069</v>
      </c>
      <c r="CP107">
        <v>-20.76031358884995</v>
      </c>
      <c r="CQ107">
        <v>2.047546139198706</v>
      </c>
      <c r="CR107">
        <v>-1</v>
      </c>
      <c r="CS107">
        <v>15.93612195121951</v>
      </c>
      <c r="CT107">
        <v>1.5952160278746179</v>
      </c>
      <c r="CU107">
        <v>0.1573654415717464</v>
      </c>
      <c r="CV107">
        <v>-1</v>
      </c>
      <c r="CW107">
        <v>0</v>
      </c>
      <c r="CX107">
        <v>0</v>
      </c>
      <c r="CY107" t="s">
        <v>333</v>
      </c>
      <c r="CZ107">
        <v>2.3651200000000001</v>
      </c>
      <c r="DA107">
        <v>2.71393</v>
      </c>
      <c r="DB107">
        <v>0.110175</v>
      </c>
      <c r="DC107">
        <v>0.14571600000000001</v>
      </c>
      <c r="DD107">
        <v>0.11713999999999999</v>
      </c>
      <c r="DE107">
        <v>5.3760299999999997E-2</v>
      </c>
      <c r="DF107">
        <v>32503.1</v>
      </c>
      <c r="DG107">
        <v>27530.799999999999</v>
      </c>
      <c r="DH107">
        <v>31181.5</v>
      </c>
      <c r="DI107">
        <v>28079.200000000001</v>
      </c>
      <c r="DJ107">
        <v>37367</v>
      </c>
      <c r="DK107">
        <v>37772</v>
      </c>
      <c r="DL107">
        <v>44373.2</v>
      </c>
      <c r="DM107">
        <v>42545.5</v>
      </c>
      <c r="DN107">
        <v>1.4412</v>
      </c>
      <c r="DO107">
        <v>2.0620500000000002</v>
      </c>
      <c r="DP107">
        <v>9.3810299999999999E-2</v>
      </c>
      <c r="DQ107">
        <v>0.213336</v>
      </c>
      <c r="DR107">
        <v>25.4573</v>
      </c>
      <c r="DS107">
        <v>25.448799999999999</v>
      </c>
      <c r="DT107">
        <v>58.6</v>
      </c>
      <c r="DU107">
        <v>26.8</v>
      </c>
      <c r="DV107">
        <v>21.011800000000001</v>
      </c>
      <c r="DW107">
        <v>61.440100000000001</v>
      </c>
      <c r="DX107">
        <v>36.382199999999997</v>
      </c>
      <c r="DY107">
        <v>1</v>
      </c>
      <c r="DZ107">
        <v>-0.13994899999999999</v>
      </c>
      <c r="EA107">
        <v>-0.52538899999999999</v>
      </c>
      <c r="EB107">
        <v>20.189299999999999</v>
      </c>
      <c r="EC107">
        <v>5.2406499999999996</v>
      </c>
      <c r="ED107">
        <v>12.039899999999999</v>
      </c>
      <c r="EE107">
        <v>5.0165499999999996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1.86883</v>
      </c>
      <c r="EL107">
        <v>1.8644700000000001</v>
      </c>
      <c r="EM107">
        <v>1.8691599999999999</v>
      </c>
      <c r="EN107">
        <v>1.8671599999999999</v>
      </c>
      <c r="EO107">
        <v>1.8632599999999999</v>
      </c>
      <c r="EP107">
        <v>1.86432</v>
      </c>
      <c r="EQ107">
        <v>1.87012</v>
      </c>
      <c r="ER107">
        <v>1.8693500000000001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-0.51200000000000001</v>
      </c>
      <c r="FG107">
        <v>0.21110000000000001</v>
      </c>
      <c r="FH107">
        <v>-0.150361779349652</v>
      </c>
      <c r="FI107">
        <v>-6.1462078757559423E-4</v>
      </c>
      <c r="FJ107">
        <v>-1.8861989874597051E-7</v>
      </c>
      <c r="FK107">
        <v>1.1980462299894961E-10</v>
      </c>
      <c r="FL107">
        <v>0.21114761904761539</v>
      </c>
      <c r="FM107">
        <v>0</v>
      </c>
      <c r="FN107">
        <v>0</v>
      </c>
      <c r="FO107">
        <v>0</v>
      </c>
      <c r="FP107">
        <v>3</v>
      </c>
      <c r="FQ107">
        <v>2158</v>
      </c>
      <c r="FR107">
        <v>1</v>
      </c>
      <c r="FS107">
        <v>19</v>
      </c>
      <c r="FT107">
        <v>24.2</v>
      </c>
      <c r="FU107">
        <v>24.5</v>
      </c>
      <c r="FV107">
        <v>1.77979</v>
      </c>
      <c r="FW107">
        <v>2.5659200000000002</v>
      </c>
      <c r="FX107">
        <v>1.5490699999999999</v>
      </c>
      <c r="FY107">
        <v>2.33765</v>
      </c>
      <c r="FZ107">
        <v>1.50146</v>
      </c>
      <c r="GA107">
        <v>2.3754900000000001</v>
      </c>
      <c r="GB107">
        <v>32.068399999999997</v>
      </c>
      <c r="GC107">
        <v>23.991199999999999</v>
      </c>
      <c r="GD107">
        <v>19</v>
      </c>
      <c r="GE107">
        <v>265.875</v>
      </c>
      <c r="GF107">
        <v>597.69799999999998</v>
      </c>
      <c r="GG107">
        <v>25.711400000000001</v>
      </c>
      <c r="GH107">
        <v>25.6755</v>
      </c>
      <c r="GI107">
        <v>30.0001</v>
      </c>
      <c r="GJ107">
        <v>25.7776</v>
      </c>
      <c r="GK107">
        <v>25.744</v>
      </c>
      <c r="GL107">
        <v>35.5869</v>
      </c>
      <c r="GM107">
        <v>59.3337</v>
      </c>
      <c r="GN107">
        <v>80.138499999999993</v>
      </c>
      <c r="GO107">
        <v>25.711300000000001</v>
      </c>
      <c r="GP107">
        <v>800</v>
      </c>
      <c r="GQ107">
        <v>8.7047799999999995</v>
      </c>
      <c r="GR107">
        <v>99.766199999999998</v>
      </c>
      <c r="GS107">
        <v>99.540599999999998</v>
      </c>
    </row>
    <row r="108" spans="1:201" x14ac:dyDescent="0.25">
      <c r="A108">
        <v>92</v>
      </c>
      <c r="B108">
        <v>1690377676</v>
      </c>
      <c r="C108">
        <v>959.5</v>
      </c>
      <c r="D108" t="s">
        <v>517</v>
      </c>
      <c r="E108" t="s">
        <v>518</v>
      </c>
      <c r="F108" t="s">
        <v>330</v>
      </c>
      <c r="H108">
        <v>1690377676</v>
      </c>
      <c r="I108">
        <f t="shared" si="30"/>
        <v>1.4712961953614494E-3</v>
      </c>
      <c r="J108">
        <f t="shared" si="31"/>
        <v>1.4712961953614494</v>
      </c>
      <c r="K108">
        <f t="shared" si="32"/>
        <v>22.937210337017454</v>
      </c>
      <c r="L108">
        <f t="shared" si="33"/>
        <v>527.40200000000004</v>
      </c>
      <c r="M108">
        <f t="shared" si="34"/>
        <v>126.41950355966819</v>
      </c>
      <c r="N108">
        <f t="shared" si="35"/>
        <v>12.48354616176074</v>
      </c>
      <c r="O108">
        <f t="shared" si="36"/>
        <v>52.079362973431202</v>
      </c>
      <c r="P108">
        <f t="shared" si="37"/>
        <v>9.5560769727573908E-2</v>
      </c>
      <c r="Q108">
        <f t="shared" si="38"/>
        <v>2.0024115085304306</v>
      </c>
      <c r="R108">
        <f t="shared" si="39"/>
        <v>9.3097627643943762E-2</v>
      </c>
      <c r="S108">
        <f t="shared" si="40"/>
        <v>5.8402032732664713E-2</v>
      </c>
      <c r="T108">
        <f t="shared" si="41"/>
        <v>276.11651962800005</v>
      </c>
      <c r="U108">
        <f t="shared" si="42"/>
        <v>28.859560975697921</v>
      </c>
      <c r="V108">
        <f t="shared" si="43"/>
        <v>28.859560975697921</v>
      </c>
      <c r="W108">
        <f t="shared" si="44"/>
        <v>3.9892051101184962</v>
      </c>
      <c r="X108">
        <f t="shared" si="45"/>
        <v>68.903979617179516</v>
      </c>
      <c r="Y108">
        <f t="shared" si="46"/>
        <v>2.4797444282067604</v>
      </c>
      <c r="Z108">
        <f t="shared" si="47"/>
        <v>3.5988406504005419</v>
      </c>
      <c r="AA108">
        <f t="shared" si="48"/>
        <v>1.5094606819117358</v>
      </c>
      <c r="AB108">
        <f t="shared" si="49"/>
        <v>-64.884162215439915</v>
      </c>
      <c r="AC108">
        <f t="shared" si="50"/>
        <v>-190.66415830376042</v>
      </c>
      <c r="AD108">
        <f t="shared" si="51"/>
        <v>-20.750489811893551</v>
      </c>
      <c r="AE108">
        <f t="shared" si="52"/>
        <v>-0.18229070309382678</v>
      </c>
      <c r="AF108">
        <v>11</v>
      </c>
      <c r="AG108">
        <v>4</v>
      </c>
      <c r="AH108">
        <f t="shared" si="53"/>
        <v>1</v>
      </c>
      <c r="AI108">
        <f t="shared" si="54"/>
        <v>0</v>
      </c>
      <c r="AJ108">
        <f t="shared" si="55"/>
        <v>51914.036805858101</v>
      </c>
      <c r="AK108">
        <f t="shared" si="56"/>
        <v>1800</v>
      </c>
      <c r="AL108">
        <f t="shared" si="57"/>
        <v>1499.1113178000001</v>
      </c>
      <c r="AM108">
        <f t="shared" si="58"/>
        <v>0.83283962099999997</v>
      </c>
      <c r="AN108">
        <f t="shared" si="59"/>
        <v>0.15339806646000004</v>
      </c>
      <c r="AO108">
        <v>34.5</v>
      </c>
      <c r="AP108">
        <v>0.5</v>
      </c>
      <c r="AQ108" t="s">
        <v>331</v>
      </c>
      <c r="AR108">
        <v>2</v>
      </c>
      <c r="AS108">
        <v>1690377676</v>
      </c>
      <c r="AT108">
        <v>527.40200000000004</v>
      </c>
      <c r="AU108">
        <v>800.01900000000001</v>
      </c>
      <c r="AV108">
        <v>25.112100000000002</v>
      </c>
      <c r="AW108">
        <v>8.6221999999999994</v>
      </c>
      <c r="AX108">
        <v>527.91200000000003</v>
      </c>
      <c r="AY108">
        <v>24.901</v>
      </c>
      <c r="AZ108">
        <v>300.09300000000002</v>
      </c>
      <c r="BA108">
        <v>98.647000000000006</v>
      </c>
      <c r="BB108">
        <v>9.9995600000000004E-2</v>
      </c>
      <c r="BC108">
        <v>27.093399999999999</v>
      </c>
      <c r="BD108">
        <v>26.996200000000002</v>
      </c>
      <c r="BE108">
        <v>28.939</v>
      </c>
      <c r="BF108">
        <v>0</v>
      </c>
      <c r="BG108">
        <v>0</v>
      </c>
      <c r="BH108">
        <v>9953.75</v>
      </c>
      <c r="BI108">
        <v>1082.76</v>
      </c>
      <c r="BJ108">
        <v>1.5137799999999999</v>
      </c>
      <c r="BK108">
        <v>-272.61599999999999</v>
      </c>
      <c r="BL108">
        <v>540.98699999999997</v>
      </c>
      <c r="BM108">
        <v>806.97699999999998</v>
      </c>
      <c r="BN108">
        <v>16.489899999999999</v>
      </c>
      <c r="BO108">
        <v>800.01900000000001</v>
      </c>
      <c r="BP108">
        <v>8.6221999999999994</v>
      </c>
      <c r="BQ108">
        <v>2.47723</v>
      </c>
      <c r="BR108">
        <v>0.85055400000000003</v>
      </c>
      <c r="BS108">
        <v>20.877700000000001</v>
      </c>
      <c r="BT108">
        <v>4.5802199999999997</v>
      </c>
      <c r="BU108">
        <v>1800</v>
      </c>
      <c r="BV108">
        <v>0.90998299999999999</v>
      </c>
      <c r="BW108">
        <v>3.3996899999999997E-2</v>
      </c>
      <c r="BX108">
        <v>2.2008300000000001E-2</v>
      </c>
      <c r="BY108">
        <v>3.4011800000000002E-2</v>
      </c>
      <c r="BZ108">
        <v>25</v>
      </c>
      <c r="CA108">
        <v>33528.199999999997</v>
      </c>
      <c r="CB108">
        <v>1690376213.5999999</v>
      </c>
      <c r="CC108" t="s">
        <v>332</v>
      </c>
      <c r="CD108">
        <v>1690376213.5999999</v>
      </c>
      <c r="CE108">
        <v>1690376198.0999999</v>
      </c>
      <c r="CF108">
        <v>2</v>
      </c>
      <c r="CG108">
        <v>0.66900000000000004</v>
      </c>
      <c r="CH108">
        <v>-2.1000000000000001E-2</v>
      </c>
      <c r="CI108">
        <v>-0.70099999999999996</v>
      </c>
      <c r="CJ108">
        <v>0.21099999999999999</v>
      </c>
      <c r="CK108">
        <v>799</v>
      </c>
      <c r="CL108">
        <v>21</v>
      </c>
      <c r="CM108">
        <v>0.11</v>
      </c>
      <c r="CN108">
        <v>0.17</v>
      </c>
      <c r="CO108">
        <v>-269.00380000000001</v>
      </c>
      <c r="CP108">
        <v>-20.365891181988069</v>
      </c>
      <c r="CQ108">
        <v>1.960124692462192</v>
      </c>
      <c r="CR108">
        <v>-1</v>
      </c>
      <c r="CS108">
        <v>16.212972499999999</v>
      </c>
      <c r="CT108">
        <v>1.5259913696060099</v>
      </c>
      <c r="CU108">
        <v>0.14692917849681891</v>
      </c>
      <c r="CV108">
        <v>-1</v>
      </c>
      <c r="CW108">
        <v>0</v>
      </c>
      <c r="CX108">
        <v>0</v>
      </c>
      <c r="CY108" t="s">
        <v>333</v>
      </c>
      <c r="CZ108">
        <v>2.3649499999999999</v>
      </c>
      <c r="DA108">
        <v>2.71374</v>
      </c>
      <c r="DB108">
        <v>0.109665</v>
      </c>
      <c r="DC108">
        <v>0.14571400000000001</v>
      </c>
      <c r="DD108">
        <v>0.117176</v>
      </c>
      <c r="DE108">
        <v>5.2580500000000002E-2</v>
      </c>
      <c r="DF108">
        <v>32522.2</v>
      </c>
      <c r="DG108">
        <v>27531.1</v>
      </c>
      <c r="DH108">
        <v>31181.9</v>
      </c>
      <c r="DI108">
        <v>28079.4</v>
      </c>
      <c r="DJ108">
        <v>37365.800000000003</v>
      </c>
      <c r="DK108">
        <v>37819.699999999997</v>
      </c>
      <c r="DL108">
        <v>44373.8</v>
      </c>
      <c r="DM108">
        <v>42546</v>
      </c>
      <c r="DN108">
        <v>1.4416199999999999</v>
      </c>
      <c r="DO108">
        <v>2.0618500000000002</v>
      </c>
      <c r="DP108">
        <v>9.3981599999999998E-2</v>
      </c>
      <c r="DQ108">
        <v>0.213481</v>
      </c>
      <c r="DR108">
        <v>25.4573</v>
      </c>
      <c r="DS108">
        <v>25.448799999999999</v>
      </c>
      <c r="DT108">
        <v>58.4</v>
      </c>
      <c r="DU108">
        <v>26.8</v>
      </c>
      <c r="DV108">
        <v>20.942699999999999</v>
      </c>
      <c r="DW108">
        <v>61.700099999999999</v>
      </c>
      <c r="DX108">
        <v>36.366199999999999</v>
      </c>
      <c r="DY108">
        <v>1</v>
      </c>
      <c r="DZ108">
        <v>-0.13945099999999999</v>
      </c>
      <c r="EA108">
        <v>-0.525362</v>
      </c>
      <c r="EB108">
        <v>20.1892</v>
      </c>
      <c r="EC108">
        <v>5.2409499999999998</v>
      </c>
      <c r="ED108">
        <v>12.039899999999999</v>
      </c>
      <c r="EE108">
        <v>5.0172499999999998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1.8688400000000001</v>
      </c>
      <c r="EL108">
        <v>1.8644799999999999</v>
      </c>
      <c r="EM108">
        <v>1.8691500000000001</v>
      </c>
      <c r="EN108">
        <v>1.8671800000000001</v>
      </c>
      <c r="EO108">
        <v>1.8632599999999999</v>
      </c>
      <c r="EP108">
        <v>1.86433</v>
      </c>
      <c r="EQ108">
        <v>1.87012</v>
      </c>
      <c r="ER108">
        <v>1.8693500000000001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-0.51</v>
      </c>
      <c r="FG108">
        <v>0.21110000000000001</v>
      </c>
      <c r="FH108">
        <v>-0.150361779349652</v>
      </c>
      <c r="FI108">
        <v>-6.1462078757559423E-4</v>
      </c>
      <c r="FJ108">
        <v>-1.8861989874597051E-7</v>
      </c>
      <c r="FK108">
        <v>1.1980462299894961E-10</v>
      </c>
      <c r="FL108">
        <v>0.21114761904761539</v>
      </c>
      <c r="FM108">
        <v>0</v>
      </c>
      <c r="FN108">
        <v>0</v>
      </c>
      <c r="FO108">
        <v>0</v>
      </c>
      <c r="FP108">
        <v>3</v>
      </c>
      <c r="FQ108">
        <v>2158</v>
      </c>
      <c r="FR108">
        <v>1</v>
      </c>
      <c r="FS108">
        <v>19</v>
      </c>
      <c r="FT108">
        <v>24.4</v>
      </c>
      <c r="FU108">
        <v>24.6</v>
      </c>
      <c r="FV108">
        <v>1.77979</v>
      </c>
      <c r="FW108">
        <v>2.5683600000000002</v>
      </c>
      <c r="FX108">
        <v>1.5490699999999999</v>
      </c>
      <c r="FY108">
        <v>2.33643</v>
      </c>
      <c r="FZ108">
        <v>1.50146</v>
      </c>
      <c r="GA108">
        <v>2.3803700000000001</v>
      </c>
      <c r="GB108">
        <v>32.046399999999998</v>
      </c>
      <c r="GC108">
        <v>23.991199999999999</v>
      </c>
      <c r="GD108">
        <v>19</v>
      </c>
      <c r="GE108">
        <v>266.04700000000003</v>
      </c>
      <c r="GF108">
        <v>597.54899999999998</v>
      </c>
      <c r="GG108">
        <v>25.715800000000002</v>
      </c>
      <c r="GH108">
        <v>25.6755</v>
      </c>
      <c r="GI108">
        <v>30.000299999999999</v>
      </c>
      <c r="GJ108">
        <v>25.7776</v>
      </c>
      <c r="GK108">
        <v>25.7455</v>
      </c>
      <c r="GL108">
        <v>35.5762</v>
      </c>
      <c r="GM108">
        <v>59.895299999999999</v>
      </c>
      <c r="GN108">
        <v>79.37</v>
      </c>
      <c r="GO108">
        <v>25.720300000000002</v>
      </c>
      <c r="GP108">
        <v>800</v>
      </c>
      <c r="GQ108">
        <v>8.4566700000000008</v>
      </c>
      <c r="GR108">
        <v>99.767499999999998</v>
      </c>
      <c r="GS108">
        <v>99.541700000000006</v>
      </c>
    </row>
    <row r="109" spans="1:201" x14ac:dyDescent="0.25">
      <c r="A109">
        <v>93</v>
      </c>
      <c r="B109">
        <v>1690377686</v>
      </c>
      <c r="C109">
        <v>969.5</v>
      </c>
      <c r="D109" t="s">
        <v>519</v>
      </c>
      <c r="E109" t="s">
        <v>520</v>
      </c>
      <c r="F109" t="s">
        <v>330</v>
      </c>
      <c r="H109">
        <v>1690377686</v>
      </c>
      <c r="I109">
        <f t="shared" si="30"/>
        <v>1.4947435900727062E-3</v>
      </c>
      <c r="J109">
        <f t="shared" si="31"/>
        <v>1.4947435900727062</v>
      </c>
      <c r="K109">
        <f t="shared" si="32"/>
        <v>23.237370702235594</v>
      </c>
      <c r="L109">
        <f t="shared" si="33"/>
        <v>523.93200000000002</v>
      </c>
      <c r="M109">
        <f t="shared" si="34"/>
        <v>125.42644741772317</v>
      </c>
      <c r="N109">
        <f t="shared" si="35"/>
        <v>12.384912630743131</v>
      </c>
      <c r="O109">
        <f t="shared" si="36"/>
        <v>51.734320616128798</v>
      </c>
      <c r="P109">
        <f t="shared" si="37"/>
        <v>9.7438559679929843E-2</v>
      </c>
      <c r="Q109">
        <f t="shared" si="38"/>
        <v>2.010413522105114</v>
      </c>
      <c r="R109">
        <f t="shared" si="39"/>
        <v>9.4888960588771054E-2</v>
      </c>
      <c r="S109">
        <f t="shared" si="40"/>
        <v>5.9529115057452883E-2</v>
      </c>
      <c r="T109">
        <f t="shared" si="41"/>
        <v>276.11637274800006</v>
      </c>
      <c r="U109">
        <f t="shared" si="42"/>
        <v>28.843000017105883</v>
      </c>
      <c r="V109">
        <f t="shared" si="43"/>
        <v>28.843000017105883</v>
      </c>
      <c r="W109">
        <f t="shared" si="44"/>
        <v>3.9853798427932281</v>
      </c>
      <c r="X109">
        <f t="shared" si="45"/>
        <v>68.941566598475291</v>
      </c>
      <c r="Y109">
        <f t="shared" si="46"/>
        <v>2.4808641422016398</v>
      </c>
      <c r="Z109">
        <f t="shared" si="47"/>
        <v>3.5985027097665436</v>
      </c>
      <c r="AA109">
        <f t="shared" si="48"/>
        <v>1.5045157005915883</v>
      </c>
      <c r="AB109">
        <f t="shared" si="49"/>
        <v>-65.918192322206338</v>
      </c>
      <c r="AC109">
        <f t="shared" si="50"/>
        <v>-189.80453850712189</v>
      </c>
      <c r="AD109">
        <f t="shared" si="51"/>
        <v>-20.572849514789372</v>
      </c>
      <c r="AE109">
        <f t="shared" si="52"/>
        <v>-0.17920759611752146</v>
      </c>
      <c r="AF109">
        <v>12</v>
      </c>
      <c r="AG109">
        <v>4</v>
      </c>
      <c r="AH109">
        <f t="shared" si="53"/>
        <v>1</v>
      </c>
      <c r="AI109">
        <f t="shared" si="54"/>
        <v>0</v>
      </c>
      <c r="AJ109">
        <f t="shared" si="55"/>
        <v>52296.376827258828</v>
      </c>
      <c r="AK109">
        <f t="shared" si="56"/>
        <v>1800</v>
      </c>
      <c r="AL109">
        <f t="shared" si="57"/>
        <v>1499.1113448000001</v>
      </c>
      <c r="AM109">
        <f t="shared" si="58"/>
        <v>0.83283963599999999</v>
      </c>
      <c r="AN109">
        <f t="shared" si="59"/>
        <v>0.15339798486000003</v>
      </c>
      <c r="AO109">
        <v>34.5</v>
      </c>
      <c r="AP109">
        <v>0.5</v>
      </c>
      <c r="AQ109" t="s">
        <v>331</v>
      </c>
      <c r="AR109">
        <v>2</v>
      </c>
      <c r="AS109">
        <v>1690377686</v>
      </c>
      <c r="AT109">
        <v>523.93200000000002</v>
      </c>
      <c r="AU109">
        <v>799.99400000000003</v>
      </c>
      <c r="AV109">
        <v>25.124600000000001</v>
      </c>
      <c r="AW109">
        <v>8.3774800000000003</v>
      </c>
      <c r="AX109">
        <v>524.43899999999996</v>
      </c>
      <c r="AY109">
        <v>24.913499999999999</v>
      </c>
      <c r="AZ109">
        <v>300.18900000000002</v>
      </c>
      <c r="BA109">
        <v>98.642499999999998</v>
      </c>
      <c r="BB109">
        <v>9.9933400000000006E-2</v>
      </c>
      <c r="BC109">
        <v>27.091799999999999</v>
      </c>
      <c r="BD109">
        <v>26.998100000000001</v>
      </c>
      <c r="BE109">
        <v>28.937200000000001</v>
      </c>
      <c r="BF109">
        <v>0</v>
      </c>
      <c r="BG109">
        <v>0</v>
      </c>
      <c r="BH109">
        <v>10030.6</v>
      </c>
      <c r="BI109">
        <v>1082.8699999999999</v>
      </c>
      <c r="BJ109">
        <v>1.5137799999999999</v>
      </c>
      <c r="BK109">
        <v>-276.06299999999999</v>
      </c>
      <c r="BL109">
        <v>537.43399999999997</v>
      </c>
      <c r="BM109">
        <v>806.75300000000004</v>
      </c>
      <c r="BN109">
        <v>16.747199999999999</v>
      </c>
      <c r="BO109">
        <v>799.99400000000003</v>
      </c>
      <c r="BP109">
        <v>8.3774800000000003</v>
      </c>
      <c r="BQ109">
        <v>2.4783599999999999</v>
      </c>
      <c r="BR109">
        <v>0.826376</v>
      </c>
      <c r="BS109">
        <v>20.885100000000001</v>
      </c>
      <c r="BT109">
        <v>4.1686300000000003</v>
      </c>
      <c r="BU109">
        <v>1800</v>
      </c>
      <c r="BV109">
        <v>0.90998500000000004</v>
      </c>
      <c r="BW109">
        <v>3.3995999999999998E-2</v>
      </c>
      <c r="BX109">
        <v>2.2007800000000001E-2</v>
      </c>
      <c r="BY109">
        <v>3.4011E-2</v>
      </c>
      <c r="BZ109">
        <v>25</v>
      </c>
      <c r="CA109">
        <v>33528.300000000003</v>
      </c>
      <c r="CB109">
        <v>1690376213.5999999</v>
      </c>
      <c r="CC109" t="s">
        <v>332</v>
      </c>
      <c r="CD109">
        <v>1690376213.5999999</v>
      </c>
      <c r="CE109">
        <v>1690376198.0999999</v>
      </c>
      <c r="CF109">
        <v>2</v>
      </c>
      <c r="CG109">
        <v>0.66900000000000004</v>
      </c>
      <c r="CH109">
        <v>-2.1000000000000001E-2</v>
      </c>
      <c r="CI109">
        <v>-0.70099999999999996</v>
      </c>
      <c r="CJ109">
        <v>0.21099999999999999</v>
      </c>
      <c r="CK109">
        <v>799</v>
      </c>
      <c r="CL109">
        <v>21</v>
      </c>
      <c r="CM109">
        <v>0.11</v>
      </c>
      <c r="CN109">
        <v>0.17</v>
      </c>
      <c r="CO109">
        <v>-272.17092682926841</v>
      </c>
      <c r="CP109">
        <v>-20.59720557491298</v>
      </c>
      <c r="CQ109">
        <v>2.0319874494312349</v>
      </c>
      <c r="CR109">
        <v>-1</v>
      </c>
      <c r="CS109">
        <v>16.4520487804878</v>
      </c>
      <c r="CT109">
        <v>1.5607128919860489</v>
      </c>
      <c r="CU109">
        <v>0.1540691547641263</v>
      </c>
      <c r="CV109">
        <v>-1</v>
      </c>
      <c r="CW109">
        <v>0</v>
      </c>
      <c r="CX109">
        <v>0</v>
      </c>
      <c r="CY109" t="s">
        <v>333</v>
      </c>
      <c r="CZ109">
        <v>2.3652600000000001</v>
      </c>
      <c r="DA109">
        <v>2.7137500000000001</v>
      </c>
      <c r="DB109">
        <v>0.10914</v>
      </c>
      <c r="DC109">
        <v>0.145702</v>
      </c>
      <c r="DD109">
        <v>0.117213</v>
      </c>
      <c r="DE109">
        <v>5.1405300000000001E-2</v>
      </c>
      <c r="DF109">
        <v>32542.1</v>
      </c>
      <c r="DG109">
        <v>27531.7</v>
      </c>
      <c r="DH109">
        <v>31182.7</v>
      </c>
      <c r="DI109">
        <v>28079.7</v>
      </c>
      <c r="DJ109">
        <v>37365</v>
      </c>
      <c r="DK109">
        <v>37867</v>
      </c>
      <c r="DL109">
        <v>44374.8</v>
      </c>
      <c r="DM109">
        <v>42546.3</v>
      </c>
      <c r="DN109">
        <v>1.4415199999999999</v>
      </c>
      <c r="DO109">
        <v>2.0611999999999999</v>
      </c>
      <c r="DP109">
        <v>9.4231200000000001E-2</v>
      </c>
      <c r="DQ109">
        <v>0.21337</v>
      </c>
      <c r="DR109">
        <v>25.455200000000001</v>
      </c>
      <c r="DS109">
        <v>25.448799999999999</v>
      </c>
      <c r="DT109">
        <v>58.1</v>
      </c>
      <c r="DU109">
        <v>26.8</v>
      </c>
      <c r="DV109">
        <v>20.834700000000002</v>
      </c>
      <c r="DW109">
        <v>60.910200000000003</v>
      </c>
      <c r="DX109">
        <v>36.290100000000002</v>
      </c>
      <c r="DY109">
        <v>1</v>
      </c>
      <c r="DZ109">
        <v>-0.13992099999999999</v>
      </c>
      <c r="EA109">
        <v>-0.52165899999999998</v>
      </c>
      <c r="EB109">
        <v>20.189599999999999</v>
      </c>
      <c r="EC109">
        <v>5.2413999999999996</v>
      </c>
      <c r="ED109">
        <v>12.039899999999999</v>
      </c>
      <c r="EE109">
        <v>5.0174500000000002</v>
      </c>
      <c r="EF109">
        <v>3.2879700000000001</v>
      </c>
      <c r="EG109">
        <v>9999</v>
      </c>
      <c r="EH109">
        <v>9999</v>
      </c>
      <c r="EI109">
        <v>9999</v>
      </c>
      <c r="EJ109">
        <v>999.9</v>
      </c>
      <c r="EK109">
        <v>1.8688400000000001</v>
      </c>
      <c r="EL109">
        <v>1.86449</v>
      </c>
      <c r="EM109">
        <v>1.86914</v>
      </c>
      <c r="EN109">
        <v>1.8671800000000001</v>
      </c>
      <c r="EO109">
        <v>1.86327</v>
      </c>
      <c r="EP109">
        <v>1.86432</v>
      </c>
      <c r="EQ109">
        <v>1.87012</v>
      </c>
      <c r="ER109">
        <v>1.8693500000000001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-0.50700000000000001</v>
      </c>
      <c r="FG109">
        <v>0.21110000000000001</v>
      </c>
      <c r="FH109">
        <v>-0.150361779349652</v>
      </c>
      <c r="FI109">
        <v>-6.1462078757559423E-4</v>
      </c>
      <c r="FJ109">
        <v>-1.8861989874597051E-7</v>
      </c>
      <c r="FK109">
        <v>1.1980462299894961E-10</v>
      </c>
      <c r="FL109">
        <v>0.21114761904761539</v>
      </c>
      <c r="FM109">
        <v>0</v>
      </c>
      <c r="FN109">
        <v>0</v>
      </c>
      <c r="FO109">
        <v>0</v>
      </c>
      <c r="FP109">
        <v>3</v>
      </c>
      <c r="FQ109">
        <v>2158</v>
      </c>
      <c r="FR109">
        <v>1</v>
      </c>
      <c r="FS109">
        <v>19</v>
      </c>
      <c r="FT109">
        <v>24.5</v>
      </c>
      <c r="FU109">
        <v>24.8</v>
      </c>
      <c r="FV109">
        <v>1.77979</v>
      </c>
      <c r="FW109">
        <v>2.5659200000000002</v>
      </c>
      <c r="FX109">
        <v>1.5490699999999999</v>
      </c>
      <c r="FY109">
        <v>2.33643</v>
      </c>
      <c r="FZ109">
        <v>1.50146</v>
      </c>
      <c r="GA109">
        <v>2.3938000000000001</v>
      </c>
      <c r="GB109">
        <v>32.046399999999998</v>
      </c>
      <c r="GC109">
        <v>23.991199999999999</v>
      </c>
      <c r="GD109">
        <v>19</v>
      </c>
      <c r="GE109">
        <v>266.00700000000001</v>
      </c>
      <c r="GF109">
        <v>597.00300000000004</v>
      </c>
      <c r="GG109">
        <v>25.722000000000001</v>
      </c>
      <c r="GH109">
        <v>25.6755</v>
      </c>
      <c r="GI109">
        <v>30.0001</v>
      </c>
      <c r="GJ109">
        <v>25.7776</v>
      </c>
      <c r="GK109">
        <v>25.7455</v>
      </c>
      <c r="GL109">
        <v>35.572200000000002</v>
      </c>
      <c r="GM109">
        <v>60.784300000000002</v>
      </c>
      <c r="GN109">
        <v>78.5959</v>
      </c>
      <c r="GO109">
        <v>25.7224</v>
      </c>
      <c r="GP109">
        <v>800</v>
      </c>
      <c r="GQ109">
        <v>8.2043900000000001</v>
      </c>
      <c r="GR109">
        <v>99.769800000000004</v>
      </c>
      <c r="GS109">
        <v>99.542500000000004</v>
      </c>
    </row>
    <row r="110" spans="1:201" x14ac:dyDescent="0.25">
      <c r="A110">
        <v>94</v>
      </c>
      <c r="B110">
        <v>1690377696</v>
      </c>
      <c r="C110">
        <v>979.5</v>
      </c>
      <c r="D110" t="s">
        <v>521</v>
      </c>
      <c r="E110" t="s">
        <v>522</v>
      </c>
      <c r="F110" t="s">
        <v>330</v>
      </c>
      <c r="H110">
        <v>1690377696</v>
      </c>
      <c r="I110">
        <f t="shared" si="30"/>
        <v>1.5197209892795379E-3</v>
      </c>
      <c r="J110">
        <f t="shared" si="31"/>
        <v>1.5197209892795378</v>
      </c>
      <c r="K110">
        <f t="shared" si="32"/>
        <v>23.524927278984208</v>
      </c>
      <c r="L110">
        <f t="shared" si="33"/>
        <v>520.58100000000002</v>
      </c>
      <c r="M110">
        <f t="shared" si="34"/>
        <v>124.5946162802759</v>
      </c>
      <c r="N110">
        <f t="shared" si="35"/>
        <v>12.303410235191182</v>
      </c>
      <c r="O110">
        <f t="shared" si="36"/>
        <v>51.406086353187</v>
      </c>
      <c r="P110">
        <f t="shared" si="37"/>
        <v>9.9313983754855395E-2</v>
      </c>
      <c r="Q110">
        <f t="shared" si="38"/>
        <v>2.0072039484075521</v>
      </c>
      <c r="R110">
        <f t="shared" si="39"/>
        <v>9.6662619123117299E-2</v>
      </c>
      <c r="S110">
        <f t="shared" si="40"/>
        <v>6.0646455861215157E-2</v>
      </c>
      <c r="T110">
        <f t="shared" si="41"/>
        <v>276.11466029914294</v>
      </c>
      <c r="U110">
        <f t="shared" si="42"/>
        <v>28.837921086444375</v>
      </c>
      <c r="V110">
        <f t="shared" si="43"/>
        <v>28.837921086444375</v>
      </c>
      <c r="W110">
        <f t="shared" si="44"/>
        <v>3.9842073472461839</v>
      </c>
      <c r="X110">
        <f t="shared" si="45"/>
        <v>68.981727567231928</v>
      </c>
      <c r="Y110">
        <f t="shared" si="46"/>
        <v>2.4825424530380995</v>
      </c>
      <c r="Z110">
        <f t="shared" si="47"/>
        <v>3.5988406504005419</v>
      </c>
      <c r="AA110">
        <f t="shared" si="48"/>
        <v>1.5016648942080844</v>
      </c>
      <c r="AB110">
        <f t="shared" si="49"/>
        <v>-67.01969562722762</v>
      </c>
      <c r="AC110">
        <f t="shared" si="50"/>
        <v>-188.77877744480909</v>
      </c>
      <c r="AD110">
        <f t="shared" si="51"/>
        <v>-20.494029720901842</v>
      </c>
      <c r="AE110">
        <f t="shared" si="52"/>
        <v>-0.17784249379562311</v>
      </c>
      <c r="AF110">
        <v>12</v>
      </c>
      <c r="AG110">
        <v>4</v>
      </c>
      <c r="AH110">
        <f t="shared" si="53"/>
        <v>1</v>
      </c>
      <c r="AI110">
        <f t="shared" si="54"/>
        <v>0</v>
      </c>
      <c r="AJ110">
        <f t="shared" si="55"/>
        <v>52142.672023090774</v>
      </c>
      <c r="AK110">
        <f t="shared" si="56"/>
        <v>1799.99</v>
      </c>
      <c r="AL110">
        <f t="shared" si="57"/>
        <v>1499.1035834004902</v>
      </c>
      <c r="AM110">
        <f t="shared" si="58"/>
        <v>0.83283995100000008</v>
      </c>
      <c r="AN110">
        <f t="shared" si="59"/>
        <v>0.15339788571000001</v>
      </c>
      <c r="AO110">
        <v>34.5</v>
      </c>
      <c r="AP110">
        <v>0.5</v>
      </c>
      <c r="AQ110" t="s">
        <v>331</v>
      </c>
      <c r="AR110">
        <v>2</v>
      </c>
      <c r="AS110">
        <v>1690377696</v>
      </c>
      <c r="AT110">
        <v>520.58100000000002</v>
      </c>
      <c r="AU110">
        <v>800.04899999999998</v>
      </c>
      <c r="AV110">
        <v>25.1403</v>
      </c>
      <c r="AW110">
        <v>8.1130399999999998</v>
      </c>
      <c r="AX110">
        <v>521.08600000000001</v>
      </c>
      <c r="AY110">
        <v>24.929200000000002</v>
      </c>
      <c r="AZ110">
        <v>300.17899999999997</v>
      </c>
      <c r="BA110">
        <v>98.647499999999994</v>
      </c>
      <c r="BB110">
        <v>0.100027</v>
      </c>
      <c r="BC110">
        <v>27.093399999999999</v>
      </c>
      <c r="BD110">
        <v>26.9956</v>
      </c>
      <c r="BE110">
        <v>28.956399999999999</v>
      </c>
      <c r="BF110">
        <v>0</v>
      </c>
      <c r="BG110">
        <v>0</v>
      </c>
      <c r="BH110">
        <v>9999.3799999999992</v>
      </c>
      <c r="BI110">
        <v>1082.8399999999999</v>
      </c>
      <c r="BJ110">
        <v>1.5137799999999999</v>
      </c>
      <c r="BK110">
        <v>-279.46800000000002</v>
      </c>
      <c r="BL110">
        <v>534.00599999999997</v>
      </c>
      <c r="BM110">
        <v>806.59299999999996</v>
      </c>
      <c r="BN110">
        <v>17.0273</v>
      </c>
      <c r="BO110">
        <v>800.04899999999998</v>
      </c>
      <c r="BP110">
        <v>8.1130399999999998</v>
      </c>
      <c r="BQ110">
        <v>2.4800300000000002</v>
      </c>
      <c r="BR110">
        <v>0.80033100000000001</v>
      </c>
      <c r="BS110">
        <v>20.896000000000001</v>
      </c>
      <c r="BT110">
        <v>3.7131799999999999</v>
      </c>
      <c r="BU110">
        <v>1799.99</v>
      </c>
      <c r="BV110">
        <v>0.90998900000000005</v>
      </c>
      <c r="BW110">
        <v>3.3994499999999997E-2</v>
      </c>
      <c r="BX110">
        <v>2.20068E-2</v>
      </c>
      <c r="BY110">
        <v>3.4009499999999998E-2</v>
      </c>
      <c r="BZ110">
        <v>25</v>
      </c>
      <c r="CA110">
        <v>33528.199999999997</v>
      </c>
      <c r="CB110">
        <v>1690376213.5999999</v>
      </c>
      <c r="CC110" t="s">
        <v>332</v>
      </c>
      <c r="CD110">
        <v>1690376213.5999999</v>
      </c>
      <c r="CE110">
        <v>1690376198.0999999</v>
      </c>
      <c r="CF110">
        <v>2</v>
      </c>
      <c r="CG110">
        <v>0.66900000000000004</v>
      </c>
      <c r="CH110">
        <v>-2.1000000000000001E-2</v>
      </c>
      <c r="CI110">
        <v>-0.70099999999999996</v>
      </c>
      <c r="CJ110">
        <v>0.21099999999999999</v>
      </c>
      <c r="CK110">
        <v>799</v>
      </c>
      <c r="CL110">
        <v>21</v>
      </c>
      <c r="CM110">
        <v>0.11</v>
      </c>
      <c r="CN110">
        <v>0.17</v>
      </c>
      <c r="CO110">
        <v>-275.59380487804879</v>
      </c>
      <c r="CP110">
        <v>-20.613763066202189</v>
      </c>
      <c r="CQ110">
        <v>2.0331064327293489</v>
      </c>
      <c r="CR110">
        <v>-1</v>
      </c>
      <c r="CS110">
        <v>16.715048780487809</v>
      </c>
      <c r="CT110">
        <v>1.57904111498259</v>
      </c>
      <c r="CU110">
        <v>0.15589456587464659</v>
      </c>
      <c r="CV110">
        <v>-1</v>
      </c>
      <c r="CW110">
        <v>0</v>
      </c>
      <c r="CX110">
        <v>0</v>
      </c>
      <c r="CY110" t="s">
        <v>333</v>
      </c>
      <c r="CZ110">
        <v>2.3652299999999999</v>
      </c>
      <c r="DA110">
        <v>2.7138200000000001</v>
      </c>
      <c r="DB110">
        <v>0.108638</v>
      </c>
      <c r="DC110">
        <v>0.14570900000000001</v>
      </c>
      <c r="DD110">
        <v>0.117269</v>
      </c>
      <c r="DE110">
        <v>5.0126200000000003E-2</v>
      </c>
      <c r="DF110">
        <v>32559.7</v>
      </c>
      <c r="DG110">
        <v>27531.4</v>
      </c>
      <c r="DH110">
        <v>31182</v>
      </c>
      <c r="DI110">
        <v>28079.599999999999</v>
      </c>
      <c r="DJ110">
        <v>37362</v>
      </c>
      <c r="DK110">
        <v>37918.1</v>
      </c>
      <c r="DL110">
        <v>44374.1</v>
      </c>
      <c r="DM110">
        <v>42546.2</v>
      </c>
      <c r="DN110">
        <v>1.4413800000000001</v>
      </c>
      <c r="DO110">
        <v>2.0604499999999999</v>
      </c>
      <c r="DP110">
        <v>9.4112000000000001E-2</v>
      </c>
      <c r="DQ110">
        <v>0.21455099999999999</v>
      </c>
      <c r="DR110">
        <v>25.454599999999999</v>
      </c>
      <c r="DS110">
        <v>25.448799999999999</v>
      </c>
      <c r="DT110">
        <v>57.9</v>
      </c>
      <c r="DU110">
        <v>26.8</v>
      </c>
      <c r="DV110">
        <v>20.759899999999998</v>
      </c>
      <c r="DW110">
        <v>61.050199999999997</v>
      </c>
      <c r="DX110">
        <v>36.185899999999997</v>
      </c>
      <c r="DY110">
        <v>1</v>
      </c>
      <c r="DZ110">
        <v>-0.14000000000000001</v>
      </c>
      <c r="EA110">
        <v>-0.53559400000000001</v>
      </c>
      <c r="EB110">
        <v>20.189599999999999</v>
      </c>
      <c r="EC110">
        <v>5.2411000000000003</v>
      </c>
      <c r="ED110">
        <v>12.039899999999999</v>
      </c>
      <c r="EE110">
        <v>5.0175000000000001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1.8688400000000001</v>
      </c>
      <c r="EL110">
        <v>1.8645</v>
      </c>
      <c r="EM110">
        <v>1.86917</v>
      </c>
      <c r="EN110">
        <v>1.8672</v>
      </c>
      <c r="EO110">
        <v>1.8632599999999999</v>
      </c>
      <c r="EP110">
        <v>1.86433</v>
      </c>
      <c r="EQ110">
        <v>1.87012</v>
      </c>
      <c r="ER110">
        <v>1.8693500000000001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-0.505</v>
      </c>
      <c r="FG110">
        <v>0.21110000000000001</v>
      </c>
      <c r="FH110">
        <v>-0.150361779349652</v>
      </c>
      <c r="FI110">
        <v>-6.1462078757559423E-4</v>
      </c>
      <c r="FJ110">
        <v>-1.8861989874597051E-7</v>
      </c>
      <c r="FK110">
        <v>1.1980462299894961E-10</v>
      </c>
      <c r="FL110">
        <v>0.21114761904761539</v>
      </c>
      <c r="FM110">
        <v>0</v>
      </c>
      <c r="FN110">
        <v>0</v>
      </c>
      <c r="FO110">
        <v>0</v>
      </c>
      <c r="FP110">
        <v>3</v>
      </c>
      <c r="FQ110">
        <v>2158</v>
      </c>
      <c r="FR110">
        <v>1</v>
      </c>
      <c r="FS110">
        <v>19</v>
      </c>
      <c r="FT110">
        <v>24.7</v>
      </c>
      <c r="FU110">
        <v>25</v>
      </c>
      <c r="FV110">
        <v>1.7785599999999999</v>
      </c>
      <c r="FW110">
        <v>2.5647000000000002</v>
      </c>
      <c r="FX110">
        <v>1.5490699999999999</v>
      </c>
      <c r="FY110">
        <v>2.33643</v>
      </c>
      <c r="FZ110">
        <v>1.50146</v>
      </c>
      <c r="GA110">
        <v>2.3840300000000001</v>
      </c>
      <c r="GB110">
        <v>32.068399999999997</v>
      </c>
      <c r="GC110">
        <v>23.991199999999999</v>
      </c>
      <c r="GD110">
        <v>19</v>
      </c>
      <c r="GE110">
        <v>265.95100000000002</v>
      </c>
      <c r="GF110">
        <v>596.37400000000002</v>
      </c>
      <c r="GG110">
        <v>25.7273</v>
      </c>
      <c r="GH110">
        <v>25.6755</v>
      </c>
      <c r="GI110">
        <v>30</v>
      </c>
      <c r="GJ110">
        <v>25.7788</v>
      </c>
      <c r="GK110">
        <v>25.7455</v>
      </c>
      <c r="GL110">
        <v>35.564100000000003</v>
      </c>
      <c r="GM110">
        <v>61.343800000000002</v>
      </c>
      <c r="GN110">
        <v>77.799599999999998</v>
      </c>
      <c r="GO110">
        <v>25.7349</v>
      </c>
      <c r="GP110">
        <v>800</v>
      </c>
      <c r="GQ110">
        <v>7.9498100000000003</v>
      </c>
      <c r="GR110">
        <v>99.767899999999997</v>
      </c>
      <c r="GS110">
        <v>99.542199999999994</v>
      </c>
    </row>
    <row r="111" spans="1:201" x14ac:dyDescent="0.25">
      <c r="A111">
        <v>95</v>
      </c>
      <c r="B111">
        <v>1690377706</v>
      </c>
      <c r="C111">
        <v>989.5</v>
      </c>
      <c r="D111" t="s">
        <v>523</v>
      </c>
      <c r="E111" t="s">
        <v>524</v>
      </c>
      <c r="F111" t="s">
        <v>330</v>
      </c>
      <c r="H111">
        <v>1690377706</v>
      </c>
      <c r="I111">
        <f t="shared" si="30"/>
        <v>1.5416689000321102E-3</v>
      </c>
      <c r="J111">
        <f t="shared" si="31"/>
        <v>1.5416689000321102</v>
      </c>
      <c r="K111">
        <f t="shared" si="32"/>
        <v>23.806385966866142</v>
      </c>
      <c r="L111">
        <f t="shared" si="33"/>
        <v>517.327</v>
      </c>
      <c r="M111">
        <f t="shared" si="34"/>
        <v>123.11031525150645</v>
      </c>
      <c r="N111">
        <f t="shared" si="35"/>
        <v>12.157375324699563</v>
      </c>
      <c r="O111">
        <f t="shared" si="36"/>
        <v>51.087014859413998</v>
      </c>
      <c r="P111">
        <f t="shared" si="37"/>
        <v>0.10098423924989956</v>
      </c>
      <c r="Q111">
        <f t="shared" si="38"/>
        <v>2.0054162227907852</v>
      </c>
      <c r="R111">
        <f t="shared" si="39"/>
        <v>9.8241897469832654E-2</v>
      </c>
      <c r="S111">
        <f t="shared" si="40"/>
        <v>6.1641371491013883E-2</v>
      </c>
      <c r="T111">
        <f t="shared" si="41"/>
        <v>276.11608550400001</v>
      </c>
      <c r="U111">
        <f t="shared" si="42"/>
        <v>28.828659400321207</v>
      </c>
      <c r="V111">
        <f t="shared" si="43"/>
        <v>28.828659400321207</v>
      </c>
      <c r="W111">
        <f t="shared" si="44"/>
        <v>3.9820700169093493</v>
      </c>
      <c r="X111">
        <f t="shared" si="45"/>
        <v>69.008470840422675</v>
      </c>
      <c r="Y111">
        <f t="shared" si="46"/>
        <v>2.4831259480781998</v>
      </c>
      <c r="Z111">
        <f t="shared" si="47"/>
        <v>3.5982915109367619</v>
      </c>
      <c r="AA111">
        <f t="shared" si="48"/>
        <v>1.4989440688311495</v>
      </c>
      <c r="AB111">
        <f t="shared" si="49"/>
        <v>-67.987598491416065</v>
      </c>
      <c r="AC111">
        <f t="shared" si="50"/>
        <v>-187.89040588779369</v>
      </c>
      <c r="AD111">
        <f t="shared" si="51"/>
        <v>-20.414562319877419</v>
      </c>
      <c r="AE111">
        <f t="shared" si="52"/>
        <v>-0.17648119508714899</v>
      </c>
      <c r="AF111">
        <v>11</v>
      </c>
      <c r="AG111">
        <v>4</v>
      </c>
      <c r="AH111">
        <f t="shared" si="53"/>
        <v>1</v>
      </c>
      <c r="AI111">
        <f t="shared" si="54"/>
        <v>0</v>
      </c>
      <c r="AJ111">
        <f t="shared" si="55"/>
        <v>52057.842905024292</v>
      </c>
      <c r="AK111">
        <f t="shared" si="56"/>
        <v>1800</v>
      </c>
      <c r="AL111">
        <f t="shared" si="57"/>
        <v>1499.1127614000002</v>
      </c>
      <c r="AM111">
        <f t="shared" si="58"/>
        <v>0.83284042300000005</v>
      </c>
      <c r="AN111">
        <f t="shared" si="59"/>
        <v>0.15339782528000001</v>
      </c>
      <c r="AO111">
        <v>34.5</v>
      </c>
      <c r="AP111">
        <v>0.5</v>
      </c>
      <c r="AQ111" t="s">
        <v>331</v>
      </c>
      <c r="AR111">
        <v>2</v>
      </c>
      <c r="AS111">
        <v>1690377706</v>
      </c>
      <c r="AT111">
        <v>517.327</v>
      </c>
      <c r="AU111">
        <v>800.12800000000004</v>
      </c>
      <c r="AV111">
        <v>25.145099999999999</v>
      </c>
      <c r="AW111">
        <v>7.87052</v>
      </c>
      <c r="AX111">
        <v>517.83000000000004</v>
      </c>
      <c r="AY111">
        <v>24.934000000000001</v>
      </c>
      <c r="AZ111">
        <v>300.15300000000002</v>
      </c>
      <c r="BA111">
        <v>98.651799999999994</v>
      </c>
      <c r="BB111">
        <v>0.100082</v>
      </c>
      <c r="BC111">
        <v>27.090800000000002</v>
      </c>
      <c r="BD111">
        <v>27.001300000000001</v>
      </c>
      <c r="BE111">
        <v>28.904499999999999</v>
      </c>
      <c r="BF111">
        <v>0</v>
      </c>
      <c r="BG111">
        <v>0</v>
      </c>
      <c r="BH111">
        <v>9981.8799999999992</v>
      </c>
      <c r="BI111">
        <v>1082.8399999999999</v>
      </c>
      <c r="BJ111">
        <v>1.5137799999999999</v>
      </c>
      <c r="BK111">
        <v>-282.80099999999999</v>
      </c>
      <c r="BL111">
        <v>530.67100000000005</v>
      </c>
      <c r="BM111">
        <v>806.476</v>
      </c>
      <c r="BN111">
        <v>17.2746</v>
      </c>
      <c r="BO111">
        <v>800.12800000000004</v>
      </c>
      <c r="BP111">
        <v>7.87052</v>
      </c>
      <c r="BQ111">
        <v>2.48061</v>
      </c>
      <c r="BR111">
        <v>0.77644100000000005</v>
      </c>
      <c r="BS111">
        <v>20.899799999999999</v>
      </c>
      <c r="BT111">
        <v>3.2837299999999998</v>
      </c>
      <c r="BU111">
        <v>1800</v>
      </c>
      <c r="BV111">
        <v>0.90999300000000005</v>
      </c>
      <c r="BW111">
        <v>3.3993099999999998E-2</v>
      </c>
      <c r="BX111">
        <v>2.2005899999999998E-2</v>
      </c>
      <c r="BY111">
        <v>3.4007999999999997E-2</v>
      </c>
      <c r="BZ111">
        <v>25</v>
      </c>
      <c r="CA111">
        <v>33528.199999999997</v>
      </c>
      <c r="CB111">
        <v>1690376213.5999999</v>
      </c>
      <c r="CC111" t="s">
        <v>332</v>
      </c>
      <c r="CD111">
        <v>1690376213.5999999</v>
      </c>
      <c r="CE111">
        <v>1690376198.0999999</v>
      </c>
      <c r="CF111">
        <v>2</v>
      </c>
      <c r="CG111">
        <v>0.66900000000000004</v>
      </c>
      <c r="CH111">
        <v>-2.1000000000000001E-2</v>
      </c>
      <c r="CI111">
        <v>-0.70099999999999996</v>
      </c>
      <c r="CJ111">
        <v>0.21099999999999999</v>
      </c>
      <c r="CK111">
        <v>799</v>
      </c>
      <c r="CL111">
        <v>21</v>
      </c>
      <c r="CM111">
        <v>0.11</v>
      </c>
      <c r="CN111">
        <v>0.17</v>
      </c>
      <c r="CO111">
        <v>-279.30285365853661</v>
      </c>
      <c r="CP111">
        <v>-20.139846689895158</v>
      </c>
      <c r="CQ111">
        <v>1.9867937101966231</v>
      </c>
      <c r="CR111">
        <v>-1</v>
      </c>
      <c r="CS111">
        <v>17.006729268292681</v>
      </c>
      <c r="CT111">
        <v>1.5996334494773321</v>
      </c>
      <c r="CU111">
        <v>0.15781047794188161</v>
      </c>
      <c r="CV111">
        <v>-1</v>
      </c>
      <c r="CW111">
        <v>0</v>
      </c>
      <c r="CX111">
        <v>0</v>
      </c>
      <c r="CY111" t="s">
        <v>333</v>
      </c>
      <c r="CZ111">
        <v>2.3651200000000001</v>
      </c>
      <c r="DA111">
        <v>2.7138599999999999</v>
      </c>
      <c r="DB111">
        <v>0.108151</v>
      </c>
      <c r="DC111">
        <v>0.14572099999999999</v>
      </c>
      <c r="DD111">
        <v>0.11729000000000001</v>
      </c>
      <c r="DE111">
        <v>4.8941400000000003E-2</v>
      </c>
      <c r="DF111">
        <v>32578.3</v>
      </c>
      <c r="DG111">
        <v>27531</v>
      </c>
      <c r="DH111">
        <v>31182.7</v>
      </c>
      <c r="DI111">
        <v>28079.7</v>
      </c>
      <c r="DJ111">
        <v>37362</v>
      </c>
      <c r="DK111">
        <v>37965.699999999997</v>
      </c>
      <c r="DL111">
        <v>44375.199999999997</v>
      </c>
      <c r="DM111">
        <v>42546.400000000001</v>
      </c>
      <c r="DN111">
        <v>1.4417</v>
      </c>
      <c r="DO111">
        <v>2.0604</v>
      </c>
      <c r="DP111">
        <v>9.4682000000000002E-2</v>
      </c>
      <c r="DQ111">
        <v>0.21149999999999999</v>
      </c>
      <c r="DR111">
        <v>25.450900000000001</v>
      </c>
      <c r="DS111">
        <v>25.4466</v>
      </c>
      <c r="DT111">
        <v>57.6</v>
      </c>
      <c r="DU111">
        <v>26.8</v>
      </c>
      <c r="DV111">
        <v>20.657800000000002</v>
      </c>
      <c r="DW111">
        <v>61.280200000000001</v>
      </c>
      <c r="DX111">
        <v>36.374200000000002</v>
      </c>
      <c r="DY111">
        <v>1</v>
      </c>
      <c r="DZ111">
        <v>-0.13951</v>
      </c>
      <c r="EA111">
        <v>-0.54378800000000005</v>
      </c>
      <c r="EB111">
        <v>20.189599999999999</v>
      </c>
      <c r="EC111">
        <v>5.24125</v>
      </c>
      <c r="ED111">
        <v>12.039899999999999</v>
      </c>
      <c r="EE111">
        <v>5.0172999999999996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1.8688</v>
      </c>
      <c r="EL111">
        <v>1.8644799999999999</v>
      </c>
      <c r="EM111">
        <v>1.86914</v>
      </c>
      <c r="EN111">
        <v>1.8671599999999999</v>
      </c>
      <c r="EO111">
        <v>1.8632599999999999</v>
      </c>
      <c r="EP111">
        <v>1.86432</v>
      </c>
      <c r="EQ111">
        <v>1.8701099999999999</v>
      </c>
      <c r="ER111">
        <v>1.8693500000000001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-0.503</v>
      </c>
      <c r="FG111">
        <v>0.21110000000000001</v>
      </c>
      <c r="FH111">
        <v>-0.150361779349652</v>
      </c>
      <c r="FI111">
        <v>-6.1462078757559423E-4</v>
      </c>
      <c r="FJ111">
        <v>-1.8861989874597051E-7</v>
      </c>
      <c r="FK111">
        <v>1.1980462299894961E-10</v>
      </c>
      <c r="FL111">
        <v>0.21114761904761539</v>
      </c>
      <c r="FM111">
        <v>0</v>
      </c>
      <c r="FN111">
        <v>0</v>
      </c>
      <c r="FO111">
        <v>0</v>
      </c>
      <c r="FP111">
        <v>3</v>
      </c>
      <c r="FQ111">
        <v>2158</v>
      </c>
      <c r="FR111">
        <v>1</v>
      </c>
      <c r="FS111">
        <v>19</v>
      </c>
      <c r="FT111">
        <v>24.9</v>
      </c>
      <c r="FU111">
        <v>25.1</v>
      </c>
      <c r="FV111">
        <v>1.7785599999999999</v>
      </c>
      <c r="FW111">
        <v>2.5634800000000002</v>
      </c>
      <c r="FX111">
        <v>1.5490699999999999</v>
      </c>
      <c r="FY111">
        <v>2.33643</v>
      </c>
      <c r="FZ111">
        <v>1.50146</v>
      </c>
      <c r="GA111">
        <v>2.3706100000000001</v>
      </c>
      <c r="GB111">
        <v>32.068399999999997</v>
      </c>
      <c r="GC111">
        <v>23.982399999999998</v>
      </c>
      <c r="GD111">
        <v>19</v>
      </c>
      <c r="GE111">
        <v>266.08699999999999</v>
      </c>
      <c r="GF111">
        <v>596.33299999999997</v>
      </c>
      <c r="GG111">
        <v>25.739799999999999</v>
      </c>
      <c r="GH111">
        <v>25.677600000000002</v>
      </c>
      <c r="GI111">
        <v>30.0001</v>
      </c>
      <c r="GJ111">
        <v>25.779800000000002</v>
      </c>
      <c r="GK111">
        <v>25.7455</v>
      </c>
      <c r="GL111">
        <v>35.555599999999998</v>
      </c>
      <c r="GM111">
        <v>62.197200000000002</v>
      </c>
      <c r="GN111">
        <v>76.999499999999998</v>
      </c>
      <c r="GO111">
        <v>25.6859</v>
      </c>
      <c r="GP111">
        <v>800</v>
      </c>
      <c r="GQ111">
        <v>7.6984599999999999</v>
      </c>
      <c r="GR111">
        <v>99.770399999999995</v>
      </c>
      <c r="GS111">
        <v>99.542500000000004</v>
      </c>
    </row>
    <row r="112" spans="1:201" x14ac:dyDescent="0.25">
      <c r="A112">
        <v>96</v>
      </c>
      <c r="B112">
        <v>1690377716</v>
      </c>
      <c r="C112">
        <v>999.5</v>
      </c>
      <c r="D112" t="s">
        <v>525</v>
      </c>
      <c r="E112" t="s">
        <v>526</v>
      </c>
      <c r="F112" t="s">
        <v>330</v>
      </c>
      <c r="H112">
        <v>1690377716</v>
      </c>
      <c r="I112">
        <f t="shared" si="30"/>
        <v>1.5641001724541082E-3</v>
      </c>
      <c r="J112">
        <f t="shared" si="31"/>
        <v>1.5641001724541082</v>
      </c>
      <c r="K112">
        <f t="shared" si="32"/>
        <v>24.087906141762282</v>
      </c>
      <c r="L112">
        <f t="shared" si="33"/>
        <v>513.98699999999997</v>
      </c>
      <c r="M112">
        <f t="shared" si="34"/>
        <v>121.57096421656767</v>
      </c>
      <c r="N112">
        <f t="shared" si="35"/>
        <v>12.004485642771918</v>
      </c>
      <c r="O112">
        <f t="shared" si="36"/>
        <v>50.753480502793799</v>
      </c>
      <c r="P112">
        <f t="shared" si="37"/>
        <v>0.10267617903374734</v>
      </c>
      <c r="Q112">
        <f t="shared" si="38"/>
        <v>2.0061270106772717</v>
      </c>
      <c r="R112">
        <f t="shared" si="39"/>
        <v>9.9843536830876808E-2</v>
      </c>
      <c r="S112">
        <f t="shared" si="40"/>
        <v>6.2650203000491428E-2</v>
      </c>
      <c r="T112">
        <f t="shared" si="41"/>
        <v>276.11599595400003</v>
      </c>
      <c r="U112">
        <f t="shared" si="42"/>
        <v>28.819945327154919</v>
      </c>
      <c r="V112">
        <f t="shared" si="43"/>
        <v>28.819945327154919</v>
      </c>
      <c r="W112">
        <f t="shared" si="44"/>
        <v>3.9800599728806274</v>
      </c>
      <c r="X112">
        <f t="shared" si="45"/>
        <v>69.026905707033308</v>
      </c>
      <c r="Y112">
        <f t="shared" si="46"/>
        <v>2.48380386638412</v>
      </c>
      <c r="Z112">
        <f t="shared" si="47"/>
        <v>3.598312630332841</v>
      </c>
      <c r="AA112">
        <f t="shared" si="48"/>
        <v>1.4962561064965074</v>
      </c>
      <c r="AB112">
        <f t="shared" si="49"/>
        <v>-68.976817605226174</v>
      </c>
      <c r="AC112">
        <f t="shared" si="50"/>
        <v>-187.00372056955604</v>
      </c>
      <c r="AD112">
        <f t="shared" si="51"/>
        <v>-20.310150058579044</v>
      </c>
      <c r="AE112">
        <f t="shared" si="52"/>
        <v>-0.17469227936123843</v>
      </c>
      <c r="AF112">
        <v>11</v>
      </c>
      <c r="AG112">
        <v>4</v>
      </c>
      <c r="AH112">
        <f t="shared" si="53"/>
        <v>1</v>
      </c>
      <c r="AI112">
        <f t="shared" si="54"/>
        <v>0</v>
      </c>
      <c r="AJ112">
        <f t="shared" si="55"/>
        <v>52091.604752728636</v>
      </c>
      <c r="AK112">
        <f t="shared" si="56"/>
        <v>1800</v>
      </c>
      <c r="AL112">
        <f t="shared" si="57"/>
        <v>1499.1130493999999</v>
      </c>
      <c r="AM112">
        <f t="shared" si="58"/>
        <v>0.83284058299999997</v>
      </c>
      <c r="AN112">
        <f t="shared" si="59"/>
        <v>0.15339777553</v>
      </c>
      <c r="AO112">
        <v>34.5</v>
      </c>
      <c r="AP112">
        <v>0.5</v>
      </c>
      <c r="AQ112" t="s">
        <v>331</v>
      </c>
      <c r="AR112">
        <v>2</v>
      </c>
      <c r="AS112">
        <v>1690377716</v>
      </c>
      <c r="AT112">
        <v>513.98699999999997</v>
      </c>
      <c r="AU112">
        <v>800.16200000000003</v>
      </c>
      <c r="AV112">
        <v>25.1538</v>
      </c>
      <c r="AW112">
        <v>7.6240600000000001</v>
      </c>
      <c r="AX112">
        <v>514.48699999999997</v>
      </c>
      <c r="AY112">
        <v>24.942699999999999</v>
      </c>
      <c r="AZ112">
        <v>300.08499999999998</v>
      </c>
      <c r="BA112">
        <v>98.6447</v>
      </c>
      <c r="BB112">
        <v>9.9977399999999994E-2</v>
      </c>
      <c r="BC112">
        <v>27.090900000000001</v>
      </c>
      <c r="BD112">
        <v>26.996600000000001</v>
      </c>
      <c r="BE112">
        <v>28.886500000000002</v>
      </c>
      <c r="BF112">
        <v>0</v>
      </c>
      <c r="BG112">
        <v>0</v>
      </c>
      <c r="BH112">
        <v>9989.3799999999992</v>
      </c>
      <c r="BI112">
        <v>1082.76</v>
      </c>
      <c r="BJ112">
        <v>1.5137799999999999</v>
      </c>
      <c r="BK112">
        <v>-286.17500000000001</v>
      </c>
      <c r="BL112">
        <v>527.24900000000002</v>
      </c>
      <c r="BM112">
        <v>806.30899999999997</v>
      </c>
      <c r="BN112">
        <v>17.529699999999998</v>
      </c>
      <c r="BO112">
        <v>800.16200000000003</v>
      </c>
      <c r="BP112">
        <v>7.6240600000000001</v>
      </c>
      <c r="BQ112">
        <v>2.48129</v>
      </c>
      <c r="BR112">
        <v>0.75207400000000002</v>
      </c>
      <c r="BS112">
        <v>20.904299999999999</v>
      </c>
      <c r="BT112">
        <v>2.8334999999999999</v>
      </c>
      <c r="BU112">
        <v>1800</v>
      </c>
      <c r="BV112">
        <v>0.909995</v>
      </c>
      <c r="BW112">
        <v>3.3992300000000003E-2</v>
      </c>
      <c r="BX112">
        <v>2.2005400000000001E-2</v>
      </c>
      <c r="BY112">
        <v>3.4007299999999997E-2</v>
      </c>
      <c r="BZ112">
        <v>25</v>
      </c>
      <c r="CA112">
        <v>33528.199999999997</v>
      </c>
      <c r="CB112">
        <v>1690376213.5999999</v>
      </c>
      <c r="CC112" t="s">
        <v>332</v>
      </c>
      <c r="CD112">
        <v>1690376213.5999999</v>
      </c>
      <c r="CE112">
        <v>1690376198.0999999</v>
      </c>
      <c r="CF112">
        <v>2</v>
      </c>
      <c r="CG112">
        <v>0.66900000000000004</v>
      </c>
      <c r="CH112">
        <v>-2.1000000000000001E-2</v>
      </c>
      <c r="CI112">
        <v>-0.70099999999999996</v>
      </c>
      <c r="CJ112">
        <v>0.21099999999999999</v>
      </c>
      <c r="CK112">
        <v>799</v>
      </c>
      <c r="CL112">
        <v>21</v>
      </c>
      <c r="CM112">
        <v>0.11</v>
      </c>
      <c r="CN112">
        <v>0.17</v>
      </c>
      <c r="CO112">
        <v>-282.30248780487801</v>
      </c>
      <c r="CP112">
        <v>-19.912348432056241</v>
      </c>
      <c r="CQ112">
        <v>1.964378013916511</v>
      </c>
      <c r="CR112">
        <v>-1</v>
      </c>
      <c r="CS112">
        <v>17.236234146341459</v>
      </c>
      <c r="CT112">
        <v>1.4734348432055799</v>
      </c>
      <c r="CU112">
        <v>0.14540959912245921</v>
      </c>
      <c r="CV112">
        <v>-1</v>
      </c>
      <c r="CW112">
        <v>0</v>
      </c>
      <c r="CX112">
        <v>0</v>
      </c>
      <c r="CY112" t="s">
        <v>333</v>
      </c>
      <c r="CZ112">
        <v>2.3649200000000001</v>
      </c>
      <c r="DA112">
        <v>2.7137600000000002</v>
      </c>
      <c r="DB112">
        <v>0.107636</v>
      </c>
      <c r="DC112">
        <v>0.14570900000000001</v>
      </c>
      <c r="DD112">
        <v>0.11731</v>
      </c>
      <c r="DE112">
        <v>4.7719200000000003E-2</v>
      </c>
      <c r="DF112">
        <v>32597</v>
      </c>
      <c r="DG112">
        <v>27531.599999999999</v>
      </c>
      <c r="DH112">
        <v>31182.6</v>
      </c>
      <c r="DI112">
        <v>28079.9</v>
      </c>
      <c r="DJ112">
        <v>37360.800000000003</v>
      </c>
      <c r="DK112">
        <v>38015.1</v>
      </c>
      <c r="DL112">
        <v>44374.9</v>
      </c>
      <c r="DM112">
        <v>42546.9</v>
      </c>
      <c r="DN112">
        <v>1.4419999999999999</v>
      </c>
      <c r="DO112">
        <v>2.0600999999999998</v>
      </c>
      <c r="DP112">
        <v>9.4395099999999996E-2</v>
      </c>
      <c r="DQ112">
        <v>0.210393</v>
      </c>
      <c r="DR112">
        <v>25.450900000000001</v>
      </c>
      <c r="DS112">
        <v>25.4466</v>
      </c>
      <c r="DT112">
        <v>57.3</v>
      </c>
      <c r="DU112">
        <v>26.8</v>
      </c>
      <c r="DV112">
        <v>20.545999999999999</v>
      </c>
      <c r="DW112">
        <v>61.2102</v>
      </c>
      <c r="DX112">
        <v>36.618600000000001</v>
      </c>
      <c r="DY112">
        <v>1</v>
      </c>
      <c r="DZ112">
        <v>-0.13997699999999999</v>
      </c>
      <c r="EA112">
        <v>-0.46997299999999997</v>
      </c>
      <c r="EB112">
        <v>20.189699999999998</v>
      </c>
      <c r="EC112">
        <v>5.2409499999999998</v>
      </c>
      <c r="ED112">
        <v>12.039899999999999</v>
      </c>
      <c r="EE112">
        <v>5.0175000000000001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1.8688499999999999</v>
      </c>
      <c r="EL112">
        <v>1.8644799999999999</v>
      </c>
      <c r="EM112">
        <v>1.8691199999999999</v>
      </c>
      <c r="EN112">
        <v>1.8671800000000001</v>
      </c>
      <c r="EO112">
        <v>1.8632599999999999</v>
      </c>
      <c r="EP112">
        <v>1.86432</v>
      </c>
      <c r="EQ112">
        <v>1.87012</v>
      </c>
      <c r="ER112">
        <v>1.8693500000000001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-0.5</v>
      </c>
      <c r="FG112">
        <v>0.21110000000000001</v>
      </c>
      <c r="FH112">
        <v>-0.150361779349652</v>
      </c>
      <c r="FI112">
        <v>-6.1462078757559423E-4</v>
      </c>
      <c r="FJ112">
        <v>-1.8861989874597051E-7</v>
      </c>
      <c r="FK112">
        <v>1.1980462299894961E-10</v>
      </c>
      <c r="FL112">
        <v>0.21114761904761539</v>
      </c>
      <c r="FM112">
        <v>0</v>
      </c>
      <c r="FN112">
        <v>0</v>
      </c>
      <c r="FO112">
        <v>0</v>
      </c>
      <c r="FP112">
        <v>3</v>
      </c>
      <c r="FQ112">
        <v>2158</v>
      </c>
      <c r="FR112">
        <v>1</v>
      </c>
      <c r="FS112">
        <v>19</v>
      </c>
      <c r="FT112">
        <v>25</v>
      </c>
      <c r="FU112">
        <v>25.3</v>
      </c>
      <c r="FV112">
        <v>1.7773399999999999</v>
      </c>
      <c r="FW112">
        <v>2.5671400000000002</v>
      </c>
      <c r="FX112">
        <v>1.5490699999999999</v>
      </c>
      <c r="FY112">
        <v>2.33643</v>
      </c>
      <c r="FZ112">
        <v>1.50146</v>
      </c>
      <c r="GA112">
        <v>2.3803700000000001</v>
      </c>
      <c r="GB112">
        <v>32.068399999999997</v>
      </c>
      <c r="GC112">
        <v>23.991199999999999</v>
      </c>
      <c r="GD112">
        <v>19</v>
      </c>
      <c r="GE112">
        <v>266.209</v>
      </c>
      <c r="GF112">
        <v>596.08100000000002</v>
      </c>
      <c r="GG112">
        <v>25.6891</v>
      </c>
      <c r="GH112">
        <v>25.677600000000002</v>
      </c>
      <c r="GI112">
        <v>30</v>
      </c>
      <c r="GJ112">
        <v>25.779800000000002</v>
      </c>
      <c r="GK112">
        <v>25.7455</v>
      </c>
      <c r="GL112">
        <v>35.545299999999997</v>
      </c>
      <c r="GM112">
        <v>63.0608</v>
      </c>
      <c r="GN112">
        <v>76.187700000000007</v>
      </c>
      <c r="GO112">
        <v>25.7011</v>
      </c>
      <c r="GP112">
        <v>800</v>
      </c>
      <c r="GQ112">
        <v>7.4437600000000002</v>
      </c>
      <c r="GR112">
        <v>99.769900000000007</v>
      </c>
      <c r="GS112">
        <v>99.543700000000001</v>
      </c>
    </row>
    <row r="113" spans="1:201" x14ac:dyDescent="0.25">
      <c r="A113">
        <v>97</v>
      </c>
      <c r="B113">
        <v>1690377726</v>
      </c>
      <c r="C113">
        <v>1009.5</v>
      </c>
      <c r="D113" t="s">
        <v>527</v>
      </c>
      <c r="E113" t="s">
        <v>528</v>
      </c>
      <c r="F113" t="s">
        <v>330</v>
      </c>
      <c r="H113">
        <v>1690377726</v>
      </c>
      <c r="I113">
        <f t="shared" si="30"/>
        <v>1.5875968659674678E-3</v>
      </c>
      <c r="J113">
        <f t="shared" si="31"/>
        <v>1.5875968659674677</v>
      </c>
      <c r="K113">
        <f t="shared" si="32"/>
        <v>24.365906292280638</v>
      </c>
      <c r="L113">
        <f t="shared" si="33"/>
        <v>510.73599999999999</v>
      </c>
      <c r="M113">
        <f t="shared" si="34"/>
        <v>120.61244539867737</v>
      </c>
      <c r="N113">
        <f t="shared" si="35"/>
        <v>11.909940810388022</v>
      </c>
      <c r="O113">
        <f t="shared" si="36"/>
        <v>50.432901095967992</v>
      </c>
      <c r="P113">
        <f t="shared" si="37"/>
        <v>0.10451131139038303</v>
      </c>
      <c r="Q113">
        <f t="shared" si="38"/>
        <v>2.0042331043498907</v>
      </c>
      <c r="R113">
        <f t="shared" si="39"/>
        <v>0.10157537809776718</v>
      </c>
      <c r="S113">
        <f t="shared" si="40"/>
        <v>6.374152343689457E-2</v>
      </c>
      <c r="T113">
        <f t="shared" si="41"/>
        <v>276.11415711193843</v>
      </c>
      <c r="U113">
        <f t="shared" si="42"/>
        <v>28.807456900216639</v>
      </c>
      <c r="V113">
        <f t="shared" si="43"/>
        <v>28.807456900216639</v>
      </c>
      <c r="W113">
        <f t="shared" si="44"/>
        <v>3.9771808548739713</v>
      </c>
      <c r="X113">
        <f t="shared" si="45"/>
        <v>69.062434379097411</v>
      </c>
      <c r="Y113">
        <f t="shared" si="46"/>
        <v>2.4843093668806002</v>
      </c>
      <c r="Z113">
        <f t="shared" si="47"/>
        <v>3.597193451426477</v>
      </c>
      <c r="AA113">
        <f t="shared" si="48"/>
        <v>1.4928714879933711</v>
      </c>
      <c r="AB113">
        <f t="shared" si="49"/>
        <v>-70.013021789165336</v>
      </c>
      <c r="AC113">
        <f t="shared" si="50"/>
        <v>-186.05045219101137</v>
      </c>
      <c r="AD113">
        <f t="shared" si="51"/>
        <v>-20.223917008783314</v>
      </c>
      <c r="AE113">
        <f t="shared" si="52"/>
        <v>-0.17323387702160176</v>
      </c>
      <c r="AF113">
        <v>11</v>
      </c>
      <c r="AG113">
        <v>4</v>
      </c>
      <c r="AH113">
        <f t="shared" si="53"/>
        <v>1</v>
      </c>
      <c r="AI113">
        <f t="shared" si="54"/>
        <v>0</v>
      </c>
      <c r="AJ113">
        <f t="shared" si="55"/>
        <v>52002.165709022534</v>
      </c>
      <c r="AK113">
        <f t="shared" si="56"/>
        <v>1799.99</v>
      </c>
      <c r="AL113">
        <f t="shared" si="57"/>
        <v>1499.1047353940899</v>
      </c>
      <c r="AM113">
        <f t="shared" si="58"/>
        <v>0.83284059099999996</v>
      </c>
      <c r="AN113">
        <f t="shared" si="59"/>
        <v>0.15339760616000001</v>
      </c>
      <c r="AO113">
        <v>34.5</v>
      </c>
      <c r="AP113">
        <v>0.5</v>
      </c>
      <c r="AQ113" t="s">
        <v>331</v>
      </c>
      <c r="AR113">
        <v>2</v>
      </c>
      <c r="AS113">
        <v>1690377726</v>
      </c>
      <c r="AT113">
        <v>510.73599999999999</v>
      </c>
      <c r="AU113">
        <v>800.09500000000003</v>
      </c>
      <c r="AV113">
        <v>25.1587</v>
      </c>
      <c r="AW113">
        <v>7.37134</v>
      </c>
      <c r="AX113">
        <v>511.233</v>
      </c>
      <c r="AY113">
        <v>24.947500000000002</v>
      </c>
      <c r="AZ113">
        <v>300.18</v>
      </c>
      <c r="BA113">
        <v>98.645399999999995</v>
      </c>
      <c r="BB113">
        <v>0.100138</v>
      </c>
      <c r="BC113">
        <v>27.085599999999999</v>
      </c>
      <c r="BD113">
        <v>26.994399999999999</v>
      </c>
      <c r="BE113">
        <v>28.8965</v>
      </c>
      <c r="BF113">
        <v>0</v>
      </c>
      <c r="BG113">
        <v>0</v>
      </c>
      <c r="BH113">
        <v>9971.25</v>
      </c>
      <c r="BI113">
        <v>1082.58</v>
      </c>
      <c r="BJ113">
        <v>1.5137799999999999</v>
      </c>
      <c r="BK113">
        <v>-289.36</v>
      </c>
      <c r="BL113">
        <v>523.91700000000003</v>
      </c>
      <c r="BM113">
        <v>806.03700000000003</v>
      </c>
      <c r="BN113">
        <v>17.787299999999998</v>
      </c>
      <c r="BO113">
        <v>800.09500000000003</v>
      </c>
      <c r="BP113">
        <v>7.37134</v>
      </c>
      <c r="BQ113">
        <v>2.4817900000000002</v>
      </c>
      <c r="BR113">
        <v>0.72714900000000005</v>
      </c>
      <c r="BS113">
        <v>20.907599999999999</v>
      </c>
      <c r="BT113">
        <v>2.3594200000000001</v>
      </c>
      <c r="BU113">
        <v>1799.99</v>
      </c>
      <c r="BV113">
        <v>0.909999</v>
      </c>
      <c r="BW113">
        <v>3.3990699999999999E-2</v>
      </c>
      <c r="BX113">
        <v>2.2004300000000001E-2</v>
      </c>
      <c r="BY113">
        <v>3.4005599999999997E-2</v>
      </c>
      <c r="BZ113">
        <v>25</v>
      </c>
      <c r="CA113">
        <v>33528.199999999997</v>
      </c>
      <c r="CB113">
        <v>1690376213.5999999</v>
      </c>
      <c r="CC113" t="s">
        <v>332</v>
      </c>
      <c r="CD113">
        <v>1690376213.5999999</v>
      </c>
      <c r="CE113">
        <v>1690376198.0999999</v>
      </c>
      <c r="CF113">
        <v>2</v>
      </c>
      <c r="CG113">
        <v>0.66900000000000004</v>
      </c>
      <c r="CH113">
        <v>-2.1000000000000001E-2</v>
      </c>
      <c r="CI113">
        <v>-0.70099999999999996</v>
      </c>
      <c r="CJ113">
        <v>0.21099999999999999</v>
      </c>
      <c r="CK113">
        <v>799</v>
      </c>
      <c r="CL113">
        <v>21</v>
      </c>
      <c r="CM113">
        <v>0.11</v>
      </c>
      <c r="CN113">
        <v>0.17</v>
      </c>
      <c r="CO113">
        <v>-285.84120000000001</v>
      </c>
      <c r="CP113">
        <v>-19.562791744839789</v>
      </c>
      <c r="CQ113">
        <v>1.8830400314385281</v>
      </c>
      <c r="CR113">
        <v>-1</v>
      </c>
      <c r="CS113">
        <v>17.509589999999999</v>
      </c>
      <c r="CT113">
        <v>1.581527954971832</v>
      </c>
      <c r="CU113">
        <v>0.1522453477121713</v>
      </c>
      <c r="CV113">
        <v>-1</v>
      </c>
      <c r="CW113">
        <v>0</v>
      </c>
      <c r="CX113">
        <v>0</v>
      </c>
      <c r="CY113" t="s">
        <v>333</v>
      </c>
      <c r="CZ113">
        <v>2.3652600000000001</v>
      </c>
      <c r="DA113">
        <v>2.7139000000000002</v>
      </c>
      <c r="DB113">
        <v>0.107142</v>
      </c>
      <c r="DC113">
        <v>0.14569699999999999</v>
      </c>
      <c r="DD113">
        <v>0.117326</v>
      </c>
      <c r="DE113">
        <v>4.6456299999999999E-2</v>
      </c>
      <c r="DF113">
        <v>32615.4</v>
      </c>
      <c r="DG113">
        <v>27532.1</v>
      </c>
      <c r="DH113">
        <v>31182.9</v>
      </c>
      <c r="DI113">
        <v>28080</v>
      </c>
      <c r="DJ113">
        <v>37360.5</v>
      </c>
      <c r="DK113">
        <v>38065.800000000003</v>
      </c>
      <c r="DL113">
        <v>44375.4</v>
      </c>
      <c r="DM113">
        <v>42547.1</v>
      </c>
      <c r="DN113">
        <v>1.4425300000000001</v>
      </c>
      <c r="DO113">
        <v>2.0591499999999998</v>
      </c>
      <c r="DP113">
        <v>9.4260999999999998E-2</v>
      </c>
      <c r="DQ113">
        <v>0.21111199999999999</v>
      </c>
      <c r="DR113">
        <v>25.450900000000001</v>
      </c>
      <c r="DS113">
        <v>25.444900000000001</v>
      </c>
      <c r="DT113">
        <v>57</v>
      </c>
      <c r="DU113">
        <v>26.8</v>
      </c>
      <c r="DV113">
        <v>20.440000000000001</v>
      </c>
      <c r="DW113">
        <v>61.620199999999997</v>
      </c>
      <c r="DX113">
        <v>36.963099999999997</v>
      </c>
      <c r="DY113">
        <v>1</v>
      </c>
      <c r="DZ113">
        <v>-0.139713</v>
      </c>
      <c r="EA113">
        <v>-0.52745399999999998</v>
      </c>
      <c r="EB113">
        <v>20.189499999999999</v>
      </c>
      <c r="EC113">
        <v>5.24125</v>
      </c>
      <c r="ED113">
        <v>12.039899999999999</v>
      </c>
      <c r="EE113">
        <v>5.0175000000000001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1.8688199999999999</v>
      </c>
      <c r="EL113">
        <v>1.8645099999999999</v>
      </c>
      <c r="EM113">
        <v>1.8691500000000001</v>
      </c>
      <c r="EN113">
        <v>1.8671899999999999</v>
      </c>
      <c r="EO113">
        <v>1.86327</v>
      </c>
      <c r="EP113">
        <v>1.86432</v>
      </c>
      <c r="EQ113">
        <v>1.87012</v>
      </c>
      <c r="ER113">
        <v>1.8693500000000001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-0.497</v>
      </c>
      <c r="FG113">
        <v>0.2112</v>
      </c>
      <c r="FH113">
        <v>-0.150361779349652</v>
      </c>
      <c r="FI113">
        <v>-6.1462078757559423E-4</v>
      </c>
      <c r="FJ113">
        <v>-1.8861989874597051E-7</v>
      </c>
      <c r="FK113">
        <v>1.1980462299894961E-10</v>
      </c>
      <c r="FL113">
        <v>0.21114761904761539</v>
      </c>
      <c r="FM113">
        <v>0</v>
      </c>
      <c r="FN113">
        <v>0</v>
      </c>
      <c r="FO113">
        <v>0</v>
      </c>
      <c r="FP113">
        <v>3</v>
      </c>
      <c r="FQ113">
        <v>2158</v>
      </c>
      <c r="FR113">
        <v>1</v>
      </c>
      <c r="FS113">
        <v>19</v>
      </c>
      <c r="FT113">
        <v>25.2</v>
      </c>
      <c r="FU113">
        <v>25.5</v>
      </c>
      <c r="FV113">
        <v>1.7773399999999999</v>
      </c>
      <c r="FW113">
        <v>2.5683600000000002</v>
      </c>
      <c r="FX113">
        <v>1.5490699999999999</v>
      </c>
      <c r="FY113">
        <v>2.33643</v>
      </c>
      <c r="FZ113">
        <v>1.50146</v>
      </c>
      <c r="GA113">
        <v>2.3327599999999999</v>
      </c>
      <c r="GB113">
        <v>32.068399999999997</v>
      </c>
      <c r="GC113">
        <v>23.991199999999999</v>
      </c>
      <c r="GD113">
        <v>19</v>
      </c>
      <c r="GE113">
        <v>266.42200000000003</v>
      </c>
      <c r="GF113">
        <v>595.28499999999997</v>
      </c>
      <c r="GG113">
        <v>25.703099999999999</v>
      </c>
      <c r="GH113">
        <v>25.677600000000002</v>
      </c>
      <c r="GI113">
        <v>30.0001</v>
      </c>
      <c r="GJ113">
        <v>25.779800000000002</v>
      </c>
      <c r="GK113">
        <v>25.7455</v>
      </c>
      <c r="GL113">
        <v>35.537999999999997</v>
      </c>
      <c r="GM113">
        <v>63.899900000000002</v>
      </c>
      <c r="GN113">
        <v>75.441999999999993</v>
      </c>
      <c r="GO113">
        <v>25.714600000000001</v>
      </c>
      <c r="GP113">
        <v>800</v>
      </c>
      <c r="GQ113">
        <v>7.1906999999999996</v>
      </c>
      <c r="GR113">
        <v>99.770899999999997</v>
      </c>
      <c r="GS113">
        <v>99.5441</v>
      </c>
    </row>
    <row r="114" spans="1:201" x14ac:dyDescent="0.25">
      <c r="A114">
        <v>98</v>
      </c>
      <c r="B114">
        <v>1690377736</v>
      </c>
      <c r="C114">
        <v>1019.5</v>
      </c>
      <c r="D114" t="s">
        <v>529</v>
      </c>
      <c r="E114" t="s">
        <v>530</v>
      </c>
      <c r="F114" t="s">
        <v>330</v>
      </c>
      <c r="H114">
        <v>1690377736</v>
      </c>
      <c r="I114">
        <f t="shared" si="30"/>
        <v>1.611649631506587E-3</v>
      </c>
      <c r="J114">
        <f t="shared" si="31"/>
        <v>1.6116496315065869</v>
      </c>
      <c r="K114">
        <f t="shared" si="32"/>
        <v>24.627771688663856</v>
      </c>
      <c r="L114">
        <f t="shared" si="33"/>
        <v>507.529</v>
      </c>
      <c r="M114">
        <f t="shared" si="34"/>
        <v>120.09701407946466</v>
      </c>
      <c r="N114">
        <f t="shared" si="35"/>
        <v>11.859016284866032</v>
      </c>
      <c r="O114">
        <f t="shared" si="36"/>
        <v>50.116105901345001</v>
      </c>
      <c r="P114">
        <f t="shared" si="37"/>
        <v>0.10640243546681455</v>
      </c>
      <c r="Q114">
        <f t="shared" si="38"/>
        <v>2.0111629128374195</v>
      </c>
      <c r="R114">
        <f t="shared" si="39"/>
        <v>0.10337111307135043</v>
      </c>
      <c r="S114">
        <f t="shared" si="40"/>
        <v>6.4872104573669501E-2</v>
      </c>
      <c r="T114">
        <f t="shared" si="41"/>
        <v>276.11426804532209</v>
      </c>
      <c r="U114">
        <f t="shared" si="42"/>
        <v>28.795662098545524</v>
      </c>
      <c r="V114">
        <f t="shared" si="43"/>
        <v>28.795662098545524</v>
      </c>
      <c r="W114">
        <f t="shared" si="44"/>
        <v>3.9744633151579825</v>
      </c>
      <c r="X114">
        <f t="shared" si="45"/>
        <v>69.079990317719464</v>
      </c>
      <c r="Y114">
        <f t="shared" si="46"/>
        <v>2.4852909579535005</v>
      </c>
      <c r="Z114">
        <f t="shared" si="47"/>
        <v>3.5977002117732018</v>
      </c>
      <c r="AA114">
        <f t="shared" si="48"/>
        <v>1.4891723572044819</v>
      </c>
      <c r="AB114">
        <f t="shared" si="49"/>
        <v>-71.073748749440483</v>
      </c>
      <c r="AC114">
        <f t="shared" si="50"/>
        <v>-185.15465470579298</v>
      </c>
      <c r="AD114">
        <f t="shared" si="51"/>
        <v>-20.056251349966264</v>
      </c>
      <c r="AE114">
        <f t="shared" si="52"/>
        <v>-0.17038675987762986</v>
      </c>
      <c r="AF114">
        <v>11</v>
      </c>
      <c r="AG114">
        <v>4</v>
      </c>
      <c r="AH114">
        <f t="shared" si="53"/>
        <v>1</v>
      </c>
      <c r="AI114">
        <f t="shared" si="54"/>
        <v>0</v>
      </c>
      <c r="AJ114">
        <f t="shared" si="55"/>
        <v>52332.999057200053</v>
      </c>
      <c r="AK114">
        <f t="shared" si="56"/>
        <v>1799.99</v>
      </c>
      <c r="AL114">
        <f t="shared" si="57"/>
        <v>1499.1009698150099</v>
      </c>
      <c r="AM114">
        <f t="shared" si="58"/>
        <v>0.83283849899999995</v>
      </c>
      <c r="AN114">
        <f t="shared" si="59"/>
        <v>0.15339766779</v>
      </c>
      <c r="AO114">
        <v>34.5</v>
      </c>
      <c r="AP114">
        <v>0.5</v>
      </c>
      <c r="AQ114" t="s">
        <v>331</v>
      </c>
      <c r="AR114">
        <v>2</v>
      </c>
      <c r="AS114">
        <v>1690377736</v>
      </c>
      <c r="AT114">
        <v>507.529</v>
      </c>
      <c r="AU114">
        <v>800.03399999999999</v>
      </c>
      <c r="AV114">
        <v>25.168700000000001</v>
      </c>
      <c r="AW114">
        <v>7.10867</v>
      </c>
      <c r="AX114">
        <v>508.02499999999998</v>
      </c>
      <c r="AY114">
        <v>24.957599999999999</v>
      </c>
      <c r="AZ114">
        <v>300.12400000000002</v>
      </c>
      <c r="BA114">
        <v>98.645300000000006</v>
      </c>
      <c r="BB114">
        <v>0.100005</v>
      </c>
      <c r="BC114">
        <v>27.088000000000001</v>
      </c>
      <c r="BD114">
        <v>26.9832</v>
      </c>
      <c r="BE114">
        <v>28.908000000000001</v>
      </c>
      <c r="BF114">
        <v>0</v>
      </c>
      <c r="BG114">
        <v>0</v>
      </c>
      <c r="BH114">
        <v>10037.5</v>
      </c>
      <c r="BI114">
        <v>1082.6400000000001</v>
      </c>
      <c r="BJ114">
        <v>1.5137799999999999</v>
      </c>
      <c r="BK114">
        <v>-292.505</v>
      </c>
      <c r="BL114">
        <v>520.63300000000004</v>
      </c>
      <c r="BM114">
        <v>805.76199999999994</v>
      </c>
      <c r="BN114">
        <v>18.059999999999999</v>
      </c>
      <c r="BO114">
        <v>800.03399999999999</v>
      </c>
      <c r="BP114">
        <v>7.10867</v>
      </c>
      <c r="BQ114">
        <v>2.48278</v>
      </c>
      <c r="BR114">
        <v>0.701237</v>
      </c>
      <c r="BS114">
        <v>20.914000000000001</v>
      </c>
      <c r="BT114">
        <v>1.85107</v>
      </c>
      <c r="BU114">
        <v>1799.99</v>
      </c>
      <c r="BV114">
        <v>0.90998599999999996</v>
      </c>
      <c r="BW114">
        <v>3.4006500000000002E-2</v>
      </c>
      <c r="BX114">
        <v>2.2003200000000001E-2</v>
      </c>
      <c r="BY114">
        <v>3.4003899999999997E-2</v>
      </c>
      <c r="BZ114">
        <v>25</v>
      </c>
      <c r="CA114">
        <v>33528.199999999997</v>
      </c>
      <c r="CB114">
        <v>1690376213.5999999</v>
      </c>
      <c r="CC114" t="s">
        <v>332</v>
      </c>
      <c r="CD114">
        <v>1690376213.5999999</v>
      </c>
      <c r="CE114">
        <v>1690376198.0999999</v>
      </c>
      <c r="CF114">
        <v>2</v>
      </c>
      <c r="CG114">
        <v>0.66900000000000004</v>
      </c>
      <c r="CH114">
        <v>-2.1000000000000001E-2</v>
      </c>
      <c r="CI114">
        <v>-0.70099999999999996</v>
      </c>
      <c r="CJ114">
        <v>0.21099999999999999</v>
      </c>
      <c r="CK114">
        <v>799</v>
      </c>
      <c r="CL114">
        <v>21</v>
      </c>
      <c r="CM114">
        <v>0.11</v>
      </c>
      <c r="CN114">
        <v>0.17</v>
      </c>
      <c r="CO114">
        <v>-289.10899999999998</v>
      </c>
      <c r="CP114">
        <v>-19.58917823639705</v>
      </c>
      <c r="CQ114">
        <v>1.8856724795149311</v>
      </c>
      <c r="CR114">
        <v>-1</v>
      </c>
      <c r="CS114">
        <v>17.772855</v>
      </c>
      <c r="CT114">
        <v>1.5656960600375101</v>
      </c>
      <c r="CU114">
        <v>0.1506575569793959</v>
      </c>
      <c r="CV114">
        <v>-1</v>
      </c>
      <c r="CW114">
        <v>0</v>
      </c>
      <c r="CX114">
        <v>0</v>
      </c>
      <c r="CY114" t="s">
        <v>333</v>
      </c>
      <c r="CZ114">
        <v>2.3650699999999998</v>
      </c>
      <c r="DA114">
        <v>2.7138300000000002</v>
      </c>
      <c r="DB114">
        <v>0.106652</v>
      </c>
      <c r="DC114">
        <v>0.14568400000000001</v>
      </c>
      <c r="DD114">
        <v>0.11736000000000001</v>
      </c>
      <c r="DE114">
        <v>4.5129000000000002E-2</v>
      </c>
      <c r="DF114">
        <v>32632.7</v>
      </c>
      <c r="DG114">
        <v>27532.7</v>
      </c>
      <c r="DH114">
        <v>31182.3</v>
      </c>
      <c r="DI114">
        <v>28080.2</v>
      </c>
      <c r="DJ114">
        <v>37358.5</v>
      </c>
      <c r="DK114">
        <v>38119.1</v>
      </c>
      <c r="DL114">
        <v>44374.8</v>
      </c>
      <c r="DM114">
        <v>42547.3</v>
      </c>
      <c r="DN114">
        <v>1.44225</v>
      </c>
      <c r="DO114">
        <v>2.05897</v>
      </c>
      <c r="DP114">
        <v>9.3579300000000004E-2</v>
      </c>
      <c r="DQ114">
        <v>0.211842</v>
      </c>
      <c r="DR114">
        <v>25.450900000000001</v>
      </c>
      <c r="DS114">
        <v>25.444500000000001</v>
      </c>
      <c r="DT114">
        <v>56.8</v>
      </c>
      <c r="DU114">
        <v>26.9</v>
      </c>
      <c r="DV114">
        <v>20.4863</v>
      </c>
      <c r="DW114">
        <v>60.890099999999997</v>
      </c>
      <c r="DX114">
        <v>37.311700000000002</v>
      </c>
      <c r="DY114">
        <v>1</v>
      </c>
      <c r="DZ114">
        <v>-0.14005799999999999</v>
      </c>
      <c r="EA114">
        <v>-0.52603800000000001</v>
      </c>
      <c r="EB114">
        <v>20.189299999999999</v>
      </c>
      <c r="EC114">
        <v>5.24125</v>
      </c>
      <c r="ED114">
        <v>12.039899999999999</v>
      </c>
      <c r="EE114">
        <v>5.0171000000000001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1.8688800000000001</v>
      </c>
      <c r="EL114">
        <v>1.8645</v>
      </c>
      <c r="EM114">
        <v>1.8691800000000001</v>
      </c>
      <c r="EN114">
        <v>1.8672</v>
      </c>
      <c r="EO114">
        <v>1.86328</v>
      </c>
      <c r="EP114">
        <v>1.86433</v>
      </c>
      <c r="EQ114">
        <v>1.87012</v>
      </c>
      <c r="ER114">
        <v>1.8693500000000001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-0.496</v>
      </c>
      <c r="FG114">
        <v>0.21110000000000001</v>
      </c>
      <c r="FH114">
        <v>-0.150361779349652</v>
      </c>
      <c r="FI114">
        <v>-6.1462078757559423E-4</v>
      </c>
      <c r="FJ114">
        <v>-1.8861989874597051E-7</v>
      </c>
      <c r="FK114">
        <v>1.1980462299894961E-10</v>
      </c>
      <c r="FL114">
        <v>0.21114761904761539</v>
      </c>
      <c r="FM114">
        <v>0</v>
      </c>
      <c r="FN114">
        <v>0</v>
      </c>
      <c r="FO114">
        <v>0</v>
      </c>
      <c r="FP114">
        <v>3</v>
      </c>
      <c r="FQ114">
        <v>2158</v>
      </c>
      <c r="FR114">
        <v>1</v>
      </c>
      <c r="FS114">
        <v>19</v>
      </c>
      <c r="FT114">
        <v>25.4</v>
      </c>
      <c r="FU114">
        <v>25.6</v>
      </c>
      <c r="FV114">
        <v>1.7773399999999999</v>
      </c>
      <c r="FW114">
        <v>2.5683600000000002</v>
      </c>
      <c r="FX114">
        <v>1.5490699999999999</v>
      </c>
      <c r="FY114">
        <v>2.33643</v>
      </c>
      <c r="FZ114">
        <v>1.50146</v>
      </c>
      <c r="GA114">
        <v>2.3046899999999999</v>
      </c>
      <c r="GB114">
        <v>32.090400000000002</v>
      </c>
      <c r="GC114">
        <v>23.991199999999999</v>
      </c>
      <c r="GD114">
        <v>19</v>
      </c>
      <c r="GE114">
        <v>266.31</v>
      </c>
      <c r="GF114">
        <v>595.13900000000001</v>
      </c>
      <c r="GG114">
        <v>25.718399999999999</v>
      </c>
      <c r="GH114">
        <v>25.677600000000002</v>
      </c>
      <c r="GI114">
        <v>30</v>
      </c>
      <c r="GJ114">
        <v>25.779800000000002</v>
      </c>
      <c r="GK114">
        <v>25.7455</v>
      </c>
      <c r="GL114">
        <v>35.532200000000003</v>
      </c>
      <c r="GM114">
        <v>64.490200000000002</v>
      </c>
      <c r="GN114">
        <v>74.299800000000005</v>
      </c>
      <c r="GO114">
        <v>25.728000000000002</v>
      </c>
      <c r="GP114">
        <v>800</v>
      </c>
      <c r="GQ114">
        <v>6.9329000000000001</v>
      </c>
      <c r="GR114">
        <v>99.769400000000005</v>
      </c>
      <c r="GS114">
        <v>99.544600000000003</v>
      </c>
    </row>
    <row r="115" spans="1:201" x14ac:dyDescent="0.25">
      <c r="A115">
        <v>99</v>
      </c>
      <c r="B115">
        <v>1690377746</v>
      </c>
      <c r="C115">
        <v>1029.5</v>
      </c>
      <c r="D115" t="s">
        <v>531</v>
      </c>
      <c r="E115" t="s">
        <v>532</v>
      </c>
      <c r="F115" t="s">
        <v>330</v>
      </c>
      <c r="H115">
        <v>1690377746</v>
      </c>
      <c r="I115">
        <f t="shared" si="30"/>
        <v>1.6349840285744648E-3</v>
      </c>
      <c r="J115">
        <f t="shared" si="31"/>
        <v>1.6349840285744648</v>
      </c>
      <c r="K115">
        <f t="shared" si="32"/>
        <v>24.9205632615922</v>
      </c>
      <c r="L115">
        <f t="shared" si="33"/>
        <v>504.32900000000001</v>
      </c>
      <c r="M115">
        <f t="shared" si="34"/>
        <v>118.61803553807557</v>
      </c>
      <c r="N115">
        <f t="shared" si="35"/>
        <v>11.712707207128151</v>
      </c>
      <c r="O115">
        <f t="shared" si="36"/>
        <v>49.798986185094996</v>
      </c>
      <c r="P115">
        <f t="shared" si="37"/>
        <v>0.10819081735304283</v>
      </c>
      <c r="Q115">
        <f t="shared" si="38"/>
        <v>2.0042737671118092</v>
      </c>
      <c r="R115">
        <f t="shared" si="39"/>
        <v>0.10504792414321992</v>
      </c>
      <c r="S115">
        <f t="shared" si="40"/>
        <v>6.5929724149645708E-2</v>
      </c>
      <c r="T115">
        <f t="shared" si="41"/>
        <v>276.1144386123745</v>
      </c>
      <c r="U115">
        <f t="shared" si="42"/>
        <v>28.788571494318923</v>
      </c>
      <c r="V115">
        <f t="shared" si="43"/>
        <v>28.788571494318923</v>
      </c>
      <c r="W115">
        <f t="shared" si="44"/>
        <v>3.9728304089376256</v>
      </c>
      <c r="X115">
        <f t="shared" si="45"/>
        <v>69.121826568300875</v>
      </c>
      <c r="Y115">
        <f t="shared" si="46"/>
        <v>2.4862415075394999</v>
      </c>
      <c r="Z115">
        <f t="shared" si="47"/>
        <v>3.5968978699988305</v>
      </c>
      <c r="AA115">
        <f t="shared" si="48"/>
        <v>1.4865889013981257</v>
      </c>
      <c r="AB115">
        <f t="shared" si="49"/>
        <v>-72.102795660133893</v>
      </c>
      <c r="AC115">
        <f t="shared" si="50"/>
        <v>-184.164851693093</v>
      </c>
      <c r="AD115">
        <f t="shared" si="51"/>
        <v>-20.016516463235359</v>
      </c>
      <c r="AE115">
        <f t="shared" si="52"/>
        <v>-0.16972520408774017</v>
      </c>
      <c r="AF115">
        <v>11</v>
      </c>
      <c r="AG115">
        <v>4</v>
      </c>
      <c r="AH115">
        <f t="shared" si="53"/>
        <v>1</v>
      </c>
      <c r="AI115">
        <f t="shared" si="54"/>
        <v>0</v>
      </c>
      <c r="AJ115">
        <f t="shared" si="55"/>
        <v>52004.296600735106</v>
      </c>
      <c r="AK115">
        <f t="shared" si="56"/>
        <v>1799.99</v>
      </c>
      <c r="AL115">
        <f t="shared" si="57"/>
        <v>1499.1013766127501</v>
      </c>
      <c r="AM115">
        <f t="shared" si="58"/>
        <v>0.832838725</v>
      </c>
      <c r="AN115">
        <f t="shared" si="59"/>
        <v>0.15339776255000001</v>
      </c>
      <c r="AO115">
        <v>34.5</v>
      </c>
      <c r="AP115">
        <v>0.5</v>
      </c>
      <c r="AQ115" t="s">
        <v>331</v>
      </c>
      <c r="AR115">
        <v>2</v>
      </c>
      <c r="AS115">
        <v>1690377746</v>
      </c>
      <c r="AT115">
        <v>504.32900000000001</v>
      </c>
      <c r="AU115">
        <v>800.255</v>
      </c>
      <c r="AV115">
        <v>25.178899999999999</v>
      </c>
      <c r="AW115">
        <v>6.85886</v>
      </c>
      <c r="AX115">
        <v>504.82299999999998</v>
      </c>
      <c r="AY115">
        <v>24.967700000000001</v>
      </c>
      <c r="AZ115">
        <v>300.14499999999998</v>
      </c>
      <c r="BA115">
        <v>98.643000000000001</v>
      </c>
      <c r="BB115">
        <v>0.10005500000000001</v>
      </c>
      <c r="BC115">
        <v>27.084199999999999</v>
      </c>
      <c r="BD115">
        <v>26.978000000000002</v>
      </c>
      <c r="BE115">
        <v>28.883700000000001</v>
      </c>
      <c r="BF115">
        <v>0</v>
      </c>
      <c r="BG115">
        <v>0</v>
      </c>
      <c r="BH115">
        <v>9971.8799999999992</v>
      </c>
      <c r="BI115">
        <v>1082.74</v>
      </c>
      <c r="BJ115">
        <v>1.5137799999999999</v>
      </c>
      <c r="BK115">
        <v>-295.92500000000001</v>
      </c>
      <c r="BL115">
        <v>517.35599999999999</v>
      </c>
      <c r="BM115">
        <v>805.78099999999995</v>
      </c>
      <c r="BN115">
        <v>18.32</v>
      </c>
      <c r="BO115">
        <v>800.255</v>
      </c>
      <c r="BP115">
        <v>6.85886</v>
      </c>
      <c r="BQ115">
        <v>2.4837199999999999</v>
      </c>
      <c r="BR115">
        <v>0.67657900000000004</v>
      </c>
      <c r="BS115">
        <v>20.920200000000001</v>
      </c>
      <c r="BT115">
        <v>1.35164</v>
      </c>
      <c r="BU115">
        <v>1799.99</v>
      </c>
      <c r="BV115">
        <v>0.90998500000000004</v>
      </c>
      <c r="BW115">
        <v>3.4008700000000003E-2</v>
      </c>
      <c r="BX115">
        <v>2.2003000000000002E-2</v>
      </c>
      <c r="BY115">
        <v>3.4003499999999999E-2</v>
      </c>
      <c r="BZ115">
        <v>25</v>
      </c>
      <c r="CA115">
        <v>33528.1</v>
      </c>
      <c r="CB115">
        <v>1690376213.5999999</v>
      </c>
      <c r="CC115" t="s">
        <v>332</v>
      </c>
      <c r="CD115">
        <v>1690376213.5999999</v>
      </c>
      <c r="CE115">
        <v>1690376198.0999999</v>
      </c>
      <c r="CF115">
        <v>2</v>
      </c>
      <c r="CG115">
        <v>0.66900000000000004</v>
      </c>
      <c r="CH115">
        <v>-2.1000000000000001E-2</v>
      </c>
      <c r="CI115">
        <v>-0.70099999999999996</v>
      </c>
      <c r="CJ115">
        <v>0.21099999999999999</v>
      </c>
      <c r="CK115">
        <v>799</v>
      </c>
      <c r="CL115">
        <v>21</v>
      </c>
      <c r="CM115">
        <v>0.11</v>
      </c>
      <c r="CN115">
        <v>0.17</v>
      </c>
      <c r="CO115">
        <v>-292.38136585365862</v>
      </c>
      <c r="CP115">
        <v>-18.787087108014219</v>
      </c>
      <c r="CQ115">
        <v>1.853765617253728</v>
      </c>
      <c r="CR115">
        <v>-1</v>
      </c>
      <c r="CS115">
        <v>18.039024390243899</v>
      </c>
      <c r="CT115">
        <v>1.557972125435547</v>
      </c>
      <c r="CU115">
        <v>0.15367493214890249</v>
      </c>
      <c r="CV115">
        <v>-1</v>
      </c>
      <c r="CW115">
        <v>0</v>
      </c>
      <c r="CX115">
        <v>0</v>
      </c>
      <c r="CY115" t="s">
        <v>333</v>
      </c>
      <c r="CZ115">
        <v>2.3651399999999998</v>
      </c>
      <c r="DA115">
        <v>2.7138200000000001</v>
      </c>
      <c r="DB115">
        <v>0.10616</v>
      </c>
      <c r="DC115">
        <v>0.145704</v>
      </c>
      <c r="DD115">
        <v>0.117391</v>
      </c>
      <c r="DE115">
        <v>4.3851300000000003E-2</v>
      </c>
      <c r="DF115">
        <v>32650.9</v>
      </c>
      <c r="DG115">
        <v>27532.3</v>
      </c>
      <c r="DH115">
        <v>31182.6</v>
      </c>
      <c r="DI115">
        <v>28080.400000000001</v>
      </c>
      <c r="DJ115">
        <v>37357.199999999997</v>
      </c>
      <c r="DK115">
        <v>38170.800000000003</v>
      </c>
      <c r="DL115">
        <v>44375</v>
      </c>
      <c r="DM115">
        <v>42547.9</v>
      </c>
      <c r="DN115">
        <v>1.44278</v>
      </c>
      <c r="DO115">
        <v>2.0583300000000002</v>
      </c>
      <c r="DP115">
        <v>9.3258900000000006E-2</v>
      </c>
      <c r="DQ115">
        <v>0.210449</v>
      </c>
      <c r="DR115">
        <v>25.450900000000001</v>
      </c>
      <c r="DS115">
        <v>25.442900000000002</v>
      </c>
      <c r="DT115">
        <v>56.5</v>
      </c>
      <c r="DU115">
        <v>26.9</v>
      </c>
      <c r="DV115">
        <v>20.383400000000002</v>
      </c>
      <c r="DW115">
        <v>61.390099999999997</v>
      </c>
      <c r="DX115">
        <v>37.383800000000001</v>
      </c>
      <c r="DY115">
        <v>1</v>
      </c>
      <c r="DZ115">
        <v>-0.13950199999999999</v>
      </c>
      <c r="EA115">
        <v>-0.54375499999999999</v>
      </c>
      <c r="EB115">
        <v>20.189399999999999</v>
      </c>
      <c r="EC115">
        <v>5.2413999999999996</v>
      </c>
      <c r="ED115">
        <v>12.039899999999999</v>
      </c>
      <c r="EE115">
        <v>5.0171999999999999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1.8688400000000001</v>
      </c>
      <c r="EL115">
        <v>1.8645099999999999</v>
      </c>
      <c r="EM115">
        <v>1.86917</v>
      </c>
      <c r="EN115">
        <v>1.86721</v>
      </c>
      <c r="EO115">
        <v>1.86328</v>
      </c>
      <c r="EP115">
        <v>1.86433</v>
      </c>
      <c r="EQ115">
        <v>1.87012</v>
      </c>
      <c r="ER115">
        <v>1.8693500000000001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-0.49399999999999999</v>
      </c>
      <c r="FG115">
        <v>0.2112</v>
      </c>
      <c r="FH115">
        <v>-0.150361779349652</v>
      </c>
      <c r="FI115">
        <v>-6.1462078757559423E-4</v>
      </c>
      <c r="FJ115">
        <v>-1.8861989874597051E-7</v>
      </c>
      <c r="FK115">
        <v>1.1980462299894961E-10</v>
      </c>
      <c r="FL115">
        <v>0.21114761904761539</v>
      </c>
      <c r="FM115">
        <v>0</v>
      </c>
      <c r="FN115">
        <v>0</v>
      </c>
      <c r="FO115">
        <v>0</v>
      </c>
      <c r="FP115">
        <v>3</v>
      </c>
      <c r="FQ115">
        <v>2158</v>
      </c>
      <c r="FR115">
        <v>1</v>
      </c>
      <c r="FS115">
        <v>19</v>
      </c>
      <c r="FT115">
        <v>25.5</v>
      </c>
      <c r="FU115">
        <v>25.8</v>
      </c>
      <c r="FV115">
        <v>1.7761199999999999</v>
      </c>
      <c r="FW115">
        <v>2.5708000000000002</v>
      </c>
      <c r="FX115">
        <v>1.5490699999999999</v>
      </c>
      <c r="FY115">
        <v>2.33643</v>
      </c>
      <c r="FZ115">
        <v>1.50146</v>
      </c>
      <c r="GA115">
        <v>2.2778299999999998</v>
      </c>
      <c r="GB115">
        <v>32.090400000000002</v>
      </c>
      <c r="GC115">
        <v>23.991199999999999</v>
      </c>
      <c r="GD115">
        <v>19</v>
      </c>
      <c r="GE115">
        <v>266.52300000000002</v>
      </c>
      <c r="GF115">
        <v>594.59500000000003</v>
      </c>
      <c r="GG115">
        <v>25.734300000000001</v>
      </c>
      <c r="GH115">
        <v>25.677600000000002</v>
      </c>
      <c r="GI115">
        <v>30.0001</v>
      </c>
      <c r="GJ115">
        <v>25.779800000000002</v>
      </c>
      <c r="GK115">
        <v>25.7455</v>
      </c>
      <c r="GL115">
        <v>35.522399999999998</v>
      </c>
      <c r="GM115">
        <v>65.662000000000006</v>
      </c>
      <c r="GN115">
        <v>73.501499999999993</v>
      </c>
      <c r="GO115">
        <v>25.744800000000001</v>
      </c>
      <c r="GP115">
        <v>800</v>
      </c>
      <c r="GQ115">
        <v>6.6700299999999997</v>
      </c>
      <c r="GR115">
        <v>99.769900000000007</v>
      </c>
      <c r="GS115">
        <v>99.5458</v>
      </c>
    </row>
    <row r="116" spans="1:201" x14ac:dyDescent="0.25">
      <c r="A116">
        <v>100</v>
      </c>
      <c r="B116">
        <v>1690377756</v>
      </c>
      <c r="C116">
        <v>1039.5</v>
      </c>
      <c r="D116" t="s">
        <v>533</v>
      </c>
      <c r="E116" t="s">
        <v>534</v>
      </c>
      <c r="F116" t="s">
        <v>330</v>
      </c>
      <c r="H116">
        <v>1690377756</v>
      </c>
      <c r="I116">
        <f t="shared" si="30"/>
        <v>1.6601707060281609E-3</v>
      </c>
      <c r="J116">
        <f t="shared" si="31"/>
        <v>1.660170706028161</v>
      </c>
      <c r="K116">
        <f t="shared" si="32"/>
        <v>25.185741655877571</v>
      </c>
      <c r="L116">
        <f t="shared" si="33"/>
        <v>501.21800000000002</v>
      </c>
      <c r="M116">
        <f t="shared" si="34"/>
        <v>118.42988714418811</v>
      </c>
      <c r="N116">
        <f t="shared" si="35"/>
        <v>11.694037787339147</v>
      </c>
      <c r="O116">
        <f t="shared" si="36"/>
        <v>49.49141110434801</v>
      </c>
      <c r="P116">
        <f t="shared" si="37"/>
        <v>0.11022072370557265</v>
      </c>
      <c r="Q116">
        <f t="shared" si="38"/>
        <v>2.008906762262042</v>
      </c>
      <c r="R116">
        <f t="shared" si="39"/>
        <v>0.10696798089938898</v>
      </c>
      <c r="S116">
        <f t="shared" si="40"/>
        <v>6.7139238204878021E-2</v>
      </c>
      <c r="T116">
        <f t="shared" si="41"/>
        <v>276.115667094</v>
      </c>
      <c r="U116">
        <f t="shared" si="42"/>
        <v>28.774874082051173</v>
      </c>
      <c r="V116">
        <f t="shared" si="43"/>
        <v>28.774874082051173</v>
      </c>
      <c r="W116">
        <f t="shared" si="44"/>
        <v>3.9696776673358745</v>
      </c>
      <c r="X116">
        <f t="shared" si="45"/>
        <v>69.154315031598856</v>
      </c>
      <c r="Y116">
        <f t="shared" si="46"/>
        <v>2.4872786874255999</v>
      </c>
      <c r="Z116">
        <f t="shared" si="47"/>
        <v>3.5967078645621484</v>
      </c>
      <c r="AA116">
        <f t="shared" si="48"/>
        <v>1.4823989799102746</v>
      </c>
      <c r="AB116">
        <f t="shared" si="49"/>
        <v>-73.213528135841898</v>
      </c>
      <c r="AC116">
        <f t="shared" si="50"/>
        <v>-183.20454617830717</v>
      </c>
      <c r="AD116">
        <f t="shared" si="51"/>
        <v>-19.864773012206044</v>
      </c>
      <c r="AE116">
        <f t="shared" si="52"/>
        <v>-0.16718023235512192</v>
      </c>
      <c r="AF116">
        <v>11</v>
      </c>
      <c r="AG116">
        <v>4</v>
      </c>
      <c r="AH116">
        <f t="shared" si="53"/>
        <v>1</v>
      </c>
      <c r="AI116">
        <f t="shared" si="54"/>
        <v>0</v>
      </c>
      <c r="AJ116">
        <f t="shared" si="55"/>
        <v>52225.728923880881</v>
      </c>
      <c r="AK116">
        <f t="shared" si="56"/>
        <v>1800</v>
      </c>
      <c r="AL116">
        <f t="shared" si="57"/>
        <v>1499.1097284000002</v>
      </c>
      <c r="AM116">
        <f t="shared" si="58"/>
        <v>0.83283873800000008</v>
      </c>
      <c r="AN116">
        <f t="shared" si="59"/>
        <v>0.15339759283000001</v>
      </c>
      <c r="AO116">
        <v>34.5</v>
      </c>
      <c r="AP116">
        <v>0.5</v>
      </c>
      <c r="AQ116" t="s">
        <v>331</v>
      </c>
      <c r="AR116">
        <v>2</v>
      </c>
      <c r="AS116">
        <v>1690377756</v>
      </c>
      <c r="AT116">
        <v>501.21800000000002</v>
      </c>
      <c r="AU116">
        <v>800.20600000000002</v>
      </c>
      <c r="AV116">
        <v>25.189599999999999</v>
      </c>
      <c r="AW116">
        <v>6.5920699999999997</v>
      </c>
      <c r="AX116">
        <v>501.709</v>
      </c>
      <c r="AY116">
        <v>24.978400000000001</v>
      </c>
      <c r="AZ116">
        <v>300.21800000000002</v>
      </c>
      <c r="BA116">
        <v>98.642200000000003</v>
      </c>
      <c r="BB116">
        <v>0.10008599999999999</v>
      </c>
      <c r="BC116">
        <v>27.083300000000001</v>
      </c>
      <c r="BD116">
        <v>26.980599999999999</v>
      </c>
      <c r="BE116">
        <v>28.856000000000002</v>
      </c>
      <c r="BF116">
        <v>0</v>
      </c>
      <c r="BG116">
        <v>0</v>
      </c>
      <c r="BH116">
        <v>10016.200000000001</v>
      </c>
      <c r="BI116">
        <v>1082.78</v>
      </c>
      <c r="BJ116">
        <v>1.4016500000000001</v>
      </c>
      <c r="BK116">
        <v>-298.988</v>
      </c>
      <c r="BL116">
        <v>514.16999999999996</v>
      </c>
      <c r="BM116">
        <v>805.51599999999996</v>
      </c>
      <c r="BN116">
        <v>18.5975</v>
      </c>
      <c r="BO116">
        <v>800.20600000000002</v>
      </c>
      <c r="BP116">
        <v>6.5920699999999997</v>
      </c>
      <c r="BQ116">
        <v>2.48475</v>
      </c>
      <c r="BR116">
        <v>0.65025599999999995</v>
      </c>
      <c r="BS116">
        <v>20.927</v>
      </c>
      <c r="BT116">
        <v>0.80039499999999997</v>
      </c>
      <c r="BU116">
        <v>1800</v>
      </c>
      <c r="BV116">
        <v>0.90998900000000005</v>
      </c>
      <c r="BW116">
        <v>3.4007000000000003E-2</v>
      </c>
      <c r="BX116">
        <v>2.2001900000000001E-2</v>
      </c>
      <c r="BY116">
        <v>3.4001900000000002E-2</v>
      </c>
      <c r="BZ116">
        <v>25</v>
      </c>
      <c r="CA116">
        <v>33528.199999999997</v>
      </c>
      <c r="CB116">
        <v>1690376213.5999999</v>
      </c>
      <c r="CC116" t="s">
        <v>332</v>
      </c>
      <c r="CD116">
        <v>1690376213.5999999</v>
      </c>
      <c r="CE116">
        <v>1690376198.0999999</v>
      </c>
      <c r="CF116">
        <v>2</v>
      </c>
      <c r="CG116">
        <v>0.66900000000000004</v>
      </c>
      <c r="CH116">
        <v>-2.1000000000000001E-2</v>
      </c>
      <c r="CI116">
        <v>-0.70099999999999996</v>
      </c>
      <c r="CJ116">
        <v>0.21099999999999999</v>
      </c>
      <c r="CK116">
        <v>799</v>
      </c>
      <c r="CL116">
        <v>21</v>
      </c>
      <c r="CM116">
        <v>0.11</v>
      </c>
      <c r="CN116">
        <v>0.17</v>
      </c>
      <c r="CO116">
        <v>-295.46747499999998</v>
      </c>
      <c r="CP116">
        <v>-19.12659287054294</v>
      </c>
      <c r="CQ116">
        <v>1.8423381066935041</v>
      </c>
      <c r="CR116">
        <v>-1</v>
      </c>
      <c r="CS116">
        <v>18.297977499999998</v>
      </c>
      <c r="CT116">
        <v>1.6174547842401279</v>
      </c>
      <c r="CU116">
        <v>0.15569544227031831</v>
      </c>
      <c r="CV116">
        <v>-1</v>
      </c>
      <c r="CW116">
        <v>0</v>
      </c>
      <c r="CX116">
        <v>0</v>
      </c>
      <c r="CY116" t="s">
        <v>333</v>
      </c>
      <c r="CZ116">
        <v>2.36537</v>
      </c>
      <c r="DA116">
        <v>2.7138900000000001</v>
      </c>
      <c r="DB116">
        <v>0.10568</v>
      </c>
      <c r="DC116">
        <v>0.14568999999999999</v>
      </c>
      <c r="DD116">
        <v>0.117424</v>
      </c>
      <c r="DE116">
        <v>4.2470800000000003E-2</v>
      </c>
      <c r="DF116">
        <v>32668.3</v>
      </c>
      <c r="DG116">
        <v>27532.7</v>
      </c>
      <c r="DH116">
        <v>31182.5</v>
      </c>
      <c r="DI116">
        <v>28080.400000000001</v>
      </c>
      <c r="DJ116">
        <v>37355.4</v>
      </c>
      <c r="DK116">
        <v>38226.1</v>
      </c>
      <c r="DL116">
        <v>44374.5</v>
      </c>
      <c r="DM116">
        <v>42548</v>
      </c>
      <c r="DN116">
        <v>1.4432700000000001</v>
      </c>
      <c r="DO116">
        <v>2.0577800000000002</v>
      </c>
      <c r="DP116">
        <v>9.3549499999999994E-2</v>
      </c>
      <c r="DQ116">
        <v>0.208952</v>
      </c>
      <c r="DR116">
        <v>25.448799999999999</v>
      </c>
      <c r="DS116">
        <v>25.439599999999999</v>
      </c>
      <c r="DT116">
        <v>56.2</v>
      </c>
      <c r="DU116">
        <v>26.9</v>
      </c>
      <c r="DV116">
        <v>20.2714</v>
      </c>
      <c r="DW116">
        <v>61.4101</v>
      </c>
      <c r="DX116">
        <v>37.191499999999998</v>
      </c>
      <c r="DY116">
        <v>1</v>
      </c>
      <c r="DZ116">
        <v>-0.13971800000000001</v>
      </c>
      <c r="EA116">
        <v>-0.58444700000000005</v>
      </c>
      <c r="EB116">
        <v>20.1892</v>
      </c>
      <c r="EC116">
        <v>5.2418500000000003</v>
      </c>
      <c r="ED116">
        <v>12.039899999999999</v>
      </c>
      <c r="EE116">
        <v>5.0172499999999998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1.86886</v>
      </c>
      <c r="EL116">
        <v>1.8645099999999999</v>
      </c>
      <c r="EM116">
        <v>1.8691899999999999</v>
      </c>
      <c r="EN116">
        <v>1.8672</v>
      </c>
      <c r="EO116">
        <v>1.86328</v>
      </c>
      <c r="EP116">
        <v>1.86433</v>
      </c>
      <c r="EQ116">
        <v>1.87012</v>
      </c>
      <c r="ER116">
        <v>1.8693500000000001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-0.49099999999999999</v>
      </c>
      <c r="FG116">
        <v>0.2112</v>
      </c>
      <c r="FH116">
        <v>-0.150361779349652</v>
      </c>
      <c r="FI116">
        <v>-6.1462078757559423E-4</v>
      </c>
      <c r="FJ116">
        <v>-1.8861989874597051E-7</v>
      </c>
      <c r="FK116">
        <v>1.1980462299894961E-10</v>
      </c>
      <c r="FL116">
        <v>0.21114761904761539</v>
      </c>
      <c r="FM116">
        <v>0</v>
      </c>
      <c r="FN116">
        <v>0</v>
      </c>
      <c r="FO116">
        <v>0</v>
      </c>
      <c r="FP116">
        <v>3</v>
      </c>
      <c r="FQ116">
        <v>2158</v>
      </c>
      <c r="FR116">
        <v>1</v>
      </c>
      <c r="FS116">
        <v>19</v>
      </c>
      <c r="FT116">
        <v>25.7</v>
      </c>
      <c r="FU116">
        <v>26</v>
      </c>
      <c r="FV116">
        <v>1.7761199999999999</v>
      </c>
      <c r="FW116">
        <v>2.5708000000000002</v>
      </c>
      <c r="FX116">
        <v>1.5490699999999999</v>
      </c>
      <c r="FY116">
        <v>2.33643</v>
      </c>
      <c r="FZ116">
        <v>1.50146</v>
      </c>
      <c r="GA116">
        <v>2.2936999999999999</v>
      </c>
      <c r="GB116">
        <v>32.090400000000002</v>
      </c>
      <c r="GC116">
        <v>23.982399999999998</v>
      </c>
      <c r="GD116">
        <v>19</v>
      </c>
      <c r="GE116">
        <v>266.726</v>
      </c>
      <c r="GF116">
        <v>594.13499999999999</v>
      </c>
      <c r="GG116">
        <v>25.755199999999999</v>
      </c>
      <c r="GH116">
        <v>25.679400000000001</v>
      </c>
      <c r="GI116">
        <v>30.0001</v>
      </c>
      <c r="GJ116">
        <v>25.779800000000002</v>
      </c>
      <c r="GK116">
        <v>25.7455</v>
      </c>
      <c r="GL116">
        <v>35.520699999999998</v>
      </c>
      <c r="GM116">
        <v>66.552199999999999</v>
      </c>
      <c r="GN116">
        <v>72.714399999999998</v>
      </c>
      <c r="GO116">
        <v>25.769400000000001</v>
      </c>
      <c r="GP116">
        <v>800</v>
      </c>
      <c r="GQ116">
        <v>6.4097099999999996</v>
      </c>
      <c r="GR116">
        <v>99.769199999999998</v>
      </c>
      <c r="GS116">
        <v>99.545900000000003</v>
      </c>
    </row>
    <row r="117" spans="1:201" x14ac:dyDescent="0.25">
      <c r="A117">
        <v>101</v>
      </c>
      <c r="B117">
        <v>1690377766</v>
      </c>
      <c r="C117">
        <v>1049.5</v>
      </c>
      <c r="D117" t="s">
        <v>535</v>
      </c>
      <c r="E117" t="s">
        <v>536</v>
      </c>
      <c r="F117" t="s">
        <v>330</v>
      </c>
      <c r="H117">
        <v>1690377766</v>
      </c>
      <c r="I117">
        <f t="shared" si="30"/>
        <v>1.6823700292714599E-3</v>
      </c>
      <c r="J117">
        <f t="shared" si="31"/>
        <v>1.6823700292714598</v>
      </c>
      <c r="K117">
        <f t="shared" si="32"/>
        <v>25.431066281311079</v>
      </c>
      <c r="L117">
        <f t="shared" si="33"/>
        <v>498.06900000000002</v>
      </c>
      <c r="M117">
        <f t="shared" si="34"/>
        <v>117.43546874863777</v>
      </c>
      <c r="N117">
        <f t="shared" si="35"/>
        <v>11.596048395857364</v>
      </c>
      <c r="O117">
        <f t="shared" si="36"/>
        <v>49.181327328276005</v>
      </c>
      <c r="P117">
        <f t="shared" si="37"/>
        <v>0.11196499481987415</v>
      </c>
      <c r="Q117">
        <f t="shared" si="38"/>
        <v>2.006970015097997</v>
      </c>
      <c r="R117">
        <f t="shared" si="39"/>
        <v>0.10860704026807304</v>
      </c>
      <c r="S117">
        <f t="shared" si="40"/>
        <v>6.8172710195959357E-2</v>
      </c>
      <c r="T117">
        <f t="shared" si="41"/>
        <v>276.11553045599993</v>
      </c>
      <c r="U117">
        <f t="shared" si="42"/>
        <v>28.765082943000273</v>
      </c>
      <c r="V117">
        <f t="shared" si="43"/>
        <v>28.765082943000273</v>
      </c>
      <c r="W117">
        <f t="shared" si="44"/>
        <v>3.9674253724560491</v>
      </c>
      <c r="X117">
        <f t="shared" si="45"/>
        <v>69.182381569297675</v>
      </c>
      <c r="Y117">
        <f t="shared" si="46"/>
        <v>2.4878354319792</v>
      </c>
      <c r="Z117">
        <f t="shared" si="47"/>
        <v>3.596053468450227</v>
      </c>
      <c r="AA117">
        <f t="shared" si="48"/>
        <v>1.4795899404768491</v>
      </c>
      <c r="AB117">
        <f t="shared" si="49"/>
        <v>-74.192518290871377</v>
      </c>
      <c r="AC117">
        <f t="shared" si="50"/>
        <v>-182.30394261977855</v>
      </c>
      <c r="AD117">
        <f t="shared" si="51"/>
        <v>-19.784923923858198</v>
      </c>
      <c r="AE117">
        <f t="shared" si="52"/>
        <v>-0.16585437850815765</v>
      </c>
      <c r="AF117">
        <v>11</v>
      </c>
      <c r="AG117">
        <v>4</v>
      </c>
      <c r="AH117">
        <f t="shared" si="53"/>
        <v>1</v>
      </c>
      <c r="AI117">
        <f t="shared" si="54"/>
        <v>0</v>
      </c>
      <c r="AJ117">
        <f t="shared" si="55"/>
        <v>52133.71236945648</v>
      </c>
      <c r="AK117">
        <f t="shared" si="56"/>
        <v>1800</v>
      </c>
      <c r="AL117">
        <f t="shared" si="57"/>
        <v>1499.1094656</v>
      </c>
      <c r="AM117">
        <f t="shared" si="58"/>
        <v>0.83283859199999999</v>
      </c>
      <c r="AN117">
        <f t="shared" si="59"/>
        <v>0.15339751691999998</v>
      </c>
      <c r="AO117">
        <v>34.5</v>
      </c>
      <c r="AP117">
        <v>0.5</v>
      </c>
      <c r="AQ117" t="s">
        <v>331</v>
      </c>
      <c r="AR117">
        <v>2</v>
      </c>
      <c r="AS117">
        <v>1690377766</v>
      </c>
      <c r="AT117">
        <v>498.06900000000002</v>
      </c>
      <c r="AU117">
        <v>800.08299999999997</v>
      </c>
      <c r="AV117">
        <v>25.194800000000001</v>
      </c>
      <c r="AW117">
        <v>6.3399599999999996</v>
      </c>
      <c r="AX117">
        <v>498.55799999999999</v>
      </c>
      <c r="AY117">
        <v>24.983699999999999</v>
      </c>
      <c r="AZ117">
        <v>300.07900000000001</v>
      </c>
      <c r="BA117">
        <v>98.644000000000005</v>
      </c>
      <c r="BB117">
        <v>0.100004</v>
      </c>
      <c r="BC117">
        <v>27.080200000000001</v>
      </c>
      <c r="BD117">
        <v>26.9908</v>
      </c>
      <c r="BE117">
        <v>28.8443</v>
      </c>
      <c r="BF117">
        <v>0</v>
      </c>
      <c r="BG117">
        <v>0</v>
      </c>
      <c r="BH117">
        <v>9997.5</v>
      </c>
      <c r="BI117">
        <v>1082.93</v>
      </c>
      <c r="BJ117">
        <v>1.3582000000000001</v>
      </c>
      <c r="BK117">
        <v>-302.01400000000001</v>
      </c>
      <c r="BL117">
        <v>510.94200000000001</v>
      </c>
      <c r="BM117">
        <v>805.18799999999999</v>
      </c>
      <c r="BN117">
        <v>18.854900000000001</v>
      </c>
      <c r="BO117">
        <v>800.08299999999997</v>
      </c>
      <c r="BP117">
        <v>6.3399599999999996</v>
      </c>
      <c r="BQ117">
        <v>2.4853200000000002</v>
      </c>
      <c r="BR117">
        <v>0.62539900000000004</v>
      </c>
      <c r="BS117">
        <v>20.930700000000002</v>
      </c>
      <c r="BT117">
        <v>0.26138800000000001</v>
      </c>
      <c r="BU117">
        <v>1800</v>
      </c>
      <c r="BV117">
        <v>0.90998999999999997</v>
      </c>
      <c r="BW117">
        <v>3.4006500000000002E-2</v>
      </c>
      <c r="BX117">
        <v>2.20016E-2</v>
      </c>
      <c r="BY117">
        <v>3.4001400000000001E-2</v>
      </c>
      <c r="BZ117">
        <v>25</v>
      </c>
      <c r="CA117">
        <v>33528.300000000003</v>
      </c>
      <c r="CB117">
        <v>1690376213.5999999</v>
      </c>
      <c r="CC117" t="s">
        <v>332</v>
      </c>
      <c r="CD117">
        <v>1690376213.5999999</v>
      </c>
      <c r="CE117">
        <v>1690376198.0999999</v>
      </c>
      <c r="CF117">
        <v>2</v>
      </c>
      <c r="CG117">
        <v>0.66900000000000004</v>
      </c>
      <c r="CH117">
        <v>-2.1000000000000001E-2</v>
      </c>
      <c r="CI117">
        <v>-0.70099999999999996</v>
      </c>
      <c r="CJ117">
        <v>0.21099999999999999</v>
      </c>
      <c r="CK117">
        <v>799</v>
      </c>
      <c r="CL117">
        <v>21</v>
      </c>
      <c r="CM117">
        <v>0.11</v>
      </c>
      <c r="CN117">
        <v>0.17</v>
      </c>
      <c r="CO117">
        <v>-298.64585</v>
      </c>
      <c r="CP117">
        <v>-18.59225515947448</v>
      </c>
      <c r="CQ117">
        <v>1.7906479490675919</v>
      </c>
      <c r="CR117">
        <v>-1</v>
      </c>
      <c r="CS117">
        <v>18.570284999999998</v>
      </c>
      <c r="CT117">
        <v>1.619515947467119</v>
      </c>
      <c r="CU117">
        <v>0.15585226746826611</v>
      </c>
      <c r="CV117">
        <v>-1</v>
      </c>
      <c r="CW117">
        <v>0</v>
      </c>
      <c r="CX117">
        <v>0</v>
      </c>
      <c r="CY117" t="s">
        <v>333</v>
      </c>
      <c r="CZ117">
        <v>2.3648799999999999</v>
      </c>
      <c r="DA117">
        <v>2.7137899999999999</v>
      </c>
      <c r="DB117">
        <v>0.105197</v>
      </c>
      <c r="DC117">
        <v>0.145672</v>
      </c>
      <c r="DD117">
        <v>0.11744300000000001</v>
      </c>
      <c r="DE117">
        <v>4.1151699999999999E-2</v>
      </c>
      <c r="DF117">
        <v>32686</v>
      </c>
      <c r="DG117">
        <v>27533.4</v>
      </c>
      <c r="DH117">
        <v>31182.5</v>
      </c>
      <c r="DI117">
        <v>28080.6</v>
      </c>
      <c r="DJ117">
        <v>37354.699999999997</v>
      </c>
      <c r="DK117">
        <v>38279.199999999997</v>
      </c>
      <c r="DL117">
        <v>44374.8</v>
      </c>
      <c r="DM117">
        <v>42548.2</v>
      </c>
      <c r="DN117">
        <v>1.4432</v>
      </c>
      <c r="DO117">
        <v>2.0575299999999999</v>
      </c>
      <c r="DP117">
        <v>9.4406299999999999E-2</v>
      </c>
      <c r="DQ117">
        <v>0.20853099999999999</v>
      </c>
      <c r="DR117">
        <v>25.444900000000001</v>
      </c>
      <c r="DS117">
        <v>25.434799999999999</v>
      </c>
      <c r="DT117">
        <v>55.8</v>
      </c>
      <c r="DU117">
        <v>26.9</v>
      </c>
      <c r="DV117">
        <v>20.128299999999999</v>
      </c>
      <c r="DW117">
        <v>61.280099999999997</v>
      </c>
      <c r="DX117">
        <v>37.379800000000003</v>
      </c>
      <c r="DY117">
        <v>1</v>
      </c>
      <c r="DZ117">
        <v>-0.13963200000000001</v>
      </c>
      <c r="EA117">
        <v>-0.58848</v>
      </c>
      <c r="EB117">
        <v>20.1891</v>
      </c>
      <c r="EC117">
        <v>5.2413999999999996</v>
      </c>
      <c r="ED117">
        <v>12.039899999999999</v>
      </c>
      <c r="EE117">
        <v>5.01715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1.86883</v>
      </c>
      <c r="EL117">
        <v>1.86449</v>
      </c>
      <c r="EM117">
        <v>1.86917</v>
      </c>
      <c r="EN117">
        <v>1.8671599999999999</v>
      </c>
      <c r="EO117">
        <v>1.86328</v>
      </c>
      <c r="EP117">
        <v>1.86432</v>
      </c>
      <c r="EQ117">
        <v>1.8701099999999999</v>
      </c>
      <c r="ER117">
        <v>1.8693500000000001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-0.48899999999999999</v>
      </c>
      <c r="FG117">
        <v>0.21110000000000001</v>
      </c>
      <c r="FH117">
        <v>-0.150361779349652</v>
      </c>
      <c r="FI117">
        <v>-6.1462078757559423E-4</v>
      </c>
      <c r="FJ117">
        <v>-1.8861989874597051E-7</v>
      </c>
      <c r="FK117">
        <v>1.1980462299894961E-10</v>
      </c>
      <c r="FL117">
        <v>0.21114761904761539</v>
      </c>
      <c r="FM117">
        <v>0</v>
      </c>
      <c r="FN117">
        <v>0</v>
      </c>
      <c r="FO117">
        <v>0</v>
      </c>
      <c r="FP117">
        <v>3</v>
      </c>
      <c r="FQ117">
        <v>2158</v>
      </c>
      <c r="FR117">
        <v>1</v>
      </c>
      <c r="FS117">
        <v>19</v>
      </c>
      <c r="FT117">
        <v>25.9</v>
      </c>
      <c r="FU117">
        <v>26.1</v>
      </c>
      <c r="FV117">
        <v>1.7761199999999999</v>
      </c>
      <c r="FW117">
        <v>2.5744600000000002</v>
      </c>
      <c r="FX117">
        <v>1.5490699999999999</v>
      </c>
      <c r="FY117">
        <v>2.33643</v>
      </c>
      <c r="FZ117">
        <v>1.50146</v>
      </c>
      <c r="GA117">
        <v>2.3120099999999999</v>
      </c>
      <c r="GB117">
        <v>32.090400000000002</v>
      </c>
      <c r="GC117">
        <v>23.982399999999998</v>
      </c>
      <c r="GD117">
        <v>19</v>
      </c>
      <c r="GE117">
        <v>266.697</v>
      </c>
      <c r="GF117">
        <v>593.92600000000004</v>
      </c>
      <c r="GG117">
        <v>25.7805</v>
      </c>
      <c r="GH117">
        <v>25.6798</v>
      </c>
      <c r="GI117">
        <v>30.0002</v>
      </c>
      <c r="GJ117">
        <v>25.779900000000001</v>
      </c>
      <c r="GK117">
        <v>25.7455</v>
      </c>
      <c r="GL117">
        <v>35.514000000000003</v>
      </c>
      <c r="GM117">
        <v>67.456199999999995</v>
      </c>
      <c r="GN117">
        <v>71.920900000000003</v>
      </c>
      <c r="GO117">
        <v>25.7895</v>
      </c>
      <c r="GP117">
        <v>800</v>
      </c>
      <c r="GQ117">
        <v>6.1465800000000002</v>
      </c>
      <c r="GR117">
        <v>99.769599999999997</v>
      </c>
      <c r="GS117">
        <v>99.546499999999995</v>
      </c>
    </row>
    <row r="118" spans="1:201" x14ac:dyDescent="0.25">
      <c r="A118">
        <v>102</v>
      </c>
      <c r="B118">
        <v>1690377776</v>
      </c>
      <c r="C118">
        <v>1059.5</v>
      </c>
      <c r="D118" t="s">
        <v>537</v>
      </c>
      <c r="E118" t="s">
        <v>538</v>
      </c>
      <c r="F118" t="s">
        <v>330</v>
      </c>
      <c r="H118">
        <v>1690377776</v>
      </c>
      <c r="I118">
        <f t="shared" si="30"/>
        <v>1.7064374840511235E-3</v>
      </c>
      <c r="J118">
        <f t="shared" si="31"/>
        <v>1.7064374840511236</v>
      </c>
      <c r="K118">
        <f t="shared" si="32"/>
        <v>25.6858446061356</v>
      </c>
      <c r="L118">
        <f t="shared" si="33"/>
        <v>495.11200000000002</v>
      </c>
      <c r="M118">
        <f t="shared" si="34"/>
        <v>116.26046341683468</v>
      </c>
      <c r="N118">
        <f t="shared" si="35"/>
        <v>11.480023153127741</v>
      </c>
      <c r="O118">
        <f t="shared" si="36"/>
        <v>48.889339129955211</v>
      </c>
      <c r="P118">
        <f t="shared" si="37"/>
        <v>0.11366116119765279</v>
      </c>
      <c r="Q118">
        <f t="shared" si="38"/>
        <v>2.0043494519535039</v>
      </c>
      <c r="R118">
        <f t="shared" si="39"/>
        <v>0.11019801407744162</v>
      </c>
      <c r="S118">
        <f t="shared" si="40"/>
        <v>6.9176119190764107E-2</v>
      </c>
      <c r="T118">
        <f t="shared" si="41"/>
        <v>276.11546988599997</v>
      </c>
      <c r="U118">
        <f t="shared" si="42"/>
        <v>28.763894968831107</v>
      </c>
      <c r="V118">
        <f t="shared" si="43"/>
        <v>28.763894968831107</v>
      </c>
      <c r="W118">
        <f t="shared" si="44"/>
        <v>3.96715217383192</v>
      </c>
      <c r="X118">
        <f t="shared" si="45"/>
        <v>69.165549624361475</v>
      </c>
      <c r="Y118">
        <f t="shared" si="46"/>
        <v>2.48806243232116</v>
      </c>
      <c r="Z118">
        <f t="shared" si="47"/>
        <v>3.5972567930622139</v>
      </c>
      <c r="AA118">
        <f t="shared" si="48"/>
        <v>1.47908974151076</v>
      </c>
      <c r="AB118">
        <f t="shared" si="49"/>
        <v>-75.253893046654539</v>
      </c>
      <c r="AC118">
        <f t="shared" si="50"/>
        <v>-181.32159862243603</v>
      </c>
      <c r="AD118">
        <f t="shared" si="51"/>
        <v>-19.704483030664555</v>
      </c>
      <c r="AE118">
        <f t="shared" si="52"/>
        <v>-0.16450481375514414</v>
      </c>
      <c r="AF118">
        <v>11</v>
      </c>
      <c r="AG118">
        <v>4</v>
      </c>
      <c r="AH118">
        <f t="shared" si="53"/>
        <v>1</v>
      </c>
      <c r="AI118">
        <f t="shared" si="54"/>
        <v>0</v>
      </c>
      <c r="AJ118">
        <f t="shared" si="55"/>
        <v>52007.632569309375</v>
      </c>
      <c r="AK118">
        <f t="shared" si="56"/>
        <v>1800</v>
      </c>
      <c r="AL118">
        <f t="shared" si="57"/>
        <v>1499.1098795999999</v>
      </c>
      <c r="AM118">
        <f t="shared" si="58"/>
        <v>0.83283882199999992</v>
      </c>
      <c r="AN118">
        <f t="shared" si="59"/>
        <v>0.15339748327</v>
      </c>
      <c r="AO118">
        <v>34.5</v>
      </c>
      <c r="AP118">
        <v>0.5</v>
      </c>
      <c r="AQ118" t="s">
        <v>331</v>
      </c>
      <c r="AR118">
        <v>2</v>
      </c>
      <c r="AS118">
        <v>1690377776</v>
      </c>
      <c r="AT118">
        <v>495.11200000000002</v>
      </c>
      <c r="AU118">
        <v>800.13599999999997</v>
      </c>
      <c r="AV118">
        <v>25.197099999999999</v>
      </c>
      <c r="AW118">
        <v>6.0725100000000003</v>
      </c>
      <c r="AX118">
        <v>495.59899999999999</v>
      </c>
      <c r="AY118">
        <v>24.985900000000001</v>
      </c>
      <c r="AZ118">
        <v>300.07799999999997</v>
      </c>
      <c r="BA118">
        <v>98.644000000000005</v>
      </c>
      <c r="BB118">
        <v>9.9999599999999994E-2</v>
      </c>
      <c r="BC118">
        <v>27.085899999999999</v>
      </c>
      <c r="BD118">
        <v>26.9864</v>
      </c>
      <c r="BE118">
        <v>28.8413</v>
      </c>
      <c r="BF118">
        <v>0</v>
      </c>
      <c r="BG118">
        <v>0</v>
      </c>
      <c r="BH118">
        <v>9972.5</v>
      </c>
      <c r="BI118">
        <v>1082.92</v>
      </c>
      <c r="BJ118">
        <v>1.3595999999999999</v>
      </c>
      <c r="BK118">
        <v>-305.024</v>
      </c>
      <c r="BL118">
        <v>507.91</v>
      </c>
      <c r="BM118">
        <v>805.02499999999998</v>
      </c>
      <c r="BN118">
        <v>19.124600000000001</v>
      </c>
      <c r="BO118">
        <v>800.13599999999997</v>
      </c>
      <c r="BP118">
        <v>6.0725100000000003</v>
      </c>
      <c r="BQ118">
        <v>2.4855399999999999</v>
      </c>
      <c r="BR118">
        <v>0.59901700000000002</v>
      </c>
      <c r="BS118">
        <v>20.932099999999998</v>
      </c>
      <c r="BT118">
        <v>-0.33184200000000003</v>
      </c>
      <c r="BU118">
        <v>1800</v>
      </c>
      <c r="BV118">
        <v>0.90999200000000002</v>
      </c>
      <c r="BW118">
        <v>3.4005800000000003E-2</v>
      </c>
      <c r="BX118">
        <v>2.2001099999999999E-2</v>
      </c>
      <c r="BY118">
        <v>3.4000700000000002E-2</v>
      </c>
      <c r="BZ118">
        <v>25</v>
      </c>
      <c r="CA118">
        <v>33528.400000000001</v>
      </c>
      <c r="CB118">
        <v>1690376213.5999999</v>
      </c>
      <c r="CC118" t="s">
        <v>332</v>
      </c>
      <c r="CD118">
        <v>1690376213.5999999</v>
      </c>
      <c r="CE118">
        <v>1690376198.0999999</v>
      </c>
      <c r="CF118">
        <v>2</v>
      </c>
      <c r="CG118">
        <v>0.66900000000000004</v>
      </c>
      <c r="CH118">
        <v>-2.1000000000000001E-2</v>
      </c>
      <c r="CI118">
        <v>-0.70099999999999996</v>
      </c>
      <c r="CJ118">
        <v>0.21099999999999999</v>
      </c>
      <c r="CK118">
        <v>799</v>
      </c>
      <c r="CL118">
        <v>21</v>
      </c>
      <c r="CM118">
        <v>0.11</v>
      </c>
      <c r="CN118">
        <v>0.17</v>
      </c>
      <c r="CO118">
        <v>-301.81400000000002</v>
      </c>
      <c r="CP118">
        <v>-18.269310104529669</v>
      </c>
      <c r="CQ118">
        <v>1.802711805491533</v>
      </c>
      <c r="CR118">
        <v>-1</v>
      </c>
      <c r="CS118">
        <v>18.8489</v>
      </c>
      <c r="CT118">
        <v>1.6214926829268561</v>
      </c>
      <c r="CU118">
        <v>0.16000282619455169</v>
      </c>
      <c r="CV118">
        <v>-1</v>
      </c>
      <c r="CW118">
        <v>0</v>
      </c>
      <c r="CX118">
        <v>0</v>
      </c>
      <c r="CY118" t="s">
        <v>333</v>
      </c>
      <c r="CZ118">
        <v>2.3649100000000001</v>
      </c>
      <c r="DA118">
        <v>2.7137699999999998</v>
      </c>
      <c r="DB118">
        <v>0.10474</v>
      </c>
      <c r="DC118">
        <v>0.145674</v>
      </c>
      <c r="DD118">
        <v>0.117451</v>
      </c>
      <c r="DE118">
        <v>3.9734199999999997E-2</v>
      </c>
      <c r="DF118">
        <v>32703.1</v>
      </c>
      <c r="DG118">
        <v>27533.4</v>
      </c>
      <c r="DH118">
        <v>31182.9</v>
      </c>
      <c r="DI118">
        <v>28080.7</v>
      </c>
      <c r="DJ118">
        <v>37354.800000000003</v>
      </c>
      <c r="DK118">
        <v>38336</v>
      </c>
      <c r="DL118">
        <v>44375.3</v>
      </c>
      <c r="DM118">
        <v>42548.4</v>
      </c>
      <c r="DN118">
        <v>1.4430700000000001</v>
      </c>
      <c r="DO118">
        <v>2.0569700000000002</v>
      </c>
      <c r="DP118">
        <v>9.4361600000000004E-2</v>
      </c>
      <c r="DQ118">
        <v>0.20863899999999999</v>
      </c>
      <c r="DR118">
        <v>25.441199999999998</v>
      </c>
      <c r="DS118">
        <v>25.43</v>
      </c>
      <c r="DT118">
        <v>55.5</v>
      </c>
      <c r="DU118">
        <v>26.9</v>
      </c>
      <c r="DV118">
        <v>20.0213</v>
      </c>
      <c r="DW118">
        <v>61.180100000000003</v>
      </c>
      <c r="DX118">
        <v>37.075299999999999</v>
      </c>
      <c r="DY118">
        <v>1</v>
      </c>
      <c r="DZ118">
        <v>-0.13950499999999999</v>
      </c>
      <c r="EA118">
        <v>-0.59776099999999999</v>
      </c>
      <c r="EB118">
        <v>20.189299999999999</v>
      </c>
      <c r="EC118">
        <v>5.242</v>
      </c>
      <c r="ED118">
        <v>12.039899999999999</v>
      </c>
      <c r="EE118">
        <v>5.0173500000000004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1.8688800000000001</v>
      </c>
      <c r="EL118">
        <v>1.86449</v>
      </c>
      <c r="EM118">
        <v>1.8691800000000001</v>
      </c>
      <c r="EN118">
        <v>1.8671899999999999</v>
      </c>
      <c r="EO118">
        <v>1.86328</v>
      </c>
      <c r="EP118">
        <v>1.86432</v>
      </c>
      <c r="EQ118">
        <v>1.87012</v>
      </c>
      <c r="ER118">
        <v>1.8693500000000001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-0.48699999999999999</v>
      </c>
      <c r="FG118">
        <v>0.2112</v>
      </c>
      <c r="FH118">
        <v>-0.150361779349652</v>
      </c>
      <c r="FI118">
        <v>-6.1462078757559423E-4</v>
      </c>
      <c r="FJ118">
        <v>-1.8861989874597051E-7</v>
      </c>
      <c r="FK118">
        <v>1.1980462299894961E-10</v>
      </c>
      <c r="FL118">
        <v>0.21114761904761539</v>
      </c>
      <c r="FM118">
        <v>0</v>
      </c>
      <c r="FN118">
        <v>0</v>
      </c>
      <c r="FO118">
        <v>0</v>
      </c>
      <c r="FP118">
        <v>3</v>
      </c>
      <c r="FQ118">
        <v>2158</v>
      </c>
      <c r="FR118">
        <v>1</v>
      </c>
      <c r="FS118">
        <v>19</v>
      </c>
      <c r="FT118">
        <v>26</v>
      </c>
      <c r="FU118">
        <v>26.3</v>
      </c>
      <c r="FV118">
        <v>1.7761199999999999</v>
      </c>
      <c r="FW118">
        <v>2.5720200000000002</v>
      </c>
      <c r="FX118">
        <v>1.5490699999999999</v>
      </c>
      <c r="FY118">
        <v>2.33643</v>
      </c>
      <c r="FZ118">
        <v>1.50146</v>
      </c>
      <c r="GA118">
        <v>2.3339799999999999</v>
      </c>
      <c r="GB118">
        <v>32.090400000000002</v>
      </c>
      <c r="GC118">
        <v>23.982399999999998</v>
      </c>
      <c r="GD118">
        <v>19</v>
      </c>
      <c r="GE118">
        <v>266.64800000000002</v>
      </c>
      <c r="GF118">
        <v>593.46699999999998</v>
      </c>
      <c r="GG118">
        <v>25.798999999999999</v>
      </c>
      <c r="GH118">
        <v>25.6798</v>
      </c>
      <c r="GI118">
        <v>30.0001</v>
      </c>
      <c r="GJ118">
        <v>25.780200000000001</v>
      </c>
      <c r="GK118">
        <v>25.7455</v>
      </c>
      <c r="GL118">
        <v>35.505000000000003</v>
      </c>
      <c r="GM118">
        <v>68.063599999999994</v>
      </c>
      <c r="GN118">
        <v>70.707499999999996</v>
      </c>
      <c r="GO118">
        <v>25.810199999999998</v>
      </c>
      <c r="GP118">
        <v>800</v>
      </c>
      <c r="GQ118">
        <v>5.88978</v>
      </c>
      <c r="GR118">
        <v>99.770799999999994</v>
      </c>
      <c r="GS118">
        <v>99.546800000000005</v>
      </c>
    </row>
    <row r="119" spans="1:201" x14ac:dyDescent="0.25">
      <c r="A119">
        <v>103</v>
      </c>
      <c r="B119">
        <v>1690377786</v>
      </c>
      <c r="C119">
        <v>1069.5</v>
      </c>
      <c r="D119" t="s">
        <v>539</v>
      </c>
      <c r="E119" t="s">
        <v>540</v>
      </c>
      <c r="F119" t="s">
        <v>330</v>
      </c>
      <c r="H119">
        <v>1690377786</v>
      </c>
      <c r="I119">
        <f t="shared" si="30"/>
        <v>1.7307492849902935E-3</v>
      </c>
      <c r="J119">
        <f t="shared" si="31"/>
        <v>1.7307492849902935</v>
      </c>
      <c r="K119">
        <f t="shared" si="32"/>
        <v>25.942073536183887</v>
      </c>
      <c r="L119">
        <f t="shared" si="33"/>
        <v>492.09199999999998</v>
      </c>
      <c r="M119">
        <f t="shared" si="34"/>
        <v>115.82874339423972</v>
      </c>
      <c r="N119">
        <f t="shared" si="35"/>
        <v>11.437551891441769</v>
      </c>
      <c r="O119">
        <f t="shared" si="36"/>
        <v>48.591805629855997</v>
      </c>
      <c r="P119">
        <f t="shared" si="37"/>
        <v>0.11562852671936256</v>
      </c>
      <c r="Q119">
        <f t="shared" si="38"/>
        <v>2.0077059157184811</v>
      </c>
      <c r="R119">
        <f t="shared" si="39"/>
        <v>0.11205227715354513</v>
      </c>
      <c r="S119">
        <f t="shared" si="40"/>
        <v>7.0344771293724184E-2</v>
      </c>
      <c r="T119">
        <f t="shared" si="41"/>
        <v>276.11399212485497</v>
      </c>
      <c r="U119">
        <f t="shared" si="42"/>
        <v>28.748612810059875</v>
      </c>
      <c r="V119">
        <f t="shared" si="43"/>
        <v>28.748612810059875</v>
      </c>
      <c r="W119">
        <f t="shared" si="44"/>
        <v>3.9636391958746184</v>
      </c>
      <c r="X119">
        <f t="shared" si="45"/>
        <v>69.186329998106402</v>
      </c>
      <c r="Y119">
        <f t="shared" si="46"/>
        <v>2.4882549046215998</v>
      </c>
      <c r="Z119">
        <f t="shared" si="47"/>
        <v>3.5964545376083716</v>
      </c>
      <c r="AA119">
        <f t="shared" si="48"/>
        <v>1.4753842912530186</v>
      </c>
      <c r="AB119">
        <f t="shared" si="49"/>
        <v>-76.326043468071944</v>
      </c>
      <c r="AC119">
        <f t="shared" si="50"/>
        <v>-180.38241552719407</v>
      </c>
      <c r="AD119">
        <f t="shared" si="51"/>
        <v>-19.567786067069353</v>
      </c>
      <c r="AE119">
        <f t="shared" si="52"/>
        <v>-0.16225293748036052</v>
      </c>
      <c r="AF119">
        <v>11</v>
      </c>
      <c r="AG119">
        <v>4</v>
      </c>
      <c r="AH119">
        <f t="shared" si="53"/>
        <v>1</v>
      </c>
      <c r="AI119">
        <f t="shared" si="54"/>
        <v>0</v>
      </c>
      <c r="AJ119">
        <f t="shared" si="55"/>
        <v>52168.578861997739</v>
      </c>
      <c r="AK119">
        <f t="shared" si="56"/>
        <v>1799.99</v>
      </c>
      <c r="AL119">
        <f t="shared" si="57"/>
        <v>1499.1027986048498</v>
      </c>
      <c r="AM119">
        <f t="shared" si="58"/>
        <v>0.83283951499999986</v>
      </c>
      <c r="AN119">
        <f t="shared" si="59"/>
        <v>0.1533975145</v>
      </c>
      <c r="AO119">
        <v>34.5</v>
      </c>
      <c r="AP119">
        <v>0.5</v>
      </c>
      <c r="AQ119" t="s">
        <v>331</v>
      </c>
      <c r="AR119">
        <v>2</v>
      </c>
      <c r="AS119">
        <v>1690377786</v>
      </c>
      <c r="AT119">
        <v>492.09199999999998</v>
      </c>
      <c r="AU119">
        <v>800.01599999999996</v>
      </c>
      <c r="AV119">
        <v>25.198699999999999</v>
      </c>
      <c r="AW119">
        <v>5.8094900000000003</v>
      </c>
      <c r="AX119">
        <v>492.577</v>
      </c>
      <c r="AY119">
        <v>24.9876</v>
      </c>
      <c r="AZ119">
        <v>300.19900000000001</v>
      </c>
      <c r="BA119">
        <v>98.645300000000006</v>
      </c>
      <c r="BB119">
        <v>0.100068</v>
      </c>
      <c r="BC119">
        <v>27.082100000000001</v>
      </c>
      <c r="BD119">
        <v>26.9953</v>
      </c>
      <c r="BE119">
        <v>28.845800000000001</v>
      </c>
      <c r="BF119">
        <v>0</v>
      </c>
      <c r="BG119">
        <v>0</v>
      </c>
      <c r="BH119">
        <v>10004.4</v>
      </c>
      <c r="BI119">
        <v>1082.8900000000001</v>
      </c>
      <c r="BJ119">
        <v>1.3595999999999999</v>
      </c>
      <c r="BK119">
        <v>-307.923</v>
      </c>
      <c r="BL119">
        <v>504.81299999999999</v>
      </c>
      <c r="BM119">
        <v>804.69</v>
      </c>
      <c r="BN119">
        <v>19.389199999999999</v>
      </c>
      <c r="BO119">
        <v>800.01599999999996</v>
      </c>
      <c r="BP119">
        <v>5.8094900000000003</v>
      </c>
      <c r="BQ119">
        <v>2.4857399999999998</v>
      </c>
      <c r="BR119">
        <v>0.57307900000000001</v>
      </c>
      <c r="BS119">
        <v>20.933399999999999</v>
      </c>
      <c r="BT119">
        <v>-0.93808999999999998</v>
      </c>
      <c r="BU119">
        <v>1799.99</v>
      </c>
      <c r="BV119">
        <v>0.909995</v>
      </c>
      <c r="BW119">
        <v>3.4004899999999998E-2</v>
      </c>
      <c r="BX119">
        <v>2.2000499999999999E-2</v>
      </c>
      <c r="BY119">
        <v>3.3999799999999997E-2</v>
      </c>
      <c r="BZ119">
        <v>25</v>
      </c>
      <c r="CA119">
        <v>33528.199999999997</v>
      </c>
      <c r="CB119">
        <v>1690376213.5999999</v>
      </c>
      <c r="CC119" t="s">
        <v>332</v>
      </c>
      <c r="CD119">
        <v>1690376213.5999999</v>
      </c>
      <c r="CE119">
        <v>1690376198.0999999</v>
      </c>
      <c r="CF119">
        <v>2</v>
      </c>
      <c r="CG119">
        <v>0.66900000000000004</v>
      </c>
      <c r="CH119">
        <v>-2.1000000000000001E-2</v>
      </c>
      <c r="CI119">
        <v>-0.70099999999999996</v>
      </c>
      <c r="CJ119">
        <v>0.21099999999999999</v>
      </c>
      <c r="CK119">
        <v>799</v>
      </c>
      <c r="CL119">
        <v>21</v>
      </c>
      <c r="CM119">
        <v>0.11</v>
      </c>
      <c r="CN119">
        <v>0.17</v>
      </c>
      <c r="CO119">
        <v>-304.55480487804869</v>
      </c>
      <c r="CP119">
        <v>-17.887400696864241</v>
      </c>
      <c r="CQ119">
        <v>1.764251326318117</v>
      </c>
      <c r="CR119">
        <v>-1</v>
      </c>
      <c r="CS119">
        <v>19.087256097560982</v>
      </c>
      <c r="CT119">
        <v>1.5697212543554371</v>
      </c>
      <c r="CU119">
        <v>0.15495153931468561</v>
      </c>
      <c r="CV119">
        <v>-1</v>
      </c>
      <c r="CW119">
        <v>0</v>
      </c>
      <c r="CX119">
        <v>0</v>
      </c>
      <c r="CY119" t="s">
        <v>333</v>
      </c>
      <c r="CZ119">
        <v>2.3652700000000002</v>
      </c>
      <c r="DA119">
        <v>2.7138599999999999</v>
      </c>
      <c r="DB119">
        <v>0.104273</v>
      </c>
      <c r="DC119">
        <v>0.14565600000000001</v>
      </c>
      <c r="DD119">
        <v>0.11745700000000001</v>
      </c>
      <c r="DE119">
        <v>3.8322500000000002E-2</v>
      </c>
      <c r="DF119">
        <v>32720.400000000001</v>
      </c>
      <c r="DG119">
        <v>27534.3</v>
      </c>
      <c r="DH119">
        <v>31183.200000000001</v>
      </c>
      <c r="DI119">
        <v>28081.1</v>
      </c>
      <c r="DJ119">
        <v>37354.800000000003</v>
      </c>
      <c r="DK119">
        <v>38393.1</v>
      </c>
      <c r="DL119">
        <v>44375.6</v>
      </c>
      <c r="DM119">
        <v>42549</v>
      </c>
      <c r="DN119">
        <v>1.4437</v>
      </c>
      <c r="DO119">
        <v>2.0567799999999998</v>
      </c>
      <c r="DP119">
        <v>9.4972600000000004E-2</v>
      </c>
      <c r="DQ119">
        <v>0.20913799999999999</v>
      </c>
      <c r="DR119">
        <v>25.440200000000001</v>
      </c>
      <c r="DS119">
        <v>25.426200000000001</v>
      </c>
      <c r="DT119">
        <v>55.2</v>
      </c>
      <c r="DU119">
        <v>26.9</v>
      </c>
      <c r="DV119">
        <v>19.908999999999999</v>
      </c>
      <c r="DW119">
        <v>61.380099999999999</v>
      </c>
      <c r="DX119">
        <v>36.718800000000002</v>
      </c>
      <c r="DY119">
        <v>1</v>
      </c>
      <c r="DZ119">
        <v>-0.14011899999999999</v>
      </c>
      <c r="EA119">
        <v>-0.58903300000000003</v>
      </c>
      <c r="EB119">
        <v>20.1892</v>
      </c>
      <c r="EC119">
        <v>5.2418500000000003</v>
      </c>
      <c r="ED119">
        <v>12.039899999999999</v>
      </c>
      <c r="EE119">
        <v>5.0176999999999996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1.8688800000000001</v>
      </c>
      <c r="EL119">
        <v>1.8644799999999999</v>
      </c>
      <c r="EM119">
        <v>1.8691899999999999</v>
      </c>
      <c r="EN119">
        <v>1.8671800000000001</v>
      </c>
      <c r="EO119">
        <v>1.86327</v>
      </c>
      <c r="EP119">
        <v>1.86432</v>
      </c>
      <c r="EQ119">
        <v>1.87012</v>
      </c>
      <c r="ER119">
        <v>1.8693500000000001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-0.48499999999999999</v>
      </c>
      <c r="FG119">
        <v>0.21110000000000001</v>
      </c>
      <c r="FH119">
        <v>-0.150361779349652</v>
      </c>
      <c r="FI119">
        <v>-6.1462078757559423E-4</v>
      </c>
      <c r="FJ119">
        <v>-1.8861989874597051E-7</v>
      </c>
      <c r="FK119">
        <v>1.1980462299894961E-10</v>
      </c>
      <c r="FL119">
        <v>0.21114761904761539</v>
      </c>
      <c r="FM119">
        <v>0</v>
      </c>
      <c r="FN119">
        <v>0</v>
      </c>
      <c r="FO119">
        <v>0</v>
      </c>
      <c r="FP119">
        <v>3</v>
      </c>
      <c r="FQ119">
        <v>2158</v>
      </c>
      <c r="FR119">
        <v>1</v>
      </c>
      <c r="FS119">
        <v>19</v>
      </c>
      <c r="FT119">
        <v>26.2</v>
      </c>
      <c r="FU119">
        <v>26.5</v>
      </c>
      <c r="FV119">
        <v>1.7761199999999999</v>
      </c>
      <c r="FW119">
        <v>2.5695800000000002</v>
      </c>
      <c r="FX119">
        <v>1.5490699999999999</v>
      </c>
      <c r="FY119">
        <v>2.33643</v>
      </c>
      <c r="FZ119">
        <v>1.50146</v>
      </c>
      <c r="GA119">
        <v>2.3596200000000001</v>
      </c>
      <c r="GB119">
        <v>32.112400000000001</v>
      </c>
      <c r="GC119">
        <v>23.991199999999999</v>
      </c>
      <c r="GD119">
        <v>19</v>
      </c>
      <c r="GE119">
        <v>266.90800000000002</v>
      </c>
      <c r="GF119">
        <v>593.29999999999995</v>
      </c>
      <c r="GG119">
        <v>25.817299999999999</v>
      </c>
      <c r="GH119">
        <v>25.6798</v>
      </c>
      <c r="GI119">
        <v>29.9999</v>
      </c>
      <c r="GJ119">
        <v>25.782</v>
      </c>
      <c r="GK119">
        <v>25.7455</v>
      </c>
      <c r="GL119">
        <v>35.502499999999998</v>
      </c>
      <c r="GM119">
        <v>68.9315</v>
      </c>
      <c r="GN119">
        <v>69.896600000000007</v>
      </c>
      <c r="GO119">
        <v>25.821100000000001</v>
      </c>
      <c r="GP119">
        <v>800</v>
      </c>
      <c r="GQ119">
        <v>5.6283500000000002</v>
      </c>
      <c r="GR119">
        <v>99.771600000000007</v>
      </c>
      <c r="GS119">
        <v>99.548199999999994</v>
      </c>
    </row>
    <row r="120" spans="1:201" x14ac:dyDescent="0.25">
      <c r="A120">
        <v>104</v>
      </c>
      <c r="B120">
        <v>1690377796</v>
      </c>
      <c r="C120">
        <v>1079.5</v>
      </c>
      <c r="D120" t="s">
        <v>541</v>
      </c>
      <c r="E120" t="s">
        <v>542</v>
      </c>
      <c r="F120" t="s">
        <v>330</v>
      </c>
      <c r="H120">
        <v>1690377796</v>
      </c>
      <c r="I120">
        <f t="shared" si="30"/>
        <v>1.7533976084130516E-3</v>
      </c>
      <c r="J120">
        <f t="shared" si="31"/>
        <v>1.7533976084130516</v>
      </c>
      <c r="K120">
        <f t="shared" si="32"/>
        <v>26.196354200548068</v>
      </c>
      <c r="L120">
        <f t="shared" si="33"/>
        <v>489.11200000000002</v>
      </c>
      <c r="M120">
        <f t="shared" si="34"/>
        <v>114.53584798636014</v>
      </c>
      <c r="N120">
        <f t="shared" si="35"/>
        <v>11.310216601110767</v>
      </c>
      <c r="O120">
        <f t="shared" si="36"/>
        <v>48.2989628091048</v>
      </c>
      <c r="P120">
        <f t="shared" si="37"/>
        <v>0.11732658872893464</v>
      </c>
      <c r="Q120">
        <f t="shared" si="38"/>
        <v>2.0064920564096953</v>
      </c>
      <c r="R120">
        <f t="shared" si="39"/>
        <v>0.11364417801968418</v>
      </c>
      <c r="S120">
        <f t="shared" si="40"/>
        <v>7.1348833617326399E-2</v>
      </c>
      <c r="T120">
        <f t="shared" si="41"/>
        <v>276.11378530600399</v>
      </c>
      <c r="U120">
        <f t="shared" si="42"/>
        <v>28.743980900815679</v>
      </c>
      <c r="V120">
        <f t="shared" si="43"/>
        <v>28.743980900815679</v>
      </c>
      <c r="W120">
        <f t="shared" si="44"/>
        <v>3.9625749741339167</v>
      </c>
      <c r="X120">
        <f t="shared" si="45"/>
        <v>69.189345427375997</v>
      </c>
      <c r="Y120">
        <f t="shared" si="46"/>
        <v>2.4887723455372797</v>
      </c>
      <c r="Z120">
        <f t="shared" si="47"/>
        <v>3.5970456580624806</v>
      </c>
      <c r="AA120">
        <f t="shared" si="48"/>
        <v>1.473802628596637</v>
      </c>
      <c r="AB120">
        <f t="shared" si="49"/>
        <v>-77.324834531015568</v>
      </c>
      <c r="AC120">
        <f t="shared" si="50"/>
        <v>-179.46941694203409</v>
      </c>
      <c r="AD120">
        <f t="shared" si="51"/>
        <v>-19.480343187519217</v>
      </c>
      <c r="AE120">
        <f t="shared" si="52"/>
        <v>-0.16080935456488987</v>
      </c>
      <c r="AF120">
        <v>11</v>
      </c>
      <c r="AG120">
        <v>4</v>
      </c>
      <c r="AH120">
        <f t="shared" si="53"/>
        <v>1</v>
      </c>
      <c r="AI120">
        <f t="shared" si="54"/>
        <v>0</v>
      </c>
      <c r="AJ120">
        <f t="shared" si="55"/>
        <v>52110.156590681901</v>
      </c>
      <c r="AK120">
        <f t="shared" si="56"/>
        <v>1799.99</v>
      </c>
      <c r="AL120">
        <f t="shared" si="57"/>
        <v>1499.1032306024499</v>
      </c>
      <c r="AM120">
        <f t="shared" si="58"/>
        <v>0.83283975499999996</v>
      </c>
      <c r="AN120">
        <f t="shared" si="59"/>
        <v>0.15339739959999998</v>
      </c>
      <c r="AO120">
        <v>34.5</v>
      </c>
      <c r="AP120">
        <v>0.5</v>
      </c>
      <c r="AQ120" t="s">
        <v>331</v>
      </c>
      <c r="AR120">
        <v>2</v>
      </c>
      <c r="AS120">
        <v>1690377796</v>
      </c>
      <c r="AT120">
        <v>489.11200000000002</v>
      </c>
      <c r="AU120">
        <v>800.13199999999995</v>
      </c>
      <c r="AV120">
        <v>25.203199999999999</v>
      </c>
      <c r="AW120">
        <v>5.5536799999999999</v>
      </c>
      <c r="AX120">
        <v>489.59500000000003</v>
      </c>
      <c r="AY120">
        <v>24.992000000000001</v>
      </c>
      <c r="AZ120">
        <v>300.09699999999998</v>
      </c>
      <c r="BA120">
        <v>98.648300000000006</v>
      </c>
      <c r="BB120">
        <v>9.9967899999999998E-2</v>
      </c>
      <c r="BC120">
        <v>27.084900000000001</v>
      </c>
      <c r="BD120">
        <v>26.991199999999999</v>
      </c>
      <c r="BE120">
        <v>28.823499999999999</v>
      </c>
      <c r="BF120">
        <v>0</v>
      </c>
      <c r="BG120">
        <v>0</v>
      </c>
      <c r="BH120">
        <v>9992.5</v>
      </c>
      <c r="BI120">
        <v>1082.83</v>
      </c>
      <c r="BJ120">
        <v>1.38764</v>
      </c>
      <c r="BK120">
        <v>-311.02</v>
      </c>
      <c r="BL120">
        <v>501.75799999999998</v>
      </c>
      <c r="BM120">
        <v>804.601</v>
      </c>
      <c r="BN120">
        <v>19.6495</v>
      </c>
      <c r="BO120">
        <v>800.13199999999995</v>
      </c>
      <c r="BP120">
        <v>5.5536799999999999</v>
      </c>
      <c r="BQ120">
        <v>2.4862500000000001</v>
      </c>
      <c r="BR120">
        <v>0.54786100000000004</v>
      </c>
      <c r="BS120">
        <v>20.936800000000002</v>
      </c>
      <c r="BT120">
        <v>-1.5512999999999999</v>
      </c>
      <c r="BU120">
        <v>1799.99</v>
      </c>
      <c r="BV120">
        <v>0.909999</v>
      </c>
      <c r="BW120">
        <v>3.4003400000000003E-2</v>
      </c>
      <c r="BX120">
        <v>2.1999500000000002E-2</v>
      </c>
      <c r="BY120">
        <v>3.3998199999999999E-2</v>
      </c>
      <c r="BZ120">
        <v>25</v>
      </c>
      <c r="CA120">
        <v>33528.199999999997</v>
      </c>
      <c r="CB120">
        <v>1690376213.5999999</v>
      </c>
      <c r="CC120" t="s">
        <v>332</v>
      </c>
      <c r="CD120">
        <v>1690376213.5999999</v>
      </c>
      <c r="CE120">
        <v>1690376198.0999999</v>
      </c>
      <c r="CF120">
        <v>2</v>
      </c>
      <c r="CG120">
        <v>0.66900000000000004</v>
      </c>
      <c r="CH120">
        <v>-2.1000000000000001E-2</v>
      </c>
      <c r="CI120">
        <v>-0.70099999999999996</v>
      </c>
      <c r="CJ120">
        <v>0.21099999999999999</v>
      </c>
      <c r="CK120">
        <v>799</v>
      </c>
      <c r="CL120">
        <v>21</v>
      </c>
      <c r="CM120">
        <v>0.11</v>
      </c>
      <c r="CN120">
        <v>0.17</v>
      </c>
      <c r="CO120">
        <v>-307.75217500000002</v>
      </c>
      <c r="CP120">
        <v>-17.756026266416612</v>
      </c>
      <c r="CQ120">
        <v>1.708604736144375</v>
      </c>
      <c r="CR120">
        <v>-1</v>
      </c>
      <c r="CS120">
        <v>19.369887500000001</v>
      </c>
      <c r="CT120">
        <v>1.5997902439024281</v>
      </c>
      <c r="CU120">
        <v>0.1539781773296138</v>
      </c>
      <c r="CV120">
        <v>-1</v>
      </c>
      <c r="CW120">
        <v>0</v>
      </c>
      <c r="CX120">
        <v>0</v>
      </c>
      <c r="CY120" t="s">
        <v>333</v>
      </c>
      <c r="CZ120">
        <v>2.3649499999999999</v>
      </c>
      <c r="DA120">
        <v>2.7137500000000001</v>
      </c>
      <c r="DB120">
        <v>0.103813</v>
      </c>
      <c r="DC120">
        <v>0.14566899999999999</v>
      </c>
      <c r="DD120">
        <v>0.117475</v>
      </c>
      <c r="DE120">
        <v>3.6931800000000001E-2</v>
      </c>
      <c r="DF120">
        <v>32736.799999999999</v>
      </c>
      <c r="DG120">
        <v>27533.3</v>
      </c>
      <c r="DH120">
        <v>31182.799999999999</v>
      </c>
      <c r="DI120">
        <v>28080.5</v>
      </c>
      <c r="DJ120">
        <v>37353.5</v>
      </c>
      <c r="DK120">
        <v>38448</v>
      </c>
      <c r="DL120">
        <v>44375.1</v>
      </c>
      <c r="DM120">
        <v>42548.1</v>
      </c>
      <c r="DN120">
        <v>1.4438299999999999</v>
      </c>
      <c r="DO120">
        <v>2.05687</v>
      </c>
      <c r="DP120">
        <v>9.4719200000000003E-2</v>
      </c>
      <c r="DQ120">
        <v>0.207737</v>
      </c>
      <c r="DR120">
        <v>25.440200000000001</v>
      </c>
      <c r="DS120">
        <v>25.4268</v>
      </c>
      <c r="DT120">
        <v>54.8</v>
      </c>
      <c r="DU120">
        <v>26.9</v>
      </c>
      <c r="DV120">
        <v>19.766300000000001</v>
      </c>
      <c r="DW120">
        <v>61.040199999999999</v>
      </c>
      <c r="DX120">
        <v>36.5184</v>
      </c>
      <c r="DY120">
        <v>1</v>
      </c>
      <c r="DZ120">
        <v>-0.13950499999999999</v>
      </c>
      <c r="EA120">
        <v>-0.60087699999999999</v>
      </c>
      <c r="EB120">
        <v>20.1891</v>
      </c>
      <c r="EC120">
        <v>5.2408000000000001</v>
      </c>
      <c r="ED120">
        <v>12.039899999999999</v>
      </c>
      <c r="EE120">
        <v>5.0167999999999999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1.8688899999999999</v>
      </c>
      <c r="EL120">
        <v>1.8644799999999999</v>
      </c>
      <c r="EM120">
        <v>1.8691800000000001</v>
      </c>
      <c r="EN120">
        <v>1.8671800000000001</v>
      </c>
      <c r="EO120">
        <v>1.8633</v>
      </c>
      <c r="EP120">
        <v>1.8643400000000001</v>
      </c>
      <c r="EQ120">
        <v>1.87012</v>
      </c>
      <c r="ER120">
        <v>1.8693500000000001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-0.48299999999999998</v>
      </c>
      <c r="FG120">
        <v>0.2112</v>
      </c>
      <c r="FH120">
        <v>-0.150361779349652</v>
      </c>
      <c r="FI120">
        <v>-6.1462078757559423E-4</v>
      </c>
      <c r="FJ120">
        <v>-1.8861989874597051E-7</v>
      </c>
      <c r="FK120">
        <v>1.1980462299894961E-10</v>
      </c>
      <c r="FL120">
        <v>0.21114761904761539</v>
      </c>
      <c r="FM120">
        <v>0</v>
      </c>
      <c r="FN120">
        <v>0</v>
      </c>
      <c r="FO120">
        <v>0</v>
      </c>
      <c r="FP120">
        <v>3</v>
      </c>
      <c r="FQ120">
        <v>2158</v>
      </c>
      <c r="FR120">
        <v>1</v>
      </c>
      <c r="FS120">
        <v>19</v>
      </c>
      <c r="FT120">
        <v>26.4</v>
      </c>
      <c r="FU120">
        <v>26.6</v>
      </c>
      <c r="FV120">
        <v>1.7748999999999999</v>
      </c>
      <c r="FW120">
        <v>2.5708000000000002</v>
      </c>
      <c r="FX120">
        <v>1.5490699999999999</v>
      </c>
      <c r="FY120">
        <v>2.33643</v>
      </c>
      <c r="FZ120">
        <v>1.50146</v>
      </c>
      <c r="GA120">
        <v>2.3730500000000001</v>
      </c>
      <c r="GB120">
        <v>32.090400000000002</v>
      </c>
      <c r="GC120">
        <v>23.991199999999999</v>
      </c>
      <c r="GD120">
        <v>19</v>
      </c>
      <c r="GE120">
        <v>266.959</v>
      </c>
      <c r="GF120">
        <v>593.38300000000004</v>
      </c>
      <c r="GG120">
        <v>25.829699999999999</v>
      </c>
      <c r="GH120">
        <v>25.6798</v>
      </c>
      <c r="GI120">
        <v>30.0001</v>
      </c>
      <c r="GJ120">
        <v>25.782</v>
      </c>
      <c r="GK120">
        <v>25.7455</v>
      </c>
      <c r="GL120">
        <v>35.494599999999998</v>
      </c>
      <c r="GM120">
        <v>70.053299999999993</v>
      </c>
      <c r="GN120">
        <v>69.071100000000001</v>
      </c>
      <c r="GO120">
        <v>25.8415</v>
      </c>
      <c r="GP120">
        <v>800</v>
      </c>
      <c r="GQ120">
        <v>5.36951</v>
      </c>
      <c r="GR120">
        <v>99.770300000000006</v>
      </c>
      <c r="GS120">
        <v>99.546099999999996</v>
      </c>
    </row>
    <row r="121" spans="1:201" x14ac:dyDescent="0.25">
      <c r="A121">
        <v>105</v>
      </c>
      <c r="B121">
        <v>1690377806</v>
      </c>
      <c r="C121">
        <v>1089.5</v>
      </c>
      <c r="D121" t="s">
        <v>543</v>
      </c>
      <c r="E121" t="s">
        <v>544</v>
      </c>
      <c r="F121" t="s">
        <v>330</v>
      </c>
      <c r="H121">
        <v>1690377806</v>
      </c>
      <c r="I121">
        <f t="shared" si="30"/>
        <v>1.7784284577740011E-3</v>
      </c>
      <c r="J121">
        <f t="shared" si="31"/>
        <v>1.778428457774001</v>
      </c>
      <c r="K121">
        <f t="shared" si="32"/>
        <v>26.445796953652717</v>
      </c>
      <c r="L121">
        <f t="shared" si="33"/>
        <v>486.25900000000001</v>
      </c>
      <c r="M121">
        <f t="shared" si="34"/>
        <v>113.79400169106802</v>
      </c>
      <c r="N121">
        <f t="shared" si="35"/>
        <v>11.236744071314421</v>
      </c>
      <c r="O121">
        <f t="shared" si="36"/>
        <v>48.016308893038598</v>
      </c>
      <c r="P121">
        <f t="shared" si="37"/>
        <v>0.11916072876046614</v>
      </c>
      <c r="Q121">
        <f t="shared" si="38"/>
        <v>2.0074560119488414</v>
      </c>
      <c r="R121">
        <f t="shared" si="39"/>
        <v>0.11536605101606225</v>
      </c>
      <c r="S121">
        <f t="shared" si="40"/>
        <v>7.2434652231309515E-2</v>
      </c>
      <c r="T121">
        <f t="shared" si="41"/>
        <v>276.11509309200005</v>
      </c>
      <c r="U121">
        <f t="shared" si="42"/>
        <v>28.740653201209781</v>
      </c>
      <c r="V121">
        <f t="shared" si="43"/>
        <v>28.740653201209781</v>
      </c>
      <c r="W121">
        <f t="shared" si="44"/>
        <v>3.9618105598179043</v>
      </c>
      <c r="X121">
        <f t="shared" si="45"/>
        <v>69.177406052701997</v>
      </c>
      <c r="Y121">
        <f t="shared" si="46"/>
        <v>2.4893070000051396</v>
      </c>
      <c r="Z121">
        <f t="shared" si="47"/>
        <v>3.5984393489815019</v>
      </c>
      <c r="AA121">
        <f t="shared" si="48"/>
        <v>1.4725035598127647</v>
      </c>
      <c r="AB121">
        <f t="shared" si="49"/>
        <v>-78.428694987833453</v>
      </c>
      <c r="AC121">
        <f t="shared" si="50"/>
        <v>-178.48120243249707</v>
      </c>
      <c r="AD121">
        <f t="shared" si="51"/>
        <v>-19.364089739747278</v>
      </c>
      <c r="AE121">
        <f t="shared" si="52"/>
        <v>-0.15889406807775686</v>
      </c>
      <c r="AF121">
        <v>10</v>
      </c>
      <c r="AG121">
        <v>3</v>
      </c>
      <c r="AH121">
        <f t="shared" si="53"/>
        <v>1</v>
      </c>
      <c r="AI121">
        <f t="shared" si="54"/>
        <v>0</v>
      </c>
      <c r="AJ121">
        <f t="shared" si="55"/>
        <v>52155.024063390847</v>
      </c>
      <c r="AK121">
        <f t="shared" si="56"/>
        <v>1800</v>
      </c>
      <c r="AL121">
        <f t="shared" si="57"/>
        <v>1499.1115841999999</v>
      </c>
      <c r="AM121">
        <f t="shared" si="58"/>
        <v>0.8328397689999999</v>
      </c>
      <c r="AN121">
        <f t="shared" si="59"/>
        <v>0.15339727394000002</v>
      </c>
      <c r="AO121">
        <v>34.5</v>
      </c>
      <c r="AP121">
        <v>0.5</v>
      </c>
      <c r="AQ121" t="s">
        <v>331</v>
      </c>
      <c r="AR121">
        <v>2</v>
      </c>
      <c r="AS121">
        <v>1690377806</v>
      </c>
      <c r="AT121">
        <v>486.25900000000001</v>
      </c>
      <c r="AU121">
        <v>800.15899999999999</v>
      </c>
      <c r="AV121">
        <v>25.209099999999999</v>
      </c>
      <c r="AW121">
        <v>5.2836400000000001</v>
      </c>
      <c r="AX121">
        <v>486.74</v>
      </c>
      <c r="AY121">
        <v>24.998000000000001</v>
      </c>
      <c r="AZ121">
        <v>300.16399999999999</v>
      </c>
      <c r="BA121">
        <v>98.6464</v>
      </c>
      <c r="BB121">
        <v>9.9965399999999996E-2</v>
      </c>
      <c r="BC121">
        <v>27.0915</v>
      </c>
      <c r="BD121">
        <v>26.995100000000001</v>
      </c>
      <c r="BE121">
        <v>28.815000000000001</v>
      </c>
      <c r="BF121">
        <v>0</v>
      </c>
      <c r="BG121">
        <v>0</v>
      </c>
      <c r="BH121">
        <v>10001.9</v>
      </c>
      <c r="BI121">
        <v>1082.72</v>
      </c>
      <c r="BJ121">
        <v>1.4016500000000001</v>
      </c>
      <c r="BK121">
        <v>-313.899</v>
      </c>
      <c r="BL121">
        <v>498.83499999999998</v>
      </c>
      <c r="BM121">
        <v>804.40899999999999</v>
      </c>
      <c r="BN121">
        <v>19.9255</v>
      </c>
      <c r="BO121">
        <v>800.15899999999999</v>
      </c>
      <c r="BP121">
        <v>5.2836400000000001</v>
      </c>
      <c r="BQ121">
        <v>2.4867900000000001</v>
      </c>
      <c r="BR121">
        <v>0.52121200000000001</v>
      </c>
      <c r="BS121">
        <v>20.940300000000001</v>
      </c>
      <c r="BT121">
        <v>-2.2271100000000001</v>
      </c>
      <c r="BU121">
        <v>1800</v>
      </c>
      <c r="BV121">
        <v>0.91000199999999998</v>
      </c>
      <c r="BW121">
        <v>3.40021E-2</v>
      </c>
      <c r="BX121">
        <v>2.19987E-2</v>
      </c>
      <c r="BY121">
        <v>3.3996999999999999E-2</v>
      </c>
      <c r="BZ121">
        <v>25</v>
      </c>
      <c r="CA121">
        <v>33528.400000000001</v>
      </c>
      <c r="CB121">
        <v>1690376213.5999999</v>
      </c>
      <c r="CC121" t="s">
        <v>332</v>
      </c>
      <c r="CD121">
        <v>1690376213.5999999</v>
      </c>
      <c r="CE121">
        <v>1690376198.0999999</v>
      </c>
      <c r="CF121">
        <v>2</v>
      </c>
      <c r="CG121">
        <v>0.66900000000000004</v>
      </c>
      <c r="CH121">
        <v>-2.1000000000000001E-2</v>
      </c>
      <c r="CI121">
        <v>-0.70099999999999996</v>
      </c>
      <c r="CJ121">
        <v>0.21099999999999999</v>
      </c>
      <c r="CK121">
        <v>799</v>
      </c>
      <c r="CL121">
        <v>21</v>
      </c>
      <c r="CM121">
        <v>0.11</v>
      </c>
      <c r="CN121">
        <v>0.17</v>
      </c>
      <c r="CO121">
        <v>-310.71282500000001</v>
      </c>
      <c r="CP121">
        <v>-17.893091932457001</v>
      </c>
      <c r="CQ121">
        <v>1.722036452684726</v>
      </c>
      <c r="CR121">
        <v>-1</v>
      </c>
      <c r="CS121">
        <v>19.633512499999998</v>
      </c>
      <c r="CT121">
        <v>1.588949718574121</v>
      </c>
      <c r="CU121">
        <v>0.15296785313833081</v>
      </c>
      <c r="CV121">
        <v>-1</v>
      </c>
      <c r="CW121">
        <v>0</v>
      </c>
      <c r="CX121">
        <v>0</v>
      </c>
      <c r="CY121" t="s">
        <v>333</v>
      </c>
      <c r="CZ121">
        <v>2.3651599999999999</v>
      </c>
      <c r="DA121">
        <v>2.7137600000000002</v>
      </c>
      <c r="DB121">
        <v>0.103366</v>
      </c>
      <c r="DC121">
        <v>0.14566399999999999</v>
      </c>
      <c r="DD121">
        <v>0.117493</v>
      </c>
      <c r="DE121">
        <v>3.54417E-2</v>
      </c>
      <c r="DF121">
        <v>32753.3</v>
      </c>
      <c r="DG121">
        <v>27533.1</v>
      </c>
      <c r="DH121">
        <v>31182.9</v>
      </c>
      <c r="DI121">
        <v>28080.1</v>
      </c>
      <c r="DJ121">
        <v>37352.9</v>
      </c>
      <c r="DK121">
        <v>38507.1</v>
      </c>
      <c r="DL121">
        <v>44375.3</v>
      </c>
      <c r="DM121">
        <v>42547.5</v>
      </c>
      <c r="DN121">
        <v>1.444</v>
      </c>
      <c r="DO121">
        <v>2.05585</v>
      </c>
      <c r="DP121">
        <v>9.4830999999999999E-2</v>
      </c>
      <c r="DQ121">
        <v>0.20699200000000001</v>
      </c>
      <c r="DR121">
        <v>25.442299999999999</v>
      </c>
      <c r="DS121">
        <v>25.430499999999999</v>
      </c>
      <c r="DT121">
        <v>54.4</v>
      </c>
      <c r="DU121">
        <v>26.9</v>
      </c>
      <c r="DV121">
        <v>19.620899999999999</v>
      </c>
      <c r="DW121">
        <v>60.970199999999998</v>
      </c>
      <c r="DX121">
        <v>36.482399999999998</v>
      </c>
      <c r="DY121">
        <v>1</v>
      </c>
      <c r="DZ121">
        <v>-0.13963200000000001</v>
      </c>
      <c r="EA121">
        <v>-0.60906000000000005</v>
      </c>
      <c r="EB121">
        <v>20.1892</v>
      </c>
      <c r="EC121">
        <v>5.24125</v>
      </c>
      <c r="ED121">
        <v>12.039899999999999</v>
      </c>
      <c r="EE121">
        <v>5.0168499999999998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1.86887</v>
      </c>
      <c r="EL121">
        <v>1.8645</v>
      </c>
      <c r="EM121">
        <v>1.86917</v>
      </c>
      <c r="EN121">
        <v>1.8671899999999999</v>
      </c>
      <c r="EO121">
        <v>1.8633</v>
      </c>
      <c r="EP121">
        <v>1.8643400000000001</v>
      </c>
      <c r="EQ121">
        <v>1.87012</v>
      </c>
      <c r="ER121">
        <v>1.8693500000000001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-0.48099999999999998</v>
      </c>
      <c r="FG121">
        <v>0.21110000000000001</v>
      </c>
      <c r="FH121">
        <v>-0.150361779349652</v>
      </c>
      <c r="FI121">
        <v>-6.1462078757559423E-4</v>
      </c>
      <c r="FJ121">
        <v>-1.8861989874597051E-7</v>
      </c>
      <c r="FK121">
        <v>1.1980462299894961E-10</v>
      </c>
      <c r="FL121">
        <v>0.21114761904761539</v>
      </c>
      <c r="FM121">
        <v>0</v>
      </c>
      <c r="FN121">
        <v>0</v>
      </c>
      <c r="FO121">
        <v>0</v>
      </c>
      <c r="FP121">
        <v>3</v>
      </c>
      <c r="FQ121">
        <v>2158</v>
      </c>
      <c r="FR121">
        <v>1</v>
      </c>
      <c r="FS121">
        <v>19</v>
      </c>
      <c r="FT121">
        <v>26.5</v>
      </c>
      <c r="FU121">
        <v>26.8</v>
      </c>
      <c r="FV121">
        <v>1.7748999999999999</v>
      </c>
      <c r="FW121">
        <v>2.5659200000000002</v>
      </c>
      <c r="FX121">
        <v>1.5490699999999999</v>
      </c>
      <c r="FY121">
        <v>2.33643</v>
      </c>
      <c r="FZ121">
        <v>1.50146</v>
      </c>
      <c r="GA121">
        <v>2.3791500000000001</v>
      </c>
      <c r="GB121">
        <v>32.112400000000001</v>
      </c>
      <c r="GC121">
        <v>23.991199999999999</v>
      </c>
      <c r="GD121">
        <v>19</v>
      </c>
      <c r="GE121">
        <v>267.02999999999997</v>
      </c>
      <c r="GF121">
        <v>592.52800000000002</v>
      </c>
      <c r="GG121">
        <v>25.847300000000001</v>
      </c>
      <c r="GH121">
        <v>25.6798</v>
      </c>
      <c r="GI121">
        <v>30</v>
      </c>
      <c r="GJ121">
        <v>25.782</v>
      </c>
      <c r="GK121">
        <v>25.7455</v>
      </c>
      <c r="GL121">
        <v>35.485500000000002</v>
      </c>
      <c r="GM121">
        <v>70.653899999999993</v>
      </c>
      <c r="GN121">
        <v>68.2423</v>
      </c>
      <c r="GO121">
        <v>25.8492</v>
      </c>
      <c r="GP121">
        <v>800</v>
      </c>
      <c r="GQ121">
        <v>5.10581</v>
      </c>
      <c r="GR121">
        <v>99.770799999999994</v>
      </c>
      <c r="GS121">
        <v>99.544700000000006</v>
      </c>
    </row>
    <row r="122" spans="1:201" x14ac:dyDescent="0.25">
      <c r="A122">
        <v>106</v>
      </c>
      <c r="B122">
        <v>1690377816</v>
      </c>
      <c r="C122">
        <v>1099.5</v>
      </c>
      <c r="D122" t="s">
        <v>545</v>
      </c>
      <c r="E122" t="s">
        <v>546</v>
      </c>
      <c r="F122" t="s">
        <v>330</v>
      </c>
      <c r="H122">
        <v>1690377816</v>
      </c>
      <c r="I122">
        <f t="shared" si="30"/>
        <v>1.8010051867026931E-3</v>
      </c>
      <c r="J122">
        <f t="shared" si="31"/>
        <v>1.8010051867026931</v>
      </c>
      <c r="K122">
        <f t="shared" si="32"/>
        <v>26.697718099890697</v>
      </c>
      <c r="L122">
        <f t="shared" si="33"/>
        <v>483.31099999999998</v>
      </c>
      <c r="M122">
        <f t="shared" si="34"/>
        <v>112.78716874920718</v>
      </c>
      <c r="N122">
        <f t="shared" si="35"/>
        <v>11.137374476361924</v>
      </c>
      <c r="O122">
        <f t="shared" si="36"/>
        <v>47.72542528764199</v>
      </c>
      <c r="P122">
        <f t="shared" si="37"/>
        <v>0.12096734558328075</v>
      </c>
      <c r="Q122">
        <f t="shared" si="38"/>
        <v>2.0077845986513623</v>
      </c>
      <c r="R122">
        <f t="shared" si="39"/>
        <v>0.1170593805467397</v>
      </c>
      <c r="S122">
        <f t="shared" si="40"/>
        <v>7.3502710891239276E-2</v>
      </c>
      <c r="T122">
        <f t="shared" si="41"/>
        <v>276.11504164800004</v>
      </c>
      <c r="U122">
        <f t="shared" si="42"/>
        <v>28.731006228740945</v>
      </c>
      <c r="V122">
        <f t="shared" si="43"/>
        <v>28.731006228740945</v>
      </c>
      <c r="W122">
        <f t="shared" si="44"/>
        <v>3.9595952560581273</v>
      </c>
      <c r="X122">
        <f t="shared" si="45"/>
        <v>69.199756053847565</v>
      </c>
      <c r="Y122">
        <f t="shared" si="46"/>
        <v>2.4899504901409997</v>
      </c>
      <c r="Z122">
        <f t="shared" si="47"/>
        <v>3.598207034434417</v>
      </c>
      <c r="AA122">
        <f t="shared" si="48"/>
        <v>1.4696447659171277</v>
      </c>
      <c r="AB122">
        <f t="shared" si="49"/>
        <v>-79.424328733588766</v>
      </c>
      <c r="AC122">
        <f t="shared" si="50"/>
        <v>-177.58526101511899</v>
      </c>
      <c r="AD122">
        <f t="shared" si="51"/>
        <v>-19.262699118989783</v>
      </c>
      <c r="AE122">
        <f t="shared" si="52"/>
        <v>-0.15724721969746724</v>
      </c>
      <c r="AF122">
        <v>11</v>
      </c>
      <c r="AG122">
        <v>4</v>
      </c>
      <c r="AH122">
        <f t="shared" si="53"/>
        <v>1</v>
      </c>
      <c r="AI122">
        <f t="shared" si="54"/>
        <v>0</v>
      </c>
      <c r="AJ122">
        <f t="shared" si="55"/>
        <v>52170.929682387818</v>
      </c>
      <c r="AK122">
        <f t="shared" si="56"/>
        <v>1800</v>
      </c>
      <c r="AL122">
        <f t="shared" si="57"/>
        <v>1499.1126947999999</v>
      </c>
      <c r="AM122">
        <f t="shared" si="58"/>
        <v>0.83284038599999999</v>
      </c>
      <c r="AN122">
        <f t="shared" si="59"/>
        <v>0.15339724536000002</v>
      </c>
      <c r="AO122">
        <v>34.5</v>
      </c>
      <c r="AP122">
        <v>0.5</v>
      </c>
      <c r="AQ122" t="s">
        <v>331</v>
      </c>
      <c r="AR122">
        <v>2</v>
      </c>
      <c r="AS122">
        <v>1690377816</v>
      </c>
      <c r="AT122">
        <v>483.31099999999998</v>
      </c>
      <c r="AU122">
        <v>800.14</v>
      </c>
      <c r="AV122">
        <v>25.215499999999999</v>
      </c>
      <c r="AW122">
        <v>5.0392400000000004</v>
      </c>
      <c r="AX122">
        <v>483.78899999999999</v>
      </c>
      <c r="AY122">
        <v>25.004300000000001</v>
      </c>
      <c r="AZ122">
        <v>300.19400000000002</v>
      </c>
      <c r="BA122">
        <v>98.646799999999999</v>
      </c>
      <c r="BB122">
        <v>0.100022</v>
      </c>
      <c r="BC122">
        <v>27.090399999999999</v>
      </c>
      <c r="BD122">
        <v>26.998000000000001</v>
      </c>
      <c r="BE122">
        <v>28.834399999999999</v>
      </c>
      <c r="BF122">
        <v>0</v>
      </c>
      <c r="BG122">
        <v>0</v>
      </c>
      <c r="BH122">
        <v>10005</v>
      </c>
      <c r="BI122">
        <v>1082.6600000000001</v>
      </c>
      <c r="BJ122">
        <v>1.4016500000000001</v>
      </c>
      <c r="BK122">
        <v>-316.82900000000001</v>
      </c>
      <c r="BL122">
        <v>495.81299999999999</v>
      </c>
      <c r="BM122">
        <v>804.19299999999998</v>
      </c>
      <c r="BN122">
        <v>20.176200000000001</v>
      </c>
      <c r="BO122">
        <v>800.14</v>
      </c>
      <c r="BP122">
        <v>5.0392400000000004</v>
      </c>
      <c r="BQ122">
        <v>2.4874200000000002</v>
      </c>
      <c r="BR122">
        <v>0.49710500000000002</v>
      </c>
      <c r="BS122">
        <v>20.944500000000001</v>
      </c>
      <c r="BT122">
        <v>-2.8654199999999999</v>
      </c>
      <c r="BU122">
        <v>1800</v>
      </c>
      <c r="BV122">
        <v>0.91000599999999998</v>
      </c>
      <c r="BW122">
        <v>3.4000799999999998E-2</v>
      </c>
      <c r="BX122">
        <v>2.1997800000000001E-2</v>
      </c>
      <c r="BY122">
        <v>3.3995600000000001E-2</v>
      </c>
      <c r="BZ122">
        <v>25</v>
      </c>
      <c r="CA122">
        <v>33528.300000000003</v>
      </c>
      <c r="CB122">
        <v>1690376213.5999999</v>
      </c>
      <c r="CC122" t="s">
        <v>332</v>
      </c>
      <c r="CD122">
        <v>1690376213.5999999</v>
      </c>
      <c r="CE122">
        <v>1690376198.0999999</v>
      </c>
      <c r="CF122">
        <v>2</v>
      </c>
      <c r="CG122">
        <v>0.66900000000000004</v>
      </c>
      <c r="CH122">
        <v>-2.1000000000000001E-2</v>
      </c>
      <c r="CI122">
        <v>-0.70099999999999996</v>
      </c>
      <c r="CJ122">
        <v>0.21099999999999999</v>
      </c>
      <c r="CK122">
        <v>799</v>
      </c>
      <c r="CL122">
        <v>21</v>
      </c>
      <c r="CM122">
        <v>0.11</v>
      </c>
      <c r="CN122">
        <v>0.17</v>
      </c>
      <c r="CO122">
        <v>-313.65262499999989</v>
      </c>
      <c r="CP122">
        <v>-17.41858536585298</v>
      </c>
      <c r="CQ122">
        <v>1.676668105015124</v>
      </c>
      <c r="CR122">
        <v>-1</v>
      </c>
      <c r="CS122">
        <v>19.897477500000001</v>
      </c>
      <c r="CT122">
        <v>1.6098427767354591</v>
      </c>
      <c r="CU122">
        <v>0.1549283148548066</v>
      </c>
      <c r="CV122">
        <v>-1</v>
      </c>
      <c r="CW122">
        <v>0</v>
      </c>
      <c r="CX122">
        <v>0</v>
      </c>
      <c r="CY122" t="s">
        <v>333</v>
      </c>
      <c r="CZ122">
        <v>2.3652299999999999</v>
      </c>
      <c r="DA122">
        <v>2.7138200000000001</v>
      </c>
      <c r="DB122">
        <v>0.102906</v>
      </c>
      <c r="DC122">
        <v>0.14565700000000001</v>
      </c>
      <c r="DD122">
        <v>0.11751399999999999</v>
      </c>
      <c r="DE122">
        <v>3.4074899999999998E-2</v>
      </c>
      <c r="DF122">
        <v>32770.199999999997</v>
      </c>
      <c r="DG122">
        <v>27533.9</v>
      </c>
      <c r="DH122">
        <v>31183</v>
      </c>
      <c r="DI122">
        <v>28080.7</v>
      </c>
      <c r="DJ122">
        <v>37352.1</v>
      </c>
      <c r="DK122">
        <v>38562.6</v>
      </c>
      <c r="DL122">
        <v>44375.5</v>
      </c>
      <c r="DM122">
        <v>42548.3</v>
      </c>
      <c r="DN122">
        <v>1.4438500000000001</v>
      </c>
      <c r="DO122">
        <v>2.05518</v>
      </c>
      <c r="DP122">
        <v>9.4875699999999993E-2</v>
      </c>
      <c r="DQ122">
        <v>0.207983</v>
      </c>
      <c r="DR122">
        <v>25.444500000000001</v>
      </c>
      <c r="DS122">
        <v>25.433700000000002</v>
      </c>
      <c r="DT122">
        <v>54</v>
      </c>
      <c r="DU122">
        <v>26.9</v>
      </c>
      <c r="DV122">
        <v>19.476199999999999</v>
      </c>
      <c r="DW122">
        <v>61.410200000000003</v>
      </c>
      <c r="DX122">
        <v>36.610599999999998</v>
      </c>
      <c r="DY122">
        <v>1</v>
      </c>
      <c r="DZ122">
        <v>-0.13980899999999999</v>
      </c>
      <c r="EA122">
        <v>-0.58051200000000003</v>
      </c>
      <c r="EB122">
        <v>20.189399999999999</v>
      </c>
      <c r="EC122">
        <v>5.24125</v>
      </c>
      <c r="ED122">
        <v>12.039899999999999</v>
      </c>
      <c r="EE122">
        <v>5.0170000000000003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1.8688800000000001</v>
      </c>
      <c r="EL122">
        <v>1.8645</v>
      </c>
      <c r="EM122">
        <v>1.8691800000000001</v>
      </c>
      <c r="EN122">
        <v>1.8671899999999999</v>
      </c>
      <c r="EO122">
        <v>1.86328</v>
      </c>
      <c r="EP122">
        <v>1.86433</v>
      </c>
      <c r="EQ122">
        <v>1.87012</v>
      </c>
      <c r="ER122">
        <v>1.86937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-0.47799999999999998</v>
      </c>
      <c r="FG122">
        <v>0.2112</v>
      </c>
      <c r="FH122">
        <v>-0.150361779349652</v>
      </c>
      <c r="FI122">
        <v>-6.1462078757559423E-4</v>
      </c>
      <c r="FJ122">
        <v>-1.8861989874597051E-7</v>
      </c>
      <c r="FK122">
        <v>1.1980462299894961E-10</v>
      </c>
      <c r="FL122">
        <v>0.21114761904761539</v>
      </c>
      <c r="FM122">
        <v>0</v>
      </c>
      <c r="FN122">
        <v>0</v>
      </c>
      <c r="FO122">
        <v>0</v>
      </c>
      <c r="FP122">
        <v>3</v>
      </c>
      <c r="FQ122">
        <v>2158</v>
      </c>
      <c r="FR122">
        <v>1</v>
      </c>
      <c r="FS122">
        <v>19</v>
      </c>
      <c r="FT122">
        <v>26.7</v>
      </c>
      <c r="FU122">
        <v>27</v>
      </c>
      <c r="FV122">
        <v>1.7748999999999999</v>
      </c>
      <c r="FW122">
        <v>2.5659200000000002</v>
      </c>
      <c r="FX122">
        <v>1.5490699999999999</v>
      </c>
      <c r="FY122">
        <v>2.33643</v>
      </c>
      <c r="FZ122">
        <v>1.50146</v>
      </c>
      <c r="GA122">
        <v>2.3584000000000001</v>
      </c>
      <c r="GB122">
        <v>32.112400000000001</v>
      </c>
      <c r="GC122">
        <v>23.991199999999999</v>
      </c>
      <c r="GD122">
        <v>19</v>
      </c>
      <c r="GE122">
        <v>266.96899999999999</v>
      </c>
      <c r="GF122">
        <v>591.99</v>
      </c>
      <c r="GG122">
        <v>25.8521</v>
      </c>
      <c r="GH122">
        <v>25.6798</v>
      </c>
      <c r="GI122">
        <v>30</v>
      </c>
      <c r="GJ122">
        <v>25.782</v>
      </c>
      <c r="GK122">
        <v>25.747699999999998</v>
      </c>
      <c r="GL122">
        <v>35.476900000000001</v>
      </c>
      <c r="GM122">
        <v>71.815600000000003</v>
      </c>
      <c r="GN122">
        <v>67.078000000000003</v>
      </c>
      <c r="GO122">
        <v>25.7742</v>
      </c>
      <c r="GP122">
        <v>800</v>
      </c>
      <c r="GQ122">
        <v>4.8394599999999999</v>
      </c>
      <c r="GR122">
        <v>99.771100000000004</v>
      </c>
      <c r="GS122">
        <v>99.546700000000001</v>
      </c>
    </row>
    <row r="123" spans="1:201" x14ac:dyDescent="0.25">
      <c r="A123">
        <v>107</v>
      </c>
      <c r="B123">
        <v>1690377826</v>
      </c>
      <c r="C123">
        <v>1109.5</v>
      </c>
      <c r="D123" t="s">
        <v>547</v>
      </c>
      <c r="E123" t="s">
        <v>548</v>
      </c>
      <c r="F123" t="s">
        <v>330</v>
      </c>
      <c r="H123">
        <v>1690377826</v>
      </c>
      <c r="I123">
        <f t="shared" si="30"/>
        <v>1.8243852625060356E-3</v>
      </c>
      <c r="J123">
        <f t="shared" si="31"/>
        <v>1.8243852625060355</v>
      </c>
      <c r="K123">
        <f t="shared" si="32"/>
        <v>26.92891302889355</v>
      </c>
      <c r="L123">
        <f t="shared" si="33"/>
        <v>480.47699999999998</v>
      </c>
      <c r="M123">
        <f t="shared" si="34"/>
        <v>112.53851991577943</v>
      </c>
      <c r="N123">
        <f t="shared" si="35"/>
        <v>11.112626423850509</v>
      </c>
      <c r="O123">
        <f t="shared" si="36"/>
        <v>47.444745232550098</v>
      </c>
      <c r="P123">
        <f t="shared" si="37"/>
        <v>0.12292604949173037</v>
      </c>
      <c r="Q123">
        <f t="shared" si="38"/>
        <v>2.007306173877982</v>
      </c>
      <c r="R123">
        <f t="shared" si="39"/>
        <v>0.11889184760478945</v>
      </c>
      <c r="S123">
        <f t="shared" si="40"/>
        <v>7.4658832667057806E-2</v>
      </c>
      <c r="T123">
        <f t="shared" si="41"/>
        <v>276.114894768</v>
      </c>
      <c r="U123">
        <f t="shared" si="42"/>
        <v>28.715168106789253</v>
      </c>
      <c r="V123">
        <f t="shared" si="43"/>
        <v>28.715168106789253</v>
      </c>
      <c r="W123">
        <f t="shared" si="44"/>
        <v>3.9559605767278203</v>
      </c>
      <c r="X123">
        <f t="shared" si="45"/>
        <v>69.237105508301113</v>
      </c>
      <c r="Y123">
        <f t="shared" si="46"/>
        <v>2.4901833359307899</v>
      </c>
      <c r="Z123">
        <f t="shared" si="47"/>
        <v>3.5966023097719355</v>
      </c>
      <c r="AA123">
        <f t="shared" si="48"/>
        <v>1.4657772407970304</v>
      </c>
      <c r="AB123">
        <f t="shared" si="49"/>
        <v>-80.455390076516167</v>
      </c>
      <c r="AC123">
        <f t="shared" si="50"/>
        <v>-176.65143294824315</v>
      </c>
      <c r="AD123">
        <f t="shared" si="51"/>
        <v>-19.163733012051345</v>
      </c>
      <c r="AE123">
        <f t="shared" si="52"/>
        <v>-0.15566126881066111</v>
      </c>
      <c r="AF123">
        <v>10</v>
      </c>
      <c r="AG123">
        <v>3</v>
      </c>
      <c r="AH123">
        <f t="shared" si="53"/>
        <v>1</v>
      </c>
      <c r="AI123">
        <f t="shared" si="54"/>
        <v>0</v>
      </c>
      <c r="AJ123">
        <f t="shared" si="55"/>
        <v>52149.347092382886</v>
      </c>
      <c r="AK123">
        <f t="shared" si="56"/>
        <v>1800</v>
      </c>
      <c r="AL123">
        <f t="shared" si="57"/>
        <v>1499.1127217999999</v>
      </c>
      <c r="AM123">
        <f t="shared" si="58"/>
        <v>0.83284040100000001</v>
      </c>
      <c r="AN123">
        <f t="shared" si="59"/>
        <v>0.15339716376000001</v>
      </c>
      <c r="AO123">
        <v>34.5</v>
      </c>
      <c r="AP123">
        <v>0.5</v>
      </c>
      <c r="AQ123" t="s">
        <v>331</v>
      </c>
      <c r="AR123">
        <v>2</v>
      </c>
      <c r="AS123">
        <v>1690377826</v>
      </c>
      <c r="AT123">
        <v>480.47699999999998</v>
      </c>
      <c r="AU123">
        <v>800.10799999999995</v>
      </c>
      <c r="AV123">
        <v>25.218299999999999</v>
      </c>
      <c r="AW123">
        <v>4.7754099999999999</v>
      </c>
      <c r="AX123">
        <v>480.95299999999997</v>
      </c>
      <c r="AY123">
        <v>25.007100000000001</v>
      </c>
      <c r="AZ123">
        <v>300.12400000000002</v>
      </c>
      <c r="BA123">
        <v>98.645099999999999</v>
      </c>
      <c r="BB123">
        <v>9.9991300000000005E-2</v>
      </c>
      <c r="BC123">
        <v>27.082799999999999</v>
      </c>
      <c r="BD123">
        <v>26.991800000000001</v>
      </c>
      <c r="BE123">
        <v>28.827500000000001</v>
      </c>
      <c r="BF123">
        <v>0</v>
      </c>
      <c r="BG123">
        <v>0</v>
      </c>
      <c r="BH123">
        <v>10000.6</v>
      </c>
      <c r="BI123">
        <v>1082.78</v>
      </c>
      <c r="BJ123">
        <v>1.4016500000000001</v>
      </c>
      <c r="BK123">
        <v>-319.63099999999997</v>
      </c>
      <c r="BL123">
        <v>492.90699999999998</v>
      </c>
      <c r="BM123">
        <v>803.947</v>
      </c>
      <c r="BN123">
        <v>20.442799999999998</v>
      </c>
      <c r="BO123">
        <v>800.10799999999995</v>
      </c>
      <c r="BP123">
        <v>4.7754099999999999</v>
      </c>
      <c r="BQ123">
        <v>2.48766</v>
      </c>
      <c r="BR123">
        <v>0.47107100000000002</v>
      </c>
      <c r="BS123">
        <v>20.946000000000002</v>
      </c>
      <c r="BT123">
        <v>-3.5863399999999999</v>
      </c>
      <c r="BU123">
        <v>1800</v>
      </c>
      <c r="BV123">
        <v>0.91000800000000004</v>
      </c>
      <c r="BW123">
        <v>3.39999E-2</v>
      </c>
      <c r="BX123">
        <v>2.1997300000000001E-2</v>
      </c>
      <c r="BY123">
        <v>3.3994799999999999E-2</v>
      </c>
      <c r="BZ123">
        <v>25</v>
      </c>
      <c r="CA123">
        <v>33528.400000000001</v>
      </c>
      <c r="CB123">
        <v>1690376213.5999999</v>
      </c>
      <c r="CC123" t="s">
        <v>332</v>
      </c>
      <c r="CD123">
        <v>1690376213.5999999</v>
      </c>
      <c r="CE123">
        <v>1690376198.0999999</v>
      </c>
      <c r="CF123">
        <v>2</v>
      </c>
      <c r="CG123">
        <v>0.66900000000000004</v>
      </c>
      <c r="CH123">
        <v>-2.1000000000000001E-2</v>
      </c>
      <c r="CI123">
        <v>-0.70099999999999996</v>
      </c>
      <c r="CJ123">
        <v>0.21099999999999999</v>
      </c>
      <c r="CK123">
        <v>799</v>
      </c>
      <c r="CL123">
        <v>21</v>
      </c>
      <c r="CM123">
        <v>0.11</v>
      </c>
      <c r="CN123">
        <v>0.17</v>
      </c>
      <c r="CO123">
        <v>-316.55047500000001</v>
      </c>
      <c r="CP123">
        <v>-17.382360225139632</v>
      </c>
      <c r="CQ123">
        <v>1.6733295698621351</v>
      </c>
      <c r="CR123">
        <v>-1</v>
      </c>
      <c r="CS123">
        <v>20.161132500000001</v>
      </c>
      <c r="CT123">
        <v>1.5699343339587459</v>
      </c>
      <c r="CU123">
        <v>0.15110279677673069</v>
      </c>
      <c r="CV123">
        <v>-1</v>
      </c>
      <c r="CW123">
        <v>0</v>
      </c>
      <c r="CX123">
        <v>0</v>
      </c>
      <c r="CY123" t="s">
        <v>333</v>
      </c>
      <c r="CZ123">
        <v>2.3649800000000001</v>
      </c>
      <c r="DA123">
        <v>2.7137799999999999</v>
      </c>
      <c r="DB123">
        <v>0.10246</v>
      </c>
      <c r="DC123">
        <v>0.145646</v>
      </c>
      <c r="DD123">
        <v>0.117521</v>
      </c>
      <c r="DE123">
        <v>3.2578299999999998E-2</v>
      </c>
      <c r="DF123">
        <v>32786.5</v>
      </c>
      <c r="DG123">
        <v>27534.400000000001</v>
      </c>
      <c r="DH123">
        <v>31183.1</v>
      </c>
      <c r="DI123">
        <v>28080.799999999999</v>
      </c>
      <c r="DJ123">
        <v>37351.800000000003</v>
      </c>
      <c r="DK123">
        <v>38622.5</v>
      </c>
      <c r="DL123">
        <v>44375.5</v>
      </c>
      <c r="DM123">
        <v>42548.4</v>
      </c>
      <c r="DN123">
        <v>1.4439</v>
      </c>
      <c r="DO123">
        <v>2.0550799999999998</v>
      </c>
      <c r="DP123">
        <v>9.4465900000000005E-2</v>
      </c>
      <c r="DQ123">
        <v>0.20729800000000001</v>
      </c>
      <c r="DR123">
        <v>25.445</v>
      </c>
      <c r="DS123">
        <v>25.437999999999999</v>
      </c>
      <c r="DT123">
        <v>53.6</v>
      </c>
      <c r="DU123">
        <v>26.9</v>
      </c>
      <c r="DV123">
        <v>19.333300000000001</v>
      </c>
      <c r="DW123">
        <v>61.0702</v>
      </c>
      <c r="DX123">
        <v>36.947099999999999</v>
      </c>
      <c r="DY123">
        <v>1</v>
      </c>
      <c r="DZ123">
        <v>-0.13941300000000001</v>
      </c>
      <c r="EA123">
        <v>-0.49468699999999999</v>
      </c>
      <c r="EB123">
        <v>20.189499999999999</v>
      </c>
      <c r="EC123">
        <v>5.2409499999999998</v>
      </c>
      <c r="ED123">
        <v>12.039899999999999</v>
      </c>
      <c r="EE123">
        <v>5.0167999999999999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1.8688400000000001</v>
      </c>
      <c r="EL123">
        <v>1.86449</v>
      </c>
      <c r="EM123">
        <v>1.8691800000000001</v>
      </c>
      <c r="EN123">
        <v>1.8671800000000001</v>
      </c>
      <c r="EO123">
        <v>1.86327</v>
      </c>
      <c r="EP123">
        <v>1.86433</v>
      </c>
      <c r="EQ123">
        <v>1.87012</v>
      </c>
      <c r="ER123">
        <v>1.8693599999999999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-0.47599999999999998</v>
      </c>
      <c r="FG123">
        <v>0.2112</v>
      </c>
      <c r="FH123">
        <v>-0.150361779349652</v>
      </c>
      <c r="FI123">
        <v>-6.1462078757559423E-4</v>
      </c>
      <c r="FJ123">
        <v>-1.8861989874597051E-7</v>
      </c>
      <c r="FK123">
        <v>1.1980462299894961E-10</v>
      </c>
      <c r="FL123">
        <v>0.21114761904761539</v>
      </c>
      <c r="FM123">
        <v>0</v>
      </c>
      <c r="FN123">
        <v>0</v>
      </c>
      <c r="FO123">
        <v>0</v>
      </c>
      <c r="FP123">
        <v>3</v>
      </c>
      <c r="FQ123">
        <v>2158</v>
      </c>
      <c r="FR123">
        <v>1</v>
      </c>
      <c r="FS123">
        <v>19</v>
      </c>
      <c r="FT123">
        <v>26.9</v>
      </c>
      <c r="FU123">
        <v>27.1</v>
      </c>
      <c r="FV123">
        <v>1.7736799999999999</v>
      </c>
      <c r="FW123">
        <v>2.5634800000000002</v>
      </c>
      <c r="FX123">
        <v>1.5490699999999999</v>
      </c>
      <c r="FY123">
        <v>2.33643</v>
      </c>
      <c r="FZ123">
        <v>1.50146</v>
      </c>
      <c r="GA123">
        <v>2.34131</v>
      </c>
      <c r="GB123">
        <v>32.112400000000001</v>
      </c>
      <c r="GC123">
        <v>23.991199999999999</v>
      </c>
      <c r="GD123">
        <v>19</v>
      </c>
      <c r="GE123">
        <v>266.98899999999998</v>
      </c>
      <c r="GF123">
        <v>591.90700000000004</v>
      </c>
      <c r="GG123">
        <v>25.777799999999999</v>
      </c>
      <c r="GH123">
        <v>25.6798</v>
      </c>
      <c r="GI123">
        <v>30.000299999999999</v>
      </c>
      <c r="GJ123">
        <v>25.782</v>
      </c>
      <c r="GK123">
        <v>25.747699999999998</v>
      </c>
      <c r="GL123">
        <v>35.469099999999997</v>
      </c>
      <c r="GM123">
        <v>72.700699999999998</v>
      </c>
      <c r="GN123">
        <v>66.321700000000007</v>
      </c>
      <c r="GO123">
        <v>25.7944</v>
      </c>
      <c r="GP123">
        <v>800</v>
      </c>
      <c r="GQ123">
        <v>4.5773000000000001</v>
      </c>
      <c r="GR123">
        <v>99.771299999999997</v>
      </c>
      <c r="GS123">
        <v>99.546999999999997</v>
      </c>
    </row>
    <row r="124" spans="1:201" x14ac:dyDescent="0.25">
      <c r="A124">
        <v>108</v>
      </c>
      <c r="B124">
        <v>1690377836</v>
      </c>
      <c r="C124">
        <v>1119.5</v>
      </c>
      <c r="D124" t="s">
        <v>549</v>
      </c>
      <c r="E124" t="s">
        <v>550</v>
      </c>
      <c r="F124" t="s">
        <v>330</v>
      </c>
      <c r="H124">
        <v>1690377836</v>
      </c>
      <c r="I124">
        <f t="shared" si="30"/>
        <v>1.8480657113036528E-3</v>
      </c>
      <c r="J124">
        <f t="shared" si="31"/>
        <v>1.8480657113036527</v>
      </c>
      <c r="K124">
        <f t="shared" si="32"/>
        <v>27.160976040110437</v>
      </c>
      <c r="L124">
        <f t="shared" si="33"/>
        <v>477.68200000000002</v>
      </c>
      <c r="M124">
        <f t="shared" si="34"/>
        <v>111.62082298782842</v>
      </c>
      <c r="N124">
        <f t="shared" si="35"/>
        <v>11.021924574324522</v>
      </c>
      <c r="O124">
        <f t="shared" si="36"/>
        <v>47.168394154257406</v>
      </c>
      <c r="P124">
        <f t="shared" si="37"/>
        <v>0.12466767976524966</v>
      </c>
      <c r="Q124">
        <f t="shared" si="38"/>
        <v>2.0064506771841257</v>
      </c>
      <c r="R124">
        <f t="shared" si="39"/>
        <v>0.12051872434168073</v>
      </c>
      <c r="S124">
        <f t="shared" si="40"/>
        <v>7.5685467212378968E-2</v>
      </c>
      <c r="T124">
        <f t="shared" si="41"/>
        <v>276.11464022999996</v>
      </c>
      <c r="U124">
        <f t="shared" si="42"/>
        <v>28.712669589768296</v>
      </c>
      <c r="V124">
        <f t="shared" si="43"/>
        <v>28.712669589768296</v>
      </c>
      <c r="W124">
        <f t="shared" si="44"/>
        <v>3.9553874596329259</v>
      </c>
      <c r="X124">
        <f t="shared" si="45"/>
        <v>69.226999470447367</v>
      </c>
      <c r="Y124">
        <f t="shared" si="46"/>
        <v>2.4906383799101701</v>
      </c>
      <c r="Z124">
        <f t="shared" si="47"/>
        <v>3.5977846778891669</v>
      </c>
      <c r="AA124">
        <f t="shared" si="48"/>
        <v>1.4647490797227558</v>
      </c>
      <c r="AB124">
        <f t="shared" si="49"/>
        <v>-81.499697868491083</v>
      </c>
      <c r="AC124">
        <f t="shared" si="50"/>
        <v>-175.70011470927759</v>
      </c>
      <c r="AD124">
        <f t="shared" si="51"/>
        <v>-19.068951188159666</v>
      </c>
      <c r="AE124">
        <f t="shared" si="52"/>
        <v>-0.15412353592833483</v>
      </c>
      <c r="AF124">
        <v>10</v>
      </c>
      <c r="AG124">
        <v>3</v>
      </c>
      <c r="AH124">
        <f t="shared" si="53"/>
        <v>1</v>
      </c>
      <c r="AI124">
        <f t="shared" si="54"/>
        <v>0</v>
      </c>
      <c r="AJ124">
        <f t="shared" si="55"/>
        <v>52107.488698912515</v>
      </c>
      <c r="AK124">
        <f t="shared" si="56"/>
        <v>1800</v>
      </c>
      <c r="AL124">
        <f t="shared" si="57"/>
        <v>1499.1126119999999</v>
      </c>
      <c r="AM124">
        <f t="shared" si="58"/>
        <v>0.83284033999999996</v>
      </c>
      <c r="AN124">
        <f t="shared" si="59"/>
        <v>0.15339702235</v>
      </c>
      <c r="AO124">
        <v>34.5</v>
      </c>
      <c r="AP124">
        <v>0.5</v>
      </c>
      <c r="AQ124" t="s">
        <v>331</v>
      </c>
      <c r="AR124">
        <v>2</v>
      </c>
      <c r="AS124">
        <v>1690377836</v>
      </c>
      <c r="AT124">
        <v>477.68200000000002</v>
      </c>
      <c r="AU124">
        <v>800.03700000000003</v>
      </c>
      <c r="AV124">
        <v>25.223099999999999</v>
      </c>
      <c r="AW124">
        <v>4.51593</v>
      </c>
      <c r="AX124">
        <v>478.15600000000001</v>
      </c>
      <c r="AY124">
        <v>25.011900000000001</v>
      </c>
      <c r="AZ124">
        <v>300.13799999999998</v>
      </c>
      <c r="BA124">
        <v>98.644400000000005</v>
      </c>
      <c r="BB124">
        <v>9.9940699999999993E-2</v>
      </c>
      <c r="BC124">
        <v>27.0884</v>
      </c>
      <c r="BD124">
        <v>26.996600000000001</v>
      </c>
      <c r="BE124">
        <v>28.8248</v>
      </c>
      <c r="BF124">
        <v>0</v>
      </c>
      <c r="BG124">
        <v>0</v>
      </c>
      <c r="BH124">
        <v>9992.5</v>
      </c>
      <c r="BI124">
        <v>1082.72</v>
      </c>
      <c r="BJ124">
        <v>1.4016500000000001</v>
      </c>
      <c r="BK124">
        <v>-322.35500000000002</v>
      </c>
      <c r="BL124">
        <v>490.04300000000001</v>
      </c>
      <c r="BM124">
        <v>803.66700000000003</v>
      </c>
      <c r="BN124">
        <v>20.707100000000001</v>
      </c>
      <c r="BO124">
        <v>800.03700000000003</v>
      </c>
      <c r="BP124">
        <v>4.51593</v>
      </c>
      <c r="BQ124">
        <v>2.4881199999999999</v>
      </c>
      <c r="BR124">
        <v>0.44547100000000001</v>
      </c>
      <c r="BS124">
        <v>20.949000000000002</v>
      </c>
      <c r="BT124">
        <v>-4.3305699999999998</v>
      </c>
      <c r="BU124">
        <v>1800</v>
      </c>
      <c r="BV124">
        <v>0.91001100000000001</v>
      </c>
      <c r="BW124">
        <v>3.3998599999999997E-2</v>
      </c>
      <c r="BX124">
        <v>2.1996499999999999E-2</v>
      </c>
      <c r="BY124">
        <v>3.3993500000000003E-2</v>
      </c>
      <c r="BZ124">
        <v>25</v>
      </c>
      <c r="CA124">
        <v>33528.400000000001</v>
      </c>
      <c r="CB124">
        <v>1690376213.5999999</v>
      </c>
      <c r="CC124" t="s">
        <v>332</v>
      </c>
      <c r="CD124">
        <v>1690376213.5999999</v>
      </c>
      <c r="CE124">
        <v>1690376198.0999999</v>
      </c>
      <c r="CF124">
        <v>2</v>
      </c>
      <c r="CG124">
        <v>0.66900000000000004</v>
      </c>
      <c r="CH124">
        <v>-2.1000000000000001E-2</v>
      </c>
      <c r="CI124">
        <v>-0.70099999999999996</v>
      </c>
      <c r="CJ124">
        <v>0.21099999999999999</v>
      </c>
      <c r="CK124">
        <v>799</v>
      </c>
      <c r="CL124">
        <v>21</v>
      </c>
      <c r="CM124">
        <v>0.11</v>
      </c>
      <c r="CN124">
        <v>0.17</v>
      </c>
      <c r="CO124">
        <v>-319.49175609756099</v>
      </c>
      <c r="CP124">
        <v>-16.935324041811839</v>
      </c>
      <c r="CQ124">
        <v>1.670562688619956</v>
      </c>
      <c r="CR124">
        <v>-1</v>
      </c>
      <c r="CS124">
        <v>20.42940243902439</v>
      </c>
      <c r="CT124">
        <v>1.5909094076654899</v>
      </c>
      <c r="CU124">
        <v>0.15691685772393471</v>
      </c>
      <c r="CV124">
        <v>-1</v>
      </c>
      <c r="CW124">
        <v>0</v>
      </c>
      <c r="CX124">
        <v>0</v>
      </c>
      <c r="CY124" t="s">
        <v>333</v>
      </c>
      <c r="CZ124">
        <v>2.3650099999999998</v>
      </c>
      <c r="DA124">
        <v>2.7137199999999999</v>
      </c>
      <c r="DB124">
        <v>0.10202</v>
      </c>
      <c r="DC124">
        <v>0.14563100000000001</v>
      </c>
      <c r="DD124">
        <v>0.117536</v>
      </c>
      <c r="DE124">
        <v>3.1084799999999999E-2</v>
      </c>
      <c r="DF124">
        <v>32802.5</v>
      </c>
      <c r="DG124">
        <v>27535</v>
      </c>
      <c r="DH124">
        <v>31183</v>
      </c>
      <c r="DI124">
        <v>28080.9</v>
      </c>
      <c r="DJ124">
        <v>37351.1</v>
      </c>
      <c r="DK124">
        <v>38682.699999999997</v>
      </c>
      <c r="DL124">
        <v>44375.5</v>
      </c>
      <c r="DM124">
        <v>42548.7</v>
      </c>
      <c r="DN124">
        <v>1.44435</v>
      </c>
      <c r="DO124">
        <v>2.0545</v>
      </c>
      <c r="DP124">
        <v>9.4525499999999998E-2</v>
      </c>
      <c r="DQ124">
        <v>0.20677599999999999</v>
      </c>
      <c r="DR124">
        <v>25.448799999999999</v>
      </c>
      <c r="DS124">
        <v>25.443899999999999</v>
      </c>
      <c r="DT124">
        <v>53.2</v>
      </c>
      <c r="DU124">
        <v>26.9</v>
      </c>
      <c r="DV124">
        <v>19.1922</v>
      </c>
      <c r="DW124">
        <v>61.510199999999998</v>
      </c>
      <c r="DX124">
        <v>37.463900000000002</v>
      </c>
      <c r="DY124">
        <v>1</v>
      </c>
      <c r="DZ124">
        <v>-0.13957800000000001</v>
      </c>
      <c r="EA124">
        <v>-0.55939300000000003</v>
      </c>
      <c r="EB124">
        <v>20.189299999999999</v>
      </c>
      <c r="EC124">
        <v>5.2415500000000002</v>
      </c>
      <c r="ED124">
        <v>12.039899999999999</v>
      </c>
      <c r="EE124">
        <v>5.0170500000000002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1.8688800000000001</v>
      </c>
      <c r="EL124">
        <v>1.8644799999999999</v>
      </c>
      <c r="EM124">
        <v>1.8691599999999999</v>
      </c>
      <c r="EN124">
        <v>1.8671599999999999</v>
      </c>
      <c r="EO124">
        <v>1.86328</v>
      </c>
      <c r="EP124">
        <v>1.86432</v>
      </c>
      <c r="EQ124">
        <v>1.87012</v>
      </c>
      <c r="ER124">
        <v>1.8693500000000001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-0.47399999999999998</v>
      </c>
      <c r="FG124">
        <v>0.2112</v>
      </c>
      <c r="FH124">
        <v>-0.150361779349652</v>
      </c>
      <c r="FI124">
        <v>-6.1462078757559423E-4</v>
      </c>
      <c r="FJ124">
        <v>-1.8861989874597051E-7</v>
      </c>
      <c r="FK124">
        <v>1.1980462299894961E-10</v>
      </c>
      <c r="FL124">
        <v>0.21114761904761539</v>
      </c>
      <c r="FM124">
        <v>0</v>
      </c>
      <c r="FN124">
        <v>0</v>
      </c>
      <c r="FO124">
        <v>0</v>
      </c>
      <c r="FP124">
        <v>3</v>
      </c>
      <c r="FQ124">
        <v>2158</v>
      </c>
      <c r="FR124">
        <v>1</v>
      </c>
      <c r="FS124">
        <v>19</v>
      </c>
      <c r="FT124">
        <v>27</v>
      </c>
      <c r="FU124">
        <v>27.3</v>
      </c>
      <c r="FV124">
        <v>1.7736799999999999</v>
      </c>
      <c r="FW124">
        <v>2.5659200000000002</v>
      </c>
      <c r="FX124">
        <v>1.5490699999999999</v>
      </c>
      <c r="FY124">
        <v>2.33643</v>
      </c>
      <c r="FZ124">
        <v>1.50146</v>
      </c>
      <c r="GA124">
        <v>2.3010299999999999</v>
      </c>
      <c r="GB124">
        <v>32.134399999999999</v>
      </c>
      <c r="GC124">
        <v>23.991199999999999</v>
      </c>
      <c r="GD124">
        <v>19</v>
      </c>
      <c r="GE124">
        <v>267.173</v>
      </c>
      <c r="GF124">
        <v>591.428</v>
      </c>
      <c r="GG124">
        <v>25.792300000000001</v>
      </c>
      <c r="GH124">
        <v>25.6798</v>
      </c>
      <c r="GI124">
        <v>30</v>
      </c>
      <c r="GJ124">
        <v>25.782</v>
      </c>
      <c r="GK124">
        <v>25.747699999999998</v>
      </c>
      <c r="GL124">
        <v>35.461300000000001</v>
      </c>
      <c r="GM124">
        <v>73.845200000000006</v>
      </c>
      <c r="GN124">
        <v>65.180300000000003</v>
      </c>
      <c r="GO124">
        <v>25.790700000000001</v>
      </c>
      <c r="GP124">
        <v>800</v>
      </c>
      <c r="GQ124">
        <v>4.3117599999999996</v>
      </c>
      <c r="GR124">
        <v>99.771199999999993</v>
      </c>
      <c r="GS124">
        <v>99.547700000000006</v>
      </c>
    </row>
    <row r="125" spans="1:201" x14ac:dyDescent="0.25">
      <c r="A125">
        <v>109</v>
      </c>
      <c r="B125">
        <v>1690377846</v>
      </c>
      <c r="C125">
        <v>1129.5</v>
      </c>
      <c r="D125" t="s">
        <v>551</v>
      </c>
      <c r="E125" t="s">
        <v>552</v>
      </c>
      <c r="F125" t="s">
        <v>330</v>
      </c>
      <c r="H125">
        <v>1690377846</v>
      </c>
      <c r="I125">
        <f t="shared" si="30"/>
        <v>1.8720459398721598E-3</v>
      </c>
      <c r="J125">
        <f t="shared" si="31"/>
        <v>1.8720459398721598</v>
      </c>
      <c r="K125">
        <f t="shared" si="32"/>
        <v>27.396014170376954</v>
      </c>
      <c r="L125">
        <f t="shared" si="33"/>
        <v>475.00400000000002</v>
      </c>
      <c r="M125">
        <f t="shared" si="34"/>
        <v>111.62354150522901</v>
      </c>
      <c r="N125">
        <f t="shared" si="35"/>
        <v>11.022558389871334</v>
      </c>
      <c r="O125">
        <f t="shared" si="36"/>
        <v>46.905511640456005</v>
      </c>
      <c r="P125">
        <f t="shared" si="37"/>
        <v>0.12673004851247668</v>
      </c>
      <c r="Q125">
        <f t="shared" si="38"/>
        <v>2.0082532687556371</v>
      </c>
      <c r="R125">
        <f t="shared" si="39"/>
        <v>0.12244893071901315</v>
      </c>
      <c r="S125">
        <f t="shared" si="40"/>
        <v>7.6903175090316828E-2</v>
      </c>
      <c r="T125">
        <f t="shared" si="41"/>
        <v>276.11316247346417</v>
      </c>
      <c r="U125">
        <f t="shared" si="42"/>
        <v>28.695033622409994</v>
      </c>
      <c r="V125">
        <f t="shared" si="43"/>
        <v>28.695033622409994</v>
      </c>
      <c r="W125">
        <f t="shared" si="44"/>
        <v>3.9513441292387474</v>
      </c>
      <c r="X125">
        <f t="shared" si="45"/>
        <v>69.264719399487078</v>
      </c>
      <c r="Y125">
        <f t="shared" si="46"/>
        <v>2.4908986883886</v>
      </c>
      <c r="Z125">
        <f t="shared" si="47"/>
        <v>3.5962012262292453</v>
      </c>
      <c r="AA125">
        <f t="shared" si="48"/>
        <v>1.4604454408501475</v>
      </c>
      <c r="AB125">
        <f t="shared" si="49"/>
        <v>-82.557225948362245</v>
      </c>
      <c r="AC125">
        <f t="shared" si="50"/>
        <v>-174.76055282145506</v>
      </c>
      <c r="AD125">
        <f t="shared" si="51"/>
        <v>-18.947578661643789</v>
      </c>
      <c r="AE125">
        <f t="shared" si="52"/>
        <v>-0.15219495799692595</v>
      </c>
      <c r="AF125">
        <v>10</v>
      </c>
      <c r="AG125">
        <v>3</v>
      </c>
      <c r="AH125">
        <f t="shared" si="53"/>
        <v>1</v>
      </c>
      <c r="AI125">
        <f t="shared" si="54"/>
        <v>0</v>
      </c>
      <c r="AJ125">
        <f t="shared" si="55"/>
        <v>52195.007087598082</v>
      </c>
      <c r="AK125">
        <f t="shared" si="56"/>
        <v>1799.99</v>
      </c>
      <c r="AL125">
        <f t="shared" si="57"/>
        <v>1499.1055309896699</v>
      </c>
      <c r="AM125">
        <f t="shared" si="58"/>
        <v>0.8328410329999999</v>
      </c>
      <c r="AN125">
        <f t="shared" si="59"/>
        <v>0.15339705358</v>
      </c>
      <c r="AO125">
        <v>34.5</v>
      </c>
      <c r="AP125">
        <v>0.5</v>
      </c>
      <c r="AQ125" t="s">
        <v>331</v>
      </c>
      <c r="AR125">
        <v>2</v>
      </c>
      <c r="AS125">
        <v>1690377846</v>
      </c>
      <c r="AT125">
        <v>475.00400000000002</v>
      </c>
      <c r="AU125">
        <v>800.08600000000001</v>
      </c>
      <c r="AV125">
        <v>25.224900000000002</v>
      </c>
      <c r="AW125">
        <v>4.2522200000000003</v>
      </c>
      <c r="AX125">
        <v>475.476</v>
      </c>
      <c r="AY125">
        <v>25.0137</v>
      </c>
      <c r="AZ125">
        <v>300.18299999999999</v>
      </c>
      <c r="BA125">
        <v>98.647599999999997</v>
      </c>
      <c r="BB125">
        <v>0.10001400000000001</v>
      </c>
      <c r="BC125">
        <v>27.0809</v>
      </c>
      <c r="BD125">
        <v>26.988900000000001</v>
      </c>
      <c r="BE125">
        <v>28.7835</v>
      </c>
      <c r="BF125">
        <v>0</v>
      </c>
      <c r="BG125">
        <v>0</v>
      </c>
      <c r="BH125">
        <v>10009.4</v>
      </c>
      <c r="BI125">
        <v>1082.71</v>
      </c>
      <c r="BJ125">
        <v>1.38764</v>
      </c>
      <c r="BK125">
        <v>-325.08199999999999</v>
      </c>
      <c r="BL125">
        <v>487.29599999999999</v>
      </c>
      <c r="BM125">
        <v>803.50300000000004</v>
      </c>
      <c r="BN125">
        <v>20.9727</v>
      </c>
      <c r="BO125">
        <v>800.08600000000001</v>
      </c>
      <c r="BP125">
        <v>4.2522200000000003</v>
      </c>
      <c r="BQ125">
        <v>2.4883700000000002</v>
      </c>
      <c r="BR125">
        <v>0.41947099999999998</v>
      </c>
      <c r="BS125">
        <v>20.950700000000001</v>
      </c>
      <c r="BT125">
        <v>-5.1263800000000002</v>
      </c>
      <c r="BU125">
        <v>1799.99</v>
      </c>
      <c r="BV125">
        <v>0.91001399999999999</v>
      </c>
      <c r="BW125">
        <v>3.3997699999999999E-2</v>
      </c>
      <c r="BX125">
        <v>2.1995899999999999E-2</v>
      </c>
      <c r="BY125">
        <v>3.3992599999999998E-2</v>
      </c>
      <c r="BZ125">
        <v>25</v>
      </c>
      <c r="CA125">
        <v>33528.300000000003</v>
      </c>
      <c r="CB125">
        <v>1690376213.5999999</v>
      </c>
      <c r="CC125" t="s">
        <v>332</v>
      </c>
      <c r="CD125">
        <v>1690376213.5999999</v>
      </c>
      <c r="CE125">
        <v>1690376198.0999999</v>
      </c>
      <c r="CF125">
        <v>2</v>
      </c>
      <c r="CG125">
        <v>0.66900000000000004</v>
      </c>
      <c r="CH125">
        <v>-2.1000000000000001E-2</v>
      </c>
      <c r="CI125">
        <v>-0.70099999999999996</v>
      </c>
      <c r="CJ125">
        <v>0.21099999999999999</v>
      </c>
      <c r="CK125">
        <v>799</v>
      </c>
      <c r="CL125">
        <v>21</v>
      </c>
      <c r="CM125">
        <v>0.11</v>
      </c>
      <c r="CN125">
        <v>0.17</v>
      </c>
      <c r="CO125">
        <v>-322.26339024390239</v>
      </c>
      <c r="CP125">
        <v>-16.259811846689789</v>
      </c>
      <c r="CQ125">
        <v>1.603876354306909</v>
      </c>
      <c r="CR125">
        <v>-1</v>
      </c>
      <c r="CS125">
        <v>20.69600975609756</v>
      </c>
      <c r="CT125">
        <v>1.6078494773518961</v>
      </c>
      <c r="CU125">
        <v>0.15855800016717461</v>
      </c>
      <c r="CV125">
        <v>-1</v>
      </c>
      <c r="CW125">
        <v>0</v>
      </c>
      <c r="CX125">
        <v>0</v>
      </c>
      <c r="CY125" t="s">
        <v>333</v>
      </c>
      <c r="CZ125">
        <v>2.3651399999999998</v>
      </c>
      <c r="DA125">
        <v>2.7138100000000001</v>
      </c>
      <c r="DB125">
        <v>0.101601</v>
      </c>
      <c r="DC125">
        <v>0.14563599999999999</v>
      </c>
      <c r="DD125">
        <v>0.117546</v>
      </c>
      <c r="DE125">
        <v>2.95447E-2</v>
      </c>
      <c r="DF125">
        <v>32818.199999999997</v>
      </c>
      <c r="DG125">
        <v>27534.6</v>
      </c>
      <c r="DH125">
        <v>31183.3</v>
      </c>
      <c r="DI125">
        <v>28080.7</v>
      </c>
      <c r="DJ125">
        <v>37351</v>
      </c>
      <c r="DK125">
        <v>38744</v>
      </c>
      <c r="DL125">
        <v>44376</v>
      </c>
      <c r="DM125">
        <v>42548.4</v>
      </c>
      <c r="DN125">
        <v>1.44495</v>
      </c>
      <c r="DO125">
        <v>2.0539299999999998</v>
      </c>
      <c r="DP125">
        <v>9.3795400000000001E-2</v>
      </c>
      <c r="DQ125">
        <v>0.204206</v>
      </c>
      <c r="DR125">
        <v>25.452999999999999</v>
      </c>
      <c r="DS125">
        <v>25.444500000000001</v>
      </c>
      <c r="DT125">
        <v>52.8</v>
      </c>
      <c r="DU125">
        <v>26.9</v>
      </c>
      <c r="DV125">
        <v>19.045400000000001</v>
      </c>
      <c r="DW125">
        <v>61.020200000000003</v>
      </c>
      <c r="DX125">
        <v>37.604199999999999</v>
      </c>
      <c r="DY125">
        <v>1</v>
      </c>
      <c r="DZ125">
        <v>-0.139789</v>
      </c>
      <c r="EA125">
        <v>-0.53126399999999996</v>
      </c>
      <c r="EB125">
        <v>20.189599999999999</v>
      </c>
      <c r="EC125">
        <v>5.24125</v>
      </c>
      <c r="ED125">
        <v>12.039899999999999</v>
      </c>
      <c r="EE125">
        <v>5.0167000000000002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1.8688800000000001</v>
      </c>
      <c r="EL125">
        <v>1.8645099999999999</v>
      </c>
      <c r="EM125">
        <v>1.8691899999999999</v>
      </c>
      <c r="EN125">
        <v>1.86717</v>
      </c>
      <c r="EO125">
        <v>1.8632899999999999</v>
      </c>
      <c r="EP125">
        <v>1.86433</v>
      </c>
      <c r="EQ125">
        <v>1.87012</v>
      </c>
      <c r="ER125">
        <v>1.8693599999999999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-0.47199999999999998</v>
      </c>
      <c r="FG125">
        <v>0.2112</v>
      </c>
      <c r="FH125">
        <v>-0.150361779349652</v>
      </c>
      <c r="FI125">
        <v>-6.1462078757559423E-4</v>
      </c>
      <c r="FJ125">
        <v>-1.8861989874597051E-7</v>
      </c>
      <c r="FK125">
        <v>1.1980462299894961E-10</v>
      </c>
      <c r="FL125">
        <v>0.21114761904761539</v>
      </c>
      <c r="FM125">
        <v>0</v>
      </c>
      <c r="FN125">
        <v>0</v>
      </c>
      <c r="FO125">
        <v>0</v>
      </c>
      <c r="FP125">
        <v>3</v>
      </c>
      <c r="FQ125">
        <v>2158</v>
      </c>
      <c r="FR125">
        <v>1</v>
      </c>
      <c r="FS125">
        <v>19</v>
      </c>
      <c r="FT125">
        <v>27.2</v>
      </c>
      <c r="FU125">
        <v>27.5</v>
      </c>
      <c r="FV125">
        <v>1.7736799999999999</v>
      </c>
      <c r="FW125">
        <v>2.5683600000000002</v>
      </c>
      <c r="FX125">
        <v>1.5490699999999999</v>
      </c>
      <c r="FY125">
        <v>2.33643</v>
      </c>
      <c r="FZ125">
        <v>1.50146</v>
      </c>
      <c r="GA125">
        <v>2.2900399999999999</v>
      </c>
      <c r="GB125">
        <v>32.134399999999999</v>
      </c>
      <c r="GC125">
        <v>23.982399999999998</v>
      </c>
      <c r="GD125">
        <v>19</v>
      </c>
      <c r="GE125">
        <v>267.41699999999997</v>
      </c>
      <c r="GF125">
        <v>590.94899999999996</v>
      </c>
      <c r="GG125">
        <v>25.791599999999999</v>
      </c>
      <c r="GH125">
        <v>25.6799</v>
      </c>
      <c r="GI125">
        <v>30.0001</v>
      </c>
      <c r="GJ125">
        <v>25.782</v>
      </c>
      <c r="GK125">
        <v>25.747699999999998</v>
      </c>
      <c r="GL125">
        <v>35.455500000000001</v>
      </c>
      <c r="GM125">
        <v>74.985399999999998</v>
      </c>
      <c r="GN125">
        <v>64.41</v>
      </c>
      <c r="GO125">
        <v>25.7974</v>
      </c>
      <c r="GP125">
        <v>800</v>
      </c>
      <c r="GQ125">
        <v>4.0500600000000002</v>
      </c>
      <c r="GR125">
        <v>99.772300000000001</v>
      </c>
      <c r="GS125">
        <v>99.546899999999994</v>
      </c>
    </row>
    <row r="126" spans="1:201" x14ac:dyDescent="0.25">
      <c r="A126">
        <v>110</v>
      </c>
      <c r="B126">
        <v>1690377856</v>
      </c>
      <c r="C126">
        <v>1139.5</v>
      </c>
      <c r="D126" t="s">
        <v>553</v>
      </c>
      <c r="E126" t="s">
        <v>554</v>
      </c>
      <c r="F126" t="s">
        <v>330</v>
      </c>
      <c r="H126">
        <v>1690377856</v>
      </c>
      <c r="I126">
        <f t="shared" si="30"/>
        <v>1.8932496117394085E-3</v>
      </c>
      <c r="J126">
        <f t="shared" si="31"/>
        <v>1.8932496117394086</v>
      </c>
      <c r="K126">
        <f t="shared" si="32"/>
        <v>27.625539636266911</v>
      </c>
      <c r="L126">
        <f t="shared" si="33"/>
        <v>472.23500000000001</v>
      </c>
      <c r="M126">
        <f t="shared" si="34"/>
        <v>109.97260448076632</v>
      </c>
      <c r="N126">
        <f t="shared" si="35"/>
        <v>10.859074723828661</v>
      </c>
      <c r="O126">
        <f t="shared" si="36"/>
        <v>46.630114621902003</v>
      </c>
      <c r="P126">
        <f t="shared" si="37"/>
        <v>0.1282323942830941</v>
      </c>
      <c r="Q126">
        <f t="shared" si="38"/>
        <v>2.0009274989437298</v>
      </c>
      <c r="R126">
        <f t="shared" si="39"/>
        <v>0.1238356112149922</v>
      </c>
      <c r="S126">
        <f t="shared" si="40"/>
        <v>7.7779731336586902E-2</v>
      </c>
      <c r="T126">
        <f t="shared" si="41"/>
        <v>276.11434386000008</v>
      </c>
      <c r="U126">
        <f t="shared" si="42"/>
        <v>28.690456934040544</v>
      </c>
      <c r="V126">
        <f t="shared" si="43"/>
        <v>28.690456934040544</v>
      </c>
      <c r="W126">
        <f t="shared" si="44"/>
        <v>3.9502954387878355</v>
      </c>
      <c r="X126">
        <f t="shared" si="45"/>
        <v>69.245349348096838</v>
      </c>
      <c r="Y126">
        <f t="shared" si="46"/>
        <v>2.4898951672005603</v>
      </c>
      <c r="Z126">
        <f t="shared" si="47"/>
        <v>3.5957579687898464</v>
      </c>
      <c r="AA126">
        <f t="shared" si="48"/>
        <v>1.4604002715872753</v>
      </c>
      <c r="AB126">
        <f t="shared" si="49"/>
        <v>-83.492307877707916</v>
      </c>
      <c r="AC126">
        <f t="shared" si="50"/>
        <v>-173.85588545831311</v>
      </c>
      <c r="AD126">
        <f t="shared" si="51"/>
        <v>-18.917875837713865</v>
      </c>
      <c r="AE126">
        <f t="shared" si="52"/>
        <v>-0.15172531373477227</v>
      </c>
      <c r="AF126">
        <v>10</v>
      </c>
      <c r="AG126">
        <v>3</v>
      </c>
      <c r="AH126">
        <f t="shared" si="53"/>
        <v>1</v>
      </c>
      <c r="AI126">
        <f t="shared" si="54"/>
        <v>0</v>
      </c>
      <c r="AJ126">
        <f t="shared" si="55"/>
        <v>51845.843447418098</v>
      </c>
      <c r="AK126">
        <f t="shared" si="56"/>
        <v>1800</v>
      </c>
      <c r="AL126">
        <f t="shared" si="57"/>
        <v>1499.1133319999997</v>
      </c>
      <c r="AM126">
        <f t="shared" si="58"/>
        <v>0.83284073999999986</v>
      </c>
      <c r="AN126">
        <f t="shared" si="59"/>
        <v>0.15339685770000003</v>
      </c>
      <c r="AO126">
        <v>34.5</v>
      </c>
      <c r="AP126">
        <v>0.5</v>
      </c>
      <c r="AQ126" t="s">
        <v>331</v>
      </c>
      <c r="AR126">
        <v>2</v>
      </c>
      <c r="AS126">
        <v>1690377856</v>
      </c>
      <c r="AT126">
        <v>472.23500000000001</v>
      </c>
      <c r="AU126">
        <v>800.1</v>
      </c>
      <c r="AV126">
        <v>25.215800000000002</v>
      </c>
      <c r="AW126">
        <v>3.9995799999999999</v>
      </c>
      <c r="AX126">
        <v>472.70600000000002</v>
      </c>
      <c r="AY126">
        <v>25.0046</v>
      </c>
      <c r="AZ126">
        <v>300.101</v>
      </c>
      <c r="BA126">
        <v>98.643500000000003</v>
      </c>
      <c r="BB126">
        <v>9.9953200000000006E-2</v>
      </c>
      <c r="BC126">
        <v>27.078800000000001</v>
      </c>
      <c r="BD126">
        <v>26.994299999999999</v>
      </c>
      <c r="BE126">
        <v>28.7927</v>
      </c>
      <c r="BF126">
        <v>0</v>
      </c>
      <c r="BG126">
        <v>0</v>
      </c>
      <c r="BH126">
        <v>9940</v>
      </c>
      <c r="BI126">
        <v>1082.6500000000001</v>
      </c>
      <c r="BJ126">
        <v>1.3595999999999999</v>
      </c>
      <c r="BK126">
        <v>-327.86399999999998</v>
      </c>
      <c r="BL126">
        <v>484.45100000000002</v>
      </c>
      <c r="BM126">
        <v>803.31200000000001</v>
      </c>
      <c r="BN126">
        <v>21.216200000000001</v>
      </c>
      <c r="BO126">
        <v>800.1</v>
      </c>
      <c r="BP126">
        <v>3.9995799999999999</v>
      </c>
      <c r="BQ126">
        <v>2.4873699999999999</v>
      </c>
      <c r="BR126">
        <v>0.39453300000000002</v>
      </c>
      <c r="BS126">
        <v>20.944099999999999</v>
      </c>
      <c r="BT126">
        <v>-5.9319899999999999</v>
      </c>
      <c r="BU126">
        <v>1800</v>
      </c>
      <c r="BV126">
        <v>0.91001699999999996</v>
      </c>
      <c r="BW126">
        <v>3.39963E-2</v>
      </c>
      <c r="BX126">
        <v>2.1995000000000001E-2</v>
      </c>
      <c r="BY126">
        <v>3.3991199999999999E-2</v>
      </c>
      <c r="BZ126">
        <v>25</v>
      </c>
      <c r="CA126">
        <v>33528.5</v>
      </c>
      <c r="CB126">
        <v>1690376213.5999999</v>
      </c>
      <c r="CC126" t="s">
        <v>332</v>
      </c>
      <c r="CD126">
        <v>1690376213.5999999</v>
      </c>
      <c r="CE126">
        <v>1690376198.0999999</v>
      </c>
      <c r="CF126">
        <v>2</v>
      </c>
      <c r="CG126">
        <v>0.66900000000000004</v>
      </c>
      <c r="CH126">
        <v>-2.1000000000000001E-2</v>
      </c>
      <c r="CI126">
        <v>-0.70099999999999996</v>
      </c>
      <c r="CJ126">
        <v>0.21099999999999999</v>
      </c>
      <c r="CK126">
        <v>799</v>
      </c>
      <c r="CL126">
        <v>21</v>
      </c>
      <c r="CM126">
        <v>0.11</v>
      </c>
      <c r="CN126">
        <v>0.17</v>
      </c>
      <c r="CO126">
        <v>-324.89342499999998</v>
      </c>
      <c r="CP126">
        <v>-16.16954971857351</v>
      </c>
      <c r="CQ126">
        <v>1.5558178056491709</v>
      </c>
      <c r="CR126">
        <v>-1</v>
      </c>
      <c r="CS126">
        <v>20.949645</v>
      </c>
      <c r="CT126">
        <v>1.509917448405232</v>
      </c>
      <c r="CU126">
        <v>0.1453244369505694</v>
      </c>
      <c r="CV126">
        <v>-1</v>
      </c>
      <c r="CW126">
        <v>0</v>
      </c>
      <c r="CX126">
        <v>0</v>
      </c>
      <c r="CY126" t="s">
        <v>333</v>
      </c>
      <c r="CZ126">
        <v>2.3648699999999998</v>
      </c>
      <c r="DA126">
        <v>2.7136900000000002</v>
      </c>
      <c r="DB126">
        <v>0.101159</v>
      </c>
      <c r="DC126">
        <v>0.14562700000000001</v>
      </c>
      <c r="DD126">
        <v>0.117511</v>
      </c>
      <c r="DE126">
        <v>2.8044099999999999E-2</v>
      </c>
      <c r="DF126">
        <v>32834</v>
      </c>
      <c r="DG126">
        <v>27534.9</v>
      </c>
      <c r="DH126">
        <v>31183</v>
      </c>
      <c r="DI126">
        <v>28080.799999999999</v>
      </c>
      <c r="DJ126">
        <v>37352</v>
      </c>
      <c r="DK126">
        <v>38804.300000000003</v>
      </c>
      <c r="DL126">
        <v>44375.5</v>
      </c>
      <c r="DM126">
        <v>42548.7</v>
      </c>
      <c r="DN126">
        <v>1.4449799999999999</v>
      </c>
      <c r="DO126">
        <v>2.0536500000000002</v>
      </c>
      <c r="DP126">
        <v>9.4123200000000004E-2</v>
      </c>
      <c r="DQ126">
        <v>0.20474200000000001</v>
      </c>
      <c r="DR126">
        <v>25.452999999999999</v>
      </c>
      <c r="DS126">
        <v>25.445</v>
      </c>
      <c r="DT126">
        <v>52.4</v>
      </c>
      <c r="DU126">
        <v>26.9</v>
      </c>
      <c r="DV126">
        <v>18.901199999999999</v>
      </c>
      <c r="DW126">
        <v>61.130200000000002</v>
      </c>
      <c r="DX126">
        <v>37.652200000000001</v>
      </c>
      <c r="DY126">
        <v>1</v>
      </c>
      <c r="DZ126">
        <v>-0.139291</v>
      </c>
      <c r="EA126">
        <v>-0.57835000000000003</v>
      </c>
      <c r="EB126">
        <v>20.189399999999999</v>
      </c>
      <c r="EC126">
        <v>5.24125</v>
      </c>
      <c r="ED126">
        <v>12.039899999999999</v>
      </c>
      <c r="EE126">
        <v>5.0167999999999999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1.86886</v>
      </c>
      <c r="EL126">
        <v>1.8645099999999999</v>
      </c>
      <c r="EM126">
        <v>1.8691899999999999</v>
      </c>
      <c r="EN126">
        <v>1.8671899999999999</v>
      </c>
      <c r="EO126">
        <v>1.8632899999999999</v>
      </c>
      <c r="EP126">
        <v>1.8643400000000001</v>
      </c>
      <c r="EQ126">
        <v>1.87012</v>
      </c>
      <c r="ER126">
        <v>1.8693500000000001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-0.47099999999999997</v>
      </c>
      <c r="FG126">
        <v>0.2112</v>
      </c>
      <c r="FH126">
        <v>-0.150361779349652</v>
      </c>
      <c r="FI126">
        <v>-6.1462078757559423E-4</v>
      </c>
      <c r="FJ126">
        <v>-1.8861989874597051E-7</v>
      </c>
      <c r="FK126">
        <v>1.1980462299894961E-10</v>
      </c>
      <c r="FL126">
        <v>0.21114761904761539</v>
      </c>
      <c r="FM126">
        <v>0</v>
      </c>
      <c r="FN126">
        <v>0</v>
      </c>
      <c r="FO126">
        <v>0</v>
      </c>
      <c r="FP126">
        <v>3</v>
      </c>
      <c r="FQ126">
        <v>2158</v>
      </c>
      <c r="FR126">
        <v>1</v>
      </c>
      <c r="FS126">
        <v>19</v>
      </c>
      <c r="FT126">
        <v>27.4</v>
      </c>
      <c r="FU126">
        <v>27.6</v>
      </c>
      <c r="FV126">
        <v>1.7724599999999999</v>
      </c>
      <c r="FW126">
        <v>2.5720200000000002</v>
      </c>
      <c r="FX126">
        <v>1.5490699999999999</v>
      </c>
      <c r="FY126">
        <v>2.33643</v>
      </c>
      <c r="FZ126">
        <v>1.50146</v>
      </c>
      <c r="GA126">
        <v>2.2949199999999998</v>
      </c>
      <c r="GB126">
        <v>32.134399999999999</v>
      </c>
      <c r="GC126">
        <v>23.982399999999998</v>
      </c>
      <c r="GD126">
        <v>19</v>
      </c>
      <c r="GE126">
        <v>267.42599999999999</v>
      </c>
      <c r="GF126">
        <v>590.72</v>
      </c>
      <c r="GG126">
        <v>25.802700000000002</v>
      </c>
      <c r="GH126">
        <v>25.681899999999999</v>
      </c>
      <c r="GI126">
        <v>30.000299999999999</v>
      </c>
      <c r="GJ126">
        <v>25.782</v>
      </c>
      <c r="GK126">
        <v>25.747699999999998</v>
      </c>
      <c r="GL126">
        <v>35.446800000000003</v>
      </c>
      <c r="GM126">
        <v>76.193299999999994</v>
      </c>
      <c r="GN126">
        <v>63.247599999999998</v>
      </c>
      <c r="GO126">
        <v>25.810400000000001</v>
      </c>
      <c r="GP126">
        <v>800</v>
      </c>
      <c r="GQ126">
        <v>3.7928299999999999</v>
      </c>
      <c r="GR126">
        <v>99.771100000000004</v>
      </c>
      <c r="GS126">
        <v>99.547399999999996</v>
      </c>
    </row>
    <row r="127" spans="1:201" x14ac:dyDescent="0.25">
      <c r="A127">
        <v>111</v>
      </c>
      <c r="B127">
        <v>1690377866</v>
      </c>
      <c r="C127">
        <v>1149.5</v>
      </c>
      <c r="D127" t="s">
        <v>555</v>
      </c>
      <c r="E127" t="s">
        <v>556</v>
      </c>
      <c r="F127" t="s">
        <v>330</v>
      </c>
      <c r="H127">
        <v>1690377866</v>
      </c>
      <c r="I127">
        <f t="shared" si="30"/>
        <v>1.9176041346558325E-3</v>
      </c>
      <c r="J127">
        <f t="shared" si="31"/>
        <v>1.9176041346558326</v>
      </c>
      <c r="K127">
        <f t="shared" si="32"/>
        <v>27.858941985261318</v>
      </c>
      <c r="L127">
        <f t="shared" si="33"/>
        <v>469.53899999999999</v>
      </c>
      <c r="M127">
        <f t="shared" si="34"/>
        <v>109.45043161732089</v>
      </c>
      <c r="N127">
        <f t="shared" si="35"/>
        <v>10.807349681048422</v>
      </c>
      <c r="O127">
        <f t="shared" si="36"/>
        <v>46.363199184376199</v>
      </c>
      <c r="P127">
        <f t="shared" si="37"/>
        <v>0.13013785495872154</v>
      </c>
      <c r="Q127">
        <f t="shared" si="38"/>
        <v>2.0074093272500884</v>
      </c>
      <c r="R127">
        <f t="shared" si="39"/>
        <v>0.12562598377534048</v>
      </c>
      <c r="S127">
        <f t="shared" si="40"/>
        <v>7.8908581788301471E-2</v>
      </c>
      <c r="T127">
        <f t="shared" si="41"/>
        <v>276.11277830159855</v>
      </c>
      <c r="U127">
        <f t="shared" si="42"/>
        <v>28.680679191180374</v>
      </c>
      <c r="V127">
        <f t="shared" si="43"/>
        <v>28.680679191180374</v>
      </c>
      <c r="W127">
        <f t="shared" si="44"/>
        <v>3.948055805467114</v>
      </c>
      <c r="X127">
        <f t="shared" si="45"/>
        <v>69.231195214331649</v>
      </c>
      <c r="Y127">
        <f t="shared" si="46"/>
        <v>2.4899561510174397</v>
      </c>
      <c r="Z127">
        <f t="shared" si="47"/>
        <v>3.5965811991383765</v>
      </c>
      <c r="AA127">
        <f t="shared" si="48"/>
        <v>1.4580996544496743</v>
      </c>
      <c r="AB127">
        <f t="shared" si="49"/>
        <v>-84.566342338322215</v>
      </c>
      <c r="AC127">
        <f t="shared" si="50"/>
        <v>-172.93882373554484</v>
      </c>
      <c r="AD127">
        <f t="shared" si="51"/>
        <v>-18.756772499121094</v>
      </c>
      <c r="AE127">
        <f t="shared" si="52"/>
        <v>-0.1491602713896043</v>
      </c>
      <c r="AF127">
        <v>10</v>
      </c>
      <c r="AG127">
        <v>3</v>
      </c>
      <c r="AH127">
        <f t="shared" si="53"/>
        <v>1</v>
      </c>
      <c r="AI127">
        <f t="shared" si="54"/>
        <v>0</v>
      </c>
      <c r="AJ127">
        <f t="shared" si="55"/>
        <v>52154.227144265365</v>
      </c>
      <c r="AK127">
        <f t="shared" si="56"/>
        <v>1799.99</v>
      </c>
      <c r="AL127">
        <f t="shared" si="57"/>
        <v>1499.1055435896001</v>
      </c>
      <c r="AM127">
        <f t="shared" si="58"/>
        <v>0.83284104000000003</v>
      </c>
      <c r="AN127">
        <f t="shared" si="59"/>
        <v>0.15339684015000002</v>
      </c>
      <c r="AO127">
        <v>34.5</v>
      </c>
      <c r="AP127">
        <v>0.5</v>
      </c>
      <c r="AQ127" t="s">
        <v>331</v>
      </c>
      <c r="AR127">
        <v>2</v>
      </c>
      <c r="AS127">
        <v>1690377866</v>
      </c>
      <c r="AT127">
        <v>469.53899999999999</v>
      </c>
      <c r="AU127">
        <v>800.21400000000006</v>
      </c>
      <c r="AV127">
        <v>25.216799999999999</v>
      </c>
      <c r="AW127">
        <v>3.72417</v>
      </c>
      <c r="AX127">
        <v>470.00799999999998</v>
      </c>
      <c r="AY127">
        <v>25.005700000000001</v>
      </c>
      <c r="AZ127">
        <v>300.05200000000002</v>
      </c>
      <c r="BA127">
        <v>98.641999999999996</v>
      </c>
      <c r="BB127">
        <v>9.9955799999999997E-2</v>
      </c>
      <c r="BC127">
        <v>27.082699999999999</v>
      </c>
      <c r="BD127">
        <v>26.979299999999999</v>
      </c>
      <c r="BE127">
        <v>28.774799999999999</v>
      </c>
      <c r="BF127">
        <v>0</v>
      </c>
      <c r="BG127">
        <v>0</v>
      </c>
      <c r="BH127">
        <v>10001.9</v>
      </c>
      <c r="BI127">
        <v>1082.6199999999999</v>
      </c>
      <c r="BJ127">
        <v>1.28952</v>
      </c>
      <c r="BK127">
        <v>-330.67399999999998</v>
      </c>
      <c r="BL127">
        <v>481.68599999999998</v>
      </c>
      <c r="BM127">
        <v>803.20500000000004</v>
      </c>
      <c r="BN127">
        <v>21.492699999999999</v>
      </c>
      <c r="BO127">
        <v>800.21400000000006</v>
      </c>
      <c r="BP127">
        <v>3.72417</v>
      </c>
      <c r="BQ127">
        <v>2.4874399999999999</v>
      </c>
      <c r="BR127">
        <v>0.36736000000000002</v>
      </c>
      <c r="BS127">
        <v>20.944500000000001</v>
      </c>
      <c r="BT127">
        <v>-6.8630100000000001</v>
      </c>
      <c r="BU127">
        <v>1799.99</v>
      </c>
      <c r="BV127">
        <v>0.91001900000000002</v>
      </c>
      <c r="BW127">
        <v>3.3995699999999997E-2</v>
      </c>
      <c r="BX127">
        <v>2.19945E-2</v>
      </c>
      <c r="BY127">
        <v>3.39905E-2</v>
      </c>
      <c r="BZ127">
        <v>25</v>
      </c>
      <c r="CA127">
        <v>33528.400000000001</v>
      </c>
      <c r="CB127">
        <v>1690376213.5999999</v>
      </c>
      <c r="CC127" t="s">
        <v>332</v>
      </c>
      <c r="CD127">
        <v>1690376213.5999999</v>
      </c>
      <c r="CE127">
        <v>1690376198.0999999</v>
      </c>
      <c r="CF127">
        <v>2</v>
      </c>
      <c r="CG127">
        <v>0.66900000000000004</v>
      </c>
      <c r="CH127">
        <v>-2.1000000000000001E-2</v>
      </c>
      <c r="CI127">
        <v>-0.70099999999999996</v>
      </c>
      <c r="CJ127">
        <v>0.21099999999999999</v>
      </c>
      <c r="CK127">
        <v>799</v>
      </c>
      <c r="CL127">
        <v>21</v>
      </c>
      <c r="CM127">
        <v>0.11</v>
      </c>
      <c r="CN127">
        <v>0.17</v>
      </c>
      <c r="CO127">
        <v>-327.38070731707307</v>
      </c>
      <c r="CP127">
        <v>-16.156348432056621</v>
      </c>
      <c r="CQ127">
        <v>1.593751369107435</v>
      </c>
      <c r="CR127">
        <v>-1</v>
      </c>
      <c r="CS127">
        <v>21.18216341463415</v>
      </c>
      <c r="CT127">
        <v>1.5085233449477919</v>
      </c>
      <c r="CU127">
        <v>0.148824092850353</v>
      </c>
      <c r="CV127">
        <v>-1</v>
      </c>
      <c r="CW127">
        <v>0</v>
      </c>
      <c r="CX127">
        <v>0</v>
      </c>
      <c r="CY127" t="s">
        <v>333</v>
      </c>
      <c r="CZ127">
        <v>2.36469</v>
      </c>
      <c r="DA127">
        <v>2.7137500000000001</v>
      </c>
      <c r="DB127">
        <v>0.10073</v>
      </c>
      <c r="DC127">
        <v>0.14563300000000001</v>
      </c>
      <c r="DD127">
        <v>0.11751300000000001</v>
      </c>
      <c r="DE127">
        <v>2.6381999999999999E-2</v>
      </c>
      <c r="DF127">
        <v>32849.9</v>
      </c>
      <c r="DG127">
        <v>27535.200000000001</v>
      </c>
      <c r="DH127">
        <v>31183.3</v>
      </c>
      <c r="DI127">
        <v>28081.4</v>
      </c>
      <c r="DJ127">
        <v>37352.300000000003</v>
      </c>
      <c r="DK127">
        <v>38871.5</v>
      </c>
      <c r="DL127">
        <v>44375.9</v>
      </c>
      <c r="DM127">
        <v>42549.4</v>
      </c>
      <c r="DN127">
        <v>1.4447700000000001</v>
      </c>
      <c r="DO127">
        <v>2.0532499999999998</v>
      </c>
      <c r="DP127">
        <v>9.3080099999999999E-2</v>
      </c>
      <c r="DQ127">
        <v>0.203542</v>
      </c>
      <c r="DR127">
        <v>25.455200000000001</v>
      </c>
      <c r="DS127">
        <v>25.4466</v>
      </c>
      <c r="DT127">
        <v>51.9</v>
      </c>
      <c r="DU127">
        <v>26.9</v>
      </c>
      <c r="DV127">
        <v>18.721699999999998</v>
      </c>
      <c r="DW127">
        <v>61.090200000000003</v>
      </c>
      <c r="DX127">
        <v>37.664299999999997</v>
      </c>
      <c r="DY127">
        <v>1</v>
      </c>
      <c r="DZ127">
        <v>-0.13995199999999999</v>
      </c>
      <c r="EA127">
        <v>-0.56665299999999996</v>
      </c>
      <c r="EB127">
        <v>20.189599999999999</v>
      </c>
      <c r="EC127">
        <v>5.2411000000000003</v>
      </c>
      <c r="ED127">
        <v>12.039899999999999</v>
      </c>
      <c r="EE127">
        <v>5.0169499999999996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1.86887</v>
      </c>
      <c r="EL127">
        <v>1.86449</v>
      </c>
      <c r="EM127">
        <v>1.8692</v>
      </c>
      <c r="EN127">
        <v>1.86721</v>
      </c>
      <c r="EO127">
        <v>1.8633</v>
      </c>
      <c r="EP127">
        <v>1.86433</v>
      </c>
      <c r="EQ127">
        <v>1.87012</v>
      </c>
      <c r="ER127">
        <v>1.8693599999999999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-0.46899999999999997</v>
      </c>
      <c r="FG127">
        <v>0.21110000000000001</v>
      </c>
      <c r="FH127">
        <v>-0.150361779349652</v>
      </c>
      <c r="FI127">
        <v>-6.1462078757559423E-4</v>
      </c>
      <c r="FJ127">
        <v>-1.8861989874597051E-7</v>
      </c>
      <c r="FK127">
        <v>1.1980462299894961E-10</v>
      </c>
      <c r="FL127">
        <v>0.21114761904761539</v>
      </c>
      <c r="FM127">
        <v>0</v>
      </c>
      <c r="FN127">
        <v>0</v>
      </c>
      <c r="FO127">
        <v>0</v>
      </c>
      <c r="FP127">
        <v>3</v>
      </c>
      <c r="FQ127">
        <v>2158</v>
      </c>
      <c r="FR127">
        <v>1</v>
      </c>
      <c r="FS127">
        <v>19</v>
      </c>
      <c r="FT127">
        <v>27.5</v>
      </c>
      <c r="FU127">
        <v>27.8</v>
      </c>
      <c r="FV127">
        <v>1.7724599999999999</v>
      </c>
      <c r="FW127">
        <v>2.5695800000000002</v>
      </c>
      <c r="FX127">
        <v>1.5490699999999999</v>
      </c>
      <c r="FY127">
        <v>2.33643</v>
      </c>
      <c r="FZ127">
        <v>1.50146</v>
      </c>
      <c r="GA127">
        <v>2.32422</v>
      </c>
      <c r="GB127">
        <v>32.134399999999999</v>
      </c>
      <c r="GC127">
        <v>23.982399999999998</v>
      </c>
      <c r="GD127">
        <v>19</v>
      </c>
      <c r="GE127">
        <v>267.34500000000003</v>
      </c>
      <c r="GF127">
        <v>590.38699999999994</v>
      </c>
      <c r="GG127">
        <v>25.8156</v>
      </c>
      <c r="GH127">
        <v>25.681899999999999</v>
      </c>
      <c r="GI127">
        <v>30.0001</v>
      </c>
      <c r="GJ127">
        <v>25.782</v>
      </c>
      <c r="GK127">
        <v>25.747699999999998</v>
      </c>
      <c r="GL127">
        <v>35.438099999999999</v>
      </c>
      <c r="GM127">
        <v>77.382000000000005</v>
      </c>
      <c r="GN127">
        <v>62.470500000000001</v>
      </c>
      <c r="GO127">
        <v>25.824100000000001</v>
      </c>
      <c r="GP127">
        <v>800</v>
      </c>
      <c r="GQ127">
        <v>3.5311900000000001</v>
      </c>
      <c r="GR127">
        <v>99.772099999999995</v>
      </c>
      <c r="GS127">
        <v>99.549199999999999</v>
      </c>
    </row>
    <row r="128" spans="1:201" x14ac:dyDescent="0.25">
      <c r="A128">
        <v>112</v>
      </c>
      <c r="B128">
        <v>1690377876</v>
      </c>
      <c r="C128">
        <v>1159.5</v>
      </c>
      <c r="D128" t="s">
        <v>557</v>
      </c>
      <c r="E128" t="s">
        <v>558</v>
      </c>
      <c r="F128" t="s">
        <v>330</v>
      </c>
      <c r="H128">
        <v>1690377876</v>
      </c>
      <c r="I128">
        <f t="shared" si="30"/>
        <v>1.940913727327004E-3</v>
      </c>
      <c r="J128">
        <f t="shared" si="31"/>
        <v>1.9409137273270041</v>
      </c>
      <c r="K128">
        <f t="shared" si="32"/>
        <v>28.072985728785941</v>
      </c>
      <c r="L128">
        <f t="shared" si="33"/>
        <v>466.96</v>
      </c>
      <c r="M128">
        <f t="shared" si="34"/>
        <v>108.87122853352666</v>
      </c>
      <c r="N128">
        <f t="shared" si="35"/>
        <v>10.750363138256622</v>
      </c>
      <c r="O128">
        <f t="shared" si="36"/>
        <v>46.109423386311995</v>
      </c>
      <c r="P128">
        <f t="shared" si="37"/>
        <v>0.13192612444108093</v>
      </c>
      <c r="Q128">
        <f t="shared" si="38"/>
        <v>2.0050041534864809</v>
      </c>
      <c r="R128">
        <f t="shared" si="39"/>
        <v>0.12728642960658534</v>
      </c>
      <c r="S128">
        <f t="shared" si="40"/>
        <v>7.9957282602224206E-2</v>
      </c>
      <c r="T128">
        <f t="shared" si="41"/>
        <v>276.11421310799994</v>
      </c>
      <c r="U128">
        <f t="shared" si="42"/>
        <v>28.675234500954019</v>
      </c>
      <c r="V128">
        <f t="shared" si="43"/>
        <v>28.675234500954019</v>
      </c>
      <c r="W128">
        <f t="shared" si="44"/>
        <v>3.9468091562408651</v>
      </c>
      <c r="X128">
        <f t="shared" si="45"/>
        <v>69.232317709828223</v>
      </c>
      <c r="Y128">
        <f t="shared" si="46"/>
        <v>2.4902011446263601</v>
      </c>
      <c r="Z128">
        <f t="shared" si="47"/>
        <v>3.596876757850981</v>
      </c>
      <c r="AA128">
        <f t="shared" si="48"/>
        <v>1.456608011614505</v>
      </c>
      <c r="AB128">
        <f t="shared" si="49"/>
        <v>-85.594295375120879</v>
      </c>
      <c r="AC128">
        <f t="shared" si="50"/>
        <v>-171.99174893817744</v>
      </c>
      <c r="AD128">
        <f t="shared" si="51"/>
        <v>-18.676053124705945</v>
      </c>
      <c r="AE128">
        <f t="shared" si="52"/>
        <v>-0.14788433000433088</v>
      </c>
      <c r="AF128">
        <v>10</v>
      </c>
      <c r="AG128">
        <v>3</v>
      </c>
      <c r="AH128">
        <f t="shared" si="53"/>
        <v>1</v>
      </c>
      <c r="AI128">
        <f t="shared" si="54"/>
        <v>0</v>
      </c>
      <c r="AJ128">
        <f t="shared" si="55"/>
        <v>52039.172907393578</v>
      </c>
      <c r="AK128">
        <f t="shared" si="56"/>
        <v>1800</v>
      </c>
      <c r="AL128">
        <f t="shared" si="57"/>
        <v>1499.1144408000002</v>
      </c>
      <c r="AM128">
        <f t="shared" si="58"/>
        <v>0.83284135600000009</v>
      </c>
      <c r="AN128">
        <f t="shared" si="59"/>
        <v>0.15339678505999998</v>
      </c>
      <c r="AO128">
        <v>34.5</v>
      </c>
      <c r="AP128">
        <v>0.5</v>
      </c>
      <c r="AQ128" t="s">
        <v>331</v>
      </c>
      <c r="AR128">
        <v>2</v>
      </c>
      <c r="AS128">
        <v>1690377876</v>
      </c>
      <c r="AT128">
        <v>466.96</v>
      </c>
      <c r="AU128">
        <v>800.07</v>
      </c>
      <c r="AV128">
        <v>25.218800000000002</v>
      </c>
      <c r="AW128">
        <v>3.47112</v>
      </c>
      <c r="AX128">
        <v>467.42700000000002</v>
      </c>
      <c r="AY128">
        <v>25.0077</v>
      </c>
      <c r="AZ128">
        <v>300.137</v>
      </c>
      <c r="BA128">
        <v>98.643900000000002</v>
      </c>
      <c r="BB128">
        <v>9.9939700000000006E-2</v>
      </c>
      <c r="BC128">
        <v>27.084099999999999</v>
      </c>
      <c r="BD128">
        <v>26.987400000000001</v>
      </c>
      <c r="BE128">
        <v>28.772300000000001</v>
      </c>
      <c r="BF128">
        <v>0</v>
      </c>
      <c r="BG128">
        <v>0</v>
      </c>
      <c r="BH128">
        <v>9978.75</v>
      </c>
      <c r="BI128">
        <v>1082.72</v>
      </c>
      <c r="BJ128">
        <v>1.26149</v>
      </c>
      <c r="BK128">
        <v>-333.10899999999998</v>
      </c>
      <c r="BL128">
        <v>479.041</v>
      </c>
      <c r="BM128">
        <v>802.85599999999999</v>
      </c>
      <c r="BN128">
        <v>21.747699999999998</v>
      </c>
      <c r="BO128">
        <v>800.07</v>
      </c>
      <c r="BP128">
        <v>3.47112</v>
      </c>
      <c r="BQ128">
        <v>2.4876800000000001</v>
      </c>
      <c r="BR128">
        <v>0.34240500000000001</v>
      </c>
      <c r="BS128">
        <v>20.946100000000001</v>
      </c>
      <c r="BT128">
        <v>-7.7736400000000003</v>
      </c>
      <c r="BU128">
        <v>1800</v>
      </c>
      <c r="BV128">
        <v>0.910022</v>
      </c>
      <c r="BW128">
        <v>3.39946E-2</v>
      </c>
      <c r="BX128">
        <v>2.1993800000000001E-2</v>
      </c>
      <c r="BY128">
        <v>3.3989400000000003E-2</v>
      </c>
      <c r="BZ128">
        <v>25</v>
      </c>
      <c r="CA128">
        <v>33528.5</v>
      </c>
      <c r="CB128">
        <v>1690376213.5999999</v>
      </c>
      <c r="CC128" t="s">
        <v>332</v>
      </c>
      <c r="CD128">
        <v>1690376213.5999999</v>
      </c>
      <c r="CE128">
        <v>1690376198.0999999</v>
      </c>
      <c r="CF128">
        <v>2</v>
      </c>
      <c r="CG128">
        <v>0.66900000000000004</v>
      </c>
      <c r="CH128">
        <v>-2.1000000000000001E-2</v>
      </c>
      <c r="CI128">
        <v>-0.70099999999999996</v>
      </c>
      <c r="CJ128">
        <v>0.21099999999999999</v>
      </c>
      <c r="CK128">
        <v>799</v>
      </c>
      <c r="CL128">
        <v>21</v>
      </c>
      <c r="CM128">
        <v>0.11</v>
      </c>
      <c r="CN128">
        <v>0.17</v>
      </c>
      <c r="CO128">
        <v>-330.27440000000001</v>
      </c>
      <c r="CP128">
        <v>-15.866318949343031</v>
      </c>
      <c r="CQ128">
        <v>1.528679819321237</v>
      </c>
      <c r="CR128">
        <v>-1</v>
      </c>
      <c r="CS128">
        <v>21.464757500000001</v>
      </c>
      <c r="CT128">
        <v>1.6291148217635829</v>
      </c>
      <c r="CU128">
        <v>0.1567834603641276</v>
      </c>
      <c r="CV128">
        <v>-1</v>
      </c>
      <c r="CW128">
        <v>0</v>
      </c>
      <c r="CX128">
        <v>0</v>
      </c>
      <c r="CY128" t="s">
        <v>333</v>
      </c>
      <c r="CZ128">
        <v>2.3649800000000001</v>
      </c>
      <c r="DA128">
        <v>2.7137099999999998</v>
      </c>
      <c r="DB128">
        <v>0.10032199999999999</v>
      </c>
      <c r="DC128">
        <v>0.14561299999999999</v>
      </c>
      <c r="DD128">
        <v>0.117521</v>
      </c>
      <c r="DE128">
        <v>2.4829299999999999E-2</v>
      </c>
      <c r="DF128">
        <v>32864.699999999997</v>
      </c>
      <c r="DG128">
        <v>27535.5</v>
      </c>
      <c r="DH128">
        <v>31183.200000000001</v>
      </c>
      <c r="DI128">
        <v>28081</v>
      </c>
      <c r="DJ128">
        <v>37351.800000000003</v>
      </c>
      <c r="DK128">
        <v>38933.1</v>
      </c>
      <c r="DL128">
        <v>44375.8</v>
      </c>
      <c r="DM128">
        <v>42548.7</v>
      </c>
      <c r="DN128">
        <v>1.4449799999999999</v>
      </c>
      <c r="DO128">
        <v>2.0529199999999999</v>
      </c>
      <c r="DP128">
        <v>9.3407900000000002E-2</v>
      </c>
      <c r="DQ128">
        <v>0.20319200000000001</v>
      </c>
      <c r="DR128">
        <v>25.457799999999999</v>
      </c>
      <c r="DS128">
        <v>25.4498</v>
      </c>
      <c r="DT128">
        <v>51.5</v>
      </c>
      <c r="DU128">
        <v>26.9</v>
      </c>
      <c r="DV128">
        <v>18.575399999999998</v>
      </c>
      <c r="DW128">
        <v>60.990200000000002</v>
      </c>
      <c r="DX128">
        <v>37.111400000000003</v>
      </c>
      <c r="DY128">
        <v>1</v>
      </c>
      <c r="DZ128">
        <v>-0.139515</v>
      </c>
      <c r="EA128">
        <v>-0.58287299999999997</v>
      </c>
      <c r="EB128">
        <v>20.189399999999999</v>
      </c>
      <c r="EC128">
        <v>5.2408000000000001</v>
      </c>
      <c r="ED128">
        <v>12.039899999999999</v>
      </c>
      <c r="EE128">
        <v>5.0168999999999997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1.8688800000000001</v>
      </c>
      <c r="EL128">
        <v>1.8645</v>
      </c>
      <c r="EM128">
        <v>1.8691800000000001</v>
      </c>
      <c r="EN128">
        <v>1.8671899999999999</v>
      </c>
      <c r="EO128">
        <v>1.8632899999999999</v>
      </c>
      <c r="EP128">
        <v>1.86433</v>
      </c>
      <c r="EQ128">
        <v>1.87012</v>
      </c>
      <c r="ER128">
        <v>1.8693500000000001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-0.46700000000000003</v>
      </c>
      <c r="FG128">
        <v>0.21110000000000001</v>
      </c>
      <c r="FH128">
        <v>-0.150361779349652</v>
      </c>
      <c r="FI128">
        <v>-6.1462078757559423E-4</v>
      </c>
      <c r="FJ128">
        <v>-1.8861989874597051E-7</v>
      </c>
      <c r="FK128">
        <v>1.1980462299894961E-10</v>
      </c>
      <c r="FL128">
        <v>0.21114761904761539</v>
      </c>
      <c r="FM128">
        <v>0</v>
      </c>
      <c r="FN128">
        <v>0</v>
      </c>
      <c r="FO128">
        <v>0</v>
      </c>
      <c r="FP128">
        <v>3</v>
      </c>
      <c r="FQ128">
        <v>2158</v>
      </c>
      <c r="FR128">
        <v>1</v>
      </c>
      <c r="FS128">
        <v>19</v>
      </c>
      <c r="FT128">
        <v>27.7</v>
      </c>
      <c r="FU128">
        <v>28</v>
      </c>
      <c r="FV128">
        <v>1.7724599999999999</v>
      </c>
      <c r="FW128">
        <v>2.5695800000000002</v>
      </c>
      <c r="FX128">
        <v>1.5490699999999999</v>
      </c>
      <c r="FY128">
        <v>2.33643</v>
      </c>
      <c r="FZ128">
        <v>1.50146</v>
      </c>
      <c r="GA128">
        <v>2.3315399999999999</v>
      </c>
      <c r="GB128">
        <v>32.156399999999998</v>
      </c>
      <c r="GC128">
        <v>23.982399999999998</v>
      </c>
      <c r="GD128">
        <v>19</v>
      </c>
      <c r="GE128">
        <v>267.43599999999998</v>
      </c>
      <c r="GF128">
        <v>590.11699999999996</v>
      </c>
      <c r="GG128">
        <v>25.830300000000001</v>
      </c>
      <c r="GH128">
        <v>25.681899999999999</v>
      </c>
      <c r="GI128">
        <v>30.0001</v>
      </c>
      <c r="GJ128">
        <v>25.784099999999999</v>
      </c>
      <c r="GK128">
        <v>25.747699999999998</v>
      </c>
      <c r="GL128">
        <v>35.4328</v>
      </c>
      <c r="GM128">
        <v>78.270399999999995</v>
      </c>
      <c r="GN128">
        <v>61.287300000000002</v>
      </c>
      <c r="GO128">
        <v>25.837499999999999</v>
      </c>
      <c r="GP128">
        <v>800</v>
      </c>
      <c r="GQ128">
        <v>3.2690100000000002</v>
      </c>
      <c r="GR128">
        <v>99.771799999999999</v>
      </c>
      <c r="GS128">
        <v>99.547700000000006</v>
      </c>
    </row>
    <row r="129" spans="1:201" x14ac:dyDescent="0.25">
      <c r="A129">
        <v>113</v>
      </c>
      <c r="B129">
        <v>1690377886</v>
      </c>
      <c r="C129">
        <v>1169.5</v>
      </c>
      <c r="D129" t="s">
        <v>559</v>
      </c>
      <c r="E129" t="s">
        <v>560</v>
      </c>
      <c r="F129" t="s">
        <v>330</v>
      </c>
      <c r="H129">
        <v>1690377886</v>
      </c>
      <c r="I129">
        <f t="shared" si="30"/>
        <v>1.9639748886240444E-3</v>
      </c>
      <c r="J129">
        <f t="shared" si="31"/>
        <v>1.9639748886240445</v>
      </c>
      <c r="K129">
        <f t="shared" si="32"/>
        <v>28.291349349048726</v>
      </c>
      <c r="L129">
        <f t="shared" si="33"/>
        <v>464.387</v>
      </c>
      <c r="M129">
        <f t="shared" si="34"/>
        <v>108.49382637736048</v>
      </c>
      <c r="N129">
        <f t="shared" si="35"/>
        <v>10.713358025542595</v>
      </c>
      <c r="O129">
        <f t="shared" si="36"/>
        <v>45.8564727554472</v>
      </c>
      <c r="P129">
        <f t="shared" si="37"/>
        <v>0.13382005554585735</v>
      </c>
      <c r="Q129">
        <f t="shared" si="38"/>
        <v>2.00876216121575</v>
      </c>
      <c r="R129">
        <f t="shared" si="39"/>
        <v>0.12905736577494709</v>
      </c>
      <c r="S129">
        <f t="shared" si="40"/>
        <v>8.1074640555575131E-2</v>
      </c>
      <c r="T129">
        <f t="shared" si="41"/>
        <v>276.11399716199998</v>
      </c>
      <c r="U129">
        <f t="shared" si="42"/>
        <v>28.663466766581784</v>
      </c>
      <c r="V129">
        <f t="shared" si="43"/>
        <v>28.663466766581784</v>
      </c>
      <c r="W129">
        <f t="shared" si="44"/>
        <v>3.9441159173566245</v>
      </c>
      <c r="X129">
        <f t="shared" si="45"/>
        <v>69.239462820772602</v>
      </c>
      <c r="Y129">
        <f t="shared" si="46"/>
        <v>2.4903704394074397</v>
      </c>
      <c r="Z129">
        <f t="shared" si="47"/>
        <v>3.5967500872353693</v>
      </c>
      <c r="AA129">
        <f t="shared" si="48"/>
        <v>1.4537454779491847</v>
      </c>
      <c r="AB129">
        <f t="shared" si="49"/>
        <v>-86.611292588320353</v>
      </c>
      <c r="AC129">
        <f t="shared" si="50"/>
        <v>-171.10469024495723</v>
      </c>
      <c r="AD129">
        <f t="shared" si="51"/>
        <v>-18.543825828650725</v>
      </c>
      <c r="AE129">
        <f t="shared" si="52"/>
        <v>-0.14581149992829978</v>
      </c>
      <c r="AF129">
        <v>10</v>
      </c>
      <c r="AG129">
        <v>3</v>
      </c>
      <c r="AH129">
        <f t="shared" si="53"/>
        <v>1</v>
      </c>
      <c r="AI129">
        <f t="shared" si="54"/>
        <v>0</v>
      </c>
      <c r="AJ129">
        <f t="shared" si="55"/>
        <v>52218.866078034625</v>
      </c>
      <c r="AK129">
        <f t="shared" si="56"/>
        <v>1800</v>
      </c>
      <c r="AL129">
        <f t="shared" si="57"/>
        <v>1499.1141762</v>
      </c>
      <c r="AM129">
        <f t="shared" si="58"/>
        <v>0.83284120900000003</v>
      </c>
      <c r="AN129">
        <f t="shared" si="59"/>
        <v>0.15339666509</v>
      </c>
      <c r="AO129">
        <v>34.5</v>
      </c>
      <c r="AP129">
        <v>0.5</v>
      </c>
      <c r="AQ129" t="s">
        <v>331</v>
      </c>
      <c r="AR129">
        <v>2</v>
      </c>
      <c r="AS129">
        <v>1690377886</v>
      </c>
      <c r="AT129">
        <v>464.387</v>
      </c>
      <c r="AU129">
        <v>800.02800000000002</v>
      </c>
      <c r="AV129">
        <v>25.219899999999999</v>
      </c>
      <c r="AW129">
        <v>3.21678</v>
      </c>
      <c r="AX129">
        <v>464.851</v>
      </c>
      <c r="AY129">
        <v>25.008800000000001</v>
      </c>
      <c r="AZ129">
        <v>300.17700000000002</v>
      </c>
      <c r="BA129">
        <v>98.646299999999997</v>
      </c>
      <c r="BB129">
        <v>9.9945599999999996E-2</v>
      </c>
      <c r="BC129">
        <v>27.083500000000001</v>
      </c>
      <c r="BD129">
        <v>26.993099999999998</v>
      </c>
      <c r="BE129">
        <v>28.7621</v>
      </c>
      <c r="BF129">
        <v>0</v>
      </c>
      <c r="BG129">
        <v>0</v>
      </c>
      <c r="BH129">
        <v>10014.4</v>
      </c>
      <c r="BI129">
        <v>1082.71</v>
      </c>
      <c r="BJ129">
        <v>1.2334499999999999</v>
      </c>
      <c r="BK129">
        <v>-335.642</v>
      </c>
      <c r="BL129">
        <v>476.40100000000001</v>
      </c>
      <c r="BM129">
        <v>802.61</v>
      </c>
      <c r="BN129">
        <v>22.0032</v>
      </c>
      <c r="BO129">
        <v>800.02800000000002</v>
      </c>
      <c r="BP129">
        <v>3.21678</v>
      </c>
      <c r="BQ129">
        <v>2.4878499999999999</v>
      </c>
      <c r="BR129">
        <v>0.31732300000000002</v>
      </c>
      <c r="BS129">
        <v>20.947299999999998</v>
      </c>
      <c r="BT129">
        <v>-8.7504100000000005</v>
      </c>
      <c r="BU129">
        <v>1800</v>
      </c>
      <c r="BV129">
        <v>0.91002400000000006</v>
      </c>
      <c r="BW129">
        <v>3.3993700000000002E-2</v>
      </c>
      <c r="BX129">
        <v>2.1993200000000001E-2</v>
      </c>
      <c r="BY129">
        <v>3.3988499999999998E-2</v>
      </c>
      <c r="BZ129">
        <v>25</v>
      </c>
      <c r="CA129">
        <v>33528.5</v>
      </c>
      <c r="CB129">
        <v>1690376213.5999999</v>
      </c>
      <c r="CC129" t="s">
        <v>332</v>
      </c>
      <c r="CD129">
        <v>1690376213.5999999</v>
      </c>
      <c r="CE129">
        <v>1690376198.0999999</v>
      </c>
      <c r="CF129">
        <v>2</v>
      </c>
      <c r="CG129">
        <v>0.66900000000000004</v>
      </c>
      <c r="CH129">
        <v>-2.1000000000000001E-2</v>
      </c>
      <c r="CI129">
        <v>-0.70099999999999996</v>
      </c>
      <c r="CJ129">
        <v>0.21099999999999999</v>
      </c>
      <c r="CK129">
        <v>799</v>
      </c>
      <c r="CL129">
        <v>21</v>
      </c>
      <c r="CM129">
        <v>0.11</v>
      </c>
      <c r="CN129">
        <v>0.17</v>
      </c>
      <c r="CO129">
        <v>-332.91087499999998</v>
      </c>
      <c r="CP129">
        <v>-15.410532833020291</v>
      </c>
      <c r="CQ129">
        <v>1.4840298714564331</v>
      </c>
      <c r="CR129">
        <v>-1</v>
      </c>
      <c r="CS129">
        <v>21.728380000000001</v>
      </c>
      <c r="CT129">
        <v>1.517241275797292</v>
      </c>
      <c r="CU129">
        <v>0.14598336925828209</v>
      </c>
      <c r="CV129">
        <v>-1</v>
      </c>
      <c r="CW129">
        <v>0</v>
      </c>
      <c r="CX129">
        <v>0</v>
      </c>
      <c r="CY129" t="s">
        <v>333</v>
      </c>
      <c r="CZ129">
        <v>2.3651300000000002</v>
      </c>
      <c r="DA129">
        <v>2.7137500000000001</v>
      </c>
      <c r="DB129">
        <v>9.9914000000000003E-2</v>
      </c>
      <c r="DC129">
        <v>0.14560600000000001</v>
      </c>
      <c r="DD129">
        <v>0.11752700000000001</v>
      </c>
      <c r="DE129">
        <v>2.32423E-2</v>
      </c>
      <c r="DF129">
        <v>32879.4</v>
      </c>
      <c r="DG129">
        <v>27536.1</v>
      </c>
      <c r="DH129">
        <v>31182.9</v>
      </c>
      <c r="DI129">
        <v>28081.5</v>
      </c>
      <c r="DJ129">
        <v>37351.199999999997</v>
      </c>
      <c r="DK129">
        <v>38997.300000000003</v>
      </c>
      <c r="DL129">
        <v>44375.5</v>
      </c>
      <c r="DM129">
        <v>42549.4</v>
      </c>
      <c r="DN129">
        <v>1.4452799999999999</v>
      </c>
      <c r="DO129">
        <v>2.0522800000000001</v>
      </c>
      <c r="DP129">
        <v>9.36612E-2</v>
      </c>
      <c r="DQ129">
        <v>0.202373</v>
      </c>
      <c r="DR129">
        <v>25.459499999999998</v>
      </c>
      <c r="DS129">
        <v>25.452999999999999</v>
      </c>
      <c r="DT129">
        <v>51.1</v>
      </c>
      <c r="DU129">
        <v>27</v>
      </c>
      <c r="DV129">
        <v>18.541</v>
      </c>
      <c r="DW129">
        <v>60.920200000000001</v>
      </c>
      <c r="DX129">
        <v>36.878999999999998</v>
      </c>
      <c r="DY129">
        <v>1</v>
      </c>
      <c r="DZ129">
        <v>-0.139705</v>
      </c>
      <c r="EA129">
        <v>-0.60104000000000002</v>
      </c>
      <c r="EB129">
        <v>20.189399999999999</v>
      </c>
      <c r="EC129">
        <v>5.2413999999999996</v>
      </c>
      <c r="ED129">
        <v>12.039899999999999</v>
      </c>
      <c r="EE129">
        <v>5.0170000000000003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1.86887</v>
      </c>
      <c r="EL129">
        <v>1.8644799999999999</v>
      </c>
      <c r="EM129">
        <v>1.8691899999999999</v>
      </c>
      <c r="EN129">
        <v>1.8672</v>
      </c>
      <c r="EO129">
        <v>1.86328</v>
      </c>
      <c r="EP129">
        <v>1.86432</v>
      </c>
      <c r="EQ129">
        <v>1.87012</v>
      </c>
      <c r="ER129">
        <v>1.8693500000000001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-0.46400000000000002</v>
      </c>
      <c r="FG129">
        <v>0.21110000000000001</v>
      </c>
      <c r="FH129">
        <v>-0.150361779349652</v>
      </c>
      <c r="FI129">
        <v>-6.1462078757559423E-4</v>
      </c>
      <c r="FJ129">
        <v>-1.8861989874597051E-7</v>
      </c>
      <c r="FK129">
        <v>1.1980462299894961E-10</v>
      </c>
      <c r="FL129">
        <v>0.21114761904761539</v>
      </c>
      <c r="FM129">
        <v>0</v>
      </c>
      <c r="FN129">
        <v>0</v>
      </c>
      <c r="FO129">
        <v>0</v>
      </c>
      <c r="FP129">
        <v>3</v>
      </c>
      <c r="FQ129">
        <v>2158</v>
      </c>
      <c r="FR129">
        <v>1</v>
      </c>
      <c r="FS129">
        <v>19</v>
      </c>
      <c r="FT129">
        <v>27.9</v>
      </c>
      <c r="FU129">
        <v>28.1</v>
      </c>
      <c r="FV129">
        <v>1.7724599999999999</v>
      </c>
      <c r="FW129">
        <v>2.5695800000000002</v>
      </c>
      <c r="FX129">
        <v>1.5490699999999999</v>
      </c>
      <c r="FY129">
        <v>2.33643</v>
      </c>
      <c r="FZ129">
        <v>1.50146</v>
      </c>
      <c r="GA129">
        <v>2.36328</v>
      </c>
      <c r="GB129">
        <v>32.156399999999998</v>
      </c>
      <c r="GC129">
        <v>23.991199999999999</v>
      </c>
      <c r="GD129">
        <v>19</v>
      </c>
      <c r="GE129">
        <v>267.55900000000003</v>
      </c>
      <c r="GF129">
        <v>589.577</v>
      </c>
      <c r="GG129">
        <v>25.8445</v>
      </c>
      <c r="GH129">
        <v>25.682600000000001</v>
      </c>
      <c r="GI129">
        <v>30.0001</v>
      </c>
      <c r="GJ129">
        <v>25.784099999999999</v>
      </c>
      <c r="GK129">
        <v>25.747699999999998</v>
      </c>
      <c r="GL129">
        <v>35.430999999999997</v>
      </c>
      <c r="GM129">
        <v>79.692999999999998</v>
      </c>
      <c r="GN129">
        <v>60.488599999999998</v>
      </c>
      <c r="GO129">
        <v>25.856200000000001</v>
      </c>
      <c r="GP129">
        <v>800</v>
      </c>
      <c r="GQ129">
        <v>3.0104199999999999</v>
      </c>
      <c r="GR129">
        <v>99.771100000000004</v>
      </c>
      <c r="GS129">
        <v>99.549400000000006</v>
      </c>
    </row>
    <row r="130" spans="1:201" x14ac:dyDescent="0.25">
      <c r="A130">
        <v>114</v>
      </c>
      <c r="B130">
        <v>1690377896</v>
      </c>
      <c r="C130">
        <v>1179.5</v>
      </c>
      <c r="D130" t="s">
        <v>561</v>
      </c>
      <c r="E130" t="s">
        <v>562</v>
      </c>
      <c r="F130" t="s">
        <v>330</v>
      </c>
      <c r="H130">
        <v>1690377896</v>
      </c>
      <c r="I130">
        <f t="shared" si="30"/>
        <v>1.9877443533849529E-3</v>
      </c>
      <c r="J130">
        <f t="shared" si="31"/>
        <v>1.9877443533849528</v>
      </c>
      <c r="K130">
        <f t="shared" si="32"/>
        <v>28.503356245898193</v>
      </c>
      <c r="L130">
        <f t="shared" si="33"/>
        <v>461.94400000000002</v>
      </c>
      <c r="M130">
        <f t="shared" si="34"/>
        <v>107.94634716657031</v>
      </c>
      <c r="N130">
        <f t="shared" si="35"/>
        <v>10.65894820924925</v>
      </c>
      <c r="O130">
        <f t="shared" si="36"/>
        <v>45.613745168935999</v>
      </c>
      <c r="P130">
        <f t="shared" si="37"/>
        <v>0.13560323223817902</v>
      </c>
      <c r="Q130">
        <f t="shared" si="38"/>
        <v>2.0063708800310858</v>
      </c>
      <c r="R130">
        <f t="shared" si="39"/>
        <v>0.1307096638502131</v>
      </c>
      <c r="S130">
        <f t="shared" si="40"/>
        <v>8.2118494778244081E-2</v>
      </c>
      <c r="T130">
        <f t="shared" si="41"/>
        <v>276.11553001264468</v>
      </c>
      <c r="U130">
        <f t="shared" si="42"/>
        <v>28.658926813936244</v>
      </c>
      <c r="V130">
        <f t="shared" si="43"/>
        <v>28.658926813936244</v>
      </c>
      <c r="W130">
        <f t="shared" si="44"/>
        <v>3.9430773033300346</v>
      </c>
      <c r="X130">
        <f t="shared" si="45"/>
        <v>69.229511810592797</v>
      </c>
      <c r="Y130">
        <f t="shared" si="46"/>
        <v>2.4903779335952003</v>
      </c>
      <c r="Z130">
        <f t="shared" si="47"/>
        <v>3.5972779071571437</v>
      </c>
      <c r="AA130">
        <f t="shared" si="48"/>
        <v>1.4526993697348343</v>
      </c>
      <c r="AB130">
        <f t="shared" si="49"/>
        <v>-87.659525984276428</v>
      </c>
      <c r="AC130">
        <f t="shared" si="50"/>
        <v>-170.13950905777551</v>
      </c>
      <c r="AD130">
        <f t="shared" si="51"/>
        <v>-18.461010108818318</v>
      </c>
      <c r="AE130">
        <f t="shared" si="52"/>
        <v>-0.14451513822555739</v>
      </c>
      <c r="AF130">
        <v>10</v>
      </c>
      <c r="AG130">
        <v>3</v>
      </c>
      <c r="AH130">
        <f t="shared" si="53"/>
        <v>1</v>
      </c>
      <c r="AI130">
        <f t="shared" si="54"/>
        <v>0</v>
      </c>
      <c r="AJ130">
        <f t="shared" si="55"/>
        <v>52104.064366590552</v>
      </c>
      <c r="AK130">
        <f t="shared" si="56"/>
        <v>1800.01</v>
      </c>
      <c r="AL130">
        <f t="shared" si="57"/>
        <v>1499.1234910175701</v>
      </c>
      <c r="AM130">
        <f t="shared" si="58"/>
        <v>0.83284175700000007</v>
      </c>
      <c r="AN130">
        <f t="shared" si="59"/>
        <v>0.15339666447</v>
      </c>
      <c r="AO130">
        <v>34.5</v>
      </c>
      <c r="AP130">
        <v>0.5</v>
      </c>
      <c r="AQ130" t="s">
        <v>331</v>
      </c>
      <c r="AR130">
        <v>2</v>
      </c>
      <c r="AS130">
        <v>1690377896</v>
      </c>
      <c r="AT130">
        <v>461.94400000000002</v>
      </c>
      <c r="AU130">
        <v>800.13099999999997</v>
      </c>
      <c r="AV130">
        <v>25.220800000000001</v>
      </c>
      <c r="AW130">
        <v>2.9488799999999999</v>
      </c>
      <c r="AX130">
        <v>462.40699999999998</v>
      </c>
      <c r="AY130">
        <v>25.009599999999999</v>
      </c>
      <c r="AZ130">
        <v>300.14299999999997</v>
      </c>
      <c r="BA130">
        <v>98.643000000000001</v>
      </c>
      <c r="BB130">
        <v>0.100019</v>
      </c>
      <c r="BC130">
        <v>27.085999999999999</v>
      </c>
      <c r="BD130">
        <v>26.992799999999999</v>
      </c>
      <c r="BE130">
        <v>28.755800000000001</v>
      </c>
      <c r="BF130">
        <v>0</v>
      </c>
      <c r="BG130">
        <v>0</v>
      </c>
      <c r="BH130">
        <v>9991.8799999999992</v>
      </c>
      <c r="BI130">
        <v>1082.74</v>
      </c>
      <c r="BJ130">
        <v>1.2334499999999999</v>
      </c>
      <c r="BK130">
        <v>-338.18700000000001</v>
      </c>
      <c r="BL130">
        <v>473.89600000000002</v>
      </c>
      <c r="BM130">
        <v>802.49800000000005</v>
      </c>
      <c r="BN130">
        <v>22.271899999999999</v>
      </c>
      <c r="BO130">
        <v>800.13099999999997</v>
      </c>
      <c r="BP130">
        <v>2.9488799999999999</v>
      </c>
      <c r="BQ130">
        <v>2.4878499999999999</v>
      </c>
      <c r="BR130">
        <v>0.29088599999999998</v>
      </c>
      <c r="BS130">
        <v>20.947199999999999</v>
      </c>
      <c r="BT130">
        <v>-9.8573799999999991</v>
      </c>
      <c r="BU130">
        <v>1800.01</v>
      </c>
      <c r="BV130">
        <v>0.91002700000000003</v>
      </c>
      <c r="BW130">
        <v>3.3992700000000001E-2</v>
      </c>
      <c r="BX130">
        <v>2.1992600000000001E-2</v>
      </c>
      <c r="BY130">
        <v>3.3987499999999997E-2</v>
      </c>
      <c r="BZ130">
        <v>25</v>
      </c>
      <c r="CA130">
        <v>33528.699999999997</v>
      </c>
      <c r="CB130">
        <v>1690376213.5999999</v>
      </c>
      <c r="CC130" t="s">
        <v>332</v>
      </c>
      <c r="CD130">
        <v>1690376213.5999999</v>
      </c>
      <c r="CE130">
        <v>1690376198.0999999</v>
      </c>
      <c r="CF130">
        <v>2</v>
      </c>
      <c r="CG130">
        <v>0.66900000000000004</v>
      </c>
      <c r="CH130">
        <v>-2.1000000000000001E-2</v>
      </c>
      <c r="CI130">
        <v>-0.70099999999999996</v>
      </c>
      <c r="CJ130">
        <v>0.21099999999999999</v>
      </c>
      <c r="CK130">
        <v>799</v>
      </c>
      <c r="CL130">
        <v>21</v>
      </c>
      <c r="CM130">
        <v>0.11</v>
      </c>
      <c r="CN130">
        <v>0.17</v>
      </c>
      <c r="CO130">
        <v>-335.32556097560968</v>
      </c>
      <c r="CP130">
        <v>-15.804250871080519</v>
      </c>
      <c r="CQ130">
        <v>1.559206600130894</v>
      </c>
      <c r="CR130">
        <v>-1</v>
      </c>
      <c r="CS130">
        <v>21.964404878048779</v>
      </c>
      <c r="CT130">
        <v>1.5410571428571711</v>
      </c>
      <c r="CU130">
        <v>0.15198953422124201</v>
      </c>
      <c r="CV130">
        <v>-1</v>
      </c>
      <c r="CW130">
        <v>0</v>
      </c>
      <c r="CX130">
        <v>0</v>
      </c>
      <c r="CY130" t="s">
        <v>333</v>
      </c>
      <c r="CZ130">
        <v>2.3650099999999998</v>
      </c>
      <c r="DA130">
        <v>2.7138</v>
      </c>
      <c r="DB130">
        <v>9.9520600000000001E-2</v>
      </c>
      <c r="DC130">
        <v>0.14560799999999999</v>
      </c>
      <c r="DD130">
        <v>0.11752600000000001</v>
      </c>
      <c r="DE130">
        <v>2.1538399999999999E-2</v>
      </c>
      <c r="DF130">
        <v>32893.9</v>
      </c>
      <c r="DG130">
        <v>27535.7</v>
      </c>
      <c r="DH130">
        <v>31183.1</v>
      </c>
      <c r="DI130">
        <v>28081.1</v>
      </c>
      <c r="DJ130">
        <v>37351.4</v>
      </c>
      <c r="DK130">
        <v>39065.1</v>
      </c>
      <c r="DL130">
        <v>44375.7</v>
      </c>
      <c r="DM130">
        <v>42548.9</v>
      </c>
      <c r="DN130">
        <v>1.4454</v>
      </c>
      <c r="DO130">
        <v>2.0516999999999999</v>
      </c>
      <c r="DP130">
        <v>9.3705999999999998E-2</v>
      </c>
      <c r="DQ130">
        <v>0.201762</v>
      </c>
      <c r="DR130">
        <v>25.458400000000001</v>
      </c>
      <c r="DS130">
        <v>25.456800000000001</v>
      </c>
      <c r="DT130">
        <v>50.6</v>
      </c>
      <c r="DU130">
        <v>27</v>
      </c>
      <c r="DV130">
        <v>18.3598</v>
      </c>
      <c r="DW130">
        <v>61.090200000000003</v>
      </c>
      <c r="DX130">
        <v>36.650599999999997</v>
      </c>
      <c r="DY130">
        <v>1</v>
      </c>
      <c r="DZ130">
        <v>-0.13969999999999999</v>
      </c>
      <c r="EA130">
        <v>-0.60819999999999996</v>
      </c>
      <c r="EB130">
        <v>20.189399999999999</v>
      </c>
      <c r="EC130">
        <v>5.2416999999999998</v>
      </c>
      <c r="ED130">
        <v>12.039899999999999</v>
      </c>
      <c r="EE130">
        <v>5.0170500000000002</v>
      </c>
      <c r="EF130">
        <v>3.2879999999999998</v>
      </c>
      <c r="EG130">
        <v>9999</v>
      </c>
      <c r="EH130">
        <v>9999</v>
      </c>
      <c r="EI130">
        <v>9999</v>
      </c>
      <c r="EJ130">
        <v>999.9</v>
      </c>
      <c r="EK130">
        <v>1.86886</v>
      </c>
      <c r="EL130">
        <v>1.86449</v>
      </c>
      <c r="EM130">
        <v>1.86917</v>
      </c>
      <c r="EN130">
        <v>1.8671800000000001</v>
      </c>
      <c r="EO130">
        <v>1.8632899999999999</v>
      </c>
      <c r="EP130">
        <v>1.86432</v>
      </c>
      <c r="EQ130">
        <v>1.87012</v>
      </c>
      <c r="ER130">
        <v>1.8693500000000001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-0.46300000000000002</v>
      </c>
      <c r="FG130">
        <v>0.2112</v>
      </c>
      <c r="FH130">
        <v>-0.150361779349652</v>
      </c>
      <c r="FI130">
        <v>-6.1462078757559423E-4</v>
      </c>
      <c r="FJ130">
        <v>-1.8861989874597051E-7</v>
      </c>
      <c r="FK130">
        <v>1.1980462299894961E-10</v>
      </c>
      <c r="FL130">
        <v>0.21114761904761539</v>
      </c>
      <c r="FM130">
        <v>0</v>
      </c>
      <c r="FN130">
        <v>0</v>
      </c>
      <c r="FO130">
        <v>0</v>
      </c>
      <c r="FP130">
        <v>3</v>
      </c>
      <c r="FQ130">
        <v>2158</v>
      </c>
      <c r="FR130">
        <v>1</v>
      </c>
      <c r="FS130">
        <v>19</v>
      </c>
      <c r="FT130">
        <v>28</v>
      </c>
      <c r="FU130">
        <v>28.3</v>
      </c>
      <c r="FV130">
        <v>1.7712399999999999</v>
      </c>
      <c r="FW130">
        <v>2.5671400000000002</v>
      </c>
      <c r="FX130">
        <v>1.5490699999999999</v>
      </c>
      <c r="FY130">
        <v>2.33643</v>
      </c>
      <c r="FZ130">
        <v>1.50146</v>
      </c>
      <c r="GA130">
        <v>2.3828100000000001</v>
      </c>
      <c r="GB130">
        <v>32.156399999999998</v>
      </c>
      <c r="GC130">
        <v>23.991199999999999</v>
      </c>
      <c r="GD130">
        <v>19</v>
      </c>
      <c r="GE130">
        <v>267.61</v>
      </c>
      <c r="GF130">
        <v>589.12400000000002</v>
      </c>
      <c r="GG130">
        <v>25.864100000000001</v>
      </c>
      <c r="GH130">
        <v>25.684100000000001</v>
      </c>
      <c r="GI130">
        <v>30.0001</v>
      </c>
      <c r="GJ130">
        <v>25.784099999999999</v>
      </c>
      <c r="GK130">
        <v>25.7498</v>
      </c>
      <c r="GL130">
        <v>35.415500000000002</v>
      </c>
      <c r="GM130">
        <v>80.936199999999999</v>
      </c>
      <c r="GN130">
        <v>59.304299999999998</v>
      </c>
      <c r="GO130">
        <v>25.872900000000001</v>
      </c>
      <c r="GP130">
        <v>800</v>
      </c>
      <c r="GQ130">
        <v>2.74674</v>
      </c>
      <c r="GR130">
        <v>99.771500000000003</v>
      </c>
      <c r="GS130">
        <v>99.548199999999994</v>
      </c>
    </row>
    <row r="131" spans="1:201" x14ac:dyDescent="0.25">
      <c r="A131">
        <v>115</v>
      </c>
      <c r="B131">
        <v>1690377906</v>
      </c>
      <c r="C131">
        <v>1189.5</v>
      </c>
      <c r="D131" t="s">
        <v>563</v>
      </c>
      <c r="E131" t="s">
        <v>564</v>
      </c>
      <c r="F131" t="s">
        <v>330</v>
      </c>
      <c r="H131">
        <v>1690377906</v>
      </c>
      <c r="I131">
        <f t="shared" si="30"/>
        <v>2.0102157743273679E-3</v>
      </c>
      <c r="J131">
        <f t="shared" si="31"/>
        <v>2.0102157743273681</v>
      </c>
      <c r="K131">
        <f t="shared" si="32"/>
        <v>28.708666306214901</v>
      </c>
      <c r="L131">
        <f t="shared" si="33"/>
        <v>459.471</v>
      </c>
      <c r="M131">
        <f t="shared" si="34"/>
        <v>107.519243568043</v>
      </c>
      <c r="N131">
        <f t="shared" si="35"/>
        <v>10.617503906014775</v>
      </c>
      <c r="O131">
        <f t="shared" si="36"/>
        <v>45.372669815271003</v>
      </c>
      <c r="P131">
        <f t="shared" si="37"/>
        <v>0.13742641394071425</v>
      </c>
      <c r="Q131">
        <f t="shared" si="38"/>
        <v>2.007293244004392</v>
      </c>
      <c r="R131">
        <f t="shared" si="39"/>
        <v>0.13240521285871057</v>
      </c>
      <c r="S131">
        <f t="shared" si="40"/>
        <v>8.3189107986822705E-2</v>
      </c>
      <c r="T131">
        <f t="shared" si="41"/>
        <v>276.11400454199998</v>
      </c>
      <c r="U131">
        <f t="shared" si="42"/>
        <v>28.651990745558731</v>
      </c>
      <c r="V131">
        <f t="shared" si="43"/>
        <v>28.651990745558731</v>
      </c>
      <c r="W131">
        <f t="shared" si="44"/>
        <v>3.9414909857164875</v>
      </c>
      <c r="X131">
        <f t="shared" si="45"/>
        <v>69.240687338379502</v>
      </c>
      <c r="Y131">
        <f t="shared" si="46"/>
        <v>2.4910723550061</v>
      </c>
      <c r="Z131">
        <f t="shared" si="47"/>
        <v>3.5977002117732018</v>
      </c>
      <c r="AA131">
        <f t="shared" si="48"/>
        <v>1.4504186307103875</v>
      </c>
      <c r="AB131">
        <f t="shared" si="49"/>
        <v>-88.650515647836926</v>
      </c>
      <c r="AC131">
        <f t="shared" si="50"/>
        <v>-169.25068894221567</v>
      </c>
      <c r="AD131">
        <f t="shared" si="51"/>
        <v>-18.355676790891934</v>
      </c>
      <c r="AE131">
        <f t="shared" si="52"/>
        <v>-0.14287683894457359</v>
      </c>
      <c r="AF131">
        <v>10</v>
      </c>
      <c r="AG131">
        <v>3</v>
      </c>
      <c r="AH131">
        <f t="shared" si="53"/>
        <v>1</v>
      </c>
      <c r="AI131">
        <f t="shared" si="54"/>
        <v>0</v>
      </c>
      <c r="AJ131">
        <f t="shared" si="55"/>
        <v>52147.927112991762</v>
      </c>
      <c r="AK131">
        <f t="shared" si="56"/>
        <v>1800</v>
      </c>
      <c r="AL131">
        <f t="shared" si="57"/>
        <v>1499.1158681999998</v>
      </c>
      <c r="AM131">
        <f t="shared" si="58"/>
        <v>0.83284214899999987</v>
      </c>
      <c r="AN131">
        <f t="shared" si="59"/>
        <v>0.15339666919</v>
      </c>
      <c r="AO131">
        <v>34.5</v>
      </c>
      <c r="AP131">
        <v>0.5</v>
      </c>
      <c r="AQ131" t="s">
        <v>331</v>
      </c>
      <c r="AR131">
        <v>2</v>
      </c>
      <c r="AS131">
        <v>1690377906</v>
      </c>
      <c r="AT131">
        <v>459.471</v>
      </c>
      <c r="AU131">
        <v>800.03700000000003</v>
      </c>
      <c r="AV131">
        <v>25.226099999999999</v>
      </c>
      <c r="AW131">
        <v>2.7053699999999998</v>
      </c>
      <c r="AX131">
        <v>459.93299999999999</v>
      </c>
      <c r="AY131">
        <v>25.014900000000001</v>
      </c>
      <c r="AZ131">
        <v>300.18099999999998</v>
      </c>
      <c r="BA131">
        <v>98.649799999999999</v>
      </c>
      <c r="BB131">
        <v>0.10000100000000001</v>
      </c>
      <c r="BC131">
        <v>27.088000000000001</v>
      </c>
      <c r="BD131">
        <v>27.0032</v>
      </c>
      <c r="BE131">
        <v>28.759899999999998</v>
      </c>
      <c r="BF131">
        <v>0</v>
      </c>
      <c r="BG131">
        <v>0</v>
      </c>
      <c r="BH131">
        <v>10000</v>
      </c>
      <c r="BI131">
        <v>1082.5999999999999</v>
      </c>
      <c r="BJ131">
        <v>1.2054199999999999</v>
      </c>
      <c r="BK131">
        <v>-340.565</v>
      </c>
      <c r="BL131">
        <v>471.36200000000002</v>
      </c>
      <c r="BM131">
        <v>802.20699999999999</v>
      </c>
      <c r="BN131">
        <v>22.520700000000001</v>
      </c>
      <c r="BO131">
        <v>800.03700000000003</v>
      </c>
      <c r="BP131">
        <v>2.7053699999999998</v>
      </c>
      <c r="BQ131">
        <v>2.48855</v>
      </c>
      <c r="BR131">
        <v>0.26688400000000001</v>
      </c>
      <c r="BS131">
        <v>20.951799999999999</v>
      </c>
      <c r="BT131">
        <v>-10.9429</v>
      </c>
      <c r="BU131">
        <v>1800</v>
      </c>
      <c r="BV131">
        <v>0.91002899999999998</v>
      </c>
      <c r="BW131">
        <v>3.3992000000000001E-2</v>
      </c>
      <c r="BX131">
        <v>2.19922E-2</v>
      </c>
      <c r="BY131">
        <v>3.39869E-2</v>
      </c>
      <c r="BZ131">
        <v>25</v>
      </c>
      <c r="CA131">
        <v>33528.5</v>
      </c>
      <c r="CB131">
        <v>1690376213.5999999</v>
      </c>
      <c r="CC131" t="s">
        <v>332</v>
      </c>
      <c r="CD131">
        <v>1690376213.5999999</v>
      </c>
      <c r="CE131">
        <v>1690376198.0999999</v>
      </c>
      <c r="CF131">
        <v>2</v>
      </c>
      <c r="CG131">
        <v>0.66900000000000004</v>
      </c>
      <c r="CH131">
        <v>-2.1000000000000001E-2</v>
      </c>
      <c r="CI131">
        <v>-0.70099999999999996</v>
      </c>
      <c r="CJ131">
        <v>0.21099999999999999</v>
      </c>
      <c r="CK131">
        <v>799</v>
      </c>
      <c r="CL131">
        <v>21</v>
      </c>
      <c r="CM131">
        <v>0.11</v>
      </c>
      <c r="CN131">
        <v>0.17</v>
      </c>
      <c r="CO131">
        <v>-338.06797499999999</v>
      </c>
      <c r="CP131">
        <v>-15.071088180111939</v>
      </c>
      <c r="CQ131">
        <v>1.4513962844016779</v>
      </c>
      <c r="CR131">
        <v>-1</v>
      </c>
      <c r="CS131">
        <v>22.243614999999998</v>
      </c>
      <c r="CT131">
        <v>1.556278424015008</v>
      </c>
      <c r="CU131">
        <v>0.14975649827303009</v>
      </c>
      <c r="CV131">
        <v>-1</v>
      </c>
      <c r="CW131">
        <v>0</v>
      </c>
      <c r="CX131">
        <v>0</v>
      </c>
      <c r="CY131" t="s">
        <v>333</v>
      </c>
      <c r="CZ131">
        <v>2.3651499999999999</v>
      </c>
      <c r="DA131">
        <v>2.7137899999999999</v>
      </c>
      <c r="DB131">
        <v>9.9131399999999995E-2</v>
      </c>
      <c r="DC131">
        <v>0.14560100000000001</v>
      </c>
      <c r="DD131">
        <v>0.117552</v>
      </c>
      <c r="DE131">
        <v>1.99632E-2</v>
      </c>
      <c r="DF131">
        <v>32908.400000000001</v>
      </c>
      <c r="DG131">
        <v>27535.8</v>
      </c>
      <c r="DH131">
        <v>31183.4</v>
      </c>
      <c r="DI131">
        <v>28081</v>
      </c>
      <c r="DJ131">
        <v>37350.5</v>
      </c>
      <c r="DK131">
        <v>39128</v>
      </c>
      <c r="DL131">
        <v>44376</v>
      </c>
      <c r="DM131">
        <v>42548.7</v>
      </c>
      <c r="DN131">
        <v>1.4458</v>
      </c>
      <c r="DO131">
        <v>2.05145</v>
      </c>
      <c r="DP131">
        <v>9.4145499999999993E-2</v>
      </c>
      <c r="DQ131">
        <v>0.20197799999999999</v>
      </c>
      <c r="DR131">
        <v>25.461600000000001</v>
      </c>
      <c r="DS131">
        <v>25.4573</v>
      </c>
      <c r="DT131">
        <v>50.3</v>
      </c>
      <c r="DU131">
        <v>27</v>
      </c>
      <c r="DV131">
        <v>18.248000000000001</v>
      </c>
      <c r="DW131">
        <v>61.260199999999998</v>
      </c>
      <c r="DX131">
        <v>36.570500000000003</v>
      </c>
      <c r="DY131">
        <v>1</v>
      </c>
      <c r="DZ131">
        <v>-0.13935</v>
      </c>
      <c r="EA131">
        <v>-0.60893200000000003</v>
      </c>
      <c r="EB131">
        <v>20.1892</v>
      </c>
      <c r="EC131">
        <v>5.2415500000000002</v>
      </c>
      <c r="ED131">
        <v>12.039899999999999</v>
      </c>
      <c r="EE131">
        <v>5.0171000000000001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1.8688400000000001</v>
      </c>
      <c r="EL131">
        <v>1.86449</v>
      </c>
      <c r="EM131">
        <v>1.8691599999999999</v>
      </c>
      <c r="EN131">
        <v>1.8672</v>
      </c>
      <c r="EO131">
        <v>1.8632899999999999</v>
      </c>
      <c r="EP131">
        <v>1.86433</v>
      </c>
      <c r="EQ131">
        <v>1.87012</v>
      </c>
      <c r="ER131">
        <v>1.8693500000000001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-0.46200000000000002</v>
      </c>
      <c r="FG131">
        <v>0.2112</v>
      </c>
      <c r="FH131">
        <v>-0.150361779349652</v>
      </c>
      <c r="FI131">
        <v>-6.1462078757559423E-4</v>
      </c>
      <c r="FJ131">
        <v>-1.8861989874597051E-7</v>
      </c>
      <c r="FK131">
        <v>1.1980462299894961E-10</v>
      </c>
      <c r="FL131">
        <v>0.21114761904761539</v>
      </c>
      <c r="FM131">
        <v>0</v>
      </c>
      <c r="FN131">
        <v>0</v>
      </c>
      <c r="FO131">
        <v>0</v>
      </c>
      <c r="FP131">
        <v>3</v>
      </c>
      <c r="FQ131">
        <v>2158</v>
      </c>
      <c r="FR131">
        <v>1</v>
      </c>
      <c r="FS131">
        <v>19</v>
      </c>
      <c r="FT131">
        <v>28.2</v>
      </c>
      <c r="FU131">
        <v>28.5</v>
      </c>
      <c r="FV131">
        <v>1.7712399999999999</v>
      </c>
      <c r="FW131">
        <v>2.5659200000000002</v>
      </c>
      <c r="FX131">
        <v>1.5490699999999999</v>
      </c>
      <c r="FY131">
        <v>2.33643</v>
      </c>
      <c r="FZ131">
        <v>1.50146</v>
      </c>
      <c r="GA131">
        <v>2.3815900000000001</v>
      </c>
      <c r="GB131">
        <v>32.156399999999998</v>
      </c>
      <c r="GC131">
        <v>23.991199999999999</v>
      </c>
      <c r="GD131">
        <v>19</v>
      </c>
      <c r="GE131">
        <v>267.77199999999999</v>
      </c>
      <c r="GF131">
        <v>588.91700000000003</v>
      </c>
      <c r="GG131">
        <v>25.880600000000001</v>
      </c>
      <c r="GH131">
        <v>25.684100000000001</v>
      </c>
      <c r="GI131">
        <v>30.0002</v>
      </c>
      <c r="GJ131">
        <v>25.784099999999999</v>
      </c>
      <c r="GK131">
        <v>25.7498</v>
      </c>
      <c r="GL131">
        <v>35.4129</v>
      </c>
      <c r="GM131">
        <v>82.160399999999996</v>
      </c>
      <c r="GN131">
        <v>58.485100000000003</v>
      </c>
      <c r="GO131">
        <v>25.836200000000002</v>
      </c>
      <c r="GP131">
        <v>800</v>
      </c>
      <c r="GQ131">
        <v>2.48291</v>
      </c>
      <c r="GR131">
        <v>99.772300000000001</v>
      </c>
      <c r="GS131">
        <v>99.547700000000006</v>
      </c>
    </row>
    <row r="132" spans="1:201" x14ac:dyDescent="0.25">
      <c r="A132">
        <v>116</v>
      </c>
      <c r="B132">
        <v>1690377916</v>
      </c>
      <c r="C132">
        <v>1199.5</v>
      </c>
      <c r="D132" t="s">
        <v>565</v>
      </c>
      <c r="E132" t="s">
        <v>566</v>
      </c>
      <c r="F132" t="s">
        <v>330</v>
      </c>
      <c r="H132">
        <v>1690377916</v>
      </c>
      <c r="I132">
        <f t="shared" si="30"/>
        <v>2.031711895768863E-3</v>
      </c>
      <c r="J132">
        <f t="shared" si="31"/>
        <v>2.0317118957688631</v>
      </c>
      <c r="K132">
        <f t="shared" si="32"/>
        <v>28.924052014210417</v>
      </c>
      <c r="L132">
        <f t="shared" si="33"/>
        <v>456.952</v>
      </c>
      <c r="M132">
        <f t="shared" si="34"/>
        <v>106.54404499337991</v>
      </c>
      <c r="N132">
        <f t="shared" si="35"/>
        <v>10.520718252338504</v>
      </c>
      <c r="O132">
        <f t="shared" si="36"/>
        <v>45.121839021047997</v>
      </c>
      <c r="P132">
        <f t="shared" si="37"/>
        <v>0.13911638566586748</v>
      </c>
      <c r="Q132">
        <f t="shared" si="38"/>
        <v>2.0057393439388309</v>
      </c>
      <c r="R132">
        <f t="shared" si="39"/>
        <v>0.13396959103318856</v>
      </c>
      <c r="S132">
        <f t="shared" si="40"/>
        <v>8.4177549058693693E-2</v>
      </c>
      <c r="T132">
        <f t="shared" si="41"/>
        <v>276.11410973400001</v>
      </c>
      <c r="U132">
        <f t="shared" si="42"/>
        <v>28.641876050168861</v>
      </c>
      <c r="V132">
        <f t="shared" si="43"/>
        <v>28.641876050168861</v>
      </c>
      <c r="W132">
        <f t="shared" si="44"/>
        <v>3.939178695975325</v>
      </c>
      <c r="X132">
        <f t="shared" si="45"/>
        <v>69.235809021595117</v>
      </c>
      <c r="Y132">
        <f t="shared" si="46"/>
        <v>2.4904144269294002</v>
      </c>
      <c r="Z132">
        <f t="shared" si="47"/>
        <v>3.5970034323605913</v>
      </c>
      <c r="AA132">
        <f t="shared" si="48"/>
        <v>1.4487642690459248</v>
      </c>
      <c r="AB132">
        <f t="shared" si="49"/>
        <v>-89.598494603406863</v>
      </c>
      <c r="AC132">
        <f t="shared" si="50"/>
        <v>-168.38277108450407</v>
      </c>
      <c r="AD132">
        <f t="shared" si="51"/>
        <v>-18.274473246056495</v>
      </c>
      <c r="AE132">
        <f t="shared" si="52"/>
        <v>-0.14162919996743994</v>
      </c>
      <c r="AF132">
        <v>10</v>
      </c>
      <c r="AG132">
        <v>3</v>
      </c>
      <c r="AH132">
        <f t="shared" si="53"/>
        <v>1</v>
      </c>
      <c r="AI132">
        <f t="shared" si="54"/>
        <v>0</v>
      </c>
      <c r="AJ132">
        <f t="shared" si="55"/>
        <v>52074.185442426446</v>
      </c>
      <c r="AK132">
        <f t="shared" si="56"/>
        <v>1800</v>
      </c>
      <c r="AL132">
        <f t="shared" si="57"/>
        <v>1499.1133193999997</v>
      </c>
      <c r="AM132">
        <f t="shared" si="58"/>
        <v>0.83284073299999983</v>
      </c>
      <c r="AN132">
        <f t="shared" si="59"/>
        <v>0.15339672763000001</v>
      </c>
      <c r="AO132">
        <v>34.5</v>
      </c>
      <c r="AP132">
        <v>0.5</v>
      </c>
      <c r="AQ132" t="s">
        <v>331</v>
      </c>
      <c r="AR132">
        <v>2</v>
      </c>
      <c r="AS132">
        <v>1690377916</v>
      </c>
      <c r="AT132">
        <v>456.952</v>
      </c>
      <c r="AU132">
        <v>800.07899999999995</v>
      </c>
      <c r="AV132">
        <v>25.220600000000001</v>
      </c>
      <c r="AW132">
        <v>2.4568699999999999</v>
      </c>
      <c r="AX132">
        <v>457.41199999999998</v>
      </c>
      <c r="AY132">
        <v>25.009399999999999</v>
      </c>
      <c r="AZ132">
        <v>300.154</v>
      </c>
      <c r="BA132">
        <v>98.645300000000006</v>
      </c>
      <c r="BB132">
        <v>9.9948999999999996E-2</v>
      </c>
      <c r="BC132">
        <v>27.084700000000002</v>
      </c>
      <c r="BD132">
        <v>26.997299999999999</v>
      </c>
      <c r="BE132">
        <v>28.732500000000002</v>
      </c>
      <c r="BF132">
        <v>0</v>
      </c>
      <c r="BG132">
        <v>0</v>
      </c>
      <c r="BH132">
        <v>9985.6200000000008</v>
      </c>
      <c r="BI132">
        <v>1082.55</v>
      </c>
      <c r="BJ132">
        <v>1.2334499999999999</v>
      </c>
      <c r="BK132">
        <v>-343.12700000000001</v>
      </c>
      <c r="BL132">
        <v>468.77499999999998</v>
      </c>
      <c r="BM132">
        <v>802.05</v>
      </c>
      <c r="BN132">
        <v>22.7637</v>
      </c>
      <c r="BO132">
        <v>800.07899999999995</v>
      </c>
      <c r="BP132">
        <v>2.4568699999999999</v>
      </c>
      <c r="BQ132">
        <v>2.4878900000000002</v>
      </c>
      <c r="BR132">
        <v>0.24235899999999999</v>
      </c>
      <c r="BS132">
        <v>20.947500000000002</v>
      </c>
      <c r="BT132">
        <v>-12.146000000000001</v>
      </c>
      <c r="BU132">
        <v>1800</v>
      </c>
      <c r="BV132">
        <v>0.91001699999999996</v>
      </c>
      <c r="BW132">
        <v>3.3998300000000002E-2</v>
      </c>
      <c r="BX132">
        <v>2.1991400000000001E-2</v>
      </c>
      <c r="BY132">
        <v>3.3993500000000003E-2</v>
      </c>
      <c r="BZ132">
        <v>25</v>
      </c>
      <c r="CA132">
        <v>33528.5</v>
      </c>
      <c r="CB132">
        <v>1690376213.5999999</v>
      </c>
      <c r="CC132" t="s">
        <v>332</v>
      </c>
      <c r="CD132">
        <v>1690376213.5999999</v>
      </c>
      <c r="CE132">
        <v>1690376198.0999999</v>
      </c>
      <c r="CF132">
        <v>2</v>
      </c>
      <c r="CG132">
        <v>0.66900000000000004</v>
      </c>
      <c r="CH132">
        <v>-2.1000000000000001E-2</v>
      </c>
      <c r="CI132">
        <v>-0.70099999999999996</v>
      </c>
      <c r="CJ132">
        <v>0.21099999999999999</v>
      </c>
      <c r="CK132">
        <v>799</v>
      </c>
      <c r="CL132">
        <v>21</v>
      </c>
      <c r="CM132">
        <v>0.11</v>
      </c>
      <c r="CN132">
        <v>0.17</v>
      </c>
      <c r="CO132">
        <v>-340.51035000000002</v>
      </c>
      <c r="CP132">
        <v>-14.7594821763595</v>
      </c>
      <c r="CQ132">
        <v>1.42269832624489</v>
      </c>
      <c r="CR132">
        <v>-1</v>
      </c>
      <c r="CS132">
        <v>22.501439999999999</v>
      </c>
      <c r="CT132">
        <v>1.5117613508442069</v>
      </c>
      <c r="CU132">
        <v>0.145464201438017</v>
      </c>
      <c r="CV132">
        <v>-1</v>
      </c>
      <c r="CW132">
        <v>0</v>
      </c>
      <c r="CX132">
        <v>0</v>
      </c>
      <c r="CY132" t="s">
        <v>333</v>
      </c>
      <c r="CZ132">
        <v>2.3650799999999998</v>
      </c>
      <c r="DA132">
        <v>2.71373</v>
      </c>
      <c r="DB132">
        <v>9.8722099999999993E-2</v>
      </c>
      <c r="DC132">
        <v>0.145595</v>
      </c>
      <c r="DD132">
        <v>0.11752799999999999</v>
      </c>
      <c r="DE132">
        <v>1.8323599999999999E-2</v>
      </c>
      <c r="DF132">
        <v>32923.300000000003</v>
      </c>
      <c r="DG132">
        <v>27535.5</v>
      </c>
      <c r="DH132">
        <v>31183.4</v>
      </c>
      <c r="DI132">
        <v>28080.5</v>
      </c>
      <c r="DJ132">
        <v>37351.800000000003</v>
      </c>
      <c r="DK132">
        <v>39192.800000000003</v>
      </c>
      <c r="DL132">
        <v>44376.4</v>
      </c>
      <c r="DM132">
        <v>42547.8</v>
      </c>
      <c r="DN132">
        <v>1.4459200000000001</v>
      </c>
      <c r="DO132">
        <v>2.0510999999999999</v>
      </c>
      <c r="DP132">
        <v>9.3653799999999995E-2</v>
      </c>
      <c r="DQ132">
        <v>0.20016700000000001</v>
      </c>
      <c r="DR132">
        <v>25.463799999999999</v>
      </c>
      <c r="DS132">
        <v>25.459499999999998</v>
      </c>
      <c r="DT132">
        <v>49.9</v>
      </c>
      <c r="DU132">
        <v>27</v>
      </c>
      <c r="DV132">
        <v>18.1038</v>
      </c>
      <c r="DW132">
        <v>61.490200000000002</v>
      </c>
      <c r="DX132">
        <v>36.774799999999999</v>
      </c>
      <c r="DY132">
        <v>1</v>
      </c>
      <c r="DZ132">
        <v>-0.139207</v>
      </c>
      <c r="EA132">
        <v>-0.53340399999999999</v>
      </c>
      <c r="EB132">
        <v>20.189699999999998</v>
      </c>
      <c r="EC132">
        <v>5.2416999999999998</v>
      </c>
      <c r="ED132">
        <v>12.039899999999999</v>
      </c>
      <c r="EE132">
        <v>5.0171999999999999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1.86886</v>
      </c>
      <c r="EL132">
        <v>1.86452</v>
      </c>
      <c r="EM132">
        <v>1.86917</v>
      </c>
      <c r="EN132">
        <v>1.8672</v>
      </c>
      <c r="EO132">
        <v>1.8633299999999999</v>
      </c>
      <c r="EP132">
        <v>1.86433</v>
      </c>
      <c r="EQ132">
        <v>1.87012</v>
      </c>
      <c r="ER132">
        <v>1.8693500000000001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-0.46</v>
      </c>
      <c r="FG132">
        <v>0.2112</v>
      </c>
      <c r="FH132">
        <v>-0.150361779349652</v>
      </c>
      <c r="FI132">
        <v>-6.1462078757559423E-4</v>
      </c>
      <c r="FJ132">
        <v>-1.8861989874597051E-7</v>
      </c>
      <c r="FK132">
        <v>1.1980462299894961E-10</v>
      </c>
      <c r="FL132">
        <v>0.21114761904761539</v>
      </c>
      <c r="FM132">
        <v>0</v>
      </c>
      <c r="FN132">
        <v>0</v>
      </c>
      <c r="FO132">
        <v>0</v>
      </c>
      <c r="FP132">
        <v>3</v>
      </c>
      <c r="FQ132">
        <v>2158</v>
      </c>
      <c r="FR132">
        <v>1</v>
      </c>
      <c r="FS132">
        <v>19</v>
      </c>
      <c r="FT132">
        <v>28.4</v>
      </c>
      <c r="FU132">
        <v>28.6</v>
      </c>
      <c r="FV132">
        <v>1.7700199999999999</v>
      </c>
      <c r="FW132">
        <v>2.5659200000000002</v>
      </c>
      <c r="FX132">
        <v>1.5490699999999999</v>
      </c>
      <c r="FY132">
        <v>2.33643</v>
      </c>
      <c r="FZ132">
        <v>1.50146</v>
      </c>
      <c r="GA132">
        <v>2.3559600000000001</v>
      </c>
      <c r="GB132">
        <v>32.156399999999998</v>
      </c>
      <c r="GC132">
        <v>23.991199999999999</v>
      </c>
      <c r="GD132">
        <v>19</v>
      </c>
      <c r="GE132">
        <v>267.83199999999999</v>
      </c>
      <c r="GF132">
        <v>588.62599999999998</v>
      </c>
      <c r="GG132">
        <v>25.841000000000001</v>
      </c>
      <c r="GH132">
        <v>25.684799999999999</v>
      </c>
      <c r="GI132">
        <v>30.0002</v>
      </c>
      <c r="GJ132">
        <v>25.786300000000001</v>
      </c>
      <c r="GK132">
        <v>25.7498</v>
      </c>
      <c r="GL132">
        <v>35.401800000000001</v>
      </c>
      <c r="GM132">
        <v>83.675799999999995</v>
      </c>
      <c r="GN132">
        <v>57.251300000000001</v>
      </c>
      <c r="GO132">
        <v>25.843299999999999</v>
      </c>
      <c r="GP132">
        <v>800</v>
      </c>
      <c r="GQ132">
        <v>2.22343</v>
      </c>
      <c r="GR132">
        <v>99.772800000000004</v>
      </c>
      <c r="GS132">
        <v>99.5458</v>
      </c>
    </row>
    <row r="133" spans="1:201" x14ac:dyDescent="0.25">
      <c r="A133">
        <v>117</v>
      </c>
      <c r="B133">
        <v>1690377926</v>
      </c>
      <c r="C133">
        <v>1209.5</v>
      </c>
      <c r="D133" t="s">
        <v>567</v>
      </c>
      <c r="E133" t="s">
        <v>568</v>
      </c>
      <c r="F133" t="s">
        <v>330</v>
      </c>
      <c r="H133">
        <v>1690377926</v>
      </c>
      <c r="I133">
        <f t="shared" si="30"/>
        <v>2.0532501396050922E-3</v>
      </c>
      <c r="J133">
        <f t="shared" si="31"/>
        <v>2.0532501396050922</v>
      </c>
      <c r="K133">
        <f t="shared" si="32"/>
        <v>29.129943280381831</v>
      </c>
      <c r="L133">
        <f t="shared" si="33"/>
        <v>454.53300000000002</v>
      </c>
      <c r="M133">
        <f t="shared" si="34"/>
        <v>105.75778770658559</v>
      </c>
      <c r="N133">
        <f t="shared" si="35"/>
        <v>10.443063640138927</v>
      </c>
      <c r="O133">
        <f t="shared" si="36"/>
        <v>44.882907901899003</v>
      </c>
      <c r="P133">
        <f t="shared" si="37"/>
        <v>0.14080587777981415</v>
      </c>
      <c r="Q133">
        <f t="shared" si="38"/>
        <v>2.0078920864699676</v>
      </c>
      <c r="R133">
        <f t="shared" si="39"/>
        <v>0.13554128411815777</v>
      </c>
      <c r="S133">
        <f t="shared" si="40"/>
        <v>8.5169905435913684E-2</v>
      </c>
      <c r="T133">
        <f t="shared" si="41"/>
        <v>276.114043638</v>
      </c>
      <c r="U133">
        <f t="shared" si="42"/>
        <v>28.632945095818375</v>
      </c>
      <c r="V133">
        <f t="shared" si="43"/>
        <v>28.632945095818375</v>
      </c>
      <c r="W133">
        <f t="shared" si="44"/>
        <v>3.9371380012537269</v>
      </c>
      <c r="X133">
        <f t="shared" si="45"/>
        <v>69.221596233251674</v>
      </c>
      <c r="Y133">
        <f t="shared" si="46"/>
        <v>2.4899762662686005</v>
      </c>
      <c r="Z133">
        <f t="shared" si="47"/>
        <v>3.5971089974265889</v>
      </c>
      <c r="AA133">
        <f t="shared" si="48"/>
        <v>1.4471617349851265</v>
      </c>
      <c r="AB133">
        <f t="shared" si="49"/>
        <v>-90.548331156584567</v>
      </c>
      <c r="AC133">
        <f t="shared" si="50"/>
        <v>-167.54259895596704</v>
      </c>
      <c r="AD133">
        <f t="shared" si="51"/>
        <v>-18.163029917412661</v>
      </c>
      <c r="AE133">
        <f t="shared" si="52"/>
        <v>-0.13991639196424899</v>
      </c>
      <c r="AF133">
        <v>10</v>
      </c>
      <c r="AG133">
        <v>3</v>
      </c>
      <c r="AH133">
        <f t="shared" si="53"/>
        <v>1</v>
      </c>
      <c r="AI133">
        <f t="shared" si="54"/>
        <v>0</v>
      </c>
      <c r="AJ133">
        <f t="shared" si="55"/>
        <v>52176.935403131276</v>
      </c>
      <c r="AK133">
        <f t="shared" si="56"/>
        <v>1800</v>
      </c>
      <c r="AL133">
        <f t="shared" si="57"/>
        <v>1499.1088428</v>
      </c>
      <c r="AM133">
        <f t="shared" si="58"/>
        <v>0.832838246</v>
      </c>
      <c r="AN133">
        <f t="shared" si="59"/>
        <v>0.15339669090999999</v>
      </c>
      <c r="AO133">
        <v>34.5</v>
      </c>
      <c r="AP133">
        <v>0.5</v>
      </c>
      <c r="AQ133" t="s">
        <v>331</v>
      </c>
      <c r="AR133">
        <v>2</v>
      </c>
      <c r="AS133">
        <v>1690377926</v>
      </c>
      <c r="AT133">
        <v>454.53300000000002</v>
      </c>
      <c r="AU133">
        <v>800.06299999999999</v>
      </c>
      <c r="AV133">
        <v>25.216200000000001</v>
      </c>
      <c r="AW133">
        <v>2.2123499999999998</v>
      </c>
      <c r="AX133">
        <v>454.99099999999999</v>
      </c>
      <c r="AY133">
        <v>25.004999999999999</v>
      </c>
      <c r="AZ133">
        <v>300.17099999999999</v>
      </c>
      <c r="BA133">
        <v>98.645099999999999</v>
      </c>
      <c r="BB133">
        <v>0.10000299999999999</v>
      </c>
      <c r="BC133">
        <v>27.0852</v>
      </c>
      <c r="BD133">
        <v>26.993500000000001</v>
      </c>
      <c r="BE133">
        <v>28.732199999999999</v>
      </c>
      <c r="BF133">
        <v>0</v>
      </c>
      <c r="BG133">
        <v>0</v>
      </c>
      <c r="BH133">
        <v>10006.200000000001</v>
      </c>
      <c r="BI133">
        <v>1082.46</v>
      </c>
      <c r="BJ133">
        <v>1.2334499999999999</v>
      </c>
      <c r="BK133">
        <v>-345.53</v>
      </c>
      <c r="BL133">
        <v>466.291</v>
      </c>
      <c r="BM133">
        <v>801.83699999999999</v>
      </c>
      <c r="BN133">
        <v>23.003799999999998</v>
      </c>
      <c r="BO133">
        <v>800.06299999999999</v>
      </c>
      <c r="BP133">
        <v>2.2123499999999998</v>
      </c>
      <c r="BQ133">
        <v>2.4874499999999999</v>
      </c>
      <c r="BR133">
        <v>0.21823699999999999</v>
      </c>
      <c r="BS133">
        <v>20.944600000000001</v>
      </c>
      <c r="BT133">
        <v>-13.440200000000001</v>
      </c>
      <c r="BU133">
        <v>1800</v>
      </c>
      <c r="BV133">
        <v>0.91</v>
      </c>
      <c r="BW133">
        <v>3.4005800000000003E-2</v>
      </c>
      <c r="BX133">
        <v>2.1990300000000001E-2</v>
      </c>
      <c r="BY133">
        <v>3.4003499999999999E-2</v>
      </c>
      <c r="BZ133">
        <v>25</v>
      </c>
      <c r="CA133">
        <v>33528.5</v>
      </c>
      <c r="CB133">
        <v>1690376213.5999999</v>
      </c>
      <c r="CC133" t="s">
        <v>332</v>
      </c>
      <c r="CD133">
        <v>1690376213.5999999</v>
      </c>
      <c r="CE133">
        <v>1690376198.0999999</v>
      </c>
      <c r="CF133">
        <v>2</v>
      </c>
      <c r="CG133">
        <v>0.66900000000000004</v>
      </c>
      <c r="CH133">
        <v>-2.1000000000000001E-2</v>
      </c>
      <c r="CI133">
        <v>-0.70099999999999996</v>
      </c>
      <c r="CJ133">
        <v>0.21099999999999999</v>
      </c>
      <c r="CK133">
        <v>799</v>
      </c>
      <c r="CL133">
        <v>21</v>
      </c>
      <c r="CM133">
        <v>0.11</v>
      </c>
      <c r="CN133">
        <v>0.17</v>
      </c>
      <c r="CO133">
        <v>-342.93650000000002</v>
      </c>
      <c r="CP133">
        <v>-14.84060037523518</v>
      </c>
      <c r="CQ133">
        <v>1.43006499852279</v>
      </c>
      <c r="CR133">
        <v>-1</v>
      </c>
      <c r="CS133">
        <v>22.747665000000001</v>
      </c>
      <c r="CT133">
        <v>1.437489681050615</v>
      </c>
      <c r="CU133">
        <v>0.13830953248059219</v>
      </c>
      <c r="CV133">
        <v>-1</v>
      </c>
      <c r="CW133">
        <v>0</v>
      </c>
      <c r="CX133">
        <v>0</v>
      </c>
      <c r="CY133" t="s">
        <v>333</v>
      </c>
      <c r="CZ133">
        <v>2.3651200000000001</v>
      </c>
      <c r="DA133">
        <v>2.7138</v>
      </c>
      <c r="DB133">
        <v>9.8332500000000003E-2</v>
      </c>
      <c r="DC133">
        <v>0.145588</v>
      </c>
      <c r="DD133">
        <v>0.11751300000000001</v>
      </c>
      <c r="DE133">
        <v>1.6679900000000001E-2</v>
      </c>
      <c r="DF133">
        <v>32937.199999999997</v>
      </c>
      <c r="DG133">
        <v>27536.400000000001</v>
      </c>
      <c r="DH133">
        <v>31183.1</v>
      </c>
      <c r="DI133">
        <v>28081.200000000001</v>
      </c>
      <c r="DJ133">
        <v>37351.800000000003</v>
      </c>
      <c r="DK133">
        <v>39259.5</v>
      </c>
      <c r="DL133">
        <v>44375.7</v>
      </c>
      <c r="DM133">
        <v>42548.800000000003</v>
      </c>
      <c r="DN133">
        <v>1.4460500000000001</v>
      </c>
      <c r="DO133">
        <v>2.0505800000000001</v>
      </c>
      <c r="DP133">
        <v>9.3288700000000002E-2</v>
      </c>
      <c r="DQ133">
        <v>0.19988400000000001</v>
      </c>
      <c r="DR133">
        <v>25.465900000000001</v>
      </c>
      <c r="DS133">
        <v>25.463799999999999</v>
      </c>
      <c r="DT133">
        <v>49.5</v>
      </c>
      <c r="DU133">
        <v>27</v>
      </c>
      <c r="DV133">
        <v>17.96</v>
      </c>
      <c r="DW133">
        <v>61.240200000000002</v>
      </c>
      <c r="DX133">
        <v>37.179499999999997</v>
      </c>
      <c r="DY133">
        <v>1</v>
      </c>
      <c r="DZ133">
        <v>-0.139017</v>
      </c>
      <c r="EA133">
        <v>-0.546427</v>
      </c>
      <c r="EB133">
        <v>20.189399999999999</v>
      </c>
      <c r="EC133">
        <v>5.2411000000000003</v>
      </c>
      <c r="ED133">
        <v>12.039899999999999</v>
      </c>
      <c r="EE133">
        <v>5.01715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1.86886</v>
      </c>
      <c r="EL133">
        <v>1.8644799999999999</v>
      </c>
      <c r="EM133">
        <v>1.8691800000000001</v>
      </c>
      <c r="EN133">
        <v>1.8672</v>
      </c>
      <c r="EO133">
        <v>1.86327</v>
      </c>
      <c r="EP133">
        <v>1.86432</v>
      </c>
      <c r="EQ133">
        <v>1.87012</v>
      </c>
      <c r="ER133">
        <v>1.8693500000000001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-0.45800000000000002</v>
      </c>
      <c r="FG133">
        <v>0.2112</v>
      </c>
      <c r="FH133">
        <v>-0.150361779349652</v>
      </c>
      <c r="FI133">
        <v>-6.1462078757559423E-4</v>
      </c>
      <c r="FJ133">
        <v>-1.8861989874597051E-7</v>
      </c>
      <c r="FK133">
        <v>1.1980462299894961E-10</v>
      </c>
      <c r="FL133">
        <v>0.21114761904761539</v>
      </c>
      <c r="FM133">
        <v>0</v>
      </c>
      <c r="FN133">
        <v>0</v>
      </c>
      <c r="FO133">
        <v>0</v>
      </c>
      <c r="FP133">
        <v>3</v>
      </c>
      <c r="FQ133">
        <v>2158</v>
      </c>
      <c r="FR133">
        <v>1</v>
      </c>
      <c r="FS133">
        <v>19</v>
      </c>
      <c r="FT133">
        <v>28.5</v>
      </c>
      <c r="FU133">
        <v>28.8</v>
      </c>
      <c r="FV133">
        <v>1.7700199999999999</v>
      </c>
      <c r="FW133">
        <v>2.5695800000000002</v>
      </c>
      <c r="FX133">
        <v>1.5490699999999999</v>
      </c>
      <c r="FY133">
        <v>2.33643</v>
      </c>
      <c r="FZ133">
        <v>1.50146</v>
      </c>
      <c r="GA133">
        <v>2.3840300000000001</v>
      </c>
      <c r="GB133">
        <v>32.156399999999998</v>
      </c>
      <c r="GC133">
        <v>23.991199999999999</v>
      </c>
      <c r="GD133">
        <v>19</v>
      </c>
      <c r="GE133">
        <v>267.88299999999998</v>
      </c>
      <c r="GF133">
        <v>588.19100000000003</v>
      </c>
      <c r="GG133">
        <v>25.8398</v>
      </c>
      <c r="GH133">
        <v>25.686299999999999</v>
      </c>
      <c r="GI133">
        <v>30</v>
      </c>
      <c r="GJ133">
        <v>25.786300000000001</v>
      </c>
      <c r="GK133">
        <v>25.7498</v>
      </c>
      <c r="GL133">
        <v>35.4009</v>
      </c>
      <c r="GM133">
        <v>85.31</v>
      </c>
      <c r="GN133">
        <v>56.411999999999999</v>
      </c>
      <c r="GO133">
        <v>25.849399999999999</v>
      </c>
      <c r="GP133">
        <v>800</v>
      </c>
      <c r="GQ133">
        <v>1.96482</v>
      </c>
      <c r="GR133">
        <v>99.771500000000003</v>
      </c>
      <c r="GS133">
        <v>99.548100000000005</v>
      </c>
    </row>
    <row r="134" spans="1:201" x14ac:dyDescent="0.25">
      <c r="A134">
        <v>118</v>
      </c>
      <c r="B134">
        <v>1690377936</v>
      </c>
      <c r="C134">
        <v>1219.5</v>
      </c>
      <c r="D134" t="s">
        <v>569</v>
      </c>
      <c r="E134" t="s">
        <v>570</v>
      </c>
      <c r="F134" t="s">
        <v>330</v>
      </c>
      <c r="H134">
        <v>1690377936</v>
      </c>
      <c r="I134">
        <f t="shared" si="30"/>
        <v>2.076180007484882E-3</v>
      </c>
      <c r="J134">
        <f t="shared" si="31"/>
        <v>2.076180007484882</v>
      </c>
      <c r="K134">
        <f t="shared" si="32"/>
        <v>29.323665130873085</v>
      </c>
      <c r="L134">
        <f t="shared" si="33"/>
        <v>452.19099999999997</v>
      </c>
      <c r="M134">
        <f t="shared" si="34"/>
        <v>105.66865400749863</v>
      </c>
      <c r="N134">
        <f t="shared" si="35"/>
        <v>10.434634415643615</v>
      </c>
      <c r="O134">
        <f t="shared" si="36"/>
        <v>44.653240030004199</v>
      </c>
      <c r="P134">
        <f t="shared" si="37"/>
        <v>0.14272748736301441</v>
      </c>
      <c r="Q134">
        <f t="shared" si="38"/>
        <v>2.0075431984303718</v>
      </c>
      <c r="R134">
        <f t="shared" si="39"/>
        <v>0.13732028505772592</v>
      </c>
      <c r="S134">
        <f t="shared" si="40"/>
        <v>8.6293925938723079E-2</v>
      </c>
      <c r="T134">
        <f t="shared" si="41"/>
        <v>276.114164346</v>
      </c>
      <c r="U134">
        <f t="shared" si="42"/>
        <v>28.62285631139801</v>
      </c>
      <c r="V134">
        <f t="shared" si="43"/>
        <v>28.62285631139801</v>
      </c>
      <c r="W134">
        <f t="shared" si="44"/>
        <v>3.9348338551609188</v>
      </c>
      <c r="X134">
        <f t="shared" si="45"/>
        <v>69.24112124454382</v>
      </c>
      <c r="Y134">
        <f t="shared" si="46"/>
        <v>2.49040085331352</v>
      </c>
      <c r="Z134">
        <f t="shared" si="47"/>
        <v>3.5967078645621484</v>
      </c>
      <c r="AA134">
        <f t="shared" si="48"/>
        <v>1.4444330018473988</v>
      </c>
      <c r="AB134">
        <f t="shared" si="49"/>
        <v>-91.559538330083299</v>
      </c>
      <c r="AC134">
        <f t="shared" si="50"/>
        <v>-166.62720941303553</v>
      </c>
      <c r="AD134">
        <f t="shared" si="51"/>
        <v>-18.065852110356758</v>
      </c>
      <c r="AE134">
        <f t="shared" si="52"/>
        <v>-0.138435507475549</v>
      </c>
      <c r="AF134">
        <v>10</v>
      </c>
      <c r="AG134">
        <v>3</v>
      </c>
      <c r="AH134">
        <f t="shared" si="53"/>
        <v>1</v>
      </c>
      <c r="AI134">
        <f t="shared" si="54"/>
        <v>0</v>
      </c>
      <c r="AJ134">
        <f t="shared" si="55"/>
        <v>52160.666108026729</v>
      </c>
      <c r="AK134">
        <f t="shared" si="56"/>
        <v>1800</v>
      </c>
      <c r="AL134">
        <f t="shared" si="57"/>
        <v>1499.1068106</v>
      </c>
      <c r="AM134">
        <f t="shared" si="58"/>
        <v>0.83283711699999996</v>
      </c>
      <c r="AN134">
        <f t="shared" si="59"/>
        <v>0.15339675796999999</v>
      </c>
      <c r="AO134">
        <v>34.5</v>
      </c>
      <c r="AP134">
        <v>0.5</v>
      </c>
      <c r="AQ134" t="s">
        <v>331</v>
      </c>
      <c r="AR134">
        <v>2</v>
      </c>
      <c r="AS134">
        <v>1690377936</v>
      </c>
      <c r="AT134">
        <v>452.19099999999997</v>
      </c>
      <c r="AU134">
        <v>800.10299999999995</v>
      </c>
      <c r="AV134">
        <v>25.2196</v>
      </c>
      <c r="AW134">
        <v>1.9528099999999999</v>
      </c>
      <c r="AX134">
        <v>452.64699999999999</v>
      </c>
      <c r="AY134">
        <v>25.008400000000002</v>
      </c>
      <c r="AZ134">
        <v>300.09199999999998</v>
      </c>
      <c r="BA134">
        <v>98.648700000000005</v>
      </c>
      <c r="BB134">
        <v>9.9926200000000007E-2</v>
      </c>
      <c r="BC134">
        <v>27.083300000000001</v>
      </c>
      <c r="BD134">
        <v>26.993300000000001</v>
      </c>
      <c r="BE134">
        <v>28.7102</v>
      </c>
      <c r="BF134">
        <v>0</v>
      </c>
      <c r="BG134">
        <v>0</v>
      </c>
      <c r="BH134">
        <v>10002.5</v>
      </c>
      <c r="BI134">
        <v>1082.49</v>
      </c>
      <c r="BJ134">
        <v>1.2334499999999999</v>
      </c>
      <c r="BK134">
        <v>-347.91199999999998</v>
      </c>
      <c r="BL134">
        <v>463.89</v>
      </c>
      <c r="BM134">
        <v>801.66899999999998</v>
      </c>
      <c r="BN134">
        <v>23.2667</v>
      </c>
      <c r="BO134">
        <v>800.10299999999995</v>
      </c>
      <c r="BP134">
        <v>1.9528099999999999</v>
      </c>
      <c r="BQ134">
        <v>2.4878800000000001</v>
      </c>
      <c r="BR134">
        <v>0.19264300000000001</v>
      </c>
      <c r="BS134">
        <v>20.947399999999998</v>
      </c>
      <c r="BT134">
        <v>-14.9612</v>
      </c>
      <c r="BU134">
        <v>1800</v>
      </c>
      <c r="BV134">
        <v>0.90998800000000002</v>
      </c>
      <c r="BW134">
        <v>3.4008099999999999E-2</v>
      </c>
      <c r="BX134">
        <v>2.1989600000000002E-2</v>
      </c>
      <c r="BY134">
        <v>3.4014099999999999E-2</v>
      </c>
      <c r="BZ134">
        <v>25</v>
      </c>
      <c r="CA134">
        <v>33528.400000000001</v>
      </c>
      <c r="CB134">
        <v>1690376213.5999999</v>
      </c>
      <c r="CC134" t="s">
        <v>332</v>
      </c>
      <c r="CD134">
        <v>1690376213.5999999</v>
      </c>
      <c r="CE134">
        <v>1690376198.0999999</v>
      </c>
      <c r="CF134">
        <v>2</v>
      </c>
      <c r="CG134">
        <v>0.66900000000000004</v>
      </c>
      <c r="CH134">
        <v>-2.1000000000000001E-2</v>
      </c>
      <c r="CI134">
        <v>-0.70099999999999996</v>
      </c>
      <c r="CJ134">
        <v>0.21099999999999999</v>
      </c>
      <c r="CK134">
        <v>799</v>
      </c>
      <c r="CL134">
        <v>21</v>
      </c>
      <c r="CM134">
        <v>0.11</v>
      </c>
      <c r="CN134">
        <v>0.17</v>
      </c>
      <c r="CO134">
        <v>-345.38747499999999</v>
      </c>
      <c r="CP134">
        <v>-14.72193996247564</v>
      </c>
      <c r="CQ134">
        <v>1.4172601911346421</v>
      </c>
      <c r="CR134">
        <v>-1</v>
      </c>
      <c r="CS134">
        <v>22.991457499999999</v>
      </c>
      <c r="CT134">
        <v>1.5063906191369221</v>
      </c>
      <c r="CU134">
        <v>0.14496065136356831</v>
      </c>
      <c r="CV134">
        <v>-1</v>
      </c>
      <c r="CW134">
        <v>0</v>
      </c>
      <c r="CX134">
        <v>0</v>
      </c>
      <c r="CY134" t="s">
        <v>333</v>
      </c>
      <c r="CZ134">
        <v>2.3648899999999999</v>
      </c>
      <c r="DA134">
        <v>2.7137199999999999</v>
      </c>
      <c r="DB134">
        <v>9.7958299999999998E-2</v>
      </c>
      <c r="DC134">
        <v>0.145593</v>
      </c>
      <c r="DD134">
        <v>0.11752799999999999</v>
      </c>
      <c r="DE134">
        <v>1.48998E-2</v>
      </c>
      <c r="DF134">
        <v>32950.800000000003</v>
      </c>
      <c r="DG134">
        <v>27536.3</v>
      </c>
      <c r="DH134">
        <v>31183</v>
      </c>
      <c r="DI134">
        <v>28081.3</v>
      </c>
      <c r="DJ134">
        <v>37351.199999999997</v>
      </c>
      <c r="DK134">
        <v>39331</v>
      </c>
      <c r="DL134">
        <v>44375.8</v>
      </c>
      <c r="DM134">
        <v>42549.1</v>
      </c>
      <c r="DN134">
        <v>1.4457500000000001</v>
      </c>
      <c r="DO134">
        <v>2.0499999999999998</v>
      </c>
      <c r="DP134">
        <v>9.3147199999999999E-2</v>
      </c>
      <c r="DQ134">
        <v>0.198245</v>
      </c>
      <c r="DR134">
        <v>25.468</v>
      </c>
      <c r="DS134">
        <v>25.468599999999999</v>
      </c>
      <c r="DT134">
        <v>49.2</v>
      </c>
      <c r="DU134">
        <v>27</v>
      </c>
      <c r="DV134">
        <v>17.8521</v>
      </c>
      <c r="DW134">
        <v>61.020200000000003</v>
      </c>
      <c r="DX134">
        <v>37.403799999999997</v>
      </c>
      <c r="DY134">
        <v>1</v>
      </c>
      <c r="DZ134">
        <v>-0.139233</v>
      </c>
      <c r="EA134">
        <v>-0.58906000000000003</v>
      </c>
      <c r="EB134">
        <v>20.189299999999999</v>
      </c>
      <c r="EC134">
        <v>5.2418500000000003</v>
      </c>
      <c r="ED134">
        <v>12.039899999999999</v>
      </c>
      <c r="EE134">
        <v>5.0171000000000001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1.8688400000000001</v>
      </c>
      <c r="EL134">
        <v>1.8644799999999999</v>
      </c>
      <c r="EM134">
        <v>1.86913</v>
      </c>
      <c r="EN134">
        <v>1.86717</v>
      </c>
      <c r="EO134">
        <v>1.86328</v>
      </c>
      <c r="EP134">
        <v>1.86432</v>
      </c>
      <c r="EQ134">
        <v>1.87012</v>
      </c>
      <c r="ER134">
        <v>1.8693500000000001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-0.45600000000000002</v>
      </c>
      <c r="FG134">
        <v>0.2112</v>
      </c>
      <c r="FH134">
        <v>-0.150361779349652</v>
      </c>
      <c r="FI134">
        <v>-6.1462078757559423E-4</v>
      </c>
      <c r="FJ134">
        <v>-1.8861989874597051E-7</v>
      </c>
      <c r="FK134">
        <v>1.1980462299894961E-10</v>
      </c>
      <c r="FL134">
        <v>0.21114761904761539</v>
      </c>
      <c r="FM134">
        <v>0</v>
      </c>
      <c r="FN134">
        <v>0</v>
      </c>
      <c r="FO134">
        <v>0</v>
      </c>
      <c r="FP134">
        <v>3</v>
      </c>
      <c r="FQ134">
        <v>2158</v>
      </c>
      <c r="FR134">
        <v>1</v>
      </c>
      <c r="FS134">
        <v>19</v>
      </c>
      <c r="FT134">
        <v>28.7</v>
      </c>
      <c r="FU134">
        <v>29</v>
      </c>
      <c r="FV134">
        <v>1.7700199999999999</v>
      </c>
      <c r="FW134">
        <v>2.5659200000000002</v>
      </c>
      <c r="FX134">
        <v>1.5490699999999999</v>
      </c>
      <c r="FY134">
        <v>2.33643</v>
      </c>
      <c r="FZ134">
        <v>1.50146</v>
      </c>
      <c r="GA134">
        <v>2.34131</v>
      </c>
      <c r="GB134">
        <v>32.156399999999998</v>
      </c>
      <c r="GC134">
        <v>23.991199999999999</v>
      </c>
      <c r="GD134">
        <v>19</v>
      </c>
      <c r="GE134">
        <v>267.76100000000002</v>
      </c>
      <c r="GF134">
        <v>587.71400000000006</v>
      </c>
      <c r="GG134">
        <v>25.8538</v>
      </c>
      <c r="GH134">
        <v>25.686299999999999</v>
      </c>
      <c r="GI134">
        <v>29.9999</v>
      </c>
      <c r="GJ134">
        <v>25.786300000000001</v>
      </c>
      <c r="GK134">
        <v>25.7498</v>
      </c>
      <c r="GL134">
        <v>35.387700000000002</v>
      </c>
      <c r="GM134">
        <v>87.159499999999994</v>
      </c>
      <c r="GN134">
        <v>55.2057</v>
      </c>
      <c r="GO134">
        <v>25.864000000000001</v>
      </c>
      <c r="GP134">
        <v>800</v>
      </c>
      <c r="GQ134">
        <v>1.70065</v>
      </c>
      <c r="GR134">
        <v>99.771500000000003</v>
      </c>
      <c r="GS134">
        <v>99.548699999999997</v>
      </c>
    </row>
    <row r="135" spans="1:201" x14ac:dyDescent="0.25">
      <c r="A135">
        <v>119</v>
      </c>
      <c r="B135">
        <v>1690377946</v>
      </c>
      <c r="C135">
        <v>1229.5</v>
      </c>
      <c r="D135" t="s">
        <v>571</v>
      </c>
      <c r="E135" t="s">
        <v>572</v>
      </c>
      <c r="F135" t="s">
        <v>330</v>
      </c>
      <c r="H135">
        <v>1690377946</v>
      </c>
      <c r="I135">
        <f t="shared" si="30"/>
        <v>2.0985163430008863E-3</v>
      </c>
      <c r="J135">
        <f t="shared" si="31"/>
        <v>2.0985163430008864</v>
      </c>
      <c r="K135">
        <f t="shared" si="32"/>
        <v>29.523143247930694</v>
      </c>
      <c r="L135">
        <f t="shared" si="33"/>
        <v>449.80500000000001</v>
      </c>
      <c r="M135">
        <f t="shared" si="34"/>
        <v>104.98292434673763</v>
      </c>
      <c r="N135">
        <f t="shared" si="35"/>
        <v>10.366353895204202</v>
      </c>
      <c r="O135">
        <f t="shared" si="36"/>
        <v>44.415202213570495</v>
      </c>
      <c r="P135">
        <f t="shared" si="37"/>
        <v>0.14446143212555043</v>
      </c>
      <c r="Q135">
        <f t="shared" si="38"/>
        <v>2.0067657521603803</v>
      </c>
      <c r="R135">
        <f t="shared" si="39"/>
        <v>0.13892273587139578</v>
      </c>
      <c r="S135">
        <f t="shared" si="40"/>
        <v>8.7306646344979894E-2</v>
      </c>
      <c r="T135">
        <f t="shared" si="41"/>
        <v>276.11620745399995</v>
      </c>
      <c r="U135">
        <f t="shared" si="42"/>
        <v>28.616090484032075</v>
      </c>
      <c r="V135">
        <f t="shared" si="43"/>
        <v>28.616090484032075</v>
      </c>
      <c r="W135">
        <f t="shared" si="44"/>
        <v>3.9332892877906978</v>
      </c>
      <c r="X135">
        <f t="shared" si="45"/>
        <v>69.232587643427578</v>
      </c>
      <c r="Y135">
        <f t="shared" si="46"/>
        <v>2.4902254702915201</v>
      </c>
      <c r="Z135">
        <f t="shared" si="47"/>
        <v>3.5968978699988305</v>
      </c>
      <c r="AA135">
        <f t="shared" si="48"/>
        <v>1.4430638174991777</v>
      </c>
      <c r="AB135">
        <f t="shared" si="49"/>
        <v>-92.544570726339089</v>
      </c>
      <c r="AC135">
        <f t="shared" si="50"/>
        <v>-165.7333246168331</v>
      </c>
      <c r="AD135">
        <f t="shared" si="51"/>
        <v>-17.97537093056707</v>
      </c>
      <c r="AE135">
        <f t="shared" si="52"/>
        <v>-0.137058819739309</v>
      </c>
      <c r="AF135">
        <v>10</v>
      </c>
      <c r="AG135">
        <v>3</v>
      </c>
      <c r="AH135">
        <f t="shared" si="53"/>
        <v>1</v>
      </c>
      <c r="AI135">
        <f t="shared" si="54"/>
        <v>0</v>
      </c>
      <c r="AJ135">
        <f t="shared" si="55"/>
        <v>52123.243955043923</v>
      </c>
      <c r="AK135">
        <f t="shared" si="56"/>
        <v>1800</v>
      </c>
      <c r="AL135">
        <f t="shared" si="57"/>
        <v>1499.1085854</v>
      </c>
      <c r="AM135">
        <f t="shared" si="58"/>
        <v>0.83283810300000005</v>
      </c>
      <c r="AN135">
        <f t="shared" si="59"/>
        <v>0.15339789302999998</v>
      </c>
      <c r="AO135">
        <v>34.5</v>
      </c>
      <c r="AP135">
        <v>0.5</v>
      </c>
      <c r="AQ135" t="s">
        <v>331</v>
      </c>
      <c r="AR135">
        <v>2</v>
      </c>
      <c r="AS135">
        <v>1690377946</v>
      </c>
      <c r="AT135">
        <v>449.80500000000001</v>
      </c>
      <c r="AU135">
        <v>800.01400000000001</v>
      </c>
      <c r="AV135">
        <v>25.219200000000001</v>
      </c>
      <c r="AW135">
        <v>1.70577</v>
      </c>
      <c r="AX135">
        <v>450.25900000000001</v>
      </c>
      <c r="AY135">
        <v>25.008099999999999</v>
      </c>
      <c r="AZ135">
        <v>300.13900000000001</v>
      </c>
      <c r="BA135">
        <v>98.643299999999996</v>
      </c>
      <c r="BB135">
        <v>9.9938100000000002E-2</v>
      </c>
      <c r="BC135">
        <v>27.084199999999999</v>
      </c>
      <c r="BD135">
        <v>26.991700000000002</v>
      </c>
      <c r="BE135">
        <v>28.717199999999998</v>
      </c>
      <c r="BF135">
        <v>0</v>
      </c>
      <c r="BG135">
        <v>0</v>
      </c>
      <c r="BH135">
        <v>9995.6200000000008</v>
      </c>
      <c r="BI135">
        <v>1082.42</v>
      </c>
      <c r="BJ135">
        <v>1.2334499999999999</v>
      </c>
      <c r="BK135">
        <v>-350.209</v>
      </c>
      <c r="BL135">
        <v>461.44200000000001</v>
      </c>
      <c r="BM135">
        <v>801.38099999999997</v>
      </c>
      <c r="BN135">
        <v>23.513400000000001</v>
      </c>
      <c r="BO135">
        <v>800.01400000000001</v>
      </c>
      <c r="BP135">
        <v>1.70577</v>
      </c>
      <c r="BQ135">
        <v>2.4877099999999999</v>
      </c>
      <c r="BR135">
        <v>0.168263</v>
      </c>
      <c r="BS135">
        <v>20.946300000000001</v>
      </c>
      <c r="BT135">
        <v>-16.588200000000001</v>
      </c>
      <c r="BU135">
        <v>1800</v>
      </c>
      <c r="BV135">
        <v>0.90997600000000001</v>
      </c>
      <c r="BW135">
        <v>3.4006799999999997E-2</v>
      </c>
      <c r="BX135">
        <v>2.20044E-2</v>
      </c>
      <c r="BY135">
        <v>3.4012899999999999E-2</v>
      </c>
      <c r="BZ135">
        <v>25</v>
      </c>
      <c r="CA135">
        <v>33528.199999999997</v>
      </c>
      <c r="CB135">
        <v>1690376213.5999999</v>
      </c>
      <c r="CC135" t="s">
        <v>332</v>
      </c>
      <c r="CD135">
        <v>1690376213.5999999</v>
      </c>
      <c r="CE135">
        <v>1690376198.0999999</v>
      </c>
      <c r="CF135">
        <v>2</v>
      </c>
      <c r="CG135">
        <v>0.66900000000000004</v>
      </c>
      <c r="CH135">
        <v>-2.1000000000000001E-2</v>
      </c>
      <c r="CI135">
        <v>-0.70099999999999996</v>
      </c>
      <c r="CJ135">
        <v>0.21099999999999999</v>
      </c>
      <c r="CK135">
        <v>799</v>
      </c>
      <c r="CL135">
        <v>21</v>
      </c>
      <c r="CM135">
        <v>0.11</v>
      </c>
      <c r="CN135">
        <v>0.17</v>
      </c>
      <c r="CO135">
        <v>-347.81256097560981</v>
      </c>
      <c r="CP135">
        <v>-13.79188850174231</v>
      </c>
      <c r="CQ135">
        <v>1.3615663692928439</v>
      </c>
      <c r="CR135">
        <v>-1</v>
      </c>
      <c r="CS135">
        <v>23.25063658536585</v>
      </c>
      <c r="CT135">
        <v>1.537471777003506</v>
      </c>
      <c r="CU135">
        <v>0.15162581470812039</v>
      </c>
      <c r="CV135">
        <v>-1</v>
      </c>
      <c r="CW135">
        <v>0</v>
      </c>
      <c r="CX135">
        <v>0</v>
      </c>
      <c r="CY135" t="s">
        <v>333</v>
      </c>
      <c r="CZ135">
        <v>2.3650699999999998</v>
      </c>
      <c r="DA135">
        <v>2.71373</v>
      </c>
      <c r="DB135">
        <v>9.7567299999999996E-2</v>
      </c>
      <c r="DC135">
        <v>0.145569</v>
      </c>
      <c r="DD135">
        <v>0.117521</v>
      </c>
      <c r="DE135">
        <v>1.31675E-2</v>
      </c>
      <c r="DF135">
        <v>32965.5</v>
      </c>
      <c r="DG135">
        <v>27536.7</v>
      </c>
      <c r="DH135">
        <v>31183.4</v>
      </c>
      <c r="DI135">
        <v>28080.9</v>
      </c>
      <c r="DJ135">
        <v>37351.9</v>
      </c>
      <c r="DK135">
        <v>39399.9</v>
      </c>
      <c r="DL135">
        <v>44376.3</v>
      </c>
      <c r="DM135">
        <v>42548.5</v>
      </c>
      <c r="DN135">
        <v>1.4461999999999999</v>
      </c>
      <c r="DO135">
        <v>2.04975</v>
      </c>
      <c r="DP135">
        <v>9.2886399999999994E-2</v>
      </c>
      <c r="DQ135">
        <v>0.198379</v>
      </c>
      <c r="DR135">
        <v>25.470700000000001</v>
      </c>
      <c r="DS135">
        <v>25.473400000000002</v>
      </c>
      <c r="DT135">
        <v>48.7</v>
      </c>
      <c r="DU135">
        <v>27</v>
      </c>
      <c r="DV135">
        <v>17.6677</v>
      </c>
      <c r="DW135">
        <v>61.130200000000002</v>
      </c>
      <c r="DX135">
        <v>37.427900000000001</v>
      </c>
      <c r="DY135">
        <v>1</v>
      </c>
      <c r="DZ135">
        <v>-0.13895099999999999</v>
      </c>
      <c r="EA135">
        <v>-0.59114900000000004</v>
      </c>
      <c r="EB135">
        <v>20.1892</v>
      </c>
      <c r="EC135">
        <v>5.2415500000000002</v>
      </c>
      <c r="ED135">
        <v>12.039899999999999</v>
      </c>
      <c r="EE135">
        <v>5.0171999999999999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1.8688499999999999</v>
      </c>
      <c r="EL135">
        <v>1.8645099999999999</v>
      </c>
      <c r="EM135">
        <v>1.86914</v>
      </c>
      <c r="EN135">
        <v>1.86717</v>
      </c>
      <c r="EO135">
        <v>1.86327</v>
      </c>
      <c r="EP135">
        <v>1.86432</v>
      </c>
      <c r="EQ135">
        <v>1.87012</v>
      </c>
      <c r="ER135">
        <v>1.8693599999999999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-0.45400000000000001</v>
      </c>
      <c r="FG135">
        <v>0.21110000000000001</v>
      </c>
      <c r="FH135">
        <v>-0.150361779349652</v>
      </c>
      <c r="FI135">
        <v>-6.1462078757559423E-4</v>
      </c>
      <c r="FJ135">
        <v>-1.8861989874597051E-7</v>
      </c>
      <c r="FK135">
        <v>1.1980462299894961E-10</v>
      </c>
      <c r="FL135">
        <v>0.21114761904761539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28.9</v>
      </c>
      <c r="FU135">
        <v>29.1</v>
      </c>
      <c r="FV135">
        <v>1.7700199999999999</v>
      </c>
      <c r="FW135">
        <v>2.5683600000000002</v>
      </c>
      <c r="FX135">
        <v>1.5490699999999999</v>
      </c>
      <c r="FY135">
        <v>2.33765</v>
      </c>
      <c r="FZ135">
        <v>1.50146</v>
      </c>
      <c r="GA135">
        <v>2.32178</v>
      </c>
      <c r="GB135">
        <v>32.156399999999998</v>
      </c>
      <c r="GC135">
        <v>23.991199999999999</v>
      </c>
      <c r="GD135">
        <v>19</v>
      </c>
      <c r="GE135">
        <v>267.94499999999999</v>
      </c>
      <c r="GF135">
        <v>587.50699999999995</v>
      </c>
      <c r="GG135">
        <v>25.870200000000001</v>
      </c>
      <c r="GH135">
        <v>25.688400000000001</v>
      </c>
      <c r="GI135">
        <v>30</v>
      </c>
      <c r="GJ135">
        <v>25.786300000000001</v>
      </c>
      <c r="GK135">
        <v>25.7498</v>
      </c>
      <c r="GL135">
        <v>35.383699999999997</v>
      </c>
      <c r="GM135">
        <v>88.960800000000006</v>
      </c>
      <c r="GN135">
        <v>54.034799999999997</v>
      </c>
      <c r="GO135">
        <v>25.872900000000001</v>
      </c>
      <c r="GP135">
        <v>800</v>
      </c>
      <c r="GQ135">
        <v>1.4417199999999999</v>
      </c>
      <c r="GR135">
        <v>99.772599999999997</v>
      </c>
      <c r="GS135">
        <v>99.547300000000007</v>
      </c>
    </row>
    <row r="136" spans="1:201" x14ac:dyDescent="0.25">
      <c r="A136">
        <v>120</v>
      </c>
      <c r="B136">
        <v>1690377956</v>
      </c>
      <c r="C136">
        <v>1239.5</v>
      </c>
      <c r="D136" t="s">
        <v>573</v>
      </c>
      <c r="E136" t="s">
        <v>574</v>
      </c>
      <c r="F136" t="s">
        <v>330</v>
      </c>
      <c r="H136">
        <v>1690377956</v>
      </c>
      <c r="I136">
        <f t="shared" si="30"/>
        <v>2.1199722680443232E-3</v>
      </c>
      <c r="J136">
        <f t="shared" si="31"/>
        <v>2.1199722680443234</v>
      </c>
      <c r="K136">
        <f t="shared" si="32"/>
        <v>29.723635060749736</v>
      </c>
      <c r="L136">
        <f t="shared" si="33"/>
        <v>447.52</v>
      </c>
      <c r="M136">
        <f t="shared" si="34"/>
        <v>104.14690798329741</v>
      </c>
      <c r="N136">
        <f t="shared" si="35"/>
        <v>10.283557968431261</v>
      </c>
      <c r="O136">
        <f t="shared" si="36"/>
        <v>44.188521302719998</v>
      </c>
      <c r="P136">
        <f t="shared" si="37"/>
        <v>0.14609339637313751</v>
      </c>
      <c r="Q136">
        <f t="shared" si="38"/>
        <v>2.0112528277071813</v>
      </c>
      <c r="R136">
        <f t="shared" si="39"/>
        <v>0.14044359708582541</v>
      </c>
      <c r="S136">
        <f t="shared" si="40"/>
        <v>8.8266655246057063E-2</v>
      </c>
      <c r="T136">
        <f t="shared" si="41"/>
        <v>276.11515338840354</v>
      </c>
      <c r="U136">
        <f t="shared" si="42"/>
        <v>28.610807001717038</v>
      </c>
      <c r="V136">
        <f t="shared" si="43"/>
        <v>28.610807001717038</v>
      </c>
      <c r="W136">
        <f t="shared" si="44"/>
        <v>3.9320834919615173</v>
      </c>
      <c r="X136">
        <f t="shared" si="45"/>
        <v>69.205310802883673</v>
      </c>
      <c r="Y136">
        <f t="shared" si="46"/>
        <v>2.4900772854138</v>
      </c>
      <c r="Z136">
        <f t="shared" si="47"/>
        <v>3.5981014412408978</v>
      </c>
      <c r="AA136">
        <f t="shared" si="48"/>
        <v>1.4420062065477173</v>
      </c>
      <c r="AB136">
        <f t="shared" si="49"/>
        <v>-93.490777020754649</v>
      </c>
      <c r="AC136">
        <f t="shared" si="50"/>
        <v>-164.91295371699067</v>
      </c>
      <c r="AD136">
        <f t="shared" si="51"/>
        <v>-17.846524953508744</v>
      </c>
      <c r="AE136">
        <f t="shared" si="52"/>
        <v>-0.13510230285049829</v>
      </c>
      <c r="AF136">
        <v>9</v>
      </c>
      <c r="AG136">
        <v>3</v>
      </c>
      <c r="AH136">
        <f t="shared" si="53"/>
        <v>1</v>
      </c>
      <c r="AI136">
        <f t="shared" si="54"/>
        <v>0</v>
      </c>
      <c r="AJ136">
        <f t="shared" si="55"/>
        <v>52336.880795337944</v>
      </c>
      <c r="AK136">
        <f t="shared" si="56"/>
        <v>1799.99</v>
      </c>
      <c r="AL136">
        <f t="shared" si="57"/>
        <v>1499.1009896148998</v>
      </c>
      <c r="AM136">
        <f t="shared" si="58"/>
        <v>0.83283850999999987</v>
      </c>
      <c r="AN136">
        <f t="shared" si="59"/>
        <v>0.15339815965000003</v>
      </c>
      <c r="AO136">
        <v>34.5</v>
      </c>
      <c r="AP136">
        <v>0.5</v>
      </c>
      <c r="AQ136" t="s">
        <v>331</v>
      </c>
      <c r="AR136">
        <v>2</v>
      </c>
      <c r="AS136">
        <v>1690377956</v>
      </c>
      <c r="AT136">
        <v>447.52</v>
      </c>
      <c r="AU136">
        <v>800.06299999999999</v>
      </c>
      <c r="AV136">
        <v>25.218299999999999</v>
      </c>
      <c r="AW136">
        <v>1.46618</v>
      </c>
      <c r="AX136">
        <v>447.97199999999998</v>
      </c>
      <c r="AY136">
        <v>25.007200000000001</v>
      </c>
      <c r="AZ136">
        <v>300.161</v>
      </c>
      <c r="BA136">
        <v>98.641000000000005</v>
      </c>
      <c r="BB136">
        <v>9.9886000000000003E-2</v>
      </c>
      <c r="BC136">
        <v>27.0899</v>
      </c>
      <c r="BD136">
        <v>27.006499999999999</v>
      </c>
      <c r="BE136">
        <v>28.721399999999999</v>
      </c>
      <c r="BF136">
        <v>0</v>
      </c>
      <c r="BG136">
        <v>0</v>
      </c>
      <c r="BH136">
        <v>10038.799999999999</v>
      </c>
      <c r="BI136">
        <v>1082.29</v>
      </c>
      <c r="BJ136">
        <v>1.2334499999999999</v>
      </c>
      <c r="BK136">
        <v>-352.54300000000001</v>
      </c>
      <c r="BL136">
        <v>459.09699999999998</v>
      </c>
      <c r="BM136">
        <v>801.23699999999997</v>
      </c>
      <c r="BN136">
        <v>23.752199999999998</v>
      </c>
      <c r="BO136">
        <v>800.06299999999999</v>
      </c>
      <c r="BP136">
        <v>1.46618</v>
      </c>
      <c r="BQ136">
        <v>2.4875600000000002</v>
      </c>
      <c r="BR136">
        <v>0.144625</v>
      </c>
      <c r="BS136">
        <v>20.945399999999999</v>
      </c>
      <c r="BT136">
        <v>-18.3809</v>
      </c>
      <c r="BU136">
        <v>1799.99</v>
      </c>
      <c r="BV136">
        <v>0.90997499999999998</v>
      </c>
      <c r="BW136">
        <v>3.4005199999999999E-2</v>
      </c>
      <c r="BX136">
        <v>2.20085E-2</v>
      </c>
      <c r="BY136">
        <v>3.4011300000000001E-2</v>
      </c>
      <c r="BZ136">
        <v>25</v>
      </c>
      <c r="CA136">
        <v>33528.1</v>
      </c>
      <c r="CB136">
        <v>1690376213.5999999</v>
      </c>
      <c r="CC136" t="s">
        <v>332</v>
      </c>
      <c r="CD136">
        <v>1690376213.5999999</v>
      </c>
      <c r="CE136">
        <v>1690376198.0999999</v>
      </c>
      <c r="CF136">
        <v>2</v>
      </c>
      <c r="CG136">
        <v>0.66900000000000004</v>
      </c>
      <c r="CH136">
        <v>-2.1000000000000001E-2</v>
      </c>
      <c r="CI136">
        <v>-0.70099999999999996</v>
      </c>
      <c r="CJ136">
        <v>0.21099999999999999</v>
      </c>
      <c r="CK136">
        <v>799</v>
      </c>
      <c r="CL136">
        <v>21</v>
      </c>
      <c r="CM136">
        <v>0.11</v>
      </c>
      <c r="CN136">
        <v>0.17</v>
      </c>
      <c r="CO136">
        <v>-350.06880000000001</v>
      </c>
      <c r="CP136">
        <v>-13.98353470919246</v>
      </c>
      <c r="CQ136">
        <v>1.3460597535027961</v>
      </c>
      <c r="CR136">
        <v>-1</v>
      </c>
      <c r="CS136">
        <v>23.494420000000002</v>
      </c>
      <c r="CT136">
        <v>1.46213808630384</v>
      </c>
      <c r="CU136">
        <v>0.1406631369620342</v>
      </c>
      <c r="CV136">
        <v>-1</v>
      </c>
      <c r="CW136">
        <v>0</v>
      </c>
      <c r="CX136">
        <v>0</v>
      </c>
      <c r="CY136" t="s">
        <v>333</v>
      </c>
      <c r="CZ136">
        <v>2.3651300000000002</v>
      </c>
      <c r="DA136">
        <v>2.7137099999999998</v>
      </c>
      <c r="DB136">
        <v>9.7194199999999994E-2</v>
      </c>
      <c r="DC136">
        <v>0.145566</v>
      </c>
      <c r="DD136">
        <v>0.11751499999999999</v>
      </c>
      <c r="DE136">
        <v>1.1451599999999999E-2</v>
      </c>
      <c r="DF136">
        <v>32979</v>
      </c>
      <c r="DG136">
        <v>27537.200000000001</v>
      </c>
      <c r="DH136">
        <v>31183.200000000001</v>
      </c>
      <c r="DI136">
        <v>28081.4</v>
      </c>
      <c r="DJ136">
        <v>37351.800000000003</v>
      </c>
      <c r="DK136">
        <v>39469.300000000003</v>
      </c>
      <c r="DL136">
        <v>44375.9</v>
      </c>
      <c r="DM136">
        <v>42549.3</v>
      </c>
      <c r="DN136">
        <v>1.44662</v>
      </c>
      <c r="DO136">
        <v>2.0494500000000002</v>
      </c>
      <c r="DP136">
        <v>9.3527100000000002E-2</v>
      </c>
      <c r="DQ136">
        <v>0.19830500000000001</v>
      </c>
      <c r="DR136">
        <v>25.475100000000001</v>
      </c>
      <c r="DS136">
        <v>25.4788</v>
      </c>
      <c r="DT136">
        <v>48.2</v>
      </c>
      <c r="DU136">
        <v>27</v>
      </c>
      <c r="DV136">
        <v>17.490500000000001</v>
      </c>
      <c r="DW136">
        <v>60.700200000000002</v>
      </c>
      <c r="DX136">
        <v>37.479999999999997</v>
      </c>
      <c r="DY136">
        <v>1</v>
      </c>
      <c r="DZ136">
        <v>-0.13914099999999999</v>
      </c>
      <c r="EA136">
        <v>-0.57333900000000004</v>
      </c>
      <c r="EB136">
        <v>20.189399999999999</v>
      </c>
      <c r="EC136">
        <v>5.2418500000000003</v>
      </c>
      <c r="ED136">
        <v>12.039899999999999</v>
      </c>
      <c r="EE136">
        <v>5.01715</v>
      </c>
      <c r="EF136">
        <v>3.2879999999999998</v>
      </c>
      <c r="EG136">
        <v>9999</v>
      </c>
      <c r="EH136">
        <v>9999</v>
      </c>
      <c r="EI136">
        <v>9999</v>
      </c>
      <c r="EJ136">
        <v>999.9</v>
      </c>
      <c r="EK136">
        <v>1.8688499999999999</v>
      </c>
      <c r="EL136">
        <v>1.86449</v>
      </c>
      <c r="EM136">
        <v>1.8691500000000001</v>
      </c>
      <c r="EN136">
        <v>1.8671800000000001</v>
      </c>
      <c r="EO136">
        <v>1.86327</v>
      </c>
      <c r="EP136">
        <v>1.86433</v>
      </c>
      <c r="EQ136">
        <v>1.87012</v>
      </c>
      <c r="ER136">
        <v>1.8693500000000001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-0.45200000000000001</v>
      </c>
      <c r="FG136">
        <v>0.21110000000000001</v>
      </c>
      <c r="FH136">
        <v>-0.150361779349652</v>
      </c>
      <c r="FI136">
        <v>-6.1462078757559423E-4</v>
      </c>
      <c r="FJ136">
        <v>-1.8861989874597051E-7</v>
      </c>
      <c r="FK136">
        <v>1.1980462299894961E-10</v>
      </c>
      <c r="FL136">
        <v>0.21114761904761539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29</v>
      </c>
      <c r="FU136">
        <v>29.3</v>
      </c>
      <c r="FV136">
        <v>1.7700199999999999</v>
      </c>
      <c r="FW136">
        <v>2.5683600000000002</v>
      </c>
      <c r="FX136">
        <v>1.5490699999999999</v>
      </c>
      <c r="FY136">
        <v>2.33765</v>
      </c>
      <c r="FZ136">
        <v>1.50146</v>
      </c>
      <c r="GA136">
        <v>2.36084</v>
      </c>
      <c r="GB136">
        <v>32.178400000000003</v>
      </c>
      <c r="GC136">
        <v>23.991199999999999</v>
      </c>
      <c r="GD136">
        <v>19</v>
      </c>
      <c r="GE136">
        <v>268.12700000000001</v>
      </c>
      <c r="GF136">
        <v>587.27599999999995</v>
      </c>
      <c r="GG136">
        <v>25.8767</v>
      </c>
      <c r="GH136">
        <v>25.688400000000001</v>
      </c>
      <c r="GI136">
        <v>30.0002</v>
      </c>
      <c r="GJ136">
        <v>25.788399999999999</v>
      </c>
      <c r="GK136">
        <v>25.7514</v>
      </c>
      <c r="GL136">
        <v>35.378799999999998</v>
      </c>
      <c r="GM136">
        <v>91.278099999999995</v>
      </c>
      <c r="GN136">
        <v>53.233199999999997</v>
      </c>
      <c r="GO136">
        <v>25.859300000000001</v>
      </c>
      <c r="GP136">
        <v>800</v>
      </c>
      <c r="GQ136">
        <v>1.1794800000000001</v>
      </c>
      <c r="GR136">
        <v>99.771900000000002</v>
      </c>
      <c r="GS136">
        <v>99.549099999999996</v>
      </c>
    </row>
    <row r="137" spans="1:201" x14ac:dyDescent="0.25">
      <c r="A137">
        <v>121</v>
      </c>
      <c r="B137">
        <v>1690377966</v>
      </c>
      <c r="C137">
        <v>1249.5</v>
      </c>
      <c r="D137" t="s">
        <v>575</v>
      </c>
      <c r="E137" t="s">
        <v>576</v>
      </c>
      <c r="F137" t="s">
        <v>330</v>
      </c>
      <c r="H137">
        <v>1690377966</v>
      </c>
      <c r="I137">
        <f t="shared" si="30"/>
        <v>2.1392168143476308E-3</v>
      </c>
      <c r="J137">
        <f t="shared" si="31"/>
        <v>2.1392168143476309</v>
      </c>
      <c r="K137">
        <f t="shared" si="32"/>
        <v>29.909843402746649</v>
      </c>
      <c r="L137">
        <f t="shared" si="33"/>
        <v>445.303</v>
      </c>
      <c r="M137">
        <f t="shared" si="34"/>
        <v>103.05311983505625</v>
      </c>
      <c r="N137">
        <f t="shared" si="35"/>
        <v>10.175536952675163</v>
      </c>
      <c r="O137">
        <f t="shared" si="36"/>
        <v>43.969528907903097</v>
      </c>
      <c r="P137">
        <f t="shared" si="37"/>
        <v>0.14753793193868697</v>
      </c>
      <c r="Q137">
        <f t="shared" si="38"/>
        <v>2.0081800594493018</v>
      </c>
      <c r="R137">
        <f t="shared" si="39"/>
        <v>0.14176977888289338</v>
      </c>
      <c r="S137">
        <f t="shared" si="40"/>
        <v>8.9105567265502145E-2</v>
      </c>
      <c r="T137">
        <f t="shared" si="41"/>
        <v>276.116704992</v>
      </c>
      <c r="U137">
        <f t="shared" si="42"/>
        <v>28.607141538130399</v>
      </c>
      <c r="V137">
        <f t="shared" si="43"/>
        <v>28.607141538130399</v>
      </c>
      <c r="W137">
        <f t="shared" si="44"/>
        <v>3.9312471496402694</v>
      </c>
      <c r="X137">
        <f t="shared" si="45"/>
        <v>69.191117717227982</v>
      </c>
      <c r="Y137">
        <f t="shared" si="46"/>
        <v>2.4897565665752701</v>
      </c>
      <c r="Z137">
        <f t="shared" si="47"/>
        <v>3.5983759891702727</v>
      </c>
      <c r="AA137">
        <f t="shared" si="48"/>
        <v>1.4414905830649993</v>
      </c>
      <c r="AB137">
        <f t="shared" si="49"/>
        <v>-94.339461512730523</v>
      </c>
      <c r="AC137">
        <f t="shared" si="50"/>
        <v>-164.12341572687754</v>
      </c>
      <c r="AD137">
        <f t="shared" si="51"/>
        <v>-17.788049011746825</v>
      </c>
      <c r="AE137">
        <f t="shared" si="52"/>
        <v>-0.13422125935485951</v>
      </c>
      <c r="AF137">
        <v>9</v>
      </c>
      <c r="AG137">
        <v>3</v>
      </c>
      <c r="AH137">
        <f t="shared" si="53"/>
        <v>1</v>
      </c>
      <c r="AI137">
        <f t="shared" si="54"/>
        <v>0</v>
      </c>
      <c r="AJ137">
        <f t="shared" si="55"/>
        <v>52189.564899635006</v>
      </c>
      <c r="AK137">
        <f t="shared" si="56"/>
        <v>1800</v>
      </c>
      <c r="AL137">
        <f t="shared" si="57"/>
        <v>1499.1107201999998</v>
      </c>
      <c r="AM137">
        <f t="shared" si="58"/>
        <v>0.83283928899999993</v>
      </c>
      <c r="AN137">
        <f t="shared" si="59"/>
        <v>0.15339816944000001</v>
      </c>
      <c r="AO137">
        <v>34.5</v>
      </c>
      <c r="AP137">
        <v>0.5</v>
      </c>
      <c r="AQ137" t="s">
        <v>331</v>
      </c>
      <c r="AR137">
        <v>2</v>
      </c>
      <c r="AS137">
        <v>1690377966</v>
      </c>
      <c r="AT137">
        <v>445.303</v>
      </c>
      <c r="AU137">
        <v>800.06500000000005</v>
      </c>
      <c r="AV137">
        <v>25.2151</v>
      </c>
      <c r="AW137">
        <v>1.2449699999999999</v>
      </c>
      <c r="AX137">
        <v>445.75400000000002</v>
      </c>
      <c r="AY137">
        <v>25.003900000000002</v>
      </c>
      <c r="AZ137">
        <v>300.13200000000001</v>
      </c>
      <c r="BA137">
        <v>98.640699999999995</v>
      </c>
      <c r="BB137">
        <v>9.9997699999999995E-2</v>
      </c>
      <c r="BC137">
        <v>27.091200000000001</v>
      </c>
      <c r="BD137">
        <v>26.996400000000001</v>
      </c>
      <c r="BE137">
        <v>28.7057</v>
      </c>
      <c r="BF137">
        <v>0</v>
      </c>
      <c r="BG137">
        <v>0</v>
      </c>
      <c r="BH137">
        <v>10009.4</v>
      </c>
      <c r="BI137">
        <v>1082.3499999999999</v>
      </c>
      <c r="BJ137">
        <v>1.2334499999999999</v>
      </c>
      <c r="BK137">
        <v>-354.762</v>
      </c>
      <c r="BL137">
        <v>456.822</v>
      </c>
      <c r="BM137">
        <v>801.06200000000001</v>
      </c>
      <c r="BN137">
        <v>23.970099999999999</v>
      </c>
      <c r="BO137">
        <v>800.06500000000005</v>
      </c>
      <c r="BP137">
        <v>1.2449699999999999</v>
      </c>
      <c r="BQ137">
        <v>2.4872299999999998</v>
      </c>
      <c r="BR137">
        <v>0.122805</v>
      </c>
      <c r="BS137">
        <v>20.943200000000001</v>
      </c>
      <c r="BT137">
        <v>-20.285799999999998</v>
      </c>
      <c r="BU137">
        <v>1800</v>
      </c>
      <c r="BV137">
        <v>0.90997899999999998</v>
      </c>
      <c r="BW137">
        <v>3.4003899999999997E-2</v>
      </c>
      <c r="BX137">
        <v>2.2007700000000002E-2</v>
      </c>
      <c r="BY137">
        <v>3.4009999999999999E-2</v>
      </c>
      <c r="BZ137">
        <v>25</v>
      </c>
      <c r="CA137">
        <v>33528.199999999997</v>
      </c>
      <c r="CB137">
        <v>1690376213.5999999</v>
      </c>
      <c r="CC137" t="s">
        <v>332</v>
      </c>
      <c r="CD137">
        <v>1690376213.5999999</v>
      </c>
      <c r="CE137">
        <v>1690376198.0999999</v>
      </c>
      <c r="CF137">
        <v>2</v>
      </c>
      <c r="CG137">
        <v>0.66900000000000004</v>
      </c>
      <c r="CH137">
        <v>-2.1000000000000001E-2</v>
      </c>
      <c r="CI137">
        <v>-0.70099999999999996</v>
      </c>
      <c r="CJ137">
        <v>0.21099999999999999</v>
      </c>
      <c r="CK137">
        <v>799</v>
      </c>
      <c r="CL137">
        <v>21</v>
      </c>
      <c r="CM137">
        <v>0.11</v>
      </c>
      <c r="CN137">
        <v>0.17</v>
      </c>
      <c r="CO137">
        <v>-352.378175</v>
      </c>
      <c r="CP137">
        <v>-13.75610881801069</v>
      </c>
      <c r="CQ137">
        <v>1.3237535058971519</v>
      </c>
      <c r="CR137">
        <v>-1</v>
      </c>
      <c r="CS137">
        <v>23.73002</v>
      </c>
      <c r="CT137">
        <v>1.367043151969936</v>
      </c>
      <c r="CU137">
        <v>0.13153551839712349</v>
      </c>
      <c r="CV137">
        <v>-1</v>
      </c>
      <c r="CW137">
        <v>0</v>
      </c>
      <c r="CX137">
        <v>0</v>
      </c>
      <c r="CY137" t="s">
        <v>333</v>
      </c>
      <c r="CZ137">
        <v>2.3650500000000001</v>
      </c>
      <c r="DA137">
        <v>2.7138</v>
      </c>
      <c r="DB137">
        <v>9.6833799999999998E-2</v>
      </c>
      <c r="DC137">
        <v>0.145562</v>
      </c>
      <c r="DD137">
        <v>0.117504</v>
      </c>
      <c r="DE137">
        <v>9.8335799999999998E-3</v>
      </c>
      <c r="DF137">
        <v>32992.300000000003</v>
      </c>
      <c r="DG137">
        <v>27537.599999999999</v>
      </c>
      <c r="DH137">
        <v>31183.4</v>
      </c>
      <c r="DI137">
        <v>28081.7</v>
      </c>
      <c r="DJ137">
        <v>37352.699999999997</v>
      </c>
      <c r="DK137">
        <v>39534.5</v>
      </c>
      <c r="DL137">
        <v>44376.4</v>
      </c>
      <c r="DM137">
        <v>42549.7</v>
      </c>
      <c r="DN137">
        <v>1.4466000000000001</v>
      </c>
      <c r="DO137">
        <v>2.0491299999999999</v>
      </c>
      <c r="DP137">
        <v>9.2521300000000001E-2</v>
      </c>
      <c r="DQ137">
        <v>0.19698599999999999</v>
      </c>
      <c r="DR137">
        <v>25.4815</v>
      </c>
      <c r="DS137">
        <v>25.4847</v>
      </c>
      <c r="DT137">
        <v>47.8</v>
      </c>
      <c r="DU137">
        <v>27</v>
      </c>
      <c r="DV137">
        <v>17.345300000000002</v>
      </c>
      <c r="DW137">
        <v>61.050199999999997</v>
      </c>
      <c r="DX137">
        <v>37.411900000000003</v>
      </c>
      <c r="DY137">
        <v>1</v>
      </c>
      <c r="DZ137">
        <v>-0.13911299999999999</v>
      </c>
      <c r="EA137">
        <v>-0.54923200000000005</v>
      </c>
      <c r="EB137">
        <v>20.189499999999999</v>
      </c>
      <c r="EC137">
        <v>5.2413999999999996</v>
      </c>
      <c r="ED137">
        <v>12.039899999999999</v>
      </c>
      <c r="EE137">
        <v>5.0170000000000003</v>
      </c>
      <c r="EF137">
        <v>3.2879999999999998</v>
      </c>
      <c r="EG137">
        <v>9999</v>
      </c>
      <c r="EH137">
        <v>9999</v>
      </c>
      <c r="EI137">
        <v>9999</v>
      </c>
      <c r="EJ137">
        <v>999.9</v>
      </c>
      <c r="EK137">
        <v>1.8688499999999999</v>
      </c>
      <c r="EL137">
        <v>1.8645</v>
      </c>
      <c r="EM137">
        <v>1.8691599999999999</v>
      </c>
      <c r="EN137">
        <v>1.8672200000000001</v>
      </c>
      <c r="EO137">
        <v>1.86327</v>
      </c>
      <c r="EP137">
        <v>1.86432</v>
      </c>
      <c r="EQ137">
        <v>1.87012</v>
      </c>
      <c r="ER137">
        <v>1.8693500000000001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-0.45100000000000001</v>
      </c>
      <c r="FG137">
        <v>0.2112</v>
      </c>
      <c r="FH137">
        <v>-0.150361779349652</v>
      </c>
      <c r="FI137">
        <v>-6.1462078757559423E-4</v>
      </c>
      <c r="FJ137">
        <v>-1.8861989874597051E-7</v>
      </c>
      <c r="FK137">
        <v>1.1980462299894961E-10</v>
      </c>
      <c r="FL137">
        <v>0.21114761904761539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29.2</v>
      </c>
      <c r="FU137">
        <v>29.5</v>
      </c>
      <c r="FV137">
        <v>1.7687999999999999</v>
      </c>
      <c r="FW137">
        <v>2.5659200000000002</v>
      </c>
      <c r="FX137">
        <v>1.5490699999999999</v>
      </c>
      <c r="FY137">
        <v>2.33765</v>
      </c>
      <c r="FZ137">
        <v>1.50146</v>
      </c>
      <c r="GA137">
        <v>2.33765</v>
      </c>
      <c r="GB137">
        <v>32.178400000000003</v>
      </c>
      <c r="GC137">
        <v>23.991199999999999</v>
      </c>
      <c r="GD137">
        <v>19</v>
      </c>
      <c r="GE137">
        <v>268.11700000000002</v>
      </c>
      <c r="GF137">
        <v>587.01400000000001</v>
      </c>
      <c r="GG137">
        <v>25.861000000000001</v>
      </c>
      <c r="GH137">
        <v>25.6906</v>
      </c>
      <c r="GI137">
        <v>30.000299999999999</v>
      </c>
      <c r="GJ137">
        <v>25.788399999999999</v>
      </c>
      <c r="GK137">
        <v>25.751999999999999</v>
      </c>
      <c r="GL137">
        <v>35.373600000000003</v>
      </c>
      <c r="GM137">
        <v>93.698300000000003</v>
      </c>
      <c r="GN137">
        <v>52.060299999999998</v>
      </c>
      <c r="GO137">
        <v>25.8658</v>
      </c>
      <c r="GP137">
        <v>800</v>
      </c>
      <c r="GQ137">
        <v>0.92157199999999995</v>
      </c>
      <c r="GR137">
        <v>99.772999999999996</v>
      </c>
      <c r="GS137">
        <v>99.5501</v>
      </c>
    </row>
    <row r="138" spans="1:201" x14ac:dyDescent="0.25">
      <c r="A138">
        <v>122</v>
      </c>
      <c r="B138">
        <v>1690377976</v>
      </c>
      <c r="C138">
        <v>1259.5</v>
      </c>
      <c r="D138" t="s">
        <v>577</v>
      </c>
      <c r="E138" t="s">
        <v>578</v>
      </c>
      <c r="F138" t="s">
        <v>330</v>
      </c>
      <c r="H138">
        <v>1690377976</v>
      </c>
      <c r="I138">
        <f t="shared" si="30"/>
        <v>2.1576603772195196E-3</v>
      </c>
      <c r="J138">
        <f t="shared" si="31"/>
        <v>2.1576603772195195</v>
      </c>
      <c r="K138">
        <f t="shared" si="32"/>
        <v>30.102243570746843</v>
      </c>
      <c r="L138">
        <f t="shared" si="33"/>
        <v>443.10599999999999</v>
      </c>
      <c r="M138">
        <f t="shared" si="34"/>
        <v>102.18352954753749</v>
      </c>
      <c r="N138">
        <f t="shared" si="35"/>
        <v>10.089911691479088</v>
      </c>
      <c r="O138">
        <f t="shared" si="36"/>
        <v>43.7536306463616</v>
      </c>
      <c r="P138">
        <f t="shared" si="37"/>
        <v>0.14911452925604898</v>
      </c>
      <c r="Q138">
        <f t="shared" si="38"/>
        <v>2.0059130363543907</v>
      </c>
      <c r="R138">
        <f t="shared" si="39"/>
        <v>0.14321871318077739</v>
      </c>
      <c r="S138">
        <f t="shared" si="40"/>
        <v>9.0021987509429829E-2</v>
      </c>
      <c r="T138">
        <f t="shared" si="41"/>
        <v>276.11641297800003</v>
      </c>
      <c r="U138">
        <f t="shared" si="42"/>
        <v>28.599499345252017</v>
      </c>
      <c r="V138">
        <f t="shared" si="43"/>
        <v>28.599499345252017</v>
      </c>
      <c r="W138">
        <f t="shared" si="44"/>
        <v>3.9295039429758094</v>
      </c>
      <c r="X138">
        <f t="shared" si="45"/>
        <v>69.214577712656009</v>
      </c>
      <c r="Y138">
        <f t="shared" si="46"/>
        <v>2.4902499358752004</v>
      </c>
      <c r="Z138">
        <f t="shared" si="47"/>
        <v>3.5978691457361212</v>
      </c>
      <c r="AA138">
        <f t="shared" si="48"/>
        <v>1.439254007100609</v>
      </c>
      <c r="AB138">
        <f t="shared" si="49"/>
        <v>-95.152822635380815</v>
      </c>
      <c r="AC138">
        <f t="shared" si="50"/>
        <v>-163.37123240232805</v>
      </c>
      <c r="AD138">
        <f t="shared" si="51"/>
        <v>-17.72564883911221</v>
      </c>
      <c r="AE138">
        <f t="shared" si="52"/>
        <v>-0.13329089882105905</v>
      </c>
      <c r="AF138">
        <v>9</v>
      </c>
      <c r="AG138">
        <v>3</v>
      </c>
      <c r="AH138">
        <f t="shared" si="53"/>
        <v>1</v>
      </c>
      <c r="AI138">
        <f t="shared" si="54"/>
        <v>0</v>
      </c>
      <c r="AJ138">
        <f t="shared" si="55"/>
        <v>52081.718751429435</v>
      </c>
      <c r="AK138">
        <f t="shared" si="56"/>
        <v>1800</v>
      </c>
      <c r="AL138">
        <f t="shared" si="57"/>
        <v>1499.1097787999997</v>
      </c>
      <c r="AM138">
        <f t="shared" si="58"/>
        <v>0.83283876599999984</v>
      </c>
      <c r="AN138">
        <f t="shared" si="59"/>
        <v>0.15339800721000002</v>
      </c>
      <c r="AO138">
        <v>34.5</v>
      </c>
      <c r="AP138">
        <v>0.5</v>
      </c>
      <c r="AQ138" t="s">
        <v>331</v>
      </c>
      <c r="AR138">
        <v>2</v>
      </c>
      <c r="AS138">
        <v>1690377976</v>
      </c>
      <c r="AT138">
        <v>443.10599999999999</v>
      </c>
      <c r="AU138">
        <v>800.04700000000003</v>
      </c>
      <c r="AV138">
        <v>25.2195</v>
      </c>
      <c r="AW138">
        <v>1.0477300000000001</v>
      </c>
      <c r="AX138">
        <v>443.55599999999998</v>
      </c>
      <c r="AY138">
        <v>25.008299999999998</v>
      </c>
      <c r="AZ138">
        <v>300.19299999999998</v>
      </c>
      <c r="BA138">
        <v>98.643100000000004</v>
      </c>
      <c r="BB138">
        <v>9.9933599999999997E-2</v>
      </c>
      <c r="BC138">
        <v>27.088799999999999</v>
      </c>
      <c r="BD138">
        <v>26.992999999999999</v>
      </c>
      <c r="BE138">
        <v>28.716200000000001</v>
      </c>
      <c r="BF138">
        <v>0</v>
      </c>
      <c r="BG138">
        <v>0</v>
      </c>
      <c r="BH138">
        <v>9987.5</v>
      </c>
      <c r="BI138">
        <v>1082.52</v>
      </c>
      <c r="BJ138">
        <v>1.2334499999999999</v>
      </c>
      <c r="BK138">
        <v>-356.94099999999997</v>
      </c>
      <c r="BL138">
        <v>454.57</v>
      </c>
      <c r="BM138">
        <v>800.88699999999994</v>
      </c>
      <c r="BN138">
        <v>24.171700000000001</v>
      </c>
      <c r="BO138">
        <v>800.04700000000003</v>
      </c>
      <c r="BP138">
        <v>1.0477300000000001</v>
      </c>
      <c r="BQ138">
        <v>2.48773</v>
      </c>
      <c r="BR138">
        <v>0.103352</v>
      </c>
      <c r="BS138">
        <v>20.946400000000001</v>
      </c>
      <c r="BT138">
        <v>-22.259499999999999</v>
      </c>
      <c r="BU138">
        <v>1800</v>
      </c>
      <c r="BV138">
        <v>0.90998000000000001</v>
      </c>
      <c r="BW138">
        <v>3.4003199999999997E-2</v>
      </c>
      <c r="BX138">
        <v>2.20073E-2</v>
      </c>
      <c r="BY138">
        <v>3.4009299999999999E-2</v>
      </c>
      <c r="BZ138">
        <v>25</v>
      </c>
      <c r="CA138">
        <v>33528.199999999997</v>
      </c>
      <c r="CB138">
        <v>1690376213.5999999</v>
      </c>
      <c r="CC138" t="s">
        <v>332</v>
      </c>
      <c r="CD138">
        <v>1690376213.5999999</v>
      </c>
      <c r="CE138">
        <v>1690376198.0999999</v>
      </c>
      <c r="CF138">
        <v>2</v>
      </c>
      <c r="CG138">
        <v>0.66900000000000004</v>
      </c>
      <c r="CH138">
        <v>-2.1000000000000001E-2</v>
      </c>
      <c r="CI138">
        <v>-0.70099999999999996</v>
      </c>
      <c r="CJ138">
        <v>0.21099999999999999</v>
      </c>
      <c r="CK138">
        <v>799</v>
      </c>
      <c r="CL138">
        <v>21</v>
      </c>
      <c r="CM138">
        <v>0.11</v>
      </c>
      <c r="CN138">
        <v>0.17</v>
      </c>
      <c r="CO138">
        <v>-354.69290243902441</v>
      </c>
      <c r="CP138">
        <v>-13.40974912891981</v>
      </c>
      <c r="CQ138">
        <v>1.322642750004851</v>
      </c>
      <c r="CR138">
        <v>-1</v>
      </c>
      <c r="CS138">
        <v>23.954651219512201</v>
      </c>
      <c r="CT138">
        <v>1.2690878048780561</v>
      </c>
      <c r="CU138">
        <v>0.12516291066378221</v>
      </c>
      <c r="CV138">
        <v>-1</v>
      </c>
      <c r="CW138">
        <v>0</v>
      </c>
      <c r="CX138">
        <v>0</v>
      </c>
      <c r="CY138" t="s">
        <v>333</v>
      </c>
      <c r="CZ138">
        <v>2.3652700000000002</v>
      </c>
      <c r="DA138">
        <v>2.7137099999999998</v>
      </c>
      <c r="DB138">
        <v>9.6478099999999997E-2</v>
      </c>
      <c r="DC138">
        <v>0.14555899999999999</v>
      </c>
      <c r="DD138">
        <v>0.117521</v>
      </c>
      <c r="DE138">
        <v>8.3617699999999993E-3</v>
      </c>
      <c r="DF138">
        <v>33005.5</v>
      </c>
      <c r="DG138">
        <v>27537.8</v>
      </c>
      <c r="DH138">
        <v>31183.599999999999</v>
      </c>
      <c r="DI138">
        <v>28081.8</v>
      </c>
      <c r="DJ138">
        <v>37351.9</v>
      </c>
      <c r="DK138">
        <v>39593.4</v>
      </c>
      <c r="DL138">
        <v>44376.4</v>
      </c>
      <c r="DM138">
        <v>42549.599999999999</v>
      </c>
      <c r="DN138">
        <v>1.44703</v>
      </c>
      <c r="DO138">
        <v>2.04895</v>
      </c>
      <c r="DP138">
        <v>9.1887999999999997E-2</v>
      </c>
      <c r="DQ138">
        <v>0.197105</v>
      </c>
      <c r="DR138">
        <v>25.488499999999998</v>
      </c>
      <c r="DS138">
        <v>25.493300000000001</v>
      </c>
      <c r="DT138">
        <v>47.3</v>
      </c>
      <c r="DU138">
        <v>27</v>
      </c>
      <c r="DV138">
        <v>17.159099999999999</v>
      </c>
      <c r="DW138">
        <v>61.0702</v>
      </c>
      <c r="DX138">
        <v>37.103400000000001</v>
      </c>
      <c r="DY138">
        <v>1</v>
      </c>
      <c r="DZ138">
        <v>-0.13878799999999999</v>
      </c>
      <c r="EA138">
        <v>-0.56178099999999997</v>
      </c>
      <c r="EB138">
        <v>20.189399999999999</v>
      </c>
      <c r="EC138">
        <v>5.242</v>
      </c>
      <c r="ED138">
        <v>12.039899999999999</v>
      </c>
      <c r="EE138">
        <v>5.01715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1.8688800000000001</v>
      </c>
      <c r="EL138">
        <v>1.8645</v>
      </c>
      <c r="EM138">
        <v>1.86917</v>
      </c>
      <c r="EN138">
        <v>1.86721</v>
      </c>
      <c r="EO138">
        <v>1.8632599999999999</v>
      </c>
      <c r="EP138">
        <v>1.86432</v>
      </c>
      <c r="EQ138">
        <v>1.87012</v>
      </c>
      <c r="ER138">
        <v>1.8693500000000001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-0.45</v>
      </c>
      <c r="FG138">
        <v>0.2112</v>
      </c>
      <c r="FH138">
        <v>-0.150361779349652</v>
      </c>
      <c r="FI138">
        <v>-6.1462078757559423E-4</v>
      </c>
      <c r="FJ138">
        <v>-1.8861989874597051E-7</v>
      </c>
      <c r="FK138">
        <v>1.1980462299894961E-10</v>
      </c>
      <c r="FL138">
        <v>0.21114761904761539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29.4</v>
      </c>
      <c r="FU138">
        <v>29.6</v>
      </c>
      <c r="FV138">
        <v>1.7687999999999999</v>
      </c>
      <c r="FW138">
        <v>2.5634800000000002</v>
      </c>
      <c r="FX138">
        <v>1.5490699999999999</v>
      </c>
      <c r="FY138">
        <v>2.33765</v>
      </c>
      <c r="FZ138">
        <v>1.50146</v>
      </c>
      <c r="GA138">
        <v>2.3803700000000001</v>
      </c>
      <c r="GB138">
        <v>32.178400000000003</v>
      </c>
      <c r="GC138">
        <v>23.991199999999999</v>
      </c>
      <c r="GD138">
        <v>19</v>
      </c>
      <c r="GE138">
        <v>268.29500000000002</v>
      </c>
      <c r="GF138">
        <v>586.86900000000003</v>
      </c>
      <c r="GG138">
        <v>25.865500000000001</v>
      </c>
      <c r="GH138">
        <v>25.6906</v>
      </c>
      <c r="GI138">
        <v>30.0002</v>
      </c>
      <c r="GJ138">
        <v>25.7896</v>
      </c>
      <c r="GK138">
        <v>25.751999999999999</v>
      </c>
      <c r="GL138">
        <v>35.368299999999998</v>
      </c>
      <c r="GM138">
        <v>96.977199999999996</v>
      </c>
      <c r="GN138">
        <v>50.880699999999997</v>
      </c>
      <c r="GO138">
        <v>25.869900000000001</v>
      </c>
      <c r="GP138">
        <v>800</v>
      </c>
      <c r="GQ138">
        <v>0.65896100000000002</v>
      </c>
      <c r="GR138">
        <v>99.773099999999999</v>
      </c>
      <c r="GS138">
        <v>99.550200000000004</v>
      </c>
    </row>
    <row r="139" spans="1:201" x14ac:dyDescent="0.25">
      <c r="A139">
        <v>123</v>
      </c>
      <c r="B139">
        <v>1690377986</v>
      </c>
      <c r="C139">
        <v>1269.5</v>
      </c>
      <c r="D139" t="s">
        <v>579</v>
      </c>
      <c r="E139" t="s">
        <v>580</v>
      </c>
      <c r="F139" t="s">
        <v>330</v>
      </c>
      <c r="H139">
        <v>1690377986</v>
      </c>
      <c r="I139">
        <f t="shared" si="30"/>
        <v>2.1885042348966047E-3</v>
      </c>
      <c r="J139">
        <f t="shared" si="31"/>
        <v>2.1885042348966048</v>
      </c>
      <c r="K139">
        <f t="shared" si="32"/>
        <v>30.326511622068416</v>
      </c>
      <c r="L139">
        <f t="shared" si="33"/>
        <v>440.89600000000002</v>
      </c>
      <c r="M139">
        <f t="shared" si="34"/>
        <v>103.03401685106954</v>
      </c>
      <c r="N139">
        <f t="shared" si="35"/>
        <v>10.17375377563522</v>
      </c>
      <c r="O139">
        <f t="shared" si="36"/>
        <v>43.534819681408003</v>
      </c>
      <c r="P139">
        <f t="shared" si="37"/>
        <v>0.15169028183150712</v>
      </c>
      <c r="Q139">
        <f t="shared" si="38"/>
        <v>2.0049136669865351</v>
      </c>
      <c r="R139">
        <f t="shared" si="39"/>
        <v>0.14559059240455513</v>
      </c>
      <c r="S139">
        <f t="shared" si="40"/>
        <v>9.1521715188420644E-2</v>
      </c>
      <c r="T139">
        <f t="shared" si="41"/>
        <v>276.11483716616033</v>
      </c>
      <c r="U139">
        <f t="shared" si="42"/>
        <v>28.59080276058322</v>
      </c>
      <c r="V139">
        <f t="shared" si="43"/>
        <v>28.59080276058322</v>
      </c>
      <c r="W139">
        <f t="shared" si="44"/>
        <v>3.9275210465809733</v>
      </c>
      <c r="X139">
        <f t="shared" si="45"/>
        <v>69.240916502803771</v>
      </c>
      <c r="Y139">
        <f t="shared" si="46"/>
        <v>2.4914900206151995</v>
      </c>
      <c r="Z139">
        <f t="shared" si="47"/>
        <v>3.5982915109367619</v>
      </c>
      <c r="AA139">
        <f t="shared" si="48"/>
        <v>1.4360310259657738</v>
      </c>
      <c r="AB139">
        <f t="shared" si="49"/>
        <v>-96.513036758940274</v>
      </c>
      <c r="AC139">
        <f t="shared" si="50"/>
        <v>-162.13365681028603</v>
      </c>
      <c r="AD139">
        <f t="shared" si="51"/>
        <v>-17.599552260613944</v>
      </c>
      <c r="AE139">
        <f t="shared" si="52"/>
        <v>-0.13140866367993453</v>
      </c>
      <c r="AF139">
        <v>9</v>
      </c>
      <c r="AG139">
        <v>3</v>
      </c>
      <c r="AH139">
        <f t="shared" si="53"/>
        <v>1</v>
      </c>
      <c r="AI139">
        <f t="shared" si="54"/>
        <v>0</v>
      </c>
      <c r="AJ139">
        <f t="shared" si="55"/>
        <v>52033.64499014341</v>
      </c>
      <c r="AK139">
        <f t="shared" si="56"/>
        <v>1799.99</v>
      </c>
      <c r="AL139">
        <f t="shared" si="57"/>
        <v>1499.1022802077298</v>
      </c>
      <c r="AM139">
        <f t="shared" si="58"/>
        <v>0.8328392269999999</v>
      </c>
      <c r="AN139">
        <f t="shared" si="59"/>
        <v>0.15339798397000001</v>
      </c>
      <c r="AO139">
        <v>34.5</v>
      </c>
      <c r="AP139">
        <v>0.5</v>
      </c>
      <c r="AQ139" t="s">
        <v>331</v>
      </c>
      <c r="AR139">
        <v>2</v>
      </c>
      <c r="AS139">
        <v>1690377986</v>
      </c>
      <c r="AT139">
        <v>440.89600000000002</v>
      </c>
      <c r="AU139">
        <v>800.37699999999995</v>
      </c>
      <c r="AV139">
        <v>25.232399999999998</v>
      </c>
      <c r="AW139">
        <v>0.72488799999999998</v>
      </c>
      <c r="AX139">
        <v>441.34399999999999</v>
      </c>
      <c r="AY139">
        <v>25.0212</v>
      </c>
      <c r="AZ139">
        <v>300.30900000000003</v>
      </c>
      <c r="BA139">
        <v>98.641599999999997</v>
      </c>
      <c r="BB139">
        <v>0.10009800000000001</v>
      </c>
      <c r="BC139">
        <v>27.090800000000002</v>
      </c>
      <c r="BD139">
        <v>26.999099999999999</v>
      </c>
      <c r="BE139">
        <v>28.702300000000001</v>
      </c>
      <c r="BF139">
        <v>0</v>
      </c>
      <c r="BG139">
        <v>0</v>
      </c>
      <c r="BH139">
        <v>9978.1200000000008</v>
      </c>
      <c r="BI139">
        <v>1082.5</v>
      </c>
      <c r="BJ139">
        <v>1.2334499999999999</v>
      </c>
      <c r="BK139">
        <v>-359.48099999999999</v>
      </c>
      <c r="BL139">
        <v>452.30799999999999</v>
      </c>
      <c r="BM139">
        <v>800.95799999999997</v>
      </c>
      <c r="BN139">
        <v>24.5075</v>
      </c>
      <c r="BO139">
        <v>800.37699999999995</v>
      </c>
      <c r="BP139">
        <v>0.72488799999999998</v>
      </c>
      <c r="BQ139">
        <v>2.4889600000000001</v>
      </c>
      <c r="BR139">
        <v>7.1504200000000004E-2</v>
      </c>
      <c r="BS139">
        <v>20.954499999999999</v>
      </c>
      <c r="BT139">
        <v>-26.359400000000001</v>
      </c>
      <c r="BU139">
        <v>1799.99</v>
      </c>
      <c r="BV139">
        <v>0.90998299999999999</v>
      </c>
      <c r="BW139">
        <v>3.4002200000000003E-2</v>
      </c>
      <c r="BX139">
        <v>2.2006600000000001E-2</v>
      </c>
      <c r="BY139">
        <v>3.4008299999999998E-2</v>
      </c>
      <c r="BZ139">
        <v>25</v>
      </c>
      <c r="CA139">
        <v>33528.1</v>
      </c>
      <c r="CB139">
        <v>1690376213.5999999</v>
      </c>
      <c r="CC139" t="s">
        <v>332</v>
      </c>
      <c r="CD139">
        <v>1690376213.5999999</v>
      </c>
      <c r="CE139">
        <v>1690376198.0999999</v>
      </c>
      <c r="CF139">
        <v>2</v>
      </c>
      <c r="CG139">
        <v>0.66900000000000004</v>
      </c>
      <c r="CH139">
        <v>-2.1000000000000001E-2</v>
      </c>
      <c r="CI139">
        <v>-0.70099999999999996</v>
      </c>
      <c r="CJ139">
        <v>0.21099999999999999</v>
      </c>
      <c r="CK139">
        <v>799</v>
      </c>
      <c r="CL139">
        <v>21</v>
      </c>
      <c r="CM139">
        <v>0.11</v>
      </c>
      <c r="CN139">
        <v>0.17</v>
      </c>
      <c r="CO139">
        <v>-356.70321951219512</v>
      </c>
      <c r="CP139">
        <v>-13.61308013937305</v>
      </c>
      <c r="CQ139">
        <v>1.347730097322541</v>
      </c>
      <c r="CR139">
        <v>-1</v>
      </c>
      <c r="CS139">
        <v>24.135280487804881</v>
      </c>
      <c r="CT139">
        <v>1.150896167247367</v>
      </c>
      <c r="CU139">
        <v>0.1139771184129225</v>
      </c>
      <c r="CV139">
        <v>-1</v>
      </c>
      <c r="CW139">
        <v>0</v>
      </c>
      <c r="CX139">
        <v>0</v>
      </c>
      <c r="CY139" t="s">
        <v>333</v>
      </c>
      <c r="CZ139">
        <v>2.36565</v>
      </c>
      <c r="DA139">
        <v>2.71387</v>
      </c>
      <c r="DB139">
        <v>9.6115800000000001E-2</v>
      </c>
      <c r="DC139">
        <v>0.14559</v>
      </c>
      <c r="DD139">
        <v>0.117561</v>
      </c>
      <c r="DE139">
        <v>5.8814799999999997E-3</v>
      </c>
      <c r="DF139">
        <v>33018.800000000003</v>
      </c>
      <c r="DG139">
        <v>27536.5</v>
      </c>
      <c r="DH139">
        <v>31183.599999999999</v>
      </c>
      <c r="DI139">
        <v>28081.5</v>
      </c>
      <c r="DJ139">
        <v>37350.300000000003</v>
      </c>
      <c r="DK139">
        <v>39692.400000000001</v>
      </c>
      <c r="DL139">
        <v>44376.6</v>
      </c>
      <c r="DM139">
        <v>42549.3</v>
      </c>
      <c r="DN139">
        <v>1.4475</v>
      </c>
      <c r="DO139">
        <v>2.04827</v>
      </c>
      <c r="DP139">
        <v>9.1865699999999995E-2</v>
      </c>
      <c r="DQ139">
        <v>0.19575699999999999</v>
      </c>
      <c r="DR139">
        <v>25.494900000000001</v>
      </c>
      <c r="DS139">
        <v>25.5014</v>
      </c>
      <c r="DT139">
        <v>46.7</v>
      </c>
      <c r="DU139">
        <v>27</v>
      </c>
      <c r="DV139">
        <v>16.945499999999999</v>
      </c>
      <c r="DW139">
        <v>61.2102</v>
      </c>
      <c r="DX139">
        <v>36.742800000000003</v>
      </c>
      <c r="DY139">
        <v>1</v>
      </c>
      <c r="DZ139">
        <v>-0.13861299999999999</v>
      </c>
      <c r="EA139">
        <v>-0.56461899999999998</v>
      </c>
      <c r="EB139">
        <v>20.189499999999999</v>
      </c>
      <c r="EC139">
        <v>5.2413999999999996</v>
      </c>
      <c r="ED139">
        <v>12.039899999999999</v>
      </c>
      <c r="EE139">
        <v>5.0170000000000003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1.86886</v>
      </c>
      <c r="EL139">
        <v>1.8645</v>
      </c>
      <c r="EM139">
        <v>1.8691500000000001</v>
      </c>
      <c r="EN139">
        <v>1.8672</v>
      </c>
      <c r="EO139">
        <v>1.86327</v>
      </c>
      <c r="EP139">
        <v>1.86432</v>
      </c>
      <c r="EQ139">
        <v>1.87012</v>
      </c>
      <c r="ER139">
        <v>1.8693500000000001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-0.44800000000000001</v>
      </c>
      <c r="FG139">
        <v>0.2112</v>
      </c>
      <c r="FH139">
        <v>-0.150361779349652</v>
      </c>
      <c r="FI139">
        <v>-6.1462078757559423E-4</v>
      </c>
      <c r="FJ139">
        <v>-1.8861989874597051E-7</v>
      </c>
      <c r="FK139">
        <v>1.1980462299894961E-10</v>
      </c>
      <c r="FL139">
        <v>0.21114761904761539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29.5</v>
      </c>
      <c r="FU139">
        <v>29.8</v>
      </c>
      <c r="FV139">
        <v>1.7687999999999999</v>
      </c>
      <c r="FW139">
        <v>2.5647000000000002</v>
      </c>
      <c r="FX139">
        <v>1.5490699999999999</v>
      </c>
      <c r="FY139">
        <v>2.33765</v>
      </c>
      <c r="FZ139">
        <v>1.50146</v>
      </c>
      <c r="GA139">
        <v>2.3913600000000002</v>
      </c>
      <c r="GB139">
        <v>32.200499999999998</v>
      </c>
      <c r="GC139">
        <v>23.991199999999999</v>
      </c>
      <c r="GD139">
        <v>19</v>
      </c>
      <c r="GE139">
        <v>268.49299999999999</v>
      </c>
      <c r="GF139">
        <v>586.32399999999996</v>
      </c>
      <c r="GG139">
        <v>25.870899999999999</v>
      </c>
      <c r="GH139">
        <v>25.692699999999999</v>
      </c>
      <c r="GI139">
        <v>30.000299999999999</v>
      </c>
      <c r="GJ139">
        <v>25.790600000000001</v>
      </c>
      <c r="GK139">
        <v>25.753</v>
      </c>
      <c r="GL139">
        <v>35.356099999999998</v>
      </c>
      <c r="GM139">
        <v>100</v>
      </c>
      <c r="GN139">
        <v>49.739100000000001</v>
      </c>
      <c r="GO139">
        <v>25.866800000000001</v>
      </c>
      <c r="GP139">
        <v>800</v>
      </c>
      <c r="GQ139">
        <v>0.38416800000000001</v>
      </c>
      <c r="GR139">
        <v>99.773399999999995</v>
      </c>
      <c r="GS139">
        <v>99.549300000000002</v>
      </c>
    </row>
    <row r="140" spans="1:201" x14ac:dyDescent="0.25">
      <c r="A140">
        <v>124</v>
      </c>
      <c r="B140">
        <v>1690377996</v>
      </c>
      <c r="C140">
        <v>1279.5</v>
      </c>
      <c r="D140" t="s">
        <v>581</v>
      </c>
      <c r="E140" t="s">
        <v>582</v>
      </c>
      <c r="F140" t="s">
        <v>330</v>
      </c>
      <c r="H140">
        <v>1690377996</v>
      </c>
      <c r="I140">
        <f t="shared" si="30"/>
        <v>2.2127403475474699E-3</v>
      </c>
      <c r="J140">
        <f t="shared" si="31"/>
        <v>2.2127403475474701</v>
      </c>
      <c r="K140">
        <f t="shared" si="32"/>
        <v>30.445897880888353</v>
      </c>
      <c r="L140">
        <f t="shared" si="33"/>
        <v>438.83499999999998</v>
      </c>
      <c r="M140">
        <f t="shared" si="34"/>
        <v>103.34985862584418</v>
      </c>
      <c r="N140">
        <f t="shared" si="35"/>
        <v>10.205126351821612</v>
      </c>
      <c r="O140">
        <f t="shared" si="36"/>
        <v>43.332102067160001</v>
      </c>
      <c r="P140">
        <f t="shared" si="37"/>
        <v>0.15343431234006322</v>
      </c>
      <c r="Q140">
        <f t="shared" si="38"/>
        <v>2.0065720482846165</v>
      </c>
      <c r="R140">
        <f t="shared" si="39"/>
        <v>0.14720158771130751</v>
      </c>
      <c r="S140">
        <f t="shared" si="40"/>
        <v>9.2539880931773927E-2</v>
      </c>
      <c r="T140">
        <f t="shared" si="41"/>
        <v>276.11627198400004</v>
      </c>
      <c r="U140">
        <f t="shared" si="42"/>
        <v>28.579477512846093</v>
      </c>
      <c r="V140">
        <f t="shared" si="43"/>
        <v>28.579477512846093</v>
      </c>
      <c r="W140">
        <f t="shared" si="44"/>
        <v>3.9249401005838567</v>
      </c>
      <c r="X140">
        <f t="shared" si="45"/>
        <v>69.172264566200454</v>
      </c>
      <c r="Y140">
        <f t="shared" si="46"/>
        <v>2.48882981668</v>
      </c>
      <c r="Z140">
        <f t="shared" si="47"/>
        <v>3.5980169686335719</v>
      </c>
      <c r="AA140">
        <f t="shared" si="48"/>
        <v>1.4361102839038566</v>
      </c>
      <c r="AB140">
        <f t="shared" si="49"/>
        <v>-97.581849326843425</v>
      </c>
      <c r="AC140">
        <f t="shared" si="50"/>
        <v>-161.18325265565176</v>
      </c>
      <c r="AD140">
        <f t="shared" si="51"/>
        <v>-17.480823992365057</v>
      </c>
      <c r="AE140">
        <f t="shared" si="52"/>
        <v>-0.12965399086021989</v>
      </c>
      <c r="AF140">
        <v>9</v>
      </c>
      <c r="AG140">
        <v>3</v>
      </c>
      <c r="AH140">
        <f t="shared" si="53"/>
        <v>1</v>
      </c>
      <c r="AI140">
        <f t="shared" si="54"/>
        <v>0</v>
      </c>
      <c r="AJ140">
        <f t="shared" si="55"/>
        <v>52113.075171514312</v>
      </c>
      <c r="AK140">
        <f t="shared" si="56"/>
        <v>1800</v>
      </c>
      <c r="AL140">
        <f t="shared" si="57"/>
        <v>1499.1111773999999</v>
      </c>
      <c r="AM140">
        <f t="shared" si="58"/>
        <v>0.83283954299999996</v>
      </c>
      <c r="AN140">
        <f t="shared" si="59"/>
        <v>0.15339792888000001</v>
      </c>
      <c r="AO140">
        <v>34.5</v>
      </c>
      <c r="AP140">
        <v>0.5</v>
      </c>
      <c r="AQ140" t="s">
        <v>331</v>
      </c>
      <c r="AR140">
        <v>2</v>
      </c>
      <c r="AS140">
        <v>1690377996</v>
      </c>
      <c r="AT140">
        <v>438.83499999999998</v>
      </c>
      <c r="AU140">
        <v>799.99</v>
      </c>
      <c r="AV140">
        <v>25.204999999999998</v>
      </c>
      <c r="AW140">
        <v>0.40945300000000001</v>
      </c>
      <c r="AX140">
        <v>439.28100000000001</v>
      </c>
      <c r="AY140">
        <v>24.9939</v>
      </c>
      <c r="AZ140">
        <v>300.11599999999999</v>
      </c>
      <c r="BA140">
        <v>98.643500000000003</v>
      </c>
      <c r="BB140">
        <v>9.9996000000000002E-2</v>
      </c>
      <c r="BC140">
        <v>27.089500000000001</v>
      </c>
      <c r="BD140">
        <v>27.004899999999999</v>
      </c>
      <c r="BE140">
        <v>28.683599999999998</v>
      </c>
      <c r="BF140">
        <v>0</v>
      </c>
      <c r="BG140">
        <v>0</v>
      </c>
      <c r="BH140">
        <v>9993.75</v>
      </c>
      <c r="BI140">
        <v>1082.54</v>
      </c>
      <c r="BJ140">
        <v>1.2334499999999999</v>
      </c>
      <c r="BK140">
        <v>-361.15499999999997</v>
      </c>
      <c r="BL140">
        <v>450.18200000000002</v>
      </c>
      <c r="BM140">
        <v>800.31799999999998</v>
      </c>
      <c r="BN140">
        <v>24.7956</v>
      </c>
      <c r="BO140">
        <v>799.99</v>
      </c>
      <c r="BP140">
        <v>0.40945300000000001</v>
      </c>
      <c r="BQ140">
        <v>2.48631</v>
      </c>
      <c r="BR140">
        <v>4.0389899999999999E-2</v>
      </c>
      <c r="BS140">
        <v>20.937200000000001</v>
      </c>
      <c r="BT140">
        <v>-32.420900000000003</v>
      </c>
      <c r="BU140">
        <v>1800</v>
      </c>
      <c r="BV140">
        <v>0.90998599999999996</v>
      </c>
      <c r="BW140">
        <v>3.4001099999999999E-2</v>
      </c>
      <c r="BX140">
        <v>2.2005899999999998E-2</v>
      </c>
      <c r="BY140">
        <v>3.4007200000000001E-2</v>
      </c>
      <c r="BZ140">
        <v>25</v>
      </c>
      <c r="CA140">
        <v>33528.199999999997</v>
      </c>
      <c r="CB140">
        <v>1690376213.5999999</v>
      </c>
      <c r="CC140" t="s">
        <v>332</v>
      </c>
      <c r="CD140">
        <v>1690376213.5999999</v>
      </c>
      <c r="CE140">
        <v>1690376198.0999999</v>
      </c>
      <c r="CF140">
        <v>2</v>
      </c>
      <c r="CG140">
        <v>0.66900000000000004</v>
      </c>
      <c r="CH140">
        <v>-2.1000000000000001E-2</v>
      </c>
      <c r="CI140">
        <v>-0.70099999999999996</v>
      </c>
      <c r="CJ140">
        <v>0.21099999999999999</v>
      </c>
      <c r="CK140">
        <v>799</v>
      </c>
      <c r="CL140">
        <v>21</v>
      </c>
      <c r="CM140">
        <v>0.11</v>
      </c>
      <c r="CN140">
        <v>0.17</v>
      </c>
      <c r="CO140">
        <v>-358.93520000000001</v>
      </c>
      <c r="CP140">
        <v>-11.76459287054352</v>
      </c>
      <c r="CQ140">
        <v>1.156008330419807</v>
      </c>
      <c r="CR140">
        <v>-1</v>
      </c>
      <c r="CS140">
        <v>24.474757499999999</v>
      </c>
      <c r="CT140">
        <v>2.4242848030017958</v>
      </c>
      <c r="CU140">
        <v>0.2409213387057067</v>
      </c>
      <c r="CV140">
        <v>-1</v>
      </c>
      <c r="CW140">
        <v>0</v>
      </c>
      <c r="CX140">
        <v>0</v>
      </c>
      <c r="CY140" t="s">
        <v>333</v>
      </c>
      <c r="CZ140">
        <v>2.36503</v>
      </c>
      <c r="DA140">
        <v>2.7137799999999999</v>
      </c>
      <c r="DB140">
        <v>9.5780299999999999E-2</v>
      </c>
      <c r="DC140">
        <v>0.14554</v>
      </c>
      <c r="DD140">
        <v>0.11747299999999999</v>
      </c>
      <c r="DE140">
        <v>3.3868399999999999E-3</v>
      </c>
      <c r="DF140">
        <v>33030.800000000003</v>
      </c>
      <c r="DG140">
        <v>27538.2</v>
      </c>
      <c r="DH140">
        <v>31183.4</v>
      </c>
      <c r="DI140">
        <v>28081.7</v>
      </c>
      <c r="DJ140">
        <v>37353.699999999997</v>
      </c>
      <c r="DK140">
        <v>39792.199999999997</v>
      </c>
      <c r="DL140">
        <v>44376.2</v>
      </c>
      <c r="DM140">
        <v>42549.2</v>
      </c>
      <c r="DN140">
        <v>1.44678</v>
      </c>
      <c r="DO140">
        <v>2.0485000000000002</v>
      </c>
      <c r="DP140">
        <v>9.1828400000000004E-2</v>
      </c>
      <c r="DQ140">
        <v>0.19425200000000001</v>
      </c>
      <c r="DR140">
        <v>25.5014</v>
      </c>
      <c r="DS140">
        <v>25.507300000000001</v>
      </c>
      <c r="DT140">
        <v>46.3</v>
      </c>
      <c r="DU140">
        <v>27</v>
      </c>
      <c r="DV140">
        <v>16.798400000000001</v>
      </c>
      <c r="DW140">
        <v>61.440199999999997</v>
      </c>
      <c r="DX140">
        <v>36.718800000000002</v>
      </c>
      <c r="DY140">
        <v>1</v>
      </c>
      <c r="DZ140">
        <v>-0.13847300000000001</v>
      </c>
      <c r="EA140">
        <v>-0.54482299999999995</v>
      </c>
      <c r="EB140">
        <v>20.189399999999999</v>
      </c>
      <c r="EC140">
        <v>5.2423000000000002</v>
      </c>
      <c r="ED140">
        <v>12.039899999999999</v>
      </c>
      <c r="EE140">
        <v>5.01715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1.86887</v>
      </c>
      <c r="EL140">
        <v>1.86449</v>
      </c>
      <c r="EM140">
        <v>1.86917</v>
      </c>
      <c r="EN140">
        <v>1.8672200000000001</v>
      </c>
      <c r="EO140">
        <v>1.8632599999999999</v>
      </c>
      <c r="EP140">
        <v>1.86432</v>
      </c>
      <c r="EQ140">
        <v>1.8701099999999999</v>
      </c>
      <c r="ER140">
        <v>1.8693500000000001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-0.44600000000000001</v>
      </c>
      <c r="FG140">
        <v>0.21110000000000001</v>
      </c>
      <c r="FH140">
        <v>-0.150361779349652</v>
      </c>
      <c r="FI140">
        <v>-6.1462078757559423E-4</v>
      </c>
      <c r="FJ140">
        <v>-1.8861989874597051E-7</v>
      </c>
      <c r="FK140">
        <v>1.1980462299894961E-10</v>
      </c>
      <c r="FL140">
        <v>0.21114761904761539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29.7</v>
      </c>
      <c r="FU140">
        <v>30</v>
      </c>
      <c r="FV140">
        <v>1.7687999999999999</v>
      </c>
      <c r="FW140">
        <v>2.5695800000000002</v>
      </c>
      <c r="FX140">
        <v>1.5490699999999999</v>
      </c>
      <c r="FY140">
        <v>2.33765</v>
      </c>
      <c r="FZ140">
        <v>1.50146</v>
      </c>
      <c r="GA140">
        <v>2.3779300000000001</v>
      </c>
      <c r="GB140">
        <v>32.200499999999998</v>
      </c>
      <c r="GC140">
        <v>23.991199999999999</v>
      </c>
      <c r="GD140">
        <v>19</v>
      </c>
      <c r="GE140">
        <v>268.197</v>
      </c>
      <c r="GF140">
        <v>586.49699999999996</v>
      </c>
      <c r="GG140">
        <v>25.8657</v>
      </c>
      <c r="GH140">
        <v>25.693999999999999</v>
      </c>
      <c r="GI140">
        <v>30.000299999999999</v>
      </c>
      <c r="GJ140">
        <v>25.790600000000001</v>
      </c>
      <c r="GK140">
        <v>25.751999999999999</v>
      </c>
      <c r="GL140">
        <v>35.360300000000002</v>
      </c>
      <c r="GM140">
        <v>100</v>
      </c>
      <c r="GN140">
        <v>48.597999999999999</v>
      </c>
      <c r="GO140">
        <v>25.8553</v>
      </c>
      <c r="GP140">
        <v>800</v>
      </c>
      <c r="GQ140">
        <v>0.14560899999999999</v>
      </c>
      <c r="GR140">
        <v>99.772599999999997</v>
      </c>
      <c r="GS140">
        <v>99.549499999999995</v>
      </c>
    </row>
    <row r="141" spans="1:201" x14ac:dyDescent="0.25">
      <c r="A141">
        <v>125</v>
      </c>
      <c r="B141">
        <v>1690378006</v>
      </c>
      <c r="C141">
        <v>1289.5</v>
      </c>
      <c r="D141" t="s">
        <v>583</v>
      </c>
      <c r="E141" t="s">
        <v>584</v>
      </c>
      <c r="F141" t="s">
        <v>330</v>
      </c>
      <c r="H141">
        <v>1690378006</v>
      </c>
      <c r="I141">
        <f t="shared" si="30"/>
        <v>2.2147615668021529E-3</v>
      </c>
      <c r="J141">
        <f t="shared" si="31"/>
        <v>2.214761566802153</v>
      </c>
      <c r="K141">
        <f t="shared" si="32"/>
        <v>30.628055288892291</v>
      </c>
      <c r="L141">
        <f t="shared" si="33"/>
        <v>436.76400000000001</v>
      </c>
      <c r="M141">
        <f t="shared" si="34"/>
        <v>99.690043877852375</v>
      </c>
      <c r="N141">
        <f t="shared" si="35"/>
        <v>9.8440532656109045</v>
      </c>
      <c r="O141">
        <f t="shared" si="36"/>
        <v>43.128961662103201</v>
      </c>
      <c r="P141">
        <f t="shared" si="37"/>
        <v>0.15357306236364132</v>
      </c>
      <c r="Q141">
        <f t="shared" si="38"/>
        <v>2.0104580823862381</v>
      </c>
      <c r="R141">
        <f t="shared" si="39"/>
        <v>0.14734084877983514</v>
      </c>
      <c r="S141">
        <f t="shared" si="40"/>
        <v>9.2626895733665837E-2</v>
      </c>
      <c r="T141">
        <f t="shared" si="41"/>
        <v>276.11461049341966</v>
      </c>
      <c r="U141">
        <f t="shared" si="42"/>
        <v>28.573624098348116</v>
      </c>
      <c r="V141">
        <f t="shared" si="43"/>
        <v>28.573624098348116</v>
      </c>
      <c r="W141">
        <f t="shared" si="44"/>
        <v>3.9236067276583344</v>
      </c>
      <c r="X141">
        <f t="shared" si="45"/>
        <v>69.14479198259896</v>
      </c>
      <c r="Y141">
        <f t="shared" si="46"/>
        <v>2.4874763230239001</v>
      </c>
      <c r="Z141">
        <f t="shared" si="47"/>
        <v>3.5974890540561617</v>
      </c>
      <c r="AA141">
        <f t="shared" si="48"/>
        <v>1.4361304046344343</v>
      </c>
      <c r="AB141">
        <f t="shared" si="49"/>
        <v>-97.670985095974942</v>
      </c>
      <c r="AC141">
        <f t="shared" si="50"/>
        <v>-161.13193943749124</v>
      </c>
      <c r="AD141">
        <f t="shared" si="51"/>
        <v>-17.440753888921467</v>
      </c>
      <c r="AE141">
        <f t="shared" si="52"/>
        <v>-0.12906792896797015</v>
      </c>
      <c r="AF141">
        <v>9</v>
      </c>
      <c r="AG141">
        <v>3</v>
      </c>
      <c r="AH141">
        <f t="shared" si="53"/>
        <v>1</v>
      </c>
      <c r="AI141">
        <f t="shared" si="54"/>
        <v>0</v>
      </c>
      <c r="AJ141">
        <f t="shared" si="55"/>
        <v>52299.440037258741</v>
      </c>
      <c r="AK141">
        <f t="shared" si="56"/>
        <v>1799.99</v>
      </c>
      <c r="AL141">
        <f t="shared" si="57"/>
        <v>1499.1032828021603</v>
      </c>
      <c r="AM141">
        <f t="shared" si="58"/>
        <v>0.83283978400000014</v>
      </c>
      <c r="AN141">
        <f t="shared" si="59"/>
        <v>0.15339785804000003</v>
      </c>
      <c r="AO141">
        <v>34.5</v>
      </c>
      <c r="AP141">
        <v>0.5</v>
      </c>
      <c r="AQ141" t="s">
        <v>331</v>
      </c>
      <c r="AR141">
        <v>2</v>
      </c>
      <c r="AS141">
        <v>1690378006</v>
      </c>
      <c r="AT141">
        <v>436.76400000000001</v>
      </c>
      <c r="AU141">
        <v>800.077</v>
      </c>
      <c r="AV141">
        <v>25.1905</v>
      </c>
      <c r="AW141">
        <v>0.36465500000000001</v>
      </c>
      <c r="AX141">
        <v>437.209</v>
      </c>
      <c r="AY141">
        <v>24.979399999999998</v>
      </c>
      <c r="AZ141">
        <v>300.02800000000002</v>
      </c>
      <c r="BA141">
        <v>98.646699999999996</v>
      </c>
      <c r="BB141">
        <v>9.9903800000000001E-2</v>
      </c>
      <c r="BC141">
        <v>27.087</v>
      </c>
      <c r="BD141">
        <v>26.991900000000001</v>
      </c>
      <c r="BE141">
        <v>28.677399999999999</v>
      </c>
      <c r="BF141">
        <v>0</v>
      </c>
      <c r="BG141">
        <v>0</v>
      </c>
      <c r="BH141">
        <v>10030.6</v>
      </c>
      <c r="BI141">
        <v>1082.46</v>
      </c>
      <c r="BJ141">
        <v>1.2334499999999999</v>
      </c>
      <c r="BK141">
        <v>-363.31299999999999</v>
      </c>
      <c r="BL141">
        <v>448.05</v>
      </c>
      <c r="BM141">
        <v>800.36900000000003</v>
      </c>
      <c r="BN141">
        <v>24.825900000000001</v>
      </c>
      <c r="BO141">
        <v>800.077</v>
      </c>
      <c r="BP141">
        <v>0.36465500000000001</v>
      </c>
      <c r="BQ141">
        <v>2.4849600000000001</v>
      </c>
      <c r="BR141">
        <v>3.5971999999999997E-2</v>
      </c>
      <c r="BS141">
        <v>20.9284</v>
      </c>
      <c r="BT141">
        <v>-33.608699999999999</v>
      </c>
      <c r="BU141">
        <v>1799.99</v>
      </c>
      <c r="BV141">
        <v>0.90998900000000005</v>
      </c>
      <c r="BW141">
        <v>3.4000000000000002E-2</v>
      </c>
      <c r="BX141">
        <v>2.2005199999999999E-2</v>
      </c>
      <c r="BY141">
        <v>3.4006000000000002E-2</v>
      </c>
      <c r="BZ141">
        <v>25</v>
      </c>
      <c r="CA141">
        <v>33528.199999999997</v>
      </c>
      <c r="CB141">
        <v>1690376213.5999999</v>
      </c>
      <c r="CC141" t="s">
        <v>332</v>
      </c>
      <c r="CD141">
        <v>1690376213.5999999</v>
      </c>
      <c r="CE141">
        <v>1690376198.0999999</v>
      </c>
      <c r="CF141">
        <v>2</v>
      </c>
      <c r="CG141">
        <v>0.66900000000000004</v>
      </c>
      <c r="CH141">
        <v>-2.1000000000000001E-2</v>
      </c>
      <c r="CI141">
        <v>-0.70099999999999996</v>
      </c>
      <c r="CJ141">
        <v>0.21099999999999999</v>
      </c>
      <c r="CK141">
        <v>799</v>
      </c>
      <c r="CL141">
        <v>21</v>
      </c>
      <c r="CM141">
        <v>0.11</v>
      </c>
      <c r="CN141">
        <v>0.17</v>
      </c>
      <c r="CO141">
        <v>-360.97557499999999</v>
      </c>
      <c r="CP141">
        <v>-12.73403752345113</v>
      </c>
      <c r="CQ141">
        <v>1.2366727110982121</v>
      </c>
      <c r="CR141">
        <v>-1</v>
      </c>
      <c r="CS141">
        <v>24.7549575</v>
      </c>
      <c r="CT141">
        <v>0.7339283302063212</v>
      </c>
      <c r="CU141">
        <v>8.7314391389678586E-2</v>
      </c>
      <c r="CV141">
        <v>-1</v>
      </c>
      <c r="CW141">
        <v>0</v>
      </c>
      <c r="CX141">
        <v>0</v>
      </c>
      <c r="CY141" t="s">
        <v>333</v>
      </c>
      <c r="CZ141">
        <v>2.3647499999999999</v>
      </c>
      <c r="DA141">
        <v>2.7137199999999999</v>
      </c>
      <c r="DB141">
        <v>9.5443E-2</v>
      </c>
      <c r="DC141">
        <v>0.14555299999999999</v>
      </c>
      <c r="DD141">
        <v>0.11742900000000001</v>
      </c>
      <c r="DE141">
        <v>3.0244199999999999E-3</v>
      </c>
      <c r="DF141">
        <v>33043</v>
      </c>
      <c r="DG141">
        <v>27537.8</v>
      </c>
      <c r="DH141">
        <v>31183.3</v>
      </c>
      <c r="DI141">
        <v>28081.7</v>
      </c>
      <c r="DJ141">
        <v>37355.5</v>
      </c>
      <c r="DK141">
        <v>39806.5</v>
      </c>
      <c r="DL141">
        <v>44376.1</v>
      </c>
      <c r="DM141">
        <v>42548.9</v>
      </c>
      <c r="DN141">
        <v>1.44743</v>
      </c>
      <c r="DO141">
        <v>2.0485000000000002</v>
      </c>
      <c r="DP141">
        <v>9.0673599999999993E-2</v>
      </c>
      <c r="DQ141">
        <v>0.19344700000000001</v>
      </c>
      <c r="DR141">
        <v>25.507300000000001</v>
      </c>
      <c r="DS141">
        <v>25.514299999999999</v>
      </c>
      <c r="DT141">
        <v>45.7</v>
      </c>
      <c r="DU141">
        <v>27</v>
      </c>
      <c r="DV141">
        <v>16.581900000000001</v>
      </c>
      <c r="DW141">
        <v>60.7102</v>
      </c>
      <c r="DX141">
        <v>37.279600000000002</v>
      </c>
      <c r="DY141">
        <v>1</v>
      </c>
      <c r="DZ141">
        <v>-0.13872000000000001</v>
      </c>
      <c r="EA141">
        <v>-0.52395199999999997</v>
      </c>
      <c r="EB141">
        <v>20.189399999999999</v>
      </c>
      <c r="EC141">
        <v>5.2418500000000003</v>
      </c>
      <c r="ED141">
        <v>12.039899999999999</v>
      </c>
      <c r="EE141">
        <v>5.0171999999999999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1.86886</v>
      </c>
      <c r="EL141">
        <v>1.8645400000000001</v>
      </c>
      <c r="EM141">
        <v>1.86917</v>
      </c>
      <c r="EN141">
        <v>1.8672</v>
      </c>
      <c r="EO141">
        <v>1.86328</v>
      </c>
      <c r="EP141">
        <v>1.86432</v>
      </c>
      <c r="EQ141">
        <v>1.87012</v>
      </c>
      <c r="ER141">
        <v>1.8693500000000001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-0.44500000000000001</v>
      </c>
      <c r="FG141">
        <v>0.21110000000000001</v>
      </c>
      <c r="FH141">
        <v>-0.150361779349652</v>
      </c>
      <c r="FI141">
        <v>-6.1462078757559423E-4</v>
      </c>
      <c r="FJ141">
        <v>-1.8861989874597051E-7</v>
      </c>
      <c r="FK141">
        <v>1.1980462299894961E-10</v>
      </c>
      <c r="FL141">
        <v>0.21114761904761539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29.9</v>
      </c>
      <c r="FU141">
        <v>30.1</v>
      </c>
      <c r="FV141">
        <v>1.7687999999999999</v>
      </c>
      <c r="FW141">
        <v>2.5732400000000002</v>
      </c>
      <c r="FX141">
        <v>1.5490699999999999</v>
      </c>
      <c r="FY141">
        <v>2.33765</v>
      </c>
      <c r="FZ141">
        <v>1.50146</v>
      </c>
      <c r="GA141">
        <v>2.3571800000000001</v>
      </c>
      <c r="GB141">
        <v>32.200499999999998</v>
      </c>
      <c r="GC141">
        <v>23.982399999999998</v>
      </c>
      <c r="GD141">
        <v>19</v>
      </c>
      <c r="GE141">
        <v>268.471</v>
      </c>
      <c r="GF141">
        <v>586.52099999999996</v>
      </c>
      <c r="GG141">
        <v>25.851299999999998</v>
      </c>
      <c r="GH141">
        <v>25.694900000000001</v>
      </c>
      <c r="GI141">
        <v>30.0001</v>
      </c>
      <c r="GJ141">
        <v>25.7928</v>
      </c>
      <c r="GK141">
        <v>25.754100000000001</v>
      </c>
      <c r="GL141">
        <v>35.356099999999998</v>
      </c>
      <c r="GM141">
        <v>100</v>
      </c>
      <c r="GN141">
        <v>47.843699999999998</v>
      </c>
      <c r="GO141">
        <v>25.859100000000002</v>
      </c>
      <c r="GP141">
        <v>800</v>
      </c>
      <c r="GQ141">
        <v>0</v>
      </c>
      <c r="GR141">
        <v>99.772400000000005</v>
      </c>
      <c r="GS141">
        <v>99.549000000000007</v>
      </c>
    </row>
    <row r="142" spans="1:201" x14ac:dyDescent="0.25">
      <c r="A142">
        <v>126</v>
      </c>
      <c r="B142">
        <v>1690378016</v>
      </c>
      <c r="C142">
        <v>1299.5</v>
      </c>
      <c r="D142" t="s">
        <v>585</v>
      </c>
      <c r="E142" t="s">
        <v>586</v>
      </c>
      <c r="F142" t="s">
        <v>330</v>
      </c>
      <c r="H142">
        <v>1690378016</v>
      </c>
      <c r="I142">
        <f t="shared" si="30"/>
        <v>2.2192009710972067E-3</v>
      </c>
      <c r="J142">
        <f t="shared" si="31"/>
        <v>2.2192009710972069</v>
      </c>
      <c r="K142">
        <f t="shared" si="32"/>
        <v>30.816766715890179</v>
      </c>
      <c r="L142">
        <f t="shared" si="33"/>
        <v>434.69099999999997</v>
      </c>
      <c r="M142">
        <f t="shared" si="34"/>
        <v>96.743085999863993</v>
      </c>
      <c r="N142">
        <f t="shared" si="35"/>
        <v>9.5526419797127371</v>
      </c>
      <c r="O142">
        <f t="shared" si="36"/>
        <v>42.922421296434003</v>
      </c>
      <c r="P142">
        <f t="shared" si="37"/>
        <v>0.15410218847855101</v>
      </c>
      <c r="Q142">
        <f t="shared" si="38"/>
        <v>2.0091794652131654</v>
      </c>
      <c r="R142">
        <f t="shared" si="39"/>
        <v>0.14782408091938937</v>
      </c>
      <c r="S142">
        <f t="shared" si="40"/>
        <v>9.2932800987018574E-2</v>
      </c>
      <c r="T142">
        <f t="shared" si="41"/>
        <v>276.11453968181303</v>
      </c>
      <c r="U142">
        <f t="shared" si="42"/>
        <v>28.5733450481994</v>
      </c>
      <c r="V142">
        <f t="shared" si="43"/>
        <v>28.5733450481994</v>
      </c>
      <c r="W142">
        <f t="shared" si="44"/>
        <v>3.9235431715653784</v>
      </c>
      <c r="X142">
        <f t="shared" si="45"/>
        <v>69.193871237619547</v>
      </c>
      <c r="Y142">
        <f t="shared" si="46"/>
        <v>2.4893149970148003</v>
      </c>
      <c r="Z142">
        <f t="shared" si="47"/>
        <v>3.5975946315623997</v>
      </c>
      <c r="AA142">
        <f t="shared" si="48"/>
        <v>1.434228174550578</v>
      </c>
      <c r="AB142">
        <f t="shared" si="49"/>
        <v>-97.866762825386814</v>
      </c>
      <c r="AC142">
        <f t="shared" si="50"/>
        <v>-160.94507642024766</v>
      </c>
      <c r="AD142">
        <f t="shared" si="51"/>
        <v>-17.431633333116192</v>
      </c>
      <c r="AE142">
        <f t="shared" si="52"/>
        <v>-0.1289328969376129</v>
      </c>
      <c r="AF142">
        <v>9</v>
      </c>
      <c r="AG142">
        <v>3</v>
      </c>
      <c r="AH142">
        <f t="shared" si="53"/>
        <v>1</v>
      </c>
      <c r="AI142">
        <f t="shared" si="54"/>
        <v>0</v>
      </c>
      <c r="AJ142">
        <f t="shared" si="55"/>
        <v>52238.047603468993</v>
      </c>
      <c r="AK142">
        <f t="shared" si="56"/>
        <v>1799.99</v>
      </c>
      <c r="AL142">
        <f t="shared" si="57"/>
        <v>1499.10398659825</v>
      </c>
      <c r="AM142">
        <f t="shared" si="58"/>
        <v>0.83284017499999996</v>
      </c>
      <c r="AN142">
        <f t="shared" si="59"/>
        <v>0.15339781870000002</v>
      </c>
      <c r="AO142">
        <v>34.5</v>
      </c>
      <c r="AP142">
        <v>0.5</v>
      </c>
      <c r="AQ142" t="s">
        <v>331</v>
      </c>
      <c r="AR142">
        <v>2</v>
      </c>
      <c r="AS142">
        <v>1690378016</v>
      </c>
      <c r="AT142">
        <v>434.69099999999997</v>
      </c>
      <c r="AU142">
        <v>800.03499999999997</v>
      </c>
      <c r="AV142">
        <v>25.2102</v>
      </c>
      <c r="AW142">
        <v>0.342472</v>
      </c>
      <c r="AX142">
        <v>435.13499999999999</v>
      </c>
      <c r="AY142">
        <v>24.999099999999999</v>
      </c>
      <c r="AZ142">
        <v>300.11700000000002</v>
      </c>
      <c r="BA142">
        <v>98.642300000000006</v>
      </c>
      <c r="BB142">
        <v>0.100074</v>
      </c>
      <c r="BC142">
        <v>27.087499999999999</v>
      </c>
      <c r="BD142">
        <v>27.001300000000001</v>
      </c>
      <c r="BE142">
        <v>28.666699999999999</v>
      </c>
      <c r="BF142">
        <v>0</v>
      </c>
      <c r="BG142">
        <v>0</v>
      </c>
      <c r="BH142">
        <v>10018.799999999999</v>
      </c>
      <c r="BI142">
        <v>1082.44</v>
      </c>
      <c r="BJ142">
        <v>1.2474700000000001</v>
      </c>
      <c r="BK142">
        <v>-365.34399999999999</v>
      </c>
      <c r="BL142">
        <v>445.93299999999999</v>
      </c>
      <c r="BM142">
        <v>800.30899999999997</v>
      </c>
      <c r="BN142">
        <v>24.867699999999999</v>
      </c>
      <c r="BO142">
        <v>800.03499999999997</v>
      </c>
      <c r="BP142">
        <v>0.342472</v>
      </c>
      <c r="BQ142">
        <v>2.4868000000000001</v>
      </c>
      <c r="BR142">
        <v>3.3782199999999998E-2</v>
      </c>
      <c r="BS142">
        <v>20.940300000000001</v>
      </c>
      <c r="BT142">
        <v>-34.247</v>
      </c>
      <c r="BU142">
        <v>1799.99</v>
      </c>
      <c r="BV142">
        <v>0.90999200000000002</v>
      </c>
      <c r="BW142">
        <v>3.3998899999999999E-2</v>
      </c>
      <c r="BX142">
        <v>2.20045E-2</v>
      </c>
      <c r="BY142">
        <v>3.4005000000000001E-2</v>
      </c>
      <c r="BZ142">
        <v>25</v>
      </c>
      <c r="CA142">
        <v>33528.1</v>
      </c>
      <c r="CB142">
        <v>1690376213.5999999</v>
      </c>
      <c r="CC142" t="s">
        <v>332</v>
      </c>
      <c r="CD142">
        <v>1690376213.5999999</v>
      </c>
      <c r="CE142">
        <v>1690376198.0999999</v>
      </c>
      <c r="CF142">
        <v>2</v>
      </c>
      <c r="CG142">
        <v>0.66900000000000004</v>
      </c>
      <c r="CH142">
        <v>-2.1000000000000001E-2</v>
      </c>
      <c r="CI142">
        <v>-0.70099999999999996</v>
      </c>
      <c r="CJ142">
        <v>0.21099999999999999</v>
      </c>
      <c r="CK142">
        <v>799</v>
      </c>
      <c r="CL142">
        <v>21</v>
      </c>
      <c r="CM142">
        <v>0.11</v>
      </c>
      <c r="CN142">
        <v>0.17</v>
      </c>
      <c r="CO142">
        <v>-363.11447500000003</v>
      </c>
      <c r="CP142">
        <v>-12.415350844277659</v>
      </c>
      <c r="CQ142">
        <v>1.195079662355196</v>
      </c>
      <c r="CR142">
        <v>-1</v>
      </c>
      <c r="CS142">
        <v>24.825724999999998</v>
      </c>
      <c r="CT142">
        <v>0.20753470919318279</v>
      </c>
      <c r="CU142">
        <v>2.008542693098659E-2</v>
      </c>
      <c r="CV142">
        <v>-1</v>
      </c>
      <c r="CW142">
        <v>0</v>
      </c>
      <c r="CX142">
        <v>0</v>
      </c>
      <c r="CY142" t="s">
        <v>333</v>
      </c>
      <c r="CZ142">
        <v>2.3650199999999999</v>
      </c>
      <c r="DA142">
        <v>2.7138800000000001</v>
      </c>
      <c r="DB142">
        <v>9.5098699999999994E-2</v>
      </c>
      <c r="DC142">
        <v>0.145541</v>
      </c>
      <c r="DD142">
        <v>0.117489</v>
      </c>
      <c r="DE142">
        <v>2.8440599999999998E-3</v>
      </c>
      <c r="DF142">
        <v>33055.300000000003</v>
      </c>
      <c r="DG142">
        <v>27538.2</v>
      </c>
      <c r="DH142">
        <v>31183.1</v>
      </c>
      <c r="DI142">
        <v>28081.7</v>
      </c>
      <c r="DJ142">
        <v>37352.699999999997</v>
      </c>
      <c r="DK142">
        <v>39814</v>
      </c>
      <c r="DL142">
        <v>44375.9</v>
      </c>
      <c r="DM142">
        <v>42549.3</v>
      </c>
      <c r="DN142">
        <v>1.4473800000000001</v>
      </c>
      <c r="DO142">
        <v>2.0475500000000002</v>
      </c>
      <c r="DP142">
        <v>9.0949199999999994E-2</v>
      </c>
      <c r="DQ142">
        <v>0.19239600000000001</v>
      </c>
      <c r="DR142">
        <v>25.5121</v>
      </c>
      <c r="DS142">
        <v>25.520700000000001</v>
      </c>
      <c r="DT142">
        <v>45.3</v>
      </c>
      <c r="DU142">
        <v>27.1</v>
      </c>
      <c r="DV142">
        <v>16.530899999999999</v>
      </c>
      <c r="DW142">
        <v>61.030200000000001</v>
      </c>
      <c r="DX142">
        <v>37.688299999999998</v>
      </c>
      <c r="DY142">
        <v>1</v>
      </c>
      <c r="DZ142">
        <v>-0.13847599999999999</v>
      </c>
      <c r="EA142">
        <v>-0.57450699999999999</v>
      </c>
      <c r="EB142">
        <v>20.189399999999999</v>
      </c>
      <c r="EC142">
        <v>5.2418500000000003</v>
      </c>
      <c r="ED142">
        <v>12.039899999999999</v>
      </c>
      <c r="EE142">
        <v>5.0172999999999996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1.8688499999999999</v>
      </c>
      <c r="EL142">
        <v>1.8645</v>
      </c>
      <c r="EM142">
        <v>1.86917</v>
      </c>
      <c r="EN142">
        <v>1.8671899999999999</v>
      </c>
      <c r="EO142">
        <v>1.86327</v>
      </c>
      <c r="EP142">
        <v>1.86432</v>
      </c>
      <c r="EQ142">
        <v>1.87012</v>
      </c>
      <c r="ER142">
        <v>1.8693500000000001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-0.44400000000000001</v>
      </c>
      <c r="FG142">
        <v>0.21110000000000001</v>
      </c>
      <c r="FH142">
        <v>-0.150361779349652</v>
      </c>
      <c r="FI142">
        <v>-6.1462078757559423E-4</v>
      </c>
      <c r="FJ142">
        <v>-1.8861989874597051E-7</v>
      </c>
      <c r="FK142">
        <v>1.1980462299894961E-10</v>
      </c>
      <c r="FL142">
        <v>0.21114761904761539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30</v>
      </c>
      <c r="FU142">
        <v>30.3</v>
      </c>
      <c r="FV142">
        <v>1.7687999999999999</v>
      </c>
      <c r="FW142">
        <v>2.5744600000000002</v>
      </c>
      <c r="FX142">
        <v>1.5490699999999999</v>
      </c>
      <c r="FY142">
        <v>2.33765</v>
      </c>
      <c r="FZ142">
        <v>1.50146</v>
      </c>
      <c r="GA142">
        <v>2.3046899999999999</v>
      </c>
      <c r="GB142">
        <v>32.200499999999998</v>
      </c>
      <c r="GC142">
        <v>23.982399999999998</v>
      </c>
      <c r="GD142">
        <v>19</v>
      </c>
      <c r="GE142">
        <v>268.45100000000002</v>
      </c>
      <c r="GF142">
        <v>585.76099999999997</v>
      </c>
      <c r="GG142">
        <v>25.861599999999999</v>
      </c>
      <c r="GH142">
        <v>25.697099999999999</v>
      </c>
      <c r="GI142">
        <v>30.0001</v>
      </c>
      <c r="GJ142">
        <v>25.7928</v>
      </c>
      <c r="GK142">
        <v>25.7563</v>
      </c>
      <c r="GL142">
        <v>35.357799999999997</v>
      </c>
      <c r="GM142">
        <v>100</v>
      </c>
      <c r="GN142">
        <v>46.605499999999999</v>
      </c>
      <c r="GO142">
        <v>25.860299999999999</v>
      </c>
      <c r="GP142">
        <v>800</v>
      </c>
      <c r="GQ142">
        <v>0</v>
      </c>
      <c r="GR142">
        <v>99.771799999999999</v>
      </c>
      <c r="GS142">
        <v>99.549499999999995</v>
      </c>
    </row>
    <row r="143" spans="1:201" x14ac:dyDescent="0.25">
      <c r="A143">
        <v>127</v>
      </c>
      <c r="B143">
        <v>1690378026</v>
      </c>
      <c r="C143">
        <v>1309.5</v>
      </c>
      <c r="D143" t="s">
        <v>587</v>
      </c>
      <c r="E143" t="s">
        <v>588</v>
      </c>
      <c r="F143" t="s">
        <v>330</v>
      </c>
      <c r="H143">
        <v>1690378026</v>
      </c>
      <c r="I143">
        <f t="shared" si="30"/>
        <v>2.2236498564761351E-3</v>
      </c>
      <c r="J143">
        <f t="shared" si="31"/>
        <v>2.2236498564761349</v>
      </c>
      <c r="K143">
        <f t="shared" si="32"/>
        <v>30.983566247012295</v>
      </c>
      <c r="L143">
        <f t="shared" si="33"/>
        <v>432.73599999999999</v>
      </c>
      <c r="M143">
        <f t="shared" si="34"/>
        <v>94.659782527588433</v>
      </c>
      <c r="N143">
        <f t="shared" si="35"/>
        <v>9.3470860392031039</v>
      </c>
      <c r="O143">
        <f t="shared" si="36"/>
        <v>42.73008574768</v>
      </c>
      <c r="P143">
        <f t="shared" si="37"/>
        <v>0.15488077109980686</v>
      </c>
      <c r="Q143">
        <f t="shared" si="38"/>
        <v>2.0063154961066911</v>
      </c>
      <c r="R143">
        <f t="shared" si="39"/>
        <v>0.14853181614235472</v>
      </c>
      <c r="S143">
        <f t="shared" si="40"/>
        <v>9.3381126484149479E-2</v>
      </c>
      <c r="T143">
        <f t="shared" si="41"/>
        <v>276.11572107600006</v>
      </c>
      <c r="U143">
        <f t="shared" si="42"/>
        <v>28.572334076669772</v>
      </c>
      <c r="V143">
        <f t="shared" si="43"/>
        <v>28.572334076669772</v>
      </c>
      <c r="W143">
        <f t="shared" si="44"/>
        <v>3.9233129215455347</v>
      </c>
      <c r="X143">
        <f t="shared" si="45"/>
        <v>69.303229098710943</v>
      </c>
      <c r="Y143">
        <f t="shared" si="46"/>
        <v>2.4930590150384995</v>
      </c>
      <c r="Z143">
        <f t="shared" si="47"/>
        <v>3.5973201356715294</v>
      </c>
      <c r="AA143">
        <f t="shared" si="48"/>
        <v>1.4302539065070352</v>
      </c>
      <c r="AB143">
        <f t="shared" si="49"/>
        <v>-98.062958670597553</v>
      </c>
      <c r="AC143">
        <f t="shared" si="50"/>
        <v>-160.7469211381939</v>
      </c>
      <c r="AD143">
        <f t="shared" si="51"/>
        <v>-17.434823296476715</v>
      </c>
      <c r="AE143">
        <f t="shared" si="52"/>
        <v>-0.12898202926811564</v>
      </c>
      <c r="AF143">
        <v>9</v>
      </c>
      <c r="AG143">
        <v>3</v>
      </c>
      <c r="AH143">
        <f t="shared" si="53"/>
        <v>1</v>
      </c>
      <c r="AI143">
        <f t="shared" si="54"/>
        <v>0</v>
      </c>
      <c r="AJ143">
        <f t="shared" si="55"/>
        <v>52101.406199518773</v>
      </c>
      <c r="AK143">
        <f t="shared" si="56"/>
        <v>1800</v>
      </c>
      <c r="AL143">
        <f t="shared" si="57"/>
        <v>1499.1117875999998</v>
      </c>
      <c r="AM143">
        <f t="shared" si="58"/>
        <v>0.83283988199999992</v>
      </c>
      <c r="AN143">
        <f t="shared" si="59"/>
        <v>0.15339762282000002</v>
      </c>
      <c r="AO143">
        <v>34.5</v>
      </c>
      <c r="AP143">
        <v>0.5</v>
      </c>
      <c r="AQ143" t="s">
        <v>331</v>
      </c>
      <c r="AR143">
        <v>2</v>
      </c>
      <c r="AS143">
        <v>1690378026</v>
      </c>
      <c r="AT143">
        <v>432.73599999999999</v>
      </c>
      <c r="AU143">
        <v>800.02599999999995</v>
      </c>
      <c r="AV143">
        <v>25.247699999999998</v>
      </c>
      <c r="AW143">
        <v>0.32725799999999999</v>
      </c>
      <c r="AX143">
        <v>433.178</v>
      </c>
      <c r="AY143">
        <v>25.0365</v>
      </c>
      <c r="AZ143">
        <v>300.07100000000003</v>
      </c>
      <c r="BA143">
        <v>98.644000000000005</v>
      </c>
      <c r="BB143">
        <v>0.100005</v>
      </c>
      <c r="BC143">
        <v>27.086200000000002</v>
      </c>
      <c r="BD143">
        <v>26.999199999999998</v>
      </c>
      <c r="BE143">
        <v>28.668900000000001</v>
      </c>
      <c r="BF143">
        <v>0</v>
      </c>
      <c r="BG143">
        <v>0</v>
      </c>
      <c r="BH143">
        <v>9991.25</v>
      </c>
      <c r="BI143">
        <v>1082.56</v>
      </c>
      <c r="BJ143">
        <v>1.2334499999999999</v>
      </c>
      <c r="BK143">
        <v>-367.29</v>
      </c>
      <c r="BL143">
        <v>443.94499999999999</v>
      </c>
      <c r="BM143">
        <v>800.28800000000001</v>
      </c>
      <c r="BN143">
        <v>24.920400000000001</v>
      </c>
      <c r="BO143">
        <v>800.02599999999995</v>
      </c>
      <c r="BP143">
        <v>0.32725799999999999</v>
      </c>
      <c r="BQ143">
        <v>2.4905300000000001</v>
      </c>
      <c r="BR143">
        <v>3.2282100000000001E-2</v>
      </c>
      <c r="BS143">
        <v>20.9648</v>
      </c>
      <c r="BT143">
        <v>-34.706200000000003</v>
      </c>
      <c r="BU143">
        <v>1800</v>
      </c>
      <c r="BV143">
        <v>0.909995</v>
      </c>
      <c r="BW143">
        <v>3.39975E-2</v>
      </c>
      <c r="BX143">
        <v>2.2003600000000002E-2</v>
      </c>
      <c r="BY143">
        <v>3.4003600000000002E-2</v>
      </c>
      <c r="BZ143">
        <v>25</v>
      </c>
      <c r="CA143">
        <v>33528.199999999997</v>
      </c>
      <c r="CB143">
        <v>1690376213.5999999</v>
      </c>
      <c r="CC143" t="s">
        <v>332</v>
      </c>
      <c r="CD143">
        <v>1690376213.5999999</v>
      </c>
      <c r="CE143">
        <v>1690376198.0999999</v>
      </c>
      <c r="CF143">
        <v>2</v>
      </c>
      <c r="CG143">
        <v>0.66900000000000004</v>
      </c>
      <c r="CH143">
        <v>-2.1000000000000001E-2</v>
      </c>
      <c r="CI143">
        <v>-0.70099999999999996</v>
      </c>
      <c r="CJ143">
        <v>0.21099999999999999</v>
      </c>
      <c r="CK143">
        <v>799</v>
      </c>
      <c r="CL143">
        <v>21</v>
      </c>
      <c r="CM143">
        <v>0.11</v>
      </c>
      <c r="CN143">
        <v>0.17</v>
      </c>
      <c r="CO143">
        <v>-364.98865853658538</v>
      </c>
      <c r="CP143">
        <v>-11.96732404181204</v>
      </c>
      <c r="CQ143">
        <v>1.1811567833346119</v>
      </c>
      <c r="CR143">
        <v>-1</v>
      </c>
      <c r="CS143">
        <v>24.862217073170729</v>
      </c>
      <c r="CT143">
        <v>0.27078397212543298</v>
      </c>
      <c r="CU143">
        <v>2.6754665902066939E-2</v>
      </c>
      <c r="CV143">
        <v>-1</v>
      </c>
      <c r="CW143">
        <v>0</v>
      </c>
      <c r="CX143">
        <v>0</v>
      </c>
      <c r="CY143" t="s">
        <v>333</v>
      </c>
      <c r="CZ143">
        <v>2.3648600000000002</v>
      </c>
      <c r="DA143">
        <v>2.7137899999999999</v>
      </c>
      <c r="DB143">
        <v>9.4778299999999996E-2</v>
      </c>
      <c r="DC143">
        <v>0.145541</v>
      </c>
      <c r="DD143">
        <v>0.117613</v>
      </c>
      <c r="DE143">
        <v>2.7202300000000001E-3</v>
      </c>
      <c r="DF143">
        <v>33067</v>
      </c>
      <c r="DG143">
        <v>27538.400000000001</v>
      </c>
      <c r="DH143">
        <v>31183.1</v>
      </c>
      <c r="DI143">
        <v>28081.9</v>
      </c>
      <c r="DJ143">
        <v>37347.300000000003</v>
      </c>
      <c r="DK143">
        <v>39819.199999999997</v>
      </c>
      <c r="DL143">
        <v>44375.8</v>
      </c>
      <c r="DM143">
        <v>42549.5</v>
      </c>
      <c r="DN143">
        <v>1.4474499999999999</v>
      </c>
      <c r="DO143">
        <v>2.0475699999999999</v>
      </c>
      <c r="DP143">
        <v>9.0755500000000003E-2</v>
      </c>
      <c r="DQ143">
        <v>0.19220300000000001</v>
      </c>
      <c r="DR143">
        <v>25.513200000000001</v>
      </c>
      <c r="DS143">
        <v>25.5261</v>
      </c>
      <c r="DT143">
        <v>44.9</v>
      </c>
      <c r="DU143">
        <v>27.1</v>
      </c>
      <c r="DV143">
        <v>16.3901</v>
      </c>
      <c r="DW143">
        <v>61.080199999999998</v>
      </c>
      <c r="DX143">
        <v>37.788499999999999</v>
      </c>
      <c r="DY143">
        <v>1</v>
      </c>
      <c r="DZ143">
        <v>-0.13816300000000001</v>
      </c>
      <c r="EA143">
        <v>-0.55216799999999999</v>
      </c>
      <c r="EB143">
        <v>20.189499999999999</v>
      </c>
      <c r="EC143">
        <v>5.2415500000000002</v>
      </c>
      <c r="ED143">
        <v>12.039899999999999</v>
      </c>
      <c r="EE143">
        <v>5.0171000000000001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1.8688499999999999</v>
      </c>
      <c r="EL143">
        <v>1.8645</v>
      </c>
      <c r="EM143">
        <v>1.86917</v>
      </c>
      <c r="EN143">
        <v>1.8671800000000001</v>
      </c>
      <c r="EO143">
        <v>1.86328</v>
      </c>
      <c r="EP143">
        <v>1.86432</v>
      </c>
      <c r="EQ143">
        <v>1.87012</v>
      </c>
      <c r="ER143">
        <v>1.8693500000000001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-0.442</v>
      </c>
      <c r="FG143">
        <v>0.2112</v>
      </c>
      <c r="FH143">
        <v>-0.150361779349652</v>
      </c>
      <c r="FI143">
        <v>-6.1462078757559423E-4</v>
      </c>
      <c r="FJ143">
        <v>-1.8861989874597051E-7</v>
      </c>
      <c r="FK143">
        <v>1.1980462299894961E-10</v>
      </c>
      <c r="FL143">
        <v>0.21114761904761539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30.2</v>
      </c>
      <c r="FU143">
        <v>30.5</v>
      </c>
      <c r="FV143">
        <v>1.7687999999999999</v>
      </c>
      <c r="FW143">
        <v>2.5720200000000002</v>
      </c>
      <c r="FX143">
        <v>1.5490699999999999</v>
      </c>
      <c r="FY143">
        <v>2.33765</v>
      </c>
      <c r="FZ143">
        <v>1.50146</v>
      </c>
      <c r="GA143">
        <v>2.2363300000000002</v>
      </c>
      <c r="GB143">
        <v>32.200499999999998</v>
      </c>
      <c r="GC143">
        <v>23.991199999999999</v>
      </c>
      <c r="GD143">
        <v>19</v>
      </c>
      <c r="GE143">
        <v>268.49</v>
      </c>
      <c r="GF143">
        <v>585.80600000000004</v>
      </c>
      <c r="GG143">
        <v>25.861799999999999</v>
      </c>
      <c r="GH143">
        <v>25.697199999999999</v>
      </c>
      <c r="GI143">
        <v>30.0002</v>
      </c>
      <c r="GJ143">
        <v>25.794899999999998</v>
      </c>
      <c r="GK143">
        <v>25.758400000000002</v>
      </c>
      <c r="GL143">
        <v>35.356200000000001</v>
      </c>
      <c r="GM143">
        <v>100</v>
      </c>
      <c r="GN143">
        <v>45.781500000000001</v>
      </c>
      <c r="GO143">
        <v>25.863499999999998</v>
      </c>
      <c r="GP143">
        <v>800</v>
      </c>
      <c r="GQ143">
        <v>0</v>
      </c>
      <c r="GR143">
        <v>99.771600000000007</v>
      </c>
      <c r="GS143">
        <v>99.5501</v>
      </c>
    </row>
    <row r="144" spans="1:201" x14ac:dyDescent="0.25">
      <c r="A144">
        <v>128</v>
      </c>
      <c r="B144">
        <v>1690378036</v>
      </c>
      <c r="C144">
        <v>1319.5</v>
      </c>
      <c r="D144" t="s">
        <v>589</v>
      </c>
      <c r="E144" t="s">
        <v>590</v>
      </c>
      <c r="F144" t="s">
        <v>330</v>
      </c>
      <c r="H144">
        <v>1690378036</v>
      </c>
      <c r="I144">
        <f t="shared" si="30"/>
        <v>2.2301789337511348E-3</v>
      </c>
      <c r="J144">
        <f t="shared" si="31"/>
        <v>2.2301789337511346</v>
      </c>
      <c r="K144">
        <f t="shared" si="32"/>
        <v>31.153097617147001</v>
      </c>
      <c r="L144">
        <f t="shared" si="33"/>
        <v>430.97699999999998</v>
      </c>
      <c r="M144">
        <f t="shared" si="34"/>
        <v>93.184803957761247</v>
      </c>
      <c r="N144">
        <f t="shared" si="35"/>
        <v>9.2016732346965906</v>
      </c>
      <c r="O144">
        <f t="shared" si="36"/>
        <v>42.557470287402296</v>
      </c>
      <c r="P144">
        <f t="shared" si="37"/>
        <v>0.15586482854084591</v>
      </c>
      <c r="Q144">
        <f t="shared" si="38"/>
        <v>2.007844179936221</v>
      </c>
      <c r="R144">
        <f t="shared" si="39"/>
        <v>0.14944141668309066</v>
      </c>
      <c r="S144">
        <f t="shared" si="40"/>
        <v>9.3955944795451163E-2</v>
      </c>
      <c r="T144">
        <f t="shared" si="41"/>
        <v>276.11416400590014</v>
      </c>
      <c r="U144">
        <f t="shared" si="42"/>
        <v>28.574889270531045</v>
      </c>
      <c r="V144">
        <f t="shared" si="43"/>
        <v>28.574889270531045</v>
      </c>
      <c r="W144">
        <f t="shared" si="44"/>
        <v>3.9238948928665796</v>
      </c>
      <c r="X144">
        <f t="shared" si="45"/>
        <v>69.421072571091855</v>
      </c>
      <c r="Y144">
        <f t="shared" si="46"/>
        <v>2.4981778263201098</v>
      </c>
      <c r="Z144">
        <f t="shared" si="47"/>
        <v>3.5985871923281034</v>
      </c>
      <c r="AA144">
        <f t="shared" si="48"/>
        <v>1.4257170665464698</v>
      </c>
      <c r="AB144">
        <f t="shared" si="49"/>
        <v>-98.350890978425042</v>
      </c>
      <c r="AC144">
        <f t="shared" si="50"/>
        <v>-160.49651042046168</v>
      </c>
      <c r="AD144">
        <f t="shared" si="51"/>
        <v>-17.395151521523516</v>
      </c>
      <c r="AE144">
        <f t="shared" si="52"/>
        <v>-0.12838891451011136</v>
      </c>
      <c r="AF144">
        <v>9</v>
      </c>
      <c r="AG144">
        <v>3</v>
      </c>
      <c r="AH144">
        <f t="shared" si="53"/>
        <v>1</v>
      </c>
      <c r="AI144">
        <f t="shared" si="54"/>
        <v>0</v>
      </c>
      <c r="AJ144">
        <f t="shared" si="55"/>
        <v>52173.458477530468</v>
      </c>
      <c r="AK144">
        <f t="shared" si="56"/>
        <v>1799.99</v>
      </c>
      <c r="AL144">
        <f t="shared" si="57"/>
        <v>1499.10470479426</v>
      </c>
      <c r="AM144">
        <f t="shared" si="58"/>
        <v>0.832840574</v>
      </c>
      <c r="AN144">
        <f t="shared" si="59"/>
        <v>0.15339760999000002</v>
      </c>
      <c r="AO144">
        <v>34.5</v>
      </c>
      <c r="AP144">
        <v>0.5</v>
      </c>
      <c r="AQ144" t="s">
        <v>331</v>
      </c>
      <c r="AR144">
        <v>2</v>
      </c>
      <c r="AS144">
        <v>1690378036</v>
      </c>
      <c r="AT144">
        <v>430.97699999999998</v>
      </c>
      <c r="AU144">
        <v>800.06700000000001</v>
      </c>
      <c r="AV144">
        <v>25.2989</v>
      </c>
      <c r="AW144">
        <v>0.31584099999999998</v>
      </c>
      <c r="AX144">
        <v>431.41800000000001</v>
      </c>
      <c r="AY144">
        <v>25.087800000000001</v>
      </c>
      <c r="AZ144">
        <v>300.18200000000002</v>
      </c>
      <c r="BA144">
        <v>98.646500000000003</v>
      </c>
      <c r="BB144">
        <v>9.9999900000000003E-2</v>
      </c>
      <c r="BC144">
        <v>27.092199999999998</v>
      </c>
      <c r="BD144">
        <v>26.999199999999998</v>
      </c>
      <c r="BE144">
        <v>28.668199999999999</v>
      </c>
      <c r="BF144">
        <v>0</v>
      </c>
      <c r="BG144">
        <v>0</v>
      </c>
      <c r="BH144">
        <v>10005.6</v>
      </c>
      <c r="BI144">
        <v>1082.5999999999999</v>
      </c>
      <c r="BJ144">
        <v>1.3455900000000001</v>
      </c>
      <c r="BK144">
        <v>-369.09</v>
      </c>
      <c r="BL144">
        <v>442.16300000000001</v>
      </c>
      <c r="BM144">
        <v>800.32</v>
      </c>
      <c r="BN144">
        <v>24.9831</v>
      </c>
      <c r="BO144">
        <v>800.06700000000001</v>
      </c>
      <c r="BP144">
        <v>0.31584099999999998</v>
      </c>
      <c r="BQ144">
        <v>2.4956499999999999</v>
      </c>
      <c r="BR144">
        <v>3.11566E-2</v>
      </c>
      <c r="BS144">
        <v>20.998200000000001</v>
      </c>
      <c r="BT144">
        <v>-35.063600000000001</v>
      </c>
      <c r="BU144">
        <v>1799.99</v>
      </c>
      <c r="BV144">
        <v>0.909999</v>
      </c>
      <c r="BW144">
        <v>3.3996199999999997E-2</v>
      </c>
      <c r="BX144">
        <v>2.20027E-2</v>
      </c>
      <c r="BY144">
        <v>3.4002299999999999E-2</v>
      </c>
      <c r="BZ144">
        <v>25</v>
      </c>
      <c r="CA144">
        <v>33528.199999999997</v>
      </c>
      <c r="CB144">
        <v>1690376213.5999999</v>
      </c>
      <c r="CC144" t="s">
        <v>332</v>
      </c>
      <c r="CD144">
        <v>1690376213.5999999</v>
      </c>
      <c r="CE144">
        <v>1690376198.0999999</v>
      </c>
      <c r="CF144">
        <v>2</v>
      </c>
      <c r="CG144">
        <v>0.66900000000000004</v>
      </c>
      <c r="CH144">
        <v>-2.1000000000000001E-2</v>
      </c>
      <c r="CI144">
        <v>-0.70099999999999996</v>
      </c>
      <c r="CJ144">
        <v>0.21099999999999999</v>
      </c>
      <c r="CK144">
        <v>799</v>
      </c>
      <c r="CL144">
        <v>21</v>
      </c>
      <c r="CM144">
        <v>0.11</v>
      </c>
      <c r="CN144">
        <v>0.17</v>
      </c>
      <c r="CO144">
        <v>-366.94636585365851</v>
      </c>
      <c r="CP144">
        <v>-11.379658536585961</v>
      </c>
      <c r="CQ144">
        <v>1.1230554740788301</v>
      </c>
      <c r="CR144">
        <v>-1</v>
      </c>
      <c r="CS144">
        <v>24.913024390243901</v>
      </c>
      <c r="CT144">
        <v>0.33710801393717371</v>
      </c>
      <c r="CU144">
        <v>3.3286690964406958E-2</v>
      </c>
      <c r="CV144">
        <v>-1</v>
      </c>
      <c r="CW144">
        <v>0</v>
      </c>
      <c r="CX144">
        <v>0</v>
      </c>
      <c r="CY144" t="s">
        <v>333</v>
      </c>
      <c r="CZ144">
        <v>2.3652299999999999</v>
      </c>
      <c r="DA144">
        <v>2.7138</v>
      </c>
      <c r="DB144">
        <v>9.4490400000000002E-2</v>
      </c>
      <c r="DC144">
        <v>0.14554900000000001</v>
      </c>
      <c r="DD144">
        <v>0.117783</v>
      </c>
      <c r="DE144">
        <v>2.6271799999999998E-3</v>
      </c>
      <c r="DF144">
        <v>33077.699999999997</v>
      </c>
      <c r="DG144">
        <v>27537.8</v>
      </c>
      <c r="DH144">
        <v>31183.200000000001</v>
      </c>
      <c r="DI144">
        <v>28081.599999999999</v>
      </c>
      <c r="DJ144">
        <v>37340.199999999997</v>
      </c>
      <c r="DK144">
        <v>39822.199999999997</v>
      </c>
      <c r="DL144">
        <v>44376.1</v>
      </c>
      <c r="DM144">
        <v>42548.7</v>
      </c>
      <c r="DN144">
        <v>1.4478</v>
      </c>
      <c r="DO144">
        <v>2.0475500000000002</v>
      </c>
      <c r="DP144">
        <v>9.04948E-2</v>
      </c>
      <c r="DQ144">
        <v>0.19189700000000001</v>
      </c>
      <c r="DR144">
        <v>25.517499999999998</v>
      </c>
      <c r="DS144">
        <v>25.5304</v>
      </c>
      <c r="DT144">
        <v>44.4</v>
      </c>
      <c r="DU144">
        <v>27.1</v>
      </c>
      <c r="DV144">
        <v>16.2057</v>
      </c>
      <c r="DW144">
        <v>60.8902</v>
      </c>
      <c r="DX144">
        <v>37.443899999999999</v>
      </c>
      <c r="DY144">
        <v>1</v>
      </c>
      <c r="DZ144">
        <v>-0.138041</v>
      </c>
      <c r="EA144">
        <v>-0.54876400000000003</v>
      </c>
      <c r="EB144">
        <v>20.189399999999999</v>
      </c>
      <c r="EC144">
        <v>5.2418500000000003</v>
      </c>
      <c r="ED144">
        <v>12.039899999999999</v>
      </c>
      <c r="EE144">
        <v>5.01715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1.86886</v>
      </c>
      <c r="EL144">
        <v>1.8645099999999999</v>
      </c>
      <c r="EM144">
        <v>1.8691899999999999</v>
      </c>
      <c r="EN144">
        <v>1.8672200000000001</v>
      </c>
      <c r="EO144">
        <v>1.8633</v>
      </c>
      <c r="EP144">
        <v>1.86433</v>
      </c>
      <c r="EQ144">
        <v>1.87012</v>
      </c>
      <c r="ER144">
        <v>1.8693500000000001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-0.441</v>
      </c>
      <c r="FG144">
        <v>0.21110000000000001</v>
      </c>
      <c r="FH144">
        <v>-0.150361779349652</v>
      </c>
      <c r="FI144">
        <v>-6.1462078757559423E-4</v>
      </c>
      <c r="FJ144">
        <v>-1.8861989874597051E-7</v>
      </c>
      <c r="FK144">
        <v>1.1980462299894961E-10</v>
      </c>
      <c r="FL144">
        <v>0.21114761904761539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30.4</v>
      </c>
      <c r="FU144">
        <v>30.6</v>
      </c>
      <c r="FV144">
        <v>1.7675799999999999</v>
      </c>
      <c r="FW144">
        <v>2.5598100000000001</v>
      </c>
      <c r="FX144">
        <v>1.5490699999999999</v>
      </c>
      <c r="FY144">
        <v>2.33765</v>
      </c>
      <c r="FZ144">
        <v>1.50146</v>
      </c>
      <c r="GA144">
        <v>2.36328</v>
      </c>
      <c r="GB144">
        <v>32.222499999999997</v>
      </c>
      <c r="GC144">
        <v>23.991199999999999</v>
      </c>
      <c r="GD144">
        <v>19</v>
      </c>
      <c r="GE144">
        <v>268.642</v>
      </c>
      <c r="GF144">
        <v>585.80999999999995</v>
      </c>
      <c r="GG144">
        <v>25.863</v>
      </c>
      <c r="GH144">
        <v>25.699200000000001</v>
      </c>
      <c r="GI144">
        <v>30.0002</v>
      </c>
      <c r="GJ144">
        <v>25.7971</v>
      </c>
      <c r="GK144">
        <v>25.7606</v>
      </c>
      <c r="GL144">
        <v>35.353099999999998</v>
      </c>
      <c r="GM144">
        <v>100</v>
      </c>
      <c r="GN144">
        <v>44.601100000000002</v>
      </c>
      <c r="GO144">
        <v>25.8626</v>
      </c>
      <c r="GP144">
        <v>800</v>
      </c>
      <c r="GQ144">
        <v>0</v>
      </c>
      <c r="GR144">
        <v>99.772300000000001</v>
      </c>
      <c r="GS144">
        <v>99.548599999999993</v>
      </c>
    </row>
    <row r="145" spans="1:201" x14ac:dyDescent="0.25">
      <c r="A145">
        <v>129</v>
      </c>
      <c r="B145">
        <v>1690378046</v>
      </c>
      <c r="C145">
        <v>1329.5</v>
      </c>
      <c r="D145" t="s">
        <v>591</v>
      </c>
      <c r="E145" t="s">
        <v>592</v>
      </c>
      <c r="F145" t="s">
        <v>330</v>
      </c>
      <c r="H145">
        <v>1690378046</v>
      </c>
      <c r="I145">
        <f t="shared" ref="I145:I208" si="60">(J145)/1000</f>
        <v>2.2363577937305115E-3</v>
      </c>
      <c r="J145">
        <f t="shared" ref="J145:J208" si="61">1000*AZ145*AH145*(AV145-AW145)/(100*AO145*(1000-AH145*AV145))</f>
        <v>2.2363577937305115</v>
      </c>
      <c r="K145">
        <f t="shared" ref="K145:K208" si="62">AZ145*AH145*(AU145-AT145*(1000-AH145*AW145)/(1000-AH145*AV145))/(100*AO145)</f>
        <v>31.312432323615994</v>
      </c>
      <c r="L145">
        <f t="shared" ref="L145:L208" si="63">AT145 - IF(AH145&gt;1, K145*AO145*100/(AJ145*BH145), 0)</f>
        <v>429.108</v>
      </c>
      <c r="M145">
        <f t="shared" ref="M145:M208" si="64">((S145-I145/2)*L145-K145)/(S145+I145/2)</f>
        <v>92.114980331811196</v>
      </c>
      <c r="N145">
        <f t="shared" ref="N145:N208" si="65">M145*(BA145+BB145)/1000</f>
        <v>9.0955445249742581</v>
      </c>
      <c r="O145">
        <f t="shared" ref="O145:O208" si="66">(AT145 - IF(AH145&gt;1, K145*AO145*100/(AJ145*BH145), 0))*(BA145+BB145)/1000</f>
        <v>42.370642711572003</v>
      </c>
      <c r="P145">
        <f t="shared" ref="P145:P208" si="67">2/((1/R145-1/Q145)+SIGN(R145)*SQRT((1/R145-1/Q145)*(1/R145-1/Q145) + 4*AP145/((AP145+1)*(AP145+1))*(2*1/R145*1/Q145-1/Q145*1/Q145)))</f>
        <v>0.15706131166164478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2.0049755047809796</v>
      </c>
      <c r="R145">
        <f t="shared" ref="R145:R208" si="69">I145*(1000-(1000*0.61365*EXP(17.502*V145/(240.97+V145))/(BA145+BB145)+AV145)/2)/(1000*0.61365*EXP(17.502*V145/(240.97+V145))/(BA145+BB145)-AV145)</f>
        <v>0.15053220966176384</v>
      </c>
      <c r="S145">
        <f t="shared" ref="S145:S208" si="70">1/((AP145+1)/(P145/1.6)+1/(Q145/1.37)) + AP145/((AP145+1)/(P145/1.6) + AP145/(Q145/1.37))</f>
        <v>9.4646627672552539E-2</v>
      </c>
      <c r="T145">
        <f t="shared" ref="T145:T208" si="71">(AK145*AN145)</f>
        <v>276.11570710799998</v>
      </c>
      <c r="U145">
        <f t="shared" ref="U145:U208" si="72">(BC145+(T145+2*0.95*0.0000000567*(((BC145+$B$7)+273)^4-(BC145+273)^4)-44100*I145)/(1.84*29.3*Q145+8*0.95*0.0000000567*(BC145+273)^3))</f>
        <v>28.572344699773236</v>
      </c>
      <c r="V145">
        <f t="shared" ref="V145:V208" si="73">($C$7*BD145+$D$7*BE145+$E$7*U145)</f>
        <v>28.572344699773236</v>
      </c>
      <c r="W145">
        <f t="shared" ref="W145:W208" si="74">0.61365*EXP(17.502*V145/(240.97+V145))</f>
        <v>3.9233153409092569</v>
      </c>
      <c r="X145">
        <f t="shared" ref="X145:X208" si="75">(Y145/Z145*100)</f>
        <v>69.595362284682409</v>
      </c>
      <c r="Y145">
        <f t="shared" ref="Y145:Y208" si="76">AV145*(BA145+BB145)/1000</f>
        <v>2.5041264308444999</v>
      </c>
      <c r="Z145">
        <f t="shared" ref="Z145:Z208" si="77">0.61365*EXP(17.502*BC145/(240.97+BC145))</f>
        <v>3.5981225596632118</v>
      </c>
      <c r="AA145">
        <f t="shared" ref="AA145:AA208" si="78">(W145-AV145*(BA145+BB145)/1000)</f>
        <v>1.419188910064757</v>
      </c>
      <c r="AB145">
        <f t="shared" ref="AB145:AB208" si="79">(-I145*44100)</f>
        <v>-98.623378703515556</v>
      </c>
      <c r="AC145">
        <f t="shared" ref="AC145:AC208" si="80">2*29.3*Q145*0.92*(BC145-V145)</f>
        <v>-160.22995818159524</v>
      </c>
      <c r="AD145">
        <f t="shared" ref="AD145:AD208" si="81">2*0.95*0.0000000567*(((BC145+$B$7)+273)^4-(V145+273)^4)</f>
        <v>-17.390697493611917</v>
      </c>
      <c r="AE145">
        <f t="shared" ref="AE145:AE208" si="82">T145+AD145+AB145+AC145</f>
        <v>-0.12832727072273542</v>
      </c>
      <c r="AF145">
        <v>9</v>
      </c>
      <c r="AG145">
        <v>3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52036.72543167085</v>
      </c>
      <c r="AK145">
        <f t="shared" ref="AK145:AK208" si="86">$B$11*BI145+$C$11*BJ145+$D$11*BU145</f>
        <v>1800</v>
      </c>
      <c r="AL145">
        <f t="shared" ref="AL145:AL208" si="87">AK145*AM145</f>
        <v>1499.1137297999999</v>
      </c>
      <c r="AM145">
        <f t="shared" ref="AM145:AM208" si="88">($B$11*$D$9+$C$11*$D$9+$D$11*(BV145*$E$9+BW145*$F$9+BX145*$G$9+BY145*$H$9))/($B$11+$C$11+$D$11)</f>
        <v>0.83284096099999994</v>
      </c>
      <c r="AN145">
        <f t="shared" ref="AN145:AN208" si="89">($B$11*$K$9+$C$11*$K$9+$D$11*(BV145*$L$9+BW145*$M$9+BX145*$N$9+BY145*$O$9))/($B$11+$C$11+$D$11)</f>
        <v>0.15339761505999999</v>
      </c>
      <c r="AO145">
        <v>34.5</v>
      </c>
      <c r="AP145">
        <v>0.5</v>
      </c>
      <c r="AQ145" t="s">
        <v>331</v>
      </c>
      <c r="AR145">
        <v>2</v>
      </c>
      <c r="AS145">
        <v>1690378046</v>
      </c>
      <c r="AT145">
        <v>429.108</v>
      </c>
      <c r="AU145">
        <v>800.06</v>
      </c>
      <c r="AV145">
        <v>25.360499999999998</v>
      </c>
      <c r="AW145">
        <v>0.30655199999999999</v>
      </c>
      <c r="AX145">
        <v>429.548</v>
      </c>
      <c r="AY145">
        <v>25.1493</v>
      </c>
      <c r="AZ145">
        <v>300.14299999999997</v>
      </c>
      <c r="BA145">
        <v>98.641199999999998</v>
      </c>
      <c r="BB145">
        <v>0.100009</v>
      </c>
      <c r="BC145">
        <v>27.09</v>
      </c>
      <c r="BD145">
        <v>26.993200000000002</v>
      </c>
      <c r="BE145">
        <v>28.6708</v>
      </c>
      <c r="BF145">
        <v>0</v>
      </c>
      <c r="BG145">
        <v>0</v>
      </c>
      <c r="BH145">
        <v>9978.75</v>
      </c>
      <c r="BI145">
        <v>1082.6199999999999</v>
      </c>
      <c r="BJ145">
        <v>1.3455900000000001</v>
      </c>
      <c r="BK145">
        <v>-370.952</v>
      </c>
      <c r="BL145">
        <v>440.27300000000002</v>
      </c>
      <c r="BM145">
        <v>800.30499999999995</v>
      </c>
      <c r="BN145">
        <v>25.053899999999999</v>
      </c>
      <c r="BO145">
        <v>800.06</v>
      </c>
      <c r="BP145">
        <v>0.30655199999999999</v>
      </c>
      <c r="BQ145">
        <v>2.5015900000000002</v>
      </c>
      <c r="BR145">
        <v>3.02387E-2</v>
      </c>
      <c r="BS145">
        <v>21.036899999999999</v>
      </c>
      <c r="BT145">
        <v>-35.363799999999998</v>
      </c>
      <c r="BU145">
        <v>1800</v>
      </c>
      <c r="BV145">
        <v>0.91000099999999995</v>
      </c>
      <c r="BW145">
        <v>3.3995600000000001E-2</v>
      </c>
      <c r="BX145">
        <v>2.2002299999999999E-2</v>
      </c>
      <c r="BY145">
        <v>3.40016E-2</v>
      </c>
      <c r="BZ145">
        <v>25</v>
      </c>
      <c r="CA145">
        <v>33528.400000000001</v>
      </c>
      <c r="CB145">
        <v>1690376213.5999999</v>
      </c>
      <c r="CC145" t="s">
        <v>332</v>
      </c>
      <c r="CD145">
        <v>1690376213.5999999</v>
      </c>
      <c r="CE145">
        <v>1690376198.0999999</v>
      </c>
      <c r="CF145">
        <v>2</v>
      </c>
      <c r="CG145">
        <v>0.66900000000000004</v>
      </c>
      <c r="CH145">
        <v>-2.1000000000000001E-2</v>
      </c>
      <c r="CI145">
        <v>-0.70099999999999996</v>
      </c>
      <c r="CJ145">
        <v>0.21099999999999999</v>
      </c>
      <c r="CK145">
        <v>799</v>
      </c>
      <c r="CL145">
        <v>21</v>
      </c>
      <c r="CM145">
        <v>0.11</v>
      </c>
      <c r="CN145">
        <v>0.17</v>
      </c>
      <c r="CO145">
        <v>-368.80592682926829</v>
      </c>
      <c r="CP145">
        <v>-10.695177700348619</v>
      </c>
      <c r="CQ145">
        <v>1.054725218874075</v>
      </c>
      <c r="CR145">
        <v>-1</v>
      </c>
      <c r="CS145">
        <v>24.97423414634147</v>
      </c>
      <c r="CT145">
        <v>0.39311080139373927</v>
      </c>
      <c r="CU145">
        <v>3.8789624019682473E-2</v>
      </c>
      <c r="CV145">
        <v>-1</v>
      </c>
      <c r="CW145">
        <v>0</v>
      </c>
      <c r="CX145">
        <v>0</v>
      </c>
      <c r="CY145" t="s">
        <v>333</v>
      </c>
      <c r="CZ145">
        <v>2.3651300000000002</v>
      </c>
      <c r="DA145">
        <v>2.7137799999999999</v>
      </c>
      <c r="DB145">
        <v>9.4176800000000005E-2</v>
      </c>
      <c r="DC145">
        <v>0.14554</v>
      </c>
      <c r="DD145">
        <v>0.117977</v>
      </c>
      <c r="DE145">
        <v>2.5511900000000001E-3</v>
      </c>
      <c r="DF145">
        <v>33089</v>
      </c>
      <c r="DG145">
        <v>27538.5</v>
      </c>
      <c r="DH145">
        <v>31183.1</v>
      </c>
      <c r="DI145">
        <v>28082</v>
      </c>
      <c r="DJ145">
        <v>37331.9</v>
      </c>
      <c r="DK145">
        <v>39826</v>
      </c>
      <c r="DL145">
        <v>44376.1</v>
      </c>
      <c r="DM145">
        <v>42549.5</v>
      </c>
      <c r="DN145">
        <v>1.44743</v>
      </c>
      <c r="DO145">
        <v>2.0472999999999999</v>
      </c>
      <c r="DP145">
        <v>8.9995599999999995E-2</v>
      </c>
      <c r="DQ145">
        <v>0.19192699999999999</v>
      </c>
      <c r="DR145">
        <v>25.5197</v>
      </c>
      <c r="DS145">
        <v>25.532499999999999</v>
      </c>
      <c r="DT145">
        <v>43.8</v>
      </c>
      <c r="DU145">
        <v>27.1</v>
      </c>
      <c r="DV145">
        <v>15.9886</v>
      </c>
      <c r="DW145">
        <v>61.2102</v>
      </c>
      <c r="DX145">
        <v>37.151400000000002</v>
      </c>
      <c r="DY145">
        <v>1</v>
      </c>
      <c r="DZ145">
        <v>-0.13802800000000001</v>
      </c>
      <c r="EA145">
        <v>-0.55025299999999999</v>
      </c>
      <c r="EB145">
        <v>20.189299999999999</v>
      </c>
      <c r="EC145">
        <v>5.2413999999999996</v>
      </c>
      <c r="ED145">
        <v>12.039899999999999</v>
      </c>
      <c r="EE145">
        <v>5.0168499999999998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1.86887</v>
      </c>
      <c r="EL145">
        <v>1.86449</v>
      </c>
      <c r="EM145">
        <v>1.86917</v>
      </c>
      <c r="EN145">
        <v>1.8671899999999999</v>
      </c>
      <c r="EO145">
        <v>1.86327</v>
      </c>
      <c r="EP145">
        <v>1.86432</v>
      </c>
      <c r="EQ145">
        <v>1.87012</v>
      </c>
      <c r="ER145">
        <v>1.8693500000000001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-0.44</v>
      </c>
      <c r="FG145">
        <v>0.2112</v>
      </c>
      <c r="FH145">
        <v>-0.150361779349652</v>
      </c>
      <c r="FI145">
        <v>-6.1462078757559423E-4</v>
      </c>
      <c r="FJ145">
        <v>-1.8861989874597051E-7</v>
      </c>
      <c r="FK145">
        <v>1.1980462299894961E-10</v>
      </c>
      <c r="FL145">
        <v>0.21114761904761539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30.5</v>
      </c>
      <c r="FU145">
        <v>30.8</v>
      </c>
      <c r="FV145">
        <v>1.7687999999999999</v>
      </c>
      <c r="FW145">
        <v>2.5683600000000002</v>
      </c>
      <c r="FX145">
        <v>1.5490699999999999</v>
      </c>
      <c r="FY145">
        <v>2.33765</v>
      </c>
      <c r="FZ145">
        <v>1.50146</v>
      </c>
      <c r="GA145">
        <v>2.3779300000000001</v>
      </c>
      <c r="GB145">
        <v>32.222499999999997</v>
      </c>
      <c r="GC145">
        <v>23.991199999999999</v>
      </c>
      <c r="GD145">
        <v>19</v>
      </c>
      <c r="GE145">
        <v>268.49799999999999</v>
      </c>
      <c r="GF145">
        <v>585.61500000000001</v>
      </c>
      <c r="GG145">
        <v>25.8627</v>
      </c>
      <c r="GH145">
        <v>25.7014</v>
      </c>
      <c r="GI145">
        <v>30.0002</v>
      </c>
      <c r="GJ145">
        <v>25.799199999999999</v>
      </c>
      <c r="GK145">
        <v>25.761700000000001</v>
      </c>
      <c r="GL145">
        <v>35.353299999999997</v>
      </c>
      <c r="GM145">
        <v>100</v>
      </c>
      <c r="GN145">
        <v>43.793700000000001</v>
      </c>
      <c r="GO145">
        <v>25.8627</v>
      </c>
      <c r="GP145">
        <v>800</v>
      </c>
      <c r="GQ145">
        <v>0</v>
      </c>
      <c r="GR145">
        <v>99.772099999999995</v>
      </c>
      <c r="GS145">
        <v>99.550299999999993</v>
      </c>
    </row>
    <row r="146" spans="1:201" x14ac:dyDescent="0.25">
      <c r="A146">
        <v>130</v>
      </c>
      <c r="B146">
        <v>1690378056</v>
      </c>
      <c r="C146">
        <v>1339.5</v>
      </c>
      <c r="D146" t="s">
        <v>593</v>
      </c>
      <c r="E146" t="s">
        <v>594</v>
      </c>
      <c r="F146" t="s">
        <v>330</v>
      </c>
      <c r="H146">
        <v>1690378056</v>
      </c>
      <c r="I146">
        <f t="shared" si="60"/>
        <v>2.2421766626005727E-3</v>
      </c>
      <c r="J146">
        <f t="shared" si="61"/>
        <v>2.2421766626005728</v>
      </c>
      <c r="K146">
        <f t="shared" si="62"/>
        <v>31.452786991438384</v>
      </c>
      <c r="L146">
        <f t="shared" si="63"/>
        <v>427.53</v>
      </c>
      <c r="M146">
        <f t="shared" si="64"/>
        <v>91.491766196947566</v>
      </c>
      <c r="N146">
        <f t="shared" si="65"/>
        <v>9.0346712891039278</v>
      </c>
      <c r="O146">
        <f t="shared" si="66"/>
        <v>42.217930386390002</v>
      </c>
      <c r="P146">
        <f t="shared" si="67"/>
        <v>0.15823097350472259</v>
      </c>
      <c r="Q146">
        <f t="shared" si="68"/>
        <v>2.0074772315682243</v>
      </c>
      <c r="R146">
        <f t="shared" si="69"/>
        <v>0.15161435213067628</v>
      </c>
      <c r="S146">
        <f t="shared" si="70"/>
        <v>9.533039105302446E-2</v>
      </c>
      <c r="T146">
        <f t="shared" si="71"/>
        <v>276.11395718704904</v>
      </c>
      <c r="U146">
        <f t="shared" si="72"/>
        <v>28.568721261040849</v>
      </c>
      <c r="V146">
        <f t="shared" si="73"/>
        <v>28.568721261040849</v>
      </c>
      <c r="W146">
        <f t="shared" si="74"/>
        <v>3.9224901946098627</v>
      </c>
      <c r="X146">
        <f t="shared" si="75"/>
        <v>69.749228533233378</v>
      </c>
      <c r="Y146">
        <f t="shared" si="76"/>
        <v>2.5096921871449998</v>
      </c>
      <c r="Z146">
        <f t="shared" si="77"/>
        <v>3.5981647968324242</v>
      </c>
      <c r="AA146">
        <f t="shared" si="78"/>
        <v>1.4127980074648629</v>
      </c>
      <c r="AB146">
        <f t="shared" si="79"/>
        <v>-98.879990820685251</v>
      </c>
      <c r="AC146">
        <f t="shared" si="80"/>
        <v>-160.0160868645907</v>
      </c>
      <c r="AD146">
        <f t="shared" si="81"/>
        <v>-17.345544718894686</v>
      </c>
      <c r="AE146">
        <f t="shared" si="82"/>
        <v>-0.12766521712160284</v>
      </c>
      <c r="AF146">
        <v>9</v>
      </c>
      <c r="AG146">
        <v>3</v>
      </c>
      <c r="AH146">
        <f t="shared" si="83"/>
        <v>1</v>
      </c>
      <c r="AI146">
        <f t="shared" si="84"/>
        <v>0</v>
      </c>
      <c r="AJ146">
        <f t="shared" si="85"/>
        <v>52156.307418776283</v>
      </c>
      <c r="AK146">
        <f t="shared" si="86"/>
        <v>1799.99</v>
      </c>
      <c r="AL146">
        <f t="shared" si="87"/>
        <v>1499.1051367918599</v>
      </c>
      <c r="AM146">
        <f t="shared" si="88"/>
        <v>0.83284081399999998</v>
      </c>
      <c r="AN146">
        <f t="shared" si="89"/>
        <v>0.15339749508999997</v>
      </c>
      <c r="AO146">
        <v>34.5</v>
      </c>
      <c r="AP146">
        <v>0.5</v>
      </c>
      <c r="AQ146" t="s">
        <v>331</v>
      </c>
      <c r="AR146">
        <v>2</v>
      </c>
      <c r="AS146">
        <v>1690378056</v>
      </c>
      <c r="AT146">
        <v>427.53</v>
      </c>
      <c r="AU146">
        <v>800.06100000000004</v>
      </c>
      <c r="AV146">
        <v>25.414999999999999</v>
      </c>
      <c r="AW146">
        <v>0.29877399999999998</v>
      </c>
      <c r="AX146">
        <v>427.96800000000002</v>
      </c>
      <c r="AY146">
        <v>25.203900000000001</v>
      </c>
      <c r="AZ146">
        <v>300.161</v>
      </c>
      <c r="BA146">
        <v>98.648399999999995</v>
      </c>
      <c r="BB146">
        <v>0.100063</v>
      </c>
      <c r="BC146">
        <v>27.090199999999999</v>
      </c>
      <c r="BD146">
        <v>27.005600000000001</v>
      </c>
      <c r="BE146">
        <v>28.678899999999999</v>
      </c>
      <c r="BF146">
        <v>0</v>
      </c>
      <c r="BG146">
        <v>0</v>
      </c>
      <c r="BH146">
        <v>10001.9</v>
      </c>
      <c r="BI146">
        <v>1082.71</v>
      </c>
      <c r="BJ146">
        <v>1.3455900000000001</v>
      </c>
      <c r="BK146">
        <v>-372.53100000000001</v>
      </c>
      <c r="BL146">
        <v>438.67899999999997</v>
      </c>
      <c r="BM146">
        <v>800.3</v>
      </c>
      <c r="BN146">
        <v>25.116199999999999</v>
      </c>
      <c r="BO146">
        <v>800.06100000000004</v>
      </c>
      <c r="BP146">
        <v>0.29877399999999998</v>
      </c>
      <c r="BQ146">
        <v>2.5071500000000002</v>
      </c>
      <c r="BR146">
        <v>2.9473599999999999E-2</v>
      </c>
      <c r="BS146">
        <v>21.073</v>
      </c>
      <c r="BT146">
        <v>-35.620399999999997</v>
      </c>
      <c r="BU146">
        <v>1799.99</v>
      </c>
      <c r="BV146">
        <v>0.91000300000000001</v>
      </c>
      <c r="BW146">
        <v>3.3994700000000003E-2</v>
      </c>
      <c r="BX146">
        <v>2.2001699999999999E-2</v>
      </c>
      <c r="BY146">
        <v>3.4000700000000002E-2</v>
      </c>
      <c r="BZ146">
        <v>25</v>
      </c>
      <c r="CA146">
        <v>33528.199999999997</v>
      </c>
      <c r="CB146">
        <v>1690376213.5999999</v>
      </c>
      <c r="CC146" t="s">
        <v>332</v>
      </c>
      <c r="CD146">
        <v>1690376213.5999999</v>
      </c>
      <c r="CE146">
        <v>1690376198.0999999</v>
      </c>
      <c r="CF146">
        <v>2</v>
      </c>
      <c r="CG146">
        <v>0.66900000000000004</v>
      </c>
      <c r="CH146">
        <v>-2.1000000000000001E-2</v>
      </c>
      <c r="CI146">
        <v>-0.70099999999999996</v>
      </c>
      <c r="CJ146">
        <v>0.21099999999999999</v>
      </c>
      <c r="CK146">
        <v>799</v>
      </c>
      <c r="CL146">
        <v>21</v>
      </c>
      <c r="CM146">
        <v>0.11</v>
      </c>
      <c r="CN146">
        <v>0.17</v>
      </c>
      <c r="CO146">
        <v>-370.57673170731698</v>
      </c>
      <c r="CP146">
        <v>-10.31147038327517</v>
      </c>
      <c r="CQ146">
        <v>1.0182799946631731</v>
      </c>
      <c r="CR146">
        <v>-1</v>
      </c>
      <c r="CS146">
        <v>25.042634146341459</v>
      </c>
      <c r="CT146">
        <v>0.42078815331010783</v>
      </c>
      <c r="CU146">
        <v>4.1533375411249129E-2</v>
      </c>
      <c r="CV146">
        <v>-1</v>
      </c>
      <c r="CW146">
        <v>0</v>
      </c>
      <c r="CX146">
        <v>0</v>
      </c>
      <c r="CY146" t="s">
        <v>333</v>
      </c>
      <c r="CZ146">
        <v>2.3651599999999999</v>
      </c>
      <c r="DA146">
        <v>2.7138599999999999</v>
      </c>
      <c r="DB146">
        <v>9.39223E-2</v>
      </c>
      <c r="DC146">
        <v>0.14555000000000001</v>
      </c>
      <c r="DD146">
        <v>0.118163</v>
      </c>
      <c r="DE146">
        <v>2.4878000000000001E-3</v>
      </c>
      <c r="DF146">
        <v>33098.1</v>
      </c>
      <c r="DG146">
        <v>27538.2</v>
      </c>
      <c r="DH146">
        <v>31182.9</v>
      </c>
      <c r="DI146">
        <v>28082</v>
      </c>
      <c r="DJ146">
        <v>37323.5</v>
      </c>
      <c r="DK146">
        <v>39828.6</v>
      </c>
      <c r="DL146">
        <v>44375.6</v>
      </c>
      <c r="DM146">
        <v>42549.599999999999</v>
      </c>
      <c r="DN146">
        <v>1.4471499999999999</v>
      </c>
      <c r="DO146">
        <v>2.0467</v>
      </c>
      <c r="DP146">
        <v>9.0785299999999999E-2</v>
      </c>
      <c r="DQ146">
        <v>0.19248599999999999</v>
      </c>
      <c r="DR146">
        <v>25.519100000000002</v>
      </c>
      <c r="DS146">
        <v>25.531500000000001</v>
      </c>
      <c r="DT146">
        <v>43.4</v>
      </c>
      <c r="DU146">
        <v>27.1</v>
      </c>
      <c r="DV146">
        <v>15.840199999999999</v>
      </c>
      <c r="DW146">
        <v>61.3202</v>
      </c>
      <c r="DX146">
        <v>36.7468</v>
      </c>
      <c r="DY146">
        <v>1</v>
      </c>
      <c r="DZ146">
        <v>-0.13784299999999999</v>
      </c>
      <c r="EA146">
        <v>-0.57272900000000004</v>
      </c>
      <c r="EB146">
        <v>20.189299999999999</v>
      </c>
      <c r="EC146">
        <v>5.2416999999999998</v>
      </c>
      <c r="ED146">
        <v>12.039899999999999</v>
      </c>
      <c r="EE146">
        <v>5.0172999999999996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1.86887</v>
      </c>
      <c r="EL146">
        <v>1.86449</v>
      </c>
      <c r="EM146">
        <v>1.86917</v>
      </c>
      <c r="EN146">
        <v>1.8672200000000001</v>
      </c>
      <c r="EO146">
        <v>1.8632899999999999</v>
      </c>
      <c r="EP146">
        <v>1.86432</v>
      </c>
      <c r="EQ146">
        <v>1.87012</v>
      </c>
      <c r="ER146">
        <v>1.8693500000000001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-0.438</v>
      </c>
      <c r="FG146">
        <v>0.21110000000000001</v>
      </c>
      <c r="FH146">
        <v>-0.150361779349652</v>
      </c>
      <c r="FI146">
        <v>-6.1462078757559423E-4</v>
      </c>
      <c r="FJ146">
        <v>-1.8861989874597051E-7</v>
      </c>
      <c r="FK146">
        <v>1.1980462299894961E-10</v>
      </c>
      <c r="FL146">
        <v>0.21114761904761539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30.7</v>
      </c>
      <c r="FU146">
        <v>31</v>
      </c>
      <c r="FV146">
        <v>1.7687999999999999</v>
      </c>
      <c r="FW146">
        <v>2.5647000000000002</v>
      </c>
      <c r="FX146">
        <v>1.5490699999999999</v>
      </c>
      <c r="FY146">
        <v>2.33765</v>
      </c>
      <c r="FZ146">
        <v>1.50146</v>
      </c>
      <c r="GA146">
        <v>2.3535200000000001</v>
      </c>
      <c r="GB146">
        <v>32.222499999999997</v>
      </c>
      <c r="GC146">
        <v>23.991199999999999</v>
      </c>
      <c r="GD146">
        <v>19</v>
      </c>
      <c r="GE146">
        <v>268.39100000000002</v>
      </c>
      <c r="GF146">
        <v>585.13199999999995</v>
      </c>
      <c r="GG146">
        <v>25.866900000000001</v>
      </c>
      <c r="GH146">
        <v>25.7014</v>
      </c>
      <c r="GI146">
        <v>30</v>
      </c>
      <c r="GJ146">
        <v>25.8004</v>
      </c>
      <c r="GK146">
        <v>25.762699999999999</v>
      </c>
      <c r="GL146">
        <v>35.353900000000003</v>
      </c>
      <c r="GM146">
        <v>100</v>
      </c>
      <c r="GN146">
        <v>42.612299999999998</v>
      </c>
      <c r="GO146">
        <v>25.864799999999999</v>
      </c>
      <c r="GP146">
        <v>800</v>
      </c>
      <c r="GQ146">
        <v>0</v>
      </c>
      <c r="GR146">
        <v>99.771199999999993</v>
      </c>
      <c r="GS146">
        <v>99.550399999999996</v>
      </c>
    </row>
    <row r="147" spans="1:201" x14ac:dyDescent="0.25">
      <c r="A147">
        <v>131</v>
      </c>
      <c r="B147">
        <v>1690378066</v>
      </c>
      <c r="C147">
        <v>1349.5</v>
      </c>
      <c r="D147" t="s">
        <v>595</v>
      </c>
      <c r="E147" t="s">
        <v>596</v>
      </c>
      <c r="F147" t="s">
        <v>330</v>
      </c>
      <c r="H147">
        <v>1690378066</v>
      </c>
      <c r="I147">
        <f t="shared" si="60"/>
        <v>2.2488443065210892E-3</v>
      </c>
      <c r="J147">
        <f t="shared" si="61"/>
        <v>2.248844306521089</v>
      </c>
      <c r="K147">
        <f t="shared" si="62"/>
        <v>31.599200776111065</v>
      </c>
      <c r="L147">
        <f t="shared" si="63"/>
        <v>425.85399999999998</v>
      </c>
      <c r="M147">
        <f t="shared" si="64"/>
        <v>91.088653521947549</v>
      </c>
      <c r="N147">
        <f t="shared" si="65"/>
        <v>8.9944754104128766</v>
      </c>
      <c r="O147">
        <f t="shared" si="66"/>
        <v>42.050608756699397</v>
      </c>
      <c r="P147">
        <f t="shared" si="67"/>
        <v>0.15960470207842459</v>
      </c>
      <c r="Q147">
        <f t="shared" si="68"/>
        <v>2.0076942446523054</v>
      </c>
      <c r="R147">
        <f t="shared" si="69"/>
        <v>0.1528760147870851</v>
      </c>
      <c r="S147">
        <f t="shared" si="70"/>
        <v>9.6128416176452181E-2</v>
      </c>
      <c r="T147">
        <f t="shared" si="71"/>
        <v>276.11551839600003</v>
      </c>
      <c r="U147">
        <f t="shared" si="72"/>
        <v>28.564239989529288</v>
      </c>
      <c r="V147">
        <f t="shared" si="73"/>
        <v>28.564239989529288</v>
      </c>
      <c r="W147">
        <f t="shared" si="74"/>
        <v>3.921469908002452</v>
      </c>
      <c r="X147">
        <f t="shared" si="75"/>
        <v>69.939798870667374</v>
      </c>
      <c r="Y147">
        <f t="shared" si="76"/>
        <v>2.5162685985439697</v>
      </c>
      <c r="Z147">
        <f t="shared" si="77"/>
        <v>3.597763561197898</v>
      </c>
      <c r="AA147">
        <f t="shared" si="78"/>
        <v>1.4052013094584823</v>
      </c>
      <c r="AB147">
        <f t="shared" si="79"/>
        <v>-99.174033917580033</v>
      </c>
      <c r="AC147">
        <f t="shared" si="80"/>
        <v>-159.75399122365337</v>
      </c>
      <c r="AD147">
        <f t="shared" si="81"/>
        <v>-17.314710755958842</v>
      </c>
      <c r="AE147">
        <f t="shared" si="82"/>
        <v>-0.12721750119223429</v>
      </c>
      <c r="AF147">
        <v>9</v>
      </c>
      <c r="AG147">
        <v>3</v>
      </c>
      <c r="AH147">
        <f t="shared" si="83"/>
        <v>1</v>
      </c>
      <c r="AI147">
        <f t="shared" si="84"/>
        <v>0</v>
      </c>
      <c r="AJ147">
        <f t="shared" si="85"/>
        <v>52166.919305495867</v>
      </c>
      <c r="AK147">
        <f t="shared" si="86"/>
        <v>1800</v>
      </c>
      <c r="AL147">
        <f t="shared" si="87"/>
        <v>1499.1145865999999</v>
      </c>
      <c r="AM147">
        <f t="shared" si="88"/>
        <v>0.83284143699999991</v>
      </c>
      <c r="AN147">
        <f t="shared" si="89"/>
        <v>0.15339751022000001</v>
      </c>
      <c r="AO147">
        <v>34.5</v>
      </c>
      <c r="AP147">
        <v>0.5</v>
      </c>
      <c r="AQ147" t="s">
        <v>331</v>
      </c>
      <c r="AR147">
        <v>2</v>
      </c>
      <c r="AS147">
        <v>1690378066</v>
      </c>
      <c r="AT147">
        <v>425.85399999999998</v>
      </c>
      <c r="AU147">
        <v>800.07600000000002</v>
      </c>
      <c r="AV147">
        <v>25.482700000000001</v>
      </c>
      <c r="AW147">
        <v>0.29227599999999998</v>
      </c>
      <c r="AX147">
        <v>426.29199999999997</v>
      </c>
      <c r="AY147">
        <v>25.271599999999999</v>
      </c>
      <c r="AZ147">
        <v>300.14600000000002</v>
      </c>
      <c r="BA147">
        <v>98.644199999999998</v>
      </c>
      <c r="BB147">
        <v>9.9991099999999999E-2</v>
      </c>
      <c r="BC147">
        <v>27.0883</v>
      </c>
      <c r="BD147">
        <v>27.006399999999999</v>
      </c>
      <c r="BE147">
        <v>28.6523</v>
      </c>
      <c r="BF147">
        <v>0</v>
      </c>
      <c r="BG147">
        <v>0</v>
      </c>
      <c r="BH147">
        <v>10004.4</v>
      </c>
      <c r="BI147">
        <v>1082.77</v>
      </c>
      <c r="BJ147">
        <v>1.3455900000000001</v>
      </c>
      <c r="BK147">
        <v>-374.221</v>
      </c>
      <c r="BL147">
        <v>436.99</v>
      </c>
      <c r="BM147">
        <v>800.31</v>
      </c>
      <c r="BN147">
        <v>25.1905</v>
      </c>
      <c r="BO147">
        <v>800.07600000000002</v>
      </c>
      <c r="BP147">
        <v>0.29227599999999998</v>
      </c>
      <c r="BQ147">
        <v>2.5137200000000002</v>
      </c>
      <c r="BR147">
        <v>2.8831300000000001E-2</v>
      </c>
      <c r="BS147">
        <v>21.115600000000001</v>
      </c>
      <c r="BT147">
        <v>-35.840400000000002</v>
      </c>
      <c r="BU147">
        <v>1800</v>
      </c>
      <c r="BV147">
        <v>0.91000599999999998</v>
      </c>
      <c r="BW147">
        <v>3.3993700000000002E-2</v>
      </c>
      <c r="BX147">
        <v>2.2001099999999999E-2</v>
      </c>
      <c r="BY147">
        <v>3.3999799999999997E-2</v>
      </c>
      <c r="BZ147">
        <v>25</v>
      </c>
      <c r="CA147">
        <v>33528.400000000001</v>
      </c>
      <c r="CB147">
        <v>1690376213.5999999</v>
      </c>
      <c r="CC147" t="s">
        <v>332</v>
      </c>
      <c r="CD147">
        <v>1690376213.5999999</v>
      </c>
      <c r="CE147">
        <v>1690376198.0999999</v>
      </c>
      <c r="CF147">
        <v>2</v>
      </c>
      <c r="CG147">
        <v>0.66900000000000004</v>
      </c>
      <c r="CH147">
        <v>-2.1000000000000001E-2</v>
      </c>
      <c r="CI147">
        <v>-0.70099999999999996</v>
      </c>
      <c r="CJ147">
        <v>0.21099999999999999</v>
      </c>
      <c r="CK147">
        <v>799</v>
      </c>
      <c r="CL147">
        <v>21</v>
      </c>
      <c r="CM147">
        <v>0.11</v>
      </c>
      <c r="CN147">
        <v>0.17</v>
      </c>
      <c r="CO147">
        <v>-372.43439999999998</v>
      </c>
      <c r="CP147">
        <v>-10.13043151969921</v>
      </c>
      <c r="CQ147">
        <v>0.97582223791016542</v>
      </c>
      <c r="CR147">
        <v>-1</v>
      </c>
      <c r="CS147">
        <v>25.115729999999999</v>
      </c>
      <c r="CT147">
        <v>0.39733733583490621</v>
      </c>
      <c r="CU147">
        <v>3.8320981198294003E-2</v>
      </c>
      <c r="CV147">
        <v>-1</v>
      </c>
      <c r="CW147">
        <v>0</v>
      </c>
      <c r="CX147">
        <v>0</v>
      </c>
      <c r="CY147" t="s">
        <v>333</v>
      </c>
      <c r="CZ147">
        <v>2.3651200000000001</v>
      </c>
      <c r="DA147">
        <v>2.7137899999999999</v>
      </c>
      <c r="DB147">
        <v>9.3641000000000002E-2</v>
      </c>
      <c r="DC147">
        <v>0.14554500000000001</v>
      </c>
      <c r="DD147">
        <v>0.118379</v>
      </c>
      <c r="DE147">
        <v>2.4345199999999999E-3</v>
      </c>
      <c r="DF147">
        <v>33108.6</v>
      </c>
      <c r="DG147">
        <v>27538.400000000001</v>
      </c>
      <c r="DH147">
        <v>31183.200000000001</v>
      </c>
      <c r="DI147">
        <v>28082.1</v>
      </c>
      <c r="DJ147">
        <v>37314.5</v>
      </c>
      <c r="DK147">
        <v>39830.800000000003</v>
      </c>
      <c r="DL147">
        <v>44375.9</v>
      </c>
      <c r="DM147">
        <v>42549.7</v>
      </c>
      <c r="DN147">
        <v>1.4470799999999999</v>
      </c>
      <c r="DO147">
        <v>2.0465300000000002</v>
      </c>
      <c r="DP147">
        <v>9.1068399999999994E-2</v>
      </c>
      <c r="DQ147">
        <v>0.19101799999999999</v>
      </c>
      <c r="DR147">
        <v>25.5153</v>
      </c>
      <c r="DS147">
        <v>25.5288</v>
      </c>
      <c r="DT147">
        <v>42.9</v>
      </c>
      <c r="DU147">
        <v>27.1</v>
      </c>
      <c r="DV147">
        <v>15.655200000000001</v>
      </c>
      <c r="DW147">
        <v>61.130200000000002</v>
      </c>
      <c r="DX147">
        <v>36.859000000000002</v>
      </c>
      <c r="DY147">
        <v>1</v>
      </c>
      <c r="DZ147">
        <v>-0.138155</v>
      </c>
      <c r="EA147">
        <v>-0.53308299999999997</v>
      </c>
      <c r="EB147">
        <v>20.189499999999999</v>
      </c>
      <c r="EC147">
        <v>5.2411000000000003</v>
      </c>
      <c r="ED147">
        <v>12.039899999999999</v>
      </c>
      <c r="EE147">
        <v>5.0171000000000001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1.8688800000000001</v>
      </c>
      <c r="EL147">
        <v>1.8645400000000001</v>
      </c>
      <c r="EM147">
        <v>1.86917</v>
      </c>
      <c r="EN147">
        <v>1.86721</v>
      </c>
      <c r="EO147">
        <v>1.8632899999999999</v>
      </c>
      <c r="EP147">
        <v>1.86433</v>
      </c>
      <c r="EQ147">
        <v>1.87012</v>
      </c>
      <c r="ER147">
        <v>1.8693500000000001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-0.438</v>
      </c>
      <c r="FG147">
        <v>0.21110000000000001</v>
      </c>
      <c r="FH147">
        <v>-0.150361779349652</v>
      </c>
      <c r="FI147">
        <v>-6.1462078757559423E-4</v>
      </c>
      <c r="FJ147">
        <v>-1.8861989874597051E-7</v>
      </c>
      <c r="FK147">
        <v>1.1980462299894961E-10</v>
      </c>
      <c r="FL147">
        <v>0.21114761904761539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30.9</v>
      </c>
      <c r="FU147">
        <v>31.1</v>
      </c>
      <c r="FV147">
        <v>1.7675799999999999</v>
      </c>
      <c r="FW147">
        <v>2.5708000000000002</v>
      </c>
      <c r="FX147">
        <v>1.5490699999999999</v>
      </c>
      <c r="FY147">
        <v>2.33765</v>
      </c>
      <c r="FZ147">
        <v>1.50146</v>
      </c>
      <c r="GA147">
        <v>2.36816</v>
      </c>
      <c r="GB147">
        <v>32.222499999999997</v>
      </c>
      <c r="GC147">
        <v>23.982399999999998</v>
      </c>
      <c r="GD147">
        <v>19</v>
      </c>
      <c r="GE147">
        <v>268.36399999999998</v>
      </c>
      <c r="GF147">
        <v>585.01300000000003</v>
      </c>
      <c r="GG147">
        <v>25.8627</v>
      </c>
      <c r="GH147">
        <v>25.703600000000002</v>
      </c>
      <c r="GI147">
        <v>30.0001</v>
      </c>
      <c r="GJ147">
        <v>25.801400000000001</v>
      </c>
      <c r="GK147">
        <v>25.764900000000001</v>
      </c>
      <c r="GL147">
        <v>35.348799999999997</v>
      </c>
      <c r="GM147">
        <v>100</v>
      </c>
      <c r="GN147">
        <v>41.837800000000001</v>
      </c>
      <c r="GO147">
        <v>25.849499999999999</v>
      </c>
      <c r="GP147">
        <v>800</v>
      </c>
      <c r="GQ147">
        <v>0</v>
      </c>
      <c r="GR147">
        <v>99.772000000000006</v>
      </c>
      <c r="GS147">
        <v>99.550600000000003</v>
      </c>
    </row>
    <row r="148" spans="1:201" x14ac:dyDescent="0.25">
      <c r="A148">
        <v>132</v>
      </c>
      <c r="B148">
        <v>1690378076</v>
      </c>
      <c r="C148">
        <v>1359.5</v>
      </c>
      <c r="D148" t="s">
        <v>597</v>
      </c>
      <c r="E148" t="s">
        <v>598</v>
      </c>
      <c r="F148" t="s">
        <v>330</v>
      </c>
      <c r="H148">
        <v>1690378076</v>
      </c>
      <c r="I148">
        <f t="shared" si="60"/>
        <v>2.2549733233871582E-3</v>
      </c>
      <c r="J148">
        <f t="shared" si="61"/>
        <v>2.2549733233871581</v>
      </c>
      <c r="K148">
        <f t="shared" si="62"/>
        <v>31.735092598308672</v>
      </c>
      <c r="L148">
        <f t="shared" si="63"/>
        <v>424.22399999999999</v>
      </c>
      <c r="M148">
        <f t="shared" si="64"/>
        <v>90.208502908194532</v>
      </c>
      <c r="N148">
        <f t="shared" si="65"/>
        <v>8.9073752739871281</v>
      </c>
      <c r="O148">
        <f t="shared" si="66"/>
        <v>41.888760442876801</v>
      </c>
      <c r="P148">
        <f t="shared" si="67"/>
        <v>0.16066730679752877</v>
      </c>
      <c r="Q148">
        <f t="shared" si="68"/>
        <v>2.0089788426747797</v>
      </c>
      <c r="R148">
        <f t="shared" si="69"/>
        <v>0.15385494270088676</v>
      </c>
      <c r="S148">
        <f t="shared" si="70"/>
        <v>9.6747332578995204E-2</v>
      </c>
      <c r="T148">
        <f t="shared" si="71"/>
        <v>276.1151947919999</v>
      </c>
      <c r="U148">
        <f t="shared" si="72"/>
        <v>28.567422856191978</v>
      </c>
      <c r="V148">
        <f t="shared" si="73"/>
        <v>28.567422856191978</v>
      </c>
      <c r="W148">
        <f t="shared" si="74"/>
        <v>3.9221945526653541</v>
      </c>
      <c r="X148">
        <f t="shared" si="75"/>
        <v>70.078980354937443</v>
      </c>
      <c r="Y148">
        <f t="shared" si="76"/>
        <v>2.5222084641523796</v>
      </c>
      <c r="Z148">
        <f t="shared" si="77"/>
        <v>3.5990941240552403</v>
      </c>
      <c r="AA148">
        <f t="shared" si="78"/>
        <v>1.3999860885129745</v>
      </c>
      <c r="AB148">
        <f t="shared" si="79"/>
        <v>-99.444323561373679</v>
      </c>
      <c r="AC148">
        <f t="shared" si="80"/>
        <v>-159.51859712704174</v>
      </c>
      <c r="AD148">
        <f t="shared" si="81"/>
        <v>-17.278959248258829</v>
      </c>
      <c r="AE148">
        <f t="shared" si="82"/>
        <v>-0.12668514467435443</v>
      </c>
      <c r="AF148">
        <v>9</v>
      </c>
      <c r="AG148">
        <v>3</v>
      </c>
      <c r="AH148">
        <f t="shared" si="83"/>
        <v>1</v>
      </c>
      <c r="AI148">
        <f t="shared" si="84"/>
        <v>0</v>
      </c>
      <c r="AJ148">
        <f t="shared" si="85"/>
        <v>52227.20854627739</v>
      </c>
      <c r="AK148">
        <f t="shared" si="86"/>
        <v>1800</v>
      </c>
      <c r="AL148">
        <f t="shared" si="87"/>
        <v>1499.1141852000001</v>
      </c>
      <c r="AM148">
        <f t="shared" si="88"/>
        <v>0.832841214</v>
      </c>
      <c r="AN148">
        <f t="shared" si="89"/>
        <v>0.15339733043999995</v>
      </c>
      <c r="AO148">
        <v>34.5</v>
      </c>
      <c r="AP148">
        <v>0.5</v>
      </c>
      <c r="AQ148" t="s">
        <v>331</v>
      </c>
      <c r="AR148">
        <v>2</v>
      </c>
      <c r="AS148">
        <v>1690378076</v>
      </c>
      <c r="AT148">
        <v>424.22399999999999</v>
      </c>
      <c r="AU148">
        <v>799.99699999999996</v>
      </c>
      <c r="AV148">
        <v>25.543399999999998</v>
      </c>
      <c r="AW148">
        <v>0.28581099999999998</v>
      </c>
      <c r="AX148">
        <v>424.66</v>
      </c>
      <c r="AY148">
        <v>25.3323</v>
      </c>
      <c r="AZ148">
        <v>300.14499999999998</v>
      </c>
      <c r="BA148">
        <v>98.642099999999999</v>
      </c>
      <c r="BB148">
        <v>9.9980700000000006E-2</v>
      </c>
      <c r="BC148">
        <v>27.0946</v>
      </c>
      <c r="BD148">
        <v>26.995999999999999</v>
      </c>
      <c r="BE148">
        <v>28.629100000000001</v>
      </c>
      <c r="BF148">
        <v>0</v>
      </c>
      <c r="BG148">
        <v>0</v>
      </c>
      <c r="BH148">
        <v>10016.9</v>
      </c>
      <c r="BI148">
        <v>1082.83</v>
      </c>
      <c r="BJ148">
        <v>1.28952</v>
      </c>
      <c r="BK148">
        <v>-375.774</v>
      </c>
      <c r="BL148">
        <v>435.34399999999999</v>
      </c>
      <c r="BM148">
        <v>800.226</v>
      </c>
      <c r="BN148">
        <v>25.2576</v>
      </c>
      <c r="BO148">
        <v>799.99699999999996</v>
      </c>
      <c r="BP148">
        <v>0.28581099999999998</v>
      </c>
      <c r="BQ148">
        <v>2.5196499999999999</v>
      </c>
      <c r="BR148">
        <v>2.8192999999999999E-2</v>
      </c>
      <c r="BS148">
        <v>21.154</v>
      </c>
      <c r="BT148">
        <v>-36.063499999999998</v>
      </c>
      <c r="BU148">
        <v>1800</v>
      </c>
      <c r="BV148">
        <v>0.91000899999999996</v>
      </c>
      <c r="BW148">
        <v>3.3992399999999999E-2</v>
      </c>
      <c r="BX148">
        <v>2.2000200000000001E-2</v>
      </c>
      <c r="BY148">
        <v>3.3998399999999998E-2</v>
      </c>
      <c r="BZ148">
        <v>25</v>
      </c>
      <c r="CA148">
        <v>33528.5</v>
      </c>
      <c r="CB148">
        <v>1690376213.5999999</v>
      </c>
      <c r="CC148" t="s">
        <v>332</v>
      </c>
      <c r="CD148">
        <v>1690376213.5999999</v>
      </c>
      <c r="CE148">
        <v>1690376198.0999999</v>
      </c>
      <c r="CF148">
        <v>2</v>
      </c>
      <c r="CG148">
        <v>0.66900000000000004</v>
      </c>
      <c r="CH148">
        <v>-2.1000000000000001E-2</v>
      </c>
      <c r="CI148">
        <v>-0.70099999999999996</v>
      </c>
      <c r="CJ148">
        <v>0.21099999999999999</v>
      </c>
      <c r="CK148">
        <v>799</v>
      </c>
      <c r="CL148">
        <v>21</v>
      </c>
      <c r="CM148">
        <v>0.11</v>
      </c>
      <c r="CN148">
        <v>0.17</v>
      </c>
      <c r="CO148">
        <v>-373.99946341463408</v>
      </c>
      <c r="CP148">
        <v>-10.101344947735051</v>
      </c>
      <c r="CQ148">
        <v>0.99630329150390429</v>
      </c>
      <c r="CR148">
        <v>-1</v>
      </c>
      <c r="CS148">
        <v>25.178414634146339</v>
      </c>
      <c r="CT148">
        <v>0.42846062717770028</v>
      </c>
      <c r="CU148">
        <v>4.2268361926955683E-2</v>
      </c>
      <c r="CV148">
        <v>-1</v>
      </c>
      <c r="CW148">
        <v>0</v>
      </c>
      <c r="CX148">
        <v>0</v>
      </c>
      <c r="CY148" t="s">
        <v>333</v>
      </c>
      <c r="CZ148">
        <v>2.3651300000000002</v>
      </c>
      <c r="DA148">
        <v>2.7137899999999999</v>
      </c>
      <c r="DB148">
        <v>9.3368199999999998E-2</v>
      </c>
      <c r="DC148">
        <v>0.14553199999999999</v>
      </c>
      <c r="DD148">
        <v>0.118574</v>
      </c>
      <c r="DE148">
        <v>2.38156E-3</v>
      </c>
      <c r="DF148">
        <v>33118.1</v>
      </c>
      <c r="DG148">
        <v>27538.6</v>
      </c>
      <c r="DH148">
        <v>31182.7</v>
      </c>
      <c r="DI148">
        <v>28081.9</v>
      </c>
      <c r="DJ148">
        <v>37305.4</v>
      </c>
      <c r="DK148">
        <v>39832.6</v>
      </c>
      <c r="DL148">
        <v>44375.199999999997</v>
      </c>
      <c r="DM148">
        <v>42549.3</v>
      </c>
      <c r="DN148">
        <v>1.44747</v>
      </c>
      <c r="DO148">
        <v>2.0466000000000002</v>
      </c>
      <c r="DP148">
        <v>9.0561799999999998E-2</v>
      </c>
      <c r="DQ148">
        <v>0.18972900000000001</v>
      </c>
      <c r="DR148">
        <v>25.513200000000001</v>
      </c>
      <c r="DS148">
        <v>25.526599999999998</v>
      </c>
      <c r="DT148">
        <v>42.3</v>
      </c>
      <c r="DU148">
        <v>27.1</v>
      </c>
      <c r="DV148">
        <v>15.439</v>
      </c>
      <c r="DW148">
        <v>60.880200000000002</v>
      </c>
      <c r="DX148">
        <v>37.035299999999999</v>
      </c>
      <c r="DY148">
        <v>1</v>
      </c>
      <c r="DZ148">
        <v>-0.13745199999999999</v>
      </c>
      <c r="EA148">
        <v>-0.50928899999999999</v>
      </c>
      <c r="EB148">
        <v>20.189599999999999</v>
      </c>
      <c r="EC148">
        <v>5.2409499999999998</v>
      </c>
      <c r="ED148">
        <v>12.039899999999999</v>
      </c>
      <c r="EE148">
        <v>5.01715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1.86887</v>
      </c>
      <c r="EL148">
        <v>1.8645</v>
      </c>
      <c r="EM148">
        <v>1.8691800000000001</v>
      </c>
      <c r="EN148">
        <v>1.86721</v>
      </c>
      <c r="EO148">
        <v>1.8632899999999999</v>
      </c>
      <c r="EP148">
        <v>1.86433</v>
      </c>
      <c r="EQ148">
        <v>1.87012</v>
      </c>
      <c r="ER148">
        <v>1.8693599999999999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-0.436</v>
      </c>
      <c r="FG148">
        <v>0.21110000000000001</v>
      </c>
      <c r="FH148">
        <v>-0.150361779349652</v>
      </c>
      <c r="FI148">
        <v>-6.1462078757559423E-4</v>
      </c>
      <c r="FJ148">
        <v>-1.8861989874597051E-7</v>
      </c>
      <c r="FK148">
        <v>1.1980462299894961E-10</v>
      </c>
      <c r="FL148">
        <v>0.21114761904761539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31</v>
      </c>
      <c r="FU148">
        <v>31.3</v>
      </c>
      <c r="FV148">
        <v>1.7675799999999999</v>
      </c>
      <c r="FW148">
        <v>2.5720200000000002</v>
      </c>
      <c r="FX148">
        <v>1.5490699999999999</v>
      </c>
      <c r="FY148">
        <v>2.33765</v>
      </c>
      <c r="FZ148">
        <v>1.50146</v>
      </c>
      <c r="GA148">
        <v>2.34131</v>
      </c>
      <c r="GB148">
        <v>32.222499999999997</v>
      </c>
      <c r="GC148">
        <v>23.991199999999999</v>
      </c>
      <c r="GD148">
        <v>19</v>
      </c>
      <c r="GE148">
        <v>268.53699999999998</v>
      </c>
      <c r="GF148">
        <v>585.07399999999996</v>
      </c>
      <c r="GG148">
        <v>25.844999999999999</v>
      </c>
      <c r="GH148">
        <v>25.704799999999999</v>
      </c>
      <c r="GI148">
        <v>30.000299999999999</v>
      </c>
      <c r="GJ148">
        <v>25.803599999999999</v>
      </c>
      <c r="GK148">
        <v>25.764900000000001</v>
      </c>
      <c r="GL148">
        <v>35.345199999999998</v>
      </c>
      <c r="GM148">
        <v>100</v>
      </c>
      <c r="GN148">
        <v>40.691200000000002</v>
      </c>
      <c r="GO148">
        <v>25.844100000000001</v>
      </c>
      <c r="GP148">
        <v>800</v>
      </c>
      <c r="GQ148">
        <v>0</v>
      </c>
      <c r="GR148">
        <v>99.770300000000006</v>
      </c>
      <c r="GS148">
        <v>99.549899999999994</v>
      </c>
    </row>
    <row r="149" spans="1:201" x14ac:dyDescent="0.25">
      <c r="A149">
        <v>133</v>
      </c>
      <c r="B149">
        <v>1690378086</v>
      </c>
      <c r="C149">
        <v>1369.5</v>
      </c>
      <c r="D149" t="s">
        <v>599</v>
      </c>
      <c r="E149" t="s">
        <v>600</v>
      </c>
      <c r="F149" t="s">
        <v>330</v>
      </c>
      <c r="H149">
        <v>1690378086</v>
      </c>
      <c r="I149">
        <f t="shared" si="60"/>
        <v>2.2601121303524188E-3</v>
      </c>
      <c r="J149">
        <f t="shared" si="61"/>
        <v>2.260112130352419</v>
      </c>
      <c r="K149">
        <f t="shared" si="62"/>
        <v>31.868791693006614</v>
      </c>
      <c r="L149">
        <f t="shared" si="63"/>
        <v>422.65800000000002</v>
      </c>
      <c r="M149">
        <f t="shared" si="64"/>
        <v>89.835846195201768</v>
      </c>
      <c r="N149">
        <f t="shared" si="65"/>
        <v>8.8708929439584363</v>
      </c>
      <c r="O149">
        <f t="shared" si="66"/>
        <v>41.735610323753399</v>
      </c>
      <c r="P149">
        <f t="shared" si="67"/>
        <v>0.16195771720658272</v>
      </c>
      <c r="Q149">
        <f t="shared" si="68"/>
        <v>2.0075730881291589</v>
      </c>
      <c r="R149">
        <f t="shared" si="69"/>
        <v>0.15503339651187845</v>
      </c>
      <c r="S149">
        <f t="shared" si="70"/>
        <v>9.7493325192817101E-2</v>
      </c>
      <c r="T149">
        <f t="shared" si="71"/>
        <v>276.11506776599992</v>
      </c>
      <c r="U149">
        <f t="shared" si="72"/>
        <v>28.5575752063958</v>
      </c>
      <c r="V149">
        <f t="shared" si="73"/>
        <v>28.5575752063958</v>
      </c>
      <c r="W149">
        <f t="shared" si="74"/>
        <v>3.9199529121152641</v>
      </c>
      <c r="X149">
        <f t="shared" si="75"/>
        <v>70.260277286145964</v>
      </c>
      <c r="Y149">
        <f t="shared" si="76"/>
        <v>2.5274129280849595</v>
      </c>
      <c r="Z149">
        <f t="shared" si="77"/>
        <v>3.5972145651968823</v>
      </c>
      <c r="AA149">
        <f t="shared" si="78"/>
        <v>1.3925399840303045</v>
      </c>
      <c r="AB149">
        <f t="shared" si="79"/>
        <v>-99.670944948541674</v>
      </c>
      <c r="AC149">
        <f t="shared" si="80"/>
        <v>-159.30440994531395</v>
      </c>
      <c r="AD149">
        <f t="shared" si="81"/>
        <v>-17.266227286333656</v>
      </c>
      <c r="AE149">
        <f t="shared" si="82"/>
        <v>-0.1265144141893586</v>
      </c>
      <c r="AF149">
        <v>9</v>
      </c>
      <c r="AG149">
        <v>3</v>
      </c>
      <c r="AH149">
        <f t="shared" si="83"/>
        <v>1</v>
      </c>
      <c r="AI149">
        <f t="shared" si="84"/>
        <v>0</v>
      </c>
      <c r="AJ149">
        <f t="shared" si="85"/>
        <v>52161.610464705329</v>
      </c>
      <c r="AK149">
        <f t="shared" si="86"/>
        <v>1800</v>
      </c>
      <c r="AL149">
        <f t="shared" si="87"/>
        <v>1499.1136415999999</v>
      </c>
      <c r="AM149">
        <f t="shared" si="88"/>
        <v>0.83284091199999999</v>
      </c>
      <c r="AN149">
        <f t="shared" si="89"/>
        <v>0.15339725986999997</v>
      </c>
      <c r="AO149">
        <v>34.5</v>
      </c>
      <c r="AP149">
        <v>0.5</v>
      </c>
      <c r="AQ149" t="s">
        <v>331</v>
      </c>
      <c r="AR149">
        <v>2</v>
      </c>
      <c r="AS149">
        <v>1690378086</v>
      </c>
      <c r="AT149">
        <v>422.65800000000002</v>
      </c>
      <c r="AU149">
        <v>799.96600000000001</v>
      </c>
      <c r="AV149">
        <v>25.595199999999998</v>
      </c>
      <c r="AW149">
        <v>0.28047</v>
      </c>
      <c r="AX149">
        <v>423.09399999999999</v>
      </c>
      <c r="AY149">
        <v>25.384</v>
      </c>
      <c r="AZ149">
        <v>300.13400000000001</v>
      </c>
      <c r="BA149">
        <v>98.645600000000002</v>
      </c>
      <c r="BB149">
        <v>9.9982299999999996E-2</v>
      </c>
      <c r="BC149">
        <v>27.085699999999999</v>
      </c>
      <c r="BD149">
        <v>27.003499999999999</v>
      </c>
      <c r="BE149">
        <v>28.626999999999999</v>
      </c>
      <c r="BF149">
        <v>0</v>
      </c>
      <c r="BG149">
        <v>0</v>
      </c>
      <c r="BH149">
        <v>10003.1</v>
      </c>
      <c r="BI149">
        <v>1082.83</v>
      </c>
      <c r="BJ149">
        <v>1.28952</v>
      </c>
      <c r="BK149">
        <v>-377.30700000000002</v>
      </c>
      <c r="BL149">
        <v>433.76100000000002</v>
      </c>
      <c r="BM149">
        <v>800.19</v>
      </c>
      <c r="BN149">
        <v>25.314699999999998</v>
      </c>
      <c r="BO149">
        <v>799.96600000000001</v>
      </c>
      <c r="BP149">
        <v>0.28047</v>
      </c>
      <c r="BQ149">
        <v>2.5248499999999998</v>
      </c>
      <c r="BR149">
        <v>2.76671E-2</v>
      </c>
      <c r="BS149">
        <v>21.1876</v>
      </c>
      <c r="BT149">
        <v>-36.250799999999998</v>
      </c>
      <c r="BU149">
        <v>1800</v>
      </c>
      <c r="BV149">
        <v>0.91000899999999996</v>
      </c>
      <c r="BW149">
        <v>3.39922E-2</v>
      </c>
      <c r="BX149">
        <v>2.2000100000000002E-2</v>
      </c>
      <c r="BY149">
        <v>3.3998300000000002E-2</v>
      </c>
      <c r="BZ149">
        <v>25</v>
      </c>
      <c r="CA149">
        <v>33528.5</v>
      </c>
      <c r="CB149">
        <v>1690376213.5999999</v>
      </c>
      <c r="CC149" t="s">
        <v>332</v>
      </c>
      <c r="CD149">
        <v>1690376213.5999999</v>
      </c>
      <c r="CE149">
        <v>1690376198.0999999</v>
      </c>
      <c r="CF149">
        <v>2</v>
      </c>
      <c r="CG149">
        <v>0.66900000000000004</v>
      </c>
      <c r="CH149">
        <v>-2.1000000000000001E-2</v>
      </c>
      <c r="CI149">
        <v>-0.70099999999999996</v>
      </c>
      <c r="CJ149">
        <v>0.21099999999999999</v>
      </c>
      <c r="CK149">
        <v>799</v>
      </c>
      <c r="CL149">
        <v>21</v>
      </c>
      <c r="CM149">
        <v>0.11</v>
      </c>
      <c r="CN149">
        <v>0.17</v>
      </c>
      <c r="CO149">
        <v>-375.70364999999998</v>
      </c>
      <c r="CP149">
        <v>-9.0869493433388584</v>
      </c>
      <c r="CQ149">
        <v>0.87535451532507325</v>
      </c>
      <c r="CR149">
        <v>-1</v>
      </c>
      <c r="CS149">
        <v>25.251124999999998</v>
      </c>
      <c r="CT149">
        <v>0.38210206378987638</v>
      </c>
      <c r="CU149">
        <v>3.6792062663025607E-2</v>
      </c>
      <c r="CV149">
        <v>-1</v>
      </c>
      <c r="CW149">
        <v>0</v>
      </c>
      <c r="CX149">
        <v>0</v>
      </c>
      <c r="CY149" t="s">
        <v>333</v>
      </c>
      <c r="CZ149">
        <v>2.3650600000000002</v>
      </c>
      <c r="DA149">
        <v>2.7137799999999999</v>
      </c>
      <c r="DB149">
        <v>9.3111200000000005E-2</v>
      </c>
      <c r="DC149">
        <v>0.14553199999999999</v>
      </c>
      <c r="DD149">
        <v>0.118746</v>
      </c>
      <c r="DE149">
        <v>2.3378700000000001E-3</v>
      </c>
      <c r="DF149">
        <v>33127.4</v>
      </c>
      <c r="DG149">
        <v>27538.3</v>
      </c>
      <c r="DH149">
        <v>31182.6</v>
      </c>
      <c r="DI149">
        <v>28081.599999999999</v>
      </c>
      <c r="DJ149">
        <v>37297.800000000003</v>
      </c>
      <c r="DK149">
        <v>39834.1</v>
      </c>
      <c r="DL149">
        <v>44374.9</v>
      </c>
      <c r="DM149">
        <v>42549.1</v>
      </c>
      <c r="DN149">
        <v>1.448</v>
      </c>
      <c r="DO149">
        <v>2.0465300000000002</v>
      </c>
      <c r="DP149">
        <v>9.1016299999999994E-2</v>
      </c>
      <c r="DQ149">
        <v>0.189632</v>
      </c>
      <c r="DR149">
        <v>25.513200000000001</v>
      </c>
      <c r="DS149">
        <v>25.5261</v>
      </c>
      <c r="DT149">
        <v>41.9</v>
      </c>
      <c r="DU149">
        <v>27.1</v>
      </c>
      <c r="DV149">
        <v>15.289</v>
      </c>
      <c r="DW149">
        <v>60.690199999999997</v>
      </c>
      <c r="DX149">
        <v>37.211500000000001</v>
      </c>
      <c r="DY149">
        <v>1</v>
      </c>
      <c r="DZ149">
        <v>-0.13749700000000001</v>
      </c>
      <c r="EA149">
        <v>-0.57077599999999995</v>
      </c>
      <c r="EB149">
        <v>20.189599999999999</v>
      </c>
      <c r="EC149">
        <v>5.2411000000000003</v>
      </c>
      <c r="ED149">
        <v>12.039899999999999</v>
      </c>
      <c r="EE149">
        <v>5.0170000000000003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1.86886</v>
      </c>
      <c r="EL149">
        <v>1.8645099999999999</v>
      </c>
      <c r="EM149">
        <v>1.8691800000000001</v>
      </c>
      <c r="EN149">
        <v>1.8672200000000001</v>
      </c>
      <c r="EO149">
        <v>1.8632899999999999</v>
      </c>
      <c r="EP149">
        <v>1.86432</v>
      </c>
      <c r="EQ149">
        <v>1.87012</v>
      </c>
      <c r="ER149">
        <v>1.8693599999999999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-0.436</v>
      </c>
      <c r="FG149">
        <v>0.2112</v>
      </c>
      <c r="FH149">
        <v>-0.150361779349652</v>
      </c>
      <c r="FI149">
        <v>-6.1462078757559423E-4</v>
      </c>
      <c r="FJ149">
        <v>-1.8861989874597051E-7</v>
      </c>
      <c r="FK149">
        <v>1.1980462299894961E-10</v>
      </c>
      <c r="FL149">
        <v>0.21114761904761539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31.2</v>
      </c>
      <c r="FU149">
        <v>31.5</v>
      </c>
      <c r="FV149">
        <v>1.7675799999999999</v>
      </c>
      <c r="FW149">
        <v>2.5695800000000002</v>
      </c>
      <c r="FX149">
        <v>1.5490699999999999</v>
      </c>
      <c r="FY149">
        <v>2.33765</v>
      </c>
      <c r="FZ149">
        <v>1.50146</v>
      </c>
      <c r="GA149">
        <v>2.3132299999999999</v>
      </c>
      <c r="GB149">
        <v>32.244599999999998</v>
      </c>
      <c r="GC149">
        <v>23.982399999999998</v>
      </c>
      <c r="GD149">
        <v>19</v>
      </c>
      <c r="GE149">
        <v>268.75299999999999</v>
      </c>
      <c r="GF149">
        <v>585.03700000000003</v>
      </c>
      <c r="GG149">
        <v>25.8475</v>
      </c>
      <c r="GH149">
        <v>25.7057</v>
      </c>
      <c r="GI149">
        <v>30.0001</v>
      </c>
      <c r="GJ149">
        <v>25.804200000000002</v>
      </c>
      <c r="GK149">
        <v>25.766999999999999</v>
      </c>
      <c r="GL149">
        <v>35.346699999999998</v>
      </c>
      <c r="GM149">
        <v>100</v>
      </c>
      <c r="GN149">
        <v>39.8962</v>
      </c>
      <c r="GO149">
        <v>25.8506</v>
      </c>
      <c r="GP149">
        <v>800</v>
      </c>
      <c r="GQ149">
        <v>0</v>
      </c>
      <c r="GR149">
        <v>99.769900000000007</v>
      </c>
      <c r="GS149">
        <v>99.549099999999996</v>
      </c>
    </row>
    <row r="150" spans="1:201" x14ac:dyDescent="0.25">
      <c r="A150">
        <v>134</v>
      </c>
      <c r="B150">
        <v>1690378096</v>
      </c>
      <c r="C150">
        <v>1379.5</v>
      </c>
      <c r="D150" t="s">
        <v>601</v>
      </c>
      <c r="E150" t="s">
        <v>602</v>
      </c>
      <c r="F150" t="s">
        <v>330</v>
      </c>
      <c r="H150">
        <v>1690378096</v>
      </c>
      <c r="I150">
        <f t="shared" si="60"/>
        <v>2.2656406005069078E-3</v>
      </c>
      <c r="J150">
        <f t="shared" si="61"/>
        <v>2.2656406005069076</v>
      </c>
      <c r="K150">
        <f t="shared" si="62"/>
        <v>32.005932025845453</v>
      </c>
      <c r="L150">
        <f t="shared" si="63"/>
        <v>421.09699999999998</v>
      </c>
      <c r="M150">
        <f t="shared" si="64"/>
        <v>88.956025370615734</v>
      </c>
      <c r="N150">
        <f t="shared" si="65"/>
        <v>8.7836106372730338</v>
      </c>
      <c r="O150">
        <f t="shared" si="66"/>
        <v>41.579556563074</v>
      </c>
      <c r="P150">
        <f t="shared" si="67"/>
        <v>0.16301516532842705</v>
      </c>
      <c r="Q150">
        <f t="shared" si="68"/>
        <v>2.0052355716653696</v>
      </c>
      <c r="R150">
        <f t="shared" si="69"/>
        <v>0.15599443749466133</v>
      </c>
      <c r="S150">
        <f t="shared" si="70"/>
        <v>9.8102110055975966E-2</v>
      </c>
      <c r="T150">
        <f t="shared" si="71"/>
        <v>276.11497466999992</v>
      </c>
      <c r="U150">
        <f t="shared" si="72"/>
        <v>28.560382702201903</v>
      </c>
      <c r="V150">
        <f t="shared" si="73"/>
        <v>28.560382702201903</v>
      </c>
      <c r="W150">
        <f t="shared" si="74"/>
        <v>3.9205918741942205</v>
      </c>
      <c r="X150">
        <f t="shared" si="75"/>
        <v>70.411945998509225</v>
      </c>
      <c r="Y150">
        <f t="shared" si="76"/>
        <v>2.5333594181772003</v>
      </c>
      <c r="Z150">
        <f t="shared" si="77"/>
        <v>3.5979113803087288</v>
      </c>
      <c r="AA150">
        <f t="shared" si="78"/>
        <v>1.3872324560170202</v>
      </c>
      <c r="AB150">
        <f t="shared" si="79"/>
        <v>-99.914750482354634</v>
      </c>
      <c r="AC150">
        <f t="shared" si="80"/>
        <v>-159.06568116918109</v>
      </c>
      <c r="AD150">
        <f t="shared" si="81"/>
        <v>-17.260975418748803</v>
      </c>
      <c r="AE150">
        <f t="shared" si="82"/>
        <v>-0.12643240028458536</v>
      </c>
      <c r="AF150">
        <v>9</v>
      </c>
      <c r="AG150">
        <v>3</v>
      </c>
      <c r="AH150">
        <f t="shared" si="83"/>
        <v>1</v>
      </c>
      <c r="AI150">
        <f t="shared" si="84"/>
        <v>0</v>
      </c>
      <c r="AJ150">
        <f t="shared" si="85"/>
        <v>52049.303599088889</v>
      </c>
      <c r="AK150">
        <f t="shared" si="86"/>
        <v>1800</v>
      </c>
      <c r="AL150">
        <f t="shared" si="87"/>
        <v>1499.1132419999999</v>
      </c>
      <c r="AM150">
        <f t="shared" si="88"/>
        <v>0.83284068999999994</v>
      </c>
      <c r="AN150">
        <f t="shared" si="89"/>
        <v>0.15339720814999996</v>
      </c>
      <c r="AO150">
        <v>34.5</v>
      </c>
      <c r="AP150">
        <v>0.5</v>
      </c>
      <c r="AQ150" t="s">
        <v>331</v>
      </c>
      <c r="AR150">
        <v>2</v>
      </c>
      <c r="AS150">
        <v>1690378096</v>
      </c>
      <c r="AT150">
        <v>421.09699999999998</v>
      </c>
      <c r="AU150">
        <v>800.05600000000004</v>
      </c>
      <c r="AV150">
        <v>25.656600000000001</v>
      </c>
      <c r="AW150">
        <v>0.27562700000000001</v>
      </c>
      <c r="AX150">
        <v>421.53100000000001</v>
      </c>
      <c r="AY150">
        <v>25.445399999999999</v>
      </c>
      <c r="AZ150">
        <v>300.06400000000002</v>
      </c>
      <c r="BA150">
        <v>98.641000000000005</v>
      </c>
      <c r="BB150">
        <v>0.10004200000000001</v>
      </c>
      <c r="BC150">
        <v>27.088999999999999</v>
      </c>
      <c r="BD150">
        <v>27.0062</v>
      </c>
      <c r="BE150">
        <v>28.6525</v>
      </c>
      <c r="BF150">
        <v>0</v>
      </c>
      <c r="BG150">
        <v>0</v>
      </c>
      <c r="BH150">
        <v>9981.25</v>
      </c>
      <c r="BI150">
        <v>1082.92</v>
      </c>
      <c r="BJ150">
        <v>1.4016500000000001</v>
      </c>
      <c r="BK150">
        <v>-378.959</v>
      </c>
      <c r="BL150">
        <v>432.18599999999998</v>
      </c>
      <c r="BM150">
        <v>800.27700000000004</v>
      </c>
      <c r="BN150">
        <v>25.3809</v>
      </c>
      <c r="BO150">
        <v>800.05600000000004</v>
      </c>
      <c r="BP150">
        <v>0.27562700000000001</v>
      </c>
      <c r="BQ150">
        <v>2.5307900000000001</v>
      </c>
      <c r="BR150">
        <v>2.7188199999999999E-2</v>
      </c>
      <c r="BS150">
        <v>21.225899999999999</v>
      </c>
      <c r="BT150">
        <v>-36.424199999999999</v>
      </c>
      <c r="BU150">
        <v>1800</v>
      </c>
      <c r="BV150">
        <v>0.91000899999999996</v>
      </c>
      <c r="BW150">
        <v>3.3993700000000002E-2</v>
      </c>
      <c r="BX150">
        <v>2.1999500000000002E-2</v>
      </c>
      <c r="BY150">
        <v>3.3997300000000001E-2</v>
      </c>
      <c r="BZ150">
        <v>25</v>
      </c>
      <c r="CA150">
        <v>33528.400000000001</v>
      </c>
      <c r="CB150">
        <v>1690376213.5999999</v>
      </c>
      <c r="CC150" t="s">
        <v>332</v>
      </c>
      <c r="CD150">
        <v>1690376213.5999999</v>
      </c>
      <c r="CE150">
        <v>1690376198.0999999</v>
      </c>
      <c r="CF150">
        <v>2</v>
      </c>
      <c r="CG150">
        <v>0.66900000000000004</v>
      </c>
      <c r="CH150">
        <v>-2.1000000000000001E-2</v>
      </c>
      <c r="CI150">
        <v>-0.70099999999999996</v>
      </c>
      <c r="CJ150">
        <v>0.21099999999999999</v>
      </c>
      <c r="CK150">
        <v>799</v>
      </c>
      <c r="CL150">
        <v>21</v>
      </c>
      <c r="CM150">
        <v>0.11</v>
      </c>
      <c r="CN150">
        <v>0.17</v>
      </c>
      <c r="CO150">
        <v>-377.22224999999997</v>
      </c>
      <c r="CP150">
        <v>-9.2855009380853826</v>
      </c>
      <c r="CQ150">
        <v>0.89372951025463998</v>
      </c>
      <c r="CR150">
        <v>-1</v>
      </c>
      <c r="CS150">
        <v>25.312817500000001</v>
      </c>
      <c r="CT150">
        <v>0.35947654784230398</v>
      </c>
      <c r="CU150">
        <v>3.4603496120334323E-2</v>
      </c>
      <c r="CV150">
        <v>-1</v>
      </c>
      <c r="CW150">
        <v>0</v>
      </c>
      <c r="CX150">
        <v>0</v>
      </c>
      <c r="CY150" t="s">
        <v>333</v>
      </c>
      <c r="CZ150">
        <v>2.3648500000000001</v>
      </c>
      <c r="DA150">
        <v>2.7138200000000001</v>
      </c>
      <c r="DB150">
        <v>9.2846999999999999E-2</v>
      </c>
      <c r="DC150">
        <v>0.145536</v>
      </c>
      <c r="DD150">
        <v>0.11894</v>
      </c>
      <c r="DE150">
        <v>2.2980600000000002E-3</v>
      </c>
      <c r="DF150">
        <v>33137.1</v>
      </c>
      <c r="DG150">
        <v>27538.400000000001</v>
      </c>
      <c r="DH150">
        <v>31182.6</v>
      </c>
      <c r="DI150">
        <v>28081.8</v>
      </c>
      <c r="DJ150">
        <v>37289.800000000003</v>
      </c>
      <c r="DK150">
        <v>39835.800000000003</v>
      </c>
      <c r="DL150">
        <v>44375.3</v>
      </c>
      <c r="DM150">
        <v>42549.2</v>
      </c>
      <c r="DN150">
        <v>1.44753</v>
      </c>
      <c r="DO150">
        <v>2.04623</v>
      </c>
      <c r="DP150">
        <v>9.1180200000000003E-2</v>
      </c>
      <c r="DQ150">
        <v>0.191167</v>
      </c>
      <c r="DR150">
        <v>25.513200000000001</v>
      </c>
      <c r="DS150">
        <v>25.526599999999998</v>
      </c>
      <c r="DT150">
        <v>41.4</v>
      </c>
      <c r="DU150">
        <v>27.1</v>
      </c>
      <c r="DV150">
        <v>15.110099999999999</v>
      </c>
      <c r="DW150">
        <v>61.220199999999998</v>
      </c>
      <c r="DX150">
        <v>37.524000000000001</v>
      </c>
      <c r="DY150">
        <v>1</v>
      </c>
      <c r="DZ150">
        <v>-0.13725599999999999</v>
      </c>
      <c r="EA150">
        <v>-0.51513900000000001</v>
      </c>
      <c r="EB150">
        <v>20.189299999999999</v>
      </c>
      <c r="EC150">
        <v>5.2411000000000003</v>
      </c>
      <c r="ED150">
        <v>12.039899999999999</v>
      </c>
      <c r="EE150">
        <v>5.0169499999999996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1.8688899999999999</v>
      </c>
      <c r="EL150">
        <v>1.86456</v>
      </c>
      <c r="EM150">
        <v>1.8692</v>
      </c>
      <c r="EN150">
        <v>1.86721</v>
      </c>
      <c r="EO150">
        <v>1.8632899999999999</v>
      </c>
      <c r="EP150">
        <v>1.8643400000000001</v>
      </c>
      <c r="EQ150">
        <v>1.87012</v>
      </c>
      <c r="ER150">
        <v>1.8693599999999999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-0.434</v>
      </c>
      <c r="FG150">
        <v>0.2112</v>
      </c>
      <c r="FH150">
        <v>-0.150361779349652</v>
      </c>
      <c r="FI150">
        <v>-6.1462078757559423E-4</v>
      </c>
      <c r="FJ150">
        <v>-1.8861989874597051E-7</v>
      </c>
      <c r="FK150">
        <v>1.1980462299894961E-10</v>
      </c>
      <c r="FL150">
        <v>0.21114761904761539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31.4</v>
      </c>
      <c r="FU150">
        <v>31.6</v>
      </c>
      <c r="FV150">
        <v>1.7675799999999999</v>
      </c>
      <c r="FW150">
        <v>2.5695800000000002</v>
      </c>
      <c r="FX150">
        <v>1.5490699999999999</v>
      </c>
      <c r="FY150">
        <v>2.33765</v>
      </c>
      <c r="FZ150">
        <v>1.50146</v>
      </c>
      <c r="GA150">
        <v>2.31934</v>
      </c>
      <c r="GB150">
        <v>32.244599999999998</v>
      </c>
      <c r="GC150">
        <v>23.982399999999998</v>
      </c>
      <c r="GD150">
        <v>19</v>
      </c>
      <c r="GE150">
        <v>268.56599999999997</v>
      </c>
      <c r="GF150">
        <v>584.81399999999996</v>
      </c>
      <c r="GG150">
        <v>25.846599999999999</v>
      </c>
      <c r="GH150">
        <v>25.707899999999999</v>
      </c>
      <c r="GI150">
        <v>30.000299999999999</v>
      </c>
      <c r="GJ150">
        <v>25.805700000000002</v>
      </c>
      <c r="GK150">
        <v>25.769100000000002</v>
      </c>
      <c r="GL150">
        <v>35.3431</v>
      </c>
      <c r="GM150">
        <v>100</v>
      </c>
      <c r="GN150">
        <v>38.730899999999998</v>
      </c>
      <c r="GO150">
        <v>25.8371</v>
      </c>
      <c r="GP150">
        <v>800</v>
      </c>
      <c r="GQ150">
        <v>0</v>
      </c>
      <c r="GR150">
        <v>99.770399999999995</v>
      </c>
      <c r="GS150">
        <v>99.549599999999998</v>
      </c>
    </row>
    <row r="151" spans="1:201" x14ac:dyDescent="0.25">
      <c r="A151">
        <v>135</v>
      </c>
      <c r="B151">
        <v>1690378106</v>
      </c>
      <c r="C151">
        <v>1389.5</v>
      </c>
      <c r="D151" t="s">
        <v>603</v>
      </c>
      <c r="E151" t="s">
        <v>604</v>
      </c>
      <c r="F151" t="s">
        <v>330</v>
      </c>
      <c r="H151">
        <v>1690378106</v>
      </c>
      <c r="I151">
        <f t="shared" si="60"/>
        <v>2.2721212337131385E-3</v>
      </c>
      <c r="J151">
        <f t="shared" si="61"/>
        <v>2.2721212337131385</v>
      </c>
      <c r="K151">
        <f t="shared" si="62"/>
        <v>32.134125890070571</v>
      </c>
      <c r="L151">
        <f t="shared" si="63"/>
        <v>419.59500000000003</v>
      </c>
      <c r="M151">
        <f t="shared" si="64"/>
        <v>88.969826944706142</v>
      </c>
      <c r="N151">
        <f t="shared" si="65"/>
        <v>8.7849122790148844</v>
      </c>
      <c r="O151">
        <f t="shared" si="66"/>
        <v>41.430959172306011</v>
      </c>
      <c r="P151">
        <f t="shared" si="67"/>
        <v>0.16445290905839743</v>
      </c>
      <c r="Q151">
        <f t="shared" si="68"/>
        <v>2.0076539254074808</v>
      </c>
      <c r="R151">
        <f t="shared" si="69"/>
        <v>0.15731891228769759</v>
      </c>
      <c r="S151">
        <f t="shared" si="70"/>
        <v>9.8939491082278175E-2</v>
      </c>
      <c r="T151">
        <f t="shared" si="71"/>
        <v>276.11503694999999</v>
      </c>
      <c r="U151">
        <f t="shared" si="72"/>
        <v>28.555300596980469</v>
      </c>
      <c r="V151">
        <f t="shared" si="73"/>
        <v>28.555300596980469</v>
      </c>
      <c r="W151">
        <f t="shared" si="74"/>
        <v>3.919435297034005</v>
      </c>
      <c r="X151">
        <f t="shared" si="75"/>
        <v>70.600985230780751</v>
      </c>
      <c r="Y151">
        <f t="shared" si="76"/>
        <v>2.5399968868752003</v>
      </c>
      <c r="Z151">
        <f t="shared" si="77"/>
        <v>3.5976790955146729</v>
      </c>
      <c r="AA151">
        <f t="shared" si="78"/>
        <v>1.3794384101588046</v>
      </c>
      <c r="AB151">
        <f t="shared" si="79"/>
        <v>-100.20054640674941</v>
      </c>
      <c r="AC151">
        <f t="shared" si="80"/>
        <v>-158.82650784230515</v>
      </c>
      <c r="AD151">
        <f t="shared" si="81"/>
        <v>-17.213729649802797</v>
      </c>
      <c r="AE151">
        <f t="shared" si="82"/>
        <v>-0.12574694885739746</v>
      </c>
      <c r="AF151">
        <v>9</v>
      </c>
      <c r="AG151">
        <v>3</v>
      </c>
      <c r="AH151">
        <f t="shared" si="83"/>
        <v>1</v>
      </c>
      <c r="AI151">
        <f t="shared" si="84"/>
        <v>0</v>
      </c>
      <c r="AJ151">
        <f t="shared" si="85"/>
        <v>52164.979249395241</v>
      </c>
      <c r="AK151">
        <f t="shared" si="86"/>
        <v>1800</v>
      </c>
      <c r="AL151">
        <f t="shared" si="87"/>
        <v>1499.113521</v>
      </c>
      <c r="AM151">
        <f t="shared" si="88"/>
        <v>0.832840845</v>
      </c>
      <c r="AN151">
        <f t="shared" si="89"/>
        <v>0.15339724275</v>
      </c>
      <c r="AO151">
        <v>34.5</v>
      </c>
      <c r="AP151">
        <v>0.5</v>
      </c>
      <c r="AQ151" t="s">
        <v>331</v>
      </c>
      <c r="AR151">
        <v>2</v>
      </c>
      <c r="AS151">
        <v>1690378106</v>
      </c>
      <c r="AT151">
        <v>419.59500000000003</v>
      </c>
      <c r="AU151">
        <v>800.03399999999999</v>
      </c>
      <c r="AV151">
        <v>25.724</v>
      </c>
      <c r="AW151">
        <v>0.27125500000000002</v>
      </c>
      <c r="AX151">
        <v>420.02800000000002</v>
      </c>
      <c r="AY151">
        <v>25.512899999999998</v>
      </c>
      <c r="AZ151">
        <v>300.053</v>
      </c>
      <c r="BA151">
        <v>98.6404</v>
      </c>
      <c r="BB151">
        <v>9.9954799999999996E-2</v>
      </c>
      <c r="BC151">
        <v>27.087900000000001</v>
      </c>
      <c r="BD151">
        <v>26.997499999999999</v>
      </c>
      <c r="BE151">
        <v>28.6465</v>
      </c>
      <c r="BF151">
        <v>0</v>
      </c>
      <c r="BG151">
        <v>0</v>
      </c>
      <c r="BH151">
        <v>10004.4</v>
      </c>
      <c r="BI151">
        <v>1082.8800000000001</v>
      </c>
      <c r="BJ151">
        <v>1.3455900000000001</v>
      </c>
      <c r="BK151">
        <v>-380.44</v>
      </c>
      <c r="BL151">
        <v>430.673</v>
      </c>
      <c r="BM151">
        <v>800.25099999999998</v>
      </c>
      <c r="BN151">
        <v>25.4528</v>
      </c>
      <c r="BO151">
        <v>800.03399999999999</v>
      </c>
      <c r="BP151">
        <v>0.27125500000000002</v>
      </c>
      <c r="BQ151">
        <v>2.5374300000000001</v>
      </c>
      <c r="BR151">
        <v>2.6756700000000001E-2</v>
      </c>
      <c r="BS151">
        <v>21.268599999999999</v>
      </c>
      <c r="BT151">
        <v>-36.582799999999999</v>
      </c>
      <c r="BU151">
        <v>1800</v>
      </c>
      <c r="BV151">
        <v>0.91000899999999996</v>
      </c>
      <c r="BW151">
        <v>3.3995400000000002E-2</v>
      </c>
      <c r="BX151">
        <v>2.1999000000000001E-2</v>
      </c>
      <c r="BY151">
        <v>3.3996499999999999E-2</v>
      </c>
      <c r="BZ151">
        <v>25</v>
      </c>
      <c r="CA151">
        <v>33528.400000000001</v>
      </c>
      <c r="CB151">
        <v>1690376213.5999999</v>
      </c>
      <c r="CC151" t="s">
        <v>332</v>
      </c>
      <c r="CD151">
        <v>1690376213.5999999</v>
      </c>
      <c r="CE151">
        <v>1690376198.0999999</v>
      </c>
      <c r="CF151">
        <v>2</v>
      </c>
      <c r="CG151">
        <v>0.66900000000000004</v>
      </c>
      <c r="CH151">
        <v>-2.1000000000000001E-2</v>
      </c>
      <c r="CI151">
        <v>-0.70099999999999996</v>
      </c>
      <c r="CJ151">
        <v>0.21099999999999999</v>
      </c>
      <c r="CK151">
        <v>799</v>
      </c>
      <c r="CL151">
        <v>21</v>
      </c>
      <c r="CM151">
        <v>0.11</v>
      </c>
      <c r="CN151">
        <v>0.17</v>
      </c>
      <c r="CO151">
        <v>-378.80448780487808</v>
      </c>
      <c r="CP151">
        <v>-9.2418188153319196</v>
      </c>
      <c r="CQ151">
        <v>0.91177556935666348</v>
      </c>
      <c r="CR151">
        <v>-1</v>
      </c>
      <c r="CS151">
        <v>25.378182926829268</v>
      </c>
      <c r="CT151">
        <v>0.40844529616731151</v>
      </c>
      <c r="CU151">
        <v>4.029302368012784E-2</v>
      </c>
      <c r="CV151">
        <v>-1</v>
      </c>
      <c r="CW151">
        <v>0</v>
      </c>
      <c r="CX151">
        <v>0</v>
      </c>
      <c r="CY151" t="s">
        <v>333</v>
      </c>
      <c r="CZ151">
        <v>2.3647999999999998</v>
      </c>
      <c r="DA151">
        <v>2.7137500000000001</v>
      </c>
      <c r="DB151">
        <v>9.2595700000000003E-2</v>
      </c>
      <c r="DC151">
        <v>0.14553199999999999</v>
      </c>
      <c r="DD151">
        <v>0.119158</v>
      </c>
      <c r="DE151">
        <v>2.2621899999999999E-3</v>
      </c>
      <c r="DF151">
        <v>33146.300000000003</v>
      </c>
      <c r="DG151">
        <v>27538.7</v>
      </c>
      <c r="DH151">
        <v>31182.7</v>
      </c>
      <c r="DI151">
        <v>28082</v>
      </c>
      <c r="DJ151">
        <v>37280.5</v>
      </c>
      <c r="DK151">
        <v>39837.599999999999</v>
      </c>
      <c r="DL151">
        <v>44375.3</v>
      </c>
      <c r="DM151">
        <v>42549.599999999999</v>
      </c>
      <c r="DN151">
        <v>1.4477800000000001</v>
      </c>
      <c r="DO151">
        <v>2.0461499999999999</v>
      </c>
      <c r="DP151">
        <v>9.0524599999999997E-2</v>
      </c>
      <c r="DQ151">
        <v>0.19069800000000001</v>
      </c>
      <c r="DR151">
        <v>25.5153</v>
      </c>
      <c r="DS151">
        <v>25.528300000000002</v>
      </c>
      <c r="DT151">
        <v>41</v>
      </c>
      <c r="DU151">
        <v>27.1</v>
      </c>
      <c r="DV151">
        <v>14.963800000000001</v>
      </c>
      <c r="DW151">
        <v>60.940199999999997</v>
      </c>
      <c r="DX151">
        <v>37.700299999999999</v>
      </c>
      <c r="DY151">
        <v>1</v>
      </c>
      <c r="DZ151">
        <v>-0.137104</v>
      </c>
      <c r="EA151">
        <v>-0.550014</v>
      </c>
      <c r="EB151">
        <v>20.189399999999999</v>
      </c>
      <c r="EC151">
        <v>5.2411000000000003</v>
      </c>
      <c r="ED151">
        <v>12.039899999999999</v>
      </c>
      <c r="EE151">
        <v>5.0170000000000003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1.8688899999999999</v>
      </c>
      <c r="EL151">
        <v>1.8645</v>
      </c>
      <c r="EM151">
        <v>1.8692</v>
      </c>
      <c r="EN151">
        <v>1.8672200000000001</v>
      </c>
      <c r="EO151">
        <v>1.86328</v>
      </c>
      <c r="EP151">
        <v>1.86432</v>
      </c>
      <c r="EQ151">
        <v>1.87012</v>
      </c>
      <c r="ER151">
        <v>1.8693599999999999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-0.433</v>
      </c>
      <c r="FG151">
        <v>0.21110000000000001</v>
      </c>
      <c r="FH151">
        <v>-0.150361779349652</v>
      </c>
      <c r="FI151">
        <v>-6.1462078757559423E-4</v>
      </c>
      <c r="FJ151">
        <v>-1.8861989874597051E-7</v>
      </c>
      <c r="FK151">
        <v>1.1980462299894961E-10</v>
      </c>
      <c r="FL151">
        <v>0.21114761904761539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31.5</v>
      </c>
      <c r="FU151">
        <v>31.8</v>
      </c>
      <c r="FV151">
        <v>1.7675799999999999</v>
      </c>
      <c r="FW151">
        <v>2.5756800000000002</v>
      </c>
      <c r="FX151">
        <v>1.5490699999999999</v>
      </c>
      <c r="FY151">
        <v>2.33765</v>
      </c>
      <c r="FZ151">
        <v>1.50146</v>
      </c>
      <c r="GA151">
        <v>2.3022499999999999</v>
      </c>
      <c r="GB151">
        <v>32.244599999999998</v>
      </c>
      <c r="GC151">
        <v>23.982399999999998</v>
      </c>
      <c r="GD151">
        <v>19</v>
      </c>
      <c r="GE151">
        <v>268.67700000000002</v>
      </c>
      <c r="GF151">
        <v>584.75699999999995</v>
      </c>
      <c r="GG151">
        <v>25.840499999999999</v>
      </c>
      <c r="GH151">
        <v>25.708600000000001</v>
      </c>
      <c r="GI151">
        <v>30.000299999999999</v>
      </c>
      <c r="GJ151">
        <v>25.8079</v>
      </c>
      <c r="GK151">
        <v>25.7697</v>
      </c>
      <c r="GL151">
        <v>35.342300000000002</v>
      </c>
      <c r="GM151">
        <v>100</v>
      </c>
      <c r="GN151">
        <v>37.933300000000003</v>
      </c>
      <c r="GO151">
        <v>25.8429</v>
      </c>
      <c r="GP151">
        <v>800</v>
      </c>
      <c r="GQ151">
        <v>0</v>
      </c>
      <c r="GR151">
        <v>99.770600000000002</v>
      </c>
      <c r="GS151">
        <v>99.550299999999993</v>
      </c>
    </row>
    <row r="152" spans="1:201" x14ac:dyDescent="0.25">
      <c r="A152">
        <v>136</v>
      </c>
      <c r="B152">
        <v>1690378116</v>
      </c>
      <c r="C152">
        <v>1399.5</v>
      </c>
      <c r="D152" t="s">
        <v>605</v>
      </c>
      <c r="E152" t="s">
        <v>606</v>
      </c>
      <c r="F152" t="s">
        <v>330</v>
      </c>
      <c r="H152">
        <v>1690378116</v>
      </c>
      <c r="I152">
        <f t="shared" si="60"/>
        <v>2.2787087691422225E-3</v>
      </c>
      <c r="J152">
        <f t="shared" si="61"/>
        <v>2.2787087691422223</v>
      </c>
      <c r="K152">
        <f t="shared" si="62"/>
        <v>32.25805229941524</v>
      </c>
      <c r="L152">
        <f t="shared" si="63"/>
        <v>418.26600000000002</v>
      </c>
      <c r="M152">
        <f t="shared" si="64"/>
        <v>89.113990918327033</v>
      </c>
      <c r="N152">
        <f t="shared" si="65"/>
        <v>8.7992973271082775</v>
      </c>
      <c r="O152">
        <f t="shared" si="66"/>
        <v>41.300438437252801</v>
      </c>
      <c r="P152">
        <f t="shared" si="67"/>
        <v>0.16585697827945459</v>
      </c>
      <c r="Q152">
        <f t="shared" si="68"/>
        <v>2.0115876275389972</v>
      </c>
      <c r="R152">
        <f t="shared" si="69"/>
        <v>0.15861705053074915</v>
      </c>
      <c r="S152">
        <f t="shared" si="70"/>
        <v>9.9759797937505529E-2</v>
      </c>
      <c r="T152">
        <f t="shared" si="71"/>
        <v>276.11509545000001</v>
      </c>
      <c r="U152">
        <f t="shared" si="72"/>
        <v>28.549092472059346</v>
      </c>
      <c r="V152">
        <f t="shared" si="73"/>
        <v>28.549092472059346</v>
      </c>
      <c r="W152">
        <f t="shared" si="74"/>
        <v>3.9180228659557197</v>
      </c>
      <c r="X152">
        <f t="shared" si="75"/>
        <v>70.770479087398456</v>
      </c>
      <c r="Y152">
        <f t="shared" si="76"/>
        <v>2.5459154089667999</v>
      </c>
      <c r="Z152">
        <f t="shared" si="77"/>
        <v>3.5974257088505861</v>
      </c>
      <c r="AA152">
        <f t="shared" si="78"/>
        <v>1.3721074569889198</v>
      </c>
      <c r="AB152">
        <f t="shared" si="79"/>
        <v>-100.49105671917201</v>
      </c>
      <c r="AC152">
        <f t="shared" si="80"/>
        <v>-158.59458029054116</v>
      </c>
      <c r="AD152">
        <f t="shared" si="81"/>
        <v>-17.154346139028231</v>
      </c>
      <c r="AE152">
        <f t="shared" si="82"/>
        <v>-0.12488769874138939</v>
      </c>
      <c r="AF152">
        <v>8</v>
      </c>
      <c r="AG152">
        <v>3</v>
      </c>
      <c r="AH152">
        <f t="shared" si="83"/>
        <v>1</v>
      </c>
      <c r="AI152">
        <f t="shared" si="84"/>
        <v>0</v>
      </c>
      <c r="AJ152">
        <f t="shared" si="85"/>
        <v>52353.50826397755</v>
      </c>
      <c r="AK152">
        <f t="shared" si="86"/>
        <v>1800</v>
      </c>
      <c r="AL152">
        <f t="shared" si="87"/>
        <v>1499.1111539999999</v>
      </c>
      <c r="AM152">
        <f t="shared" si="88"/>
        <v>0.83283952999999999</v>
      </c>
      <c r="AN152">
        <f t="shared" si="89"/>
        <v>0.15339727524999999</v>
      </c>
      <c r="AO152">
        <v>34.5</v>
      </c>
      <c r="AP152">
        <v>0.5</v>
      </c>
      <c r="AQ152" t="s">
        <v>331</v>
      </c>
      <c r="AR152">
        <v>2</v>
      </c>
      <c r="AS152">
        <v>1690378116</v>
      </c>
      <c r="AT152">
        <v>418.26600000000002</v>
      </c>
      <c r="AU152">
        <v>800.00599999999997</v>
      </c>
      <c r="AV152">
        <v>25.7835</v>
      </c>
      <c r="AW152">
        <v>0.266598</v>
      </c>
      <c r="AX152">
        <v>418.69799999999998</v>
      </c>
      <c r="AY152">
        <v>25.572299999999998</v>
      </c>
      <c r="AZ152">
        <v>300.14800000000002</v>
      </c>
      <c r="BA152">
        <v>98.642099999999999</v>
      </c>
      <c r="BB152">
        <v>9.9940799999999996E-2</v>
      </c>
      <c r="BC152">
        <v>27.0867</v>
      </c>
      <c r="BD152">
        <v>27.004200000000001</v>
      </c>
      <c r="BE152">
        <v>28.6371</v>
      </c>
      <c r="BF152">
        <v>0</v>
      </c>
      <c r="BG152">
        <v>0</v>
      </c>
      <c r="BH152">
        <v>10041.9</v>
      </c>
      <c r="BI152">
        <v>1082.8900000000001</v>
      </c>
      <c r="BJ152">
        <v>1.38764</v>
      </c>
      <c r="BK152">
        <v>-381.74</v>
      </c>
      <c r="BL152">
        <v>429.33600000000001</v>
      </c>
      <c r="BM152">
        <v>800.21900000000005</v>
      </c>
      <c r="BN152">
        <v>25.5169</v>
      </c>
      <c r="BO152">
        <v>800.00599999999997</v>
      </c>
      <c r="BP152">
        <v>0.266598</v>
      </c>
      <c r="BQ152">
        <v>2.5433400000000002</v>
      </c>
      <c r="BR152">
        <v>2.62978E-2</v>
      </c>
      <c r="BS152">
        <v>21.3065</v>
      </c>
      <c r="BT152">
        <v>-36.753999999999998</v>
      </c>
      <c r="BU152">
        <v>1800</v>
      </c>
      <c r="BV152">
        <v>0.91000099999999995</v>
      </c>
      <c r="BW152">
        <v>3.4004600000000003E-2</v>
      </c>
      <c r="BX152">
        <v>2.1998500000000001E-2</v>
      </c>
      <c r="BY152">
        <v>3.3995699999999997E-2</v>
      </c>
      <c r="BZ152">
        <v>25</v>
      </c>
      <c r="CA152">
        <v>33528.400000000001</v>
      </c>
      <c r="CB152">
        <v>1690376213.5999999</v>
      </c>
      <c r="CC152" t="s">
        <v>332</v>
      </c>
      <c r="CD152">
        <v>1690376213.5999999</v>
      </c>
      <c r="CE152">
        <v>1690376198.0999999</v>
      </c>
      <c r="CF152">
        <v>2</v>
      </c>
      <c r="CG152">
        <v>0.66900000000000004</v>
      </c>
      <c r="CH152">
        <v>-2.1000000000000001E-2</v>
      </c>
      <c r="CI152">
        <v>-0.70099999999999996</v>
      </c>
      <c r="CJ152">
        <v>0.21099999999999999</v>
      </c>
      <c r="CK152">
        <v>799</v>
      </c>
      <c r="CL152">
        <v>21</v>
      </c>
      <c r="CM152">
        <v>0.11</v>
      </c>
      <c r="CN152">
        <v>0.17</v>
      </c>
      <c r="CO152">
        <v>-380.26543902439022</v>
      </c>
      <c r="CP152">
        <v>-8.3081184668992982</v>
      </c>
      <c r="CQ152">
        <v>0.82001299956323936</v>
      </c>
      <c r="CR152">
        <v>-1</v>
      </c>
      <c r="CS152">
        <v>25.44638048780488</v>
      </c>
      <c r="CT152">
        <v>0.40930243902440722</v>
      </c>
      <c r="CU152">
        <v>4.0392562823734733E-2</v>
      </c>
      <c r="CV152">
        <v>-1</v>
      </c>
      <c r="CW152">
        <v>0</v>
      </c>
      <c r="CX152">
        <v>0</v>
      </c>
      <c r="CY152" t="s">
        <v>333</v>
      </c>
      <c r="CZ152">
        <v>2.36511</v>
      </c>
      <c r="DA152">
        <v>2.7137699999999998</v>
      </c>
      <c r="DB152">
        <v>9.2375200000000005E-2</v>
      </c>
      <c r="DC152">
        <v>0.14553099999999999</v>
      </c>
      <c r="DD152">
        <v>0.119352</v>
      </c>
      <c r="DE152">
        <v>2.2239999999999998E-3</v>
      </c>
      <c r="DF152">
        <v>33154.6</v>
      </c>
      <c r="DG152">
        <v>27538.7</v>
      </c>
      <c r="DH152">
        <v>31182.9</v>
      </c>
      <c r="DI152">
        <v>28082</v>
      </c>
      <c r="DJ152">
        <v>37272.300000000003</v>
      </c>
      <c r="DK152">
        <v>39838.9</v>
      </c>
      <c r="DL152">
        <v>44375.6</v>
      </c>
      <c r="DM152">
        <v>42549.3</v>
      </c>
      <c r="DN152">
        <v>1.4484300000000001</v>
      </c>
      <c r="DO152">
        <v>2.0461200000000002</v>
      </c>
      <c r="DP152">
        <v>9.0934299999999996E-2</v>
      </c>
      <c r="DQ152">
        <v>0.19012399999999999</v>
      </c>
      <c r="DR152">
        <v>25.5153</v>
      </c>
      <c r="DS152">
        <v>25.528300000000002</v>
      </c>
      <c r="DT152">
        <v>40.6</v>
      </c>
      <c r="DU152">
        <v>27.2</v>
      </c>
      <c r="DV152">
        <v>14.907</v>
      </c>
      <c r="DW152">
        <v>60.720199999999998</v>
      </c>
      <c r="DX152">
        <v>37.716299999999997</v>
      </c>
      <c r="DY152">
        <v>1</v>
      </c>
      <c r="DZ152">
        <v>-0.136989</v>
      </c>
      <c r="EA152">
        <v>-0.53605100000000006</v>
      </c>
      <c r="EB152">
        <v>20.189399999999999</v>
      </c>
      <c r="EC152">
        <v>5.24125</v>
      </c>
      <c r="ED152">
        <v>12.039899999999999</v>
      </c>
      <c r="EE152">
        <v>5.0168999999999997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1.86887</v>
      </c>
      <c r="EL152">
        <v>1.8645099999999999</v>
      </c>
      <c r="EM152">
        <v>1.8691599999999999</v>
      </c>
      <c r="EN152">
        <v>1.8671899999999999</v>
      </c>
      <c r="EO152">
        <v>1.86327</v>
      </c>
      <c r="EP152">
        <v>1.86432</v>
      </c>
      <c r="EQ152">
        <v>1.87012</v>
      </c>
      <c r="ER152">
        <v>1.8693599999999999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-0.432</v>
      </c>
      <c r="FG152">
        <v>0.2112</v>
      </c>
      <c r="FH152">
        <v>-0.150361779349652</v>
      </c>
      <c r="FI152">
        <v>-6.1462078757559423E-4</v>
      </c>
      <c r="FJ152">
        <v>-1.8861989874597051E-7</v>
      </c>
      <c r="FK152">
        <v>1.1980462299894961E-10</v>
      </c>
      <c r="FL152">
        <v>0.21114761904761539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31.7</v>
      </c>
      <c r="FU152">
        <v>32</v>
      </c>
      <c r="FV152">
        <v>1.7675799999999999</v>
      </c>
      <c r="FW152">
        <v>2.5781200000000002</v>
      </c>
      <c r="FX152">
        <v>1.5490699999999999</v>
      </c>
      <c r="FY152">
        <v>2.33765</v>
      </c>
      <c r="FZ152">
        <v>1.50146</v>
      </c>
      <c r="GA152">
        <v>2.2900399999999999</v>
      </c>
      <c r="GB152">
        <v>32.244599999999998</v>
      </c>
      <c r="GC152">
        <v>23.982399999999998</v>
      </c>
      <c r="GD152">
        <v>19</v>
      </c>
      <c r="GE152">
        <v>268.95</v>
      </c>
      <c r="GF152">
        <v>584.75599999999997</v>
      </c>
      <c r="GG152">
        <v>25.8428</v>
      </c>
      <c r="GH152">
        <v>25.710100000000001</v>
      </c>
      <c r="GI152">
        <v>30.0002</v>
      </c>
      <c r="GJ152">
        <v>25.8096</v>
      </c>
      <c r="GK152">
        <v>25.7713</v>
      </c>
      <c r="GL152">
        <v>35.342399999999998</v>
      </c>
      <c r="GM152">
        <v>100</v>
      </c>
      <c r="GN152">
        <v>37.136000000000003</v>
      </c>
      <c r="GO152">
        <v>25.8428</v>
      </c>
      <c r="GP152">
        <v>800</v>
      </c>
      <c r="GQ152">
        <v>0</v>
      </c>
      <c r="GR152">
        <v>99.771100000000004</v>
      </c>
      <c r="GS152">
        <v>99.55</v>
      </c>
    </row>
    <row r="153" spans="1:201" x14ac:dyDescent="0.25">
      <c r="A153">
        <v>137</v>
      </c>
      <c r="B153">
        <v>1690378126</v>
      </c>
      <c r="C153">
        <v>1409.5</v>
      </c>
      <c r="D153" t="s">
        <v>607</v>
      </c>
      <c r="E153" t="s">
        <v>608</v>
      </c>
      <c r="F153" t="s">
        <v>330</v>
      </c>
      <c r="H153">
        <v>1690378126</v>
      </c>
      <c r="I153">
        <f t="shared" si="60"/>
        <v>2.2840343718952879E-3</v>
      </c>
      <c r="J153">
        <f t="shared" si="61"/>
        <v>2.284034371895288</v>
      </c>
      <c r="K153">
        <f t="shared" si="62"/>
        <v>32.376641785357975</v>
      </c>
      <c r="L153">
        <f t="shared" si="63"/>
        <v>416.81099999999998</v>
      </c>
      <c r="M153">
        <f t="shared" si="64"/>
        <v>88.92143001984283</v>
      </c>
      <c r="N153">
        <f t="shared" si="65"/>
        <v>8.7807487257198158</v>
      </c>
      <c r="O153">
        <f t="shared" si="66"/>
        <v>41.158949606402999</v>
      </c>
      <c r="P153">
        <f t="shared" si="67"/>
        <v>0.16714260251308791</v>
      </c>
      <c r="Q153">
        <f t="shared" si="68"/>
        <v>2.0116417351227049</v>
      </c>
      <c r="R153">
        <f t="shared" si="69"/>
        <v>0.15979286225458705</v>
      </c>
      <c r="S153">
        <f t="shared" si="70"/>
        <v>0.1005039498936364</v>
      </c>
      <c r="T153">
        <f t="shared" si="71"/>
        <v>276.11513332199996</v>
      </c>
      <c r="U153">
        <f t="shared" si="72"/>
        <v>28.544904796047664</v>
      </c>
      <c r="V153">
        <f t="shared" si="73"/>
        <v>28.544904796047664</v>
      </c>
      <c r="W153">
        <f t="shared" si="74"/>
        <v>3.9170703646518987</v>
      </c>
      <c r="X153">
        <f t="shared" si="75"/>
        <v>70.944243117283918</v>
      </c>
      <c r="Y153">
        <f t="shared" si="76"/>
        <v>2.5518369035932995</v>
      </c>
      <c r="Z153">
        <f t="shared" si="77"/>
        <v>3.5969612070913812</v>
      </c>
      <c r="AA153">
        <f t="shared" si="78"/>
        <v>1.3652334610585992</v>
      </c>
      <c r="AB153">
        <f t="shared" si="79"/>
        <v>-100.7259158005822</v>
      </c>
      <c r="AC153">
        <f t="shared" si="80"/>
        <v>-158.38327945781825</v>
      </c>
      <c r="AD153">
        <f t="shared" si="81"/>
        <v>-17.1304841269401</v>
      </c>
      <c r="AE153">
        <f t="shared" si="82"/>
        <v>-0.12454606334054574</v>
      </c>
      <c r="AF153">
        <v>9</v>
      </c>
      <c r="AG153">
        <v>3</v>
      </c>
      <c r="AH153">
        <f t="shared" si="83"/>
        <v>1</v>
      </c>
      <c r="AI153">
        <f t="shared" si="84"/>
        <v>0</v>
      </c>
      <c r="AJ153">
        <f t="shared" si="85"/>
        <v>52356.598885786443</v>
      </c>
      <c r="AK153">
        <f t="shared" si="86"/>
        <v>1800</v>
      </c>
      <c r="AL153">
        <f t="shared" si="87"/>
        <v>1499.1100182</v>
      </c>
      <c r="AM153">
        <f t="shared" si="88"/>
        <v>0.83283889899999997</v>
      </c>
      <c r="AN153">
        <f t="shared" si="89"/>
        <v>0.15339729628999998</v>
      </c>
      <c r="AO153">
        <v>34.5</v>
      </c>
      <c r="AP153">
        <v>0.5</v>
      </c>
      <c r="AQ153" t="s">
        <v>331</v>
      </c>
      <c r="AR153">
        <v>2</v>
      </c>
      <c r="AS153">
        <v>1690378126</v>
      </c>
      <c r="AT153">
        <v>416.81099999999998</v>
      </c>
      <c r="AU153">
        <v>799.97299999999996</v>
      </c>
      <c r="AV153">
        <v>25.842099999999999</v>
      </c>
      <c r="AW153">
        <v>0.26232800000000001</v>
      </c>
      <c r="AX153">
        <v>417.24200000000002</v>
      </c>
      <c r="AY153">
        <v>25.6309</v>
      </c>
      <c r="AZ153">
        <v>300.09199999999998</v>
      </c>
      <c r="BA153">
        <v>98.647199999999998</v>
      </c>
      <c r="BB153">
        <v>0.100073</v>
      </c>
      <c r="BC153">
        <v>27.084499999999998</v>
      </c>
      <c r="BD153">
        <v>26.9983</v>
      </c>
      <c r="BE153">
        <v>28.619399999999999</v>
      </c>
      <c r="BF153">
        <v>0</v>
      </c>
      <c r="BG153">
        <v>0</v>
      </c>
      <c r="BH153">
        <v>10041.9</v>
      </c>
      <c r="BI153">
        <v>1083</v>
      </c>
      <c r="BJ153">
        <v>1.3736200000000001</v>
      </c>
      <c r="BK153">
        <v>-383.161</v>
      </c>
      <c r="BL153">
        <v>427.86799999999999</v>
      </c>
      <c r="BM153">
        <v>800.18200000000002</v>
      </c>
      <c r="BN153">
        <v>25.579799999999999</v>
      </c>
      <c r="BO153">
        <v>799.97299999999996</v>
      </c>
      <c r="BP153">
        <v>0.26232800000000001</v>
      </c>
      <c r="BQ153">
        <v>2.5492499999999998</v>
      </c>
      <c r="BR153">
        <v>2.5878000000000002E-2</v>
      </c>
      <c r="BS153">
        <v>21.3444</v>
      </c>
      <c r="BT153">
        <v>-36.912999999999997</v>
      </c>
      <c r="BU153">
        <v>1800</v>
      </c>
      <c r="BV153">
        <v>0.90999699999999994</v>
      </c>
      <c r="BW153">
        <v>3.4009299999999999E-2</v>
      </c>
      <c r="BX153">
        <v>2.1998199999999999E-2</v>
      </c>
      <c r="BY153">
        <v>3.3995299999999999E-2</v>
      </c>
      <c r="BZ153">
        <v>25</v>
      </c>
      <c r="CA153">
        <v>33528.400000000001</v>
      </c>
      <c r="CB153">
        <v>1690376213.5999999</v>
      </c>
      <c r="CC153" t="s">
        <v>332</v>
      </c>
      <c r="CD153">
        <v>1690376213.5999999</v>
      </c>
      <c r="CE153">
        <v>1690376198.0999999</v>
      </c>
      <c r="CF153">
        <v>2</v>
      </c>
      <c r="CG153">
        <v>0.66900000000000004</v>
      </c>
      <c r="CH153">
        <v>-2.1000000000000001E-2</v>
      </c>
      <c r="CI153">
        <v>-0.70099999999999996</v>
      </c>
      <c r="CJ153">
        <v>0.21099999999999999</v>
      </c>
      <c r="CK153">
        <v>799</v>
      </c>
      <c r="CL153">
        <v>21</v>
      </c>
      <c r="CM153">
        <v>0.11</v>
      </c>
      <c r="CN153">
        <v>0.17</v>
      </c>
      <c r="CO153">
        <v>-381.69556097560968</v>
      </c>
      <c r="CP153">
        <v>-8.6985993031357829</v>
      </c>
      <c r="CQ153">
        <v>0.85880390586035704</v>
      </c>
      <c r="CR153">
        <v>-1</v>
      </c>
      <c r="CS153">
        <v>25.512634146341469</v>
      </c>
      <c r="CT153">
        <v>0.37943414634143779</v>
      </c>
      <c r="CU153">
        <v>3.7424855505895083E-2</v>
      </c>
      <c r="CV153">
        <v>-1</v>
      </c>
      <c r="CW153">
        <v>0</v>
      </c>
      <c r="CX153">
        <v>0</v>
      </c>
      <c r="CY153" t="s">
        <v>333</v>
      </c>
      <c r="CZ153">
        <v>2.3649399999999998</v>
      </c>
      <c r="DA153">
        <v>2.7139000000000002</v>
      </c>
      <c r="DB153">
        <v>9.2136599999999999E-2</v>
      </c>
      <c r="DC153">
        <v>0.145533</v>
      </c>
      <c r="DD153">
        <v>0.119548</v>
      </c>
      <c r="DE153">
        <v>2.1890500000000001E-3</v>
      </c>
      <c r="DF153">
        <v>33163.199999999997</v>
      </c>
      <c r="DG153">
        <v>27539.3</v>
      </c>
      <c r="DH153">
        <v>31182.799999999999</v>
      </c>
      <c r="DI153">
        <v>28082.6</v>
      </c>
      <c r="DJ153">
        <v>37264</v>
      </c>
      <c r="DK153">
        <v>39841.199999999997</v>
      </c>
      <c r="DL153">
        <v>44375.7</v>
      </c>
      <c r="DM153">
        <v>42550.3</v>
      </c>
      <c r="DN153">
        <v>1.4478</v>
      </c>
      <c r="DO153">
        <v>2.0459200000000002</v>
      </c>
      <c r="DP153">
        <v>9.0569300000000005E-2</v>
      </c>
      <c r="DQ153">
        <v>0.18903600000000001</v>
      </c>
      <c r="DR153">
        <v>25.5153</v>
      </c>
      <c r="DS153">
        <v>25.528300000000002</v>
      </c>
      <c r="DT153">
        <v>40.1</v>
      </c>
      <c r="DU153">
        <v>27.2</v>
      </c>
      <c r="DV153">
        <v>14.719200000000001</v>
      </c>
      <c r="DW153">
        <v>60.980200000000004</v>
      </c>
      <c r="DX153">
        <v>37.872599999999998</v>
      </c>
      <c r="DY153">
        <v>1</v>
      </c>
      <c r="DZ153">
        <v>-0.137076</v>
      </c>
      <c r="EA153">
        <v>-0.53408800000000001</v>
      </c>
      <c r="EB153">
        <v>20.1891</v>
      </c>
      <c r="EC153">
        <v>5.2408000000000001</v>
      </c>
      <c r="ED153">
        <v>12.039899999999999</v>
      </c>
      <c r="EE153">
        <v>5.0170500000000002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1.8688899999999999</v>
      </c>
      <c r="EL153">
        <v>1.8645</v>
      </c>
      <c r="EM153">
        <v>1.8691800000000001</v>
      </c>
      <c r="EN153">
        <v>1.86721</v>
      </c>
      <c r="EO153">
        <v>1.8632599999999999</v>
      </c>
      <c r="EP153">
        <v>1.86433</v>
      </c>
      <c r="EQ153">
        <v>1.87012</v>
      </c>
      <c r="ER153">
        <v>1.8693500000000001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-0.43099999999999999</v>
      </c>
      <c r="FG153">
        <v>0.2112</v>
      </c>
      <c r="FH153">
        <v>-0.150361779349652</v>
      </c>
      <c r="FI153">
        <v>-6.1462078757559423E-4</v>
      </c>
      <c r="FJ153">
        <v>-1.8861989874597051E-7</v>
      </c>
      <c r="FK153">
        <v>1.1980462299894961E-10</v>
      </c>
      <c r="FL153">
        <v>0.21114761904761539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31.9</v>
      </c>
      <c r="FU153">
        <v>32.1</v>
      </c>
      <c r="FV153">
        <v>1.7675799999999999</v>
      </c>
      <c r="FW153">
        <v>2.5671400000000002</v>
      </c>
      <c r="FX153">
        <v>1.5490699999999999</v>
      </c>
      <c r="FY153">
        <v>2.33765</v>
      </c>
      <c r="FZ153">
        <v>1.50146</v>
      </c>
      <c r="GA153">
        <v>2.2973599999999998</v>
      </c>
      <c r="GB153">
        <v>32.244599999999998</v>
      </c>
      <c r="GC153">
        <v>23.991199999999999</v>
      </c>
      <c r="GD153">
        <v>19</v>
      </c>
      <c r="GE153">
        <v>268.697</v>
      </c>
      <c r="GF153">
        <v>584.61599999999999</v>
      </c>
      <c r="GG153">
        <v>25.843</v>
      </c>
      <c r="GH153">
        <v>25.712199999999999</v>
      </c>
      <c r="GI153">
        <v>30.0001</v>
      </c>
      <c r="GJ153">
        <v>25.81</v>
      </c>
      <c r="GK153">
        <v>25.773499999999999</v>
      </c>
      <c r="GL153">
        <v>35.3444</v>
      </c>
      <c r="GM153">
        <v>100</v>
      </c>
      <c r="GN153">
        <v>35.953699999999998</v>
      </c>
      <c r="GO153">
        <v>25.8444</v>
      </c>
      <c r="GP153">
        <v>800</v>
      </c>
      <c r="GQ153">
        <v>0</v>
      </c>
      <c r="GR153">
        <v>99.771100000000004</v>
      </c>
      <c r="GS153">
        <v>99.552300000000002</v>
      </c>
    </row>
    <row r="154" spans="1:201" x14ac:dyDescent="0.25">
      <c r="A154">
        <v>138</v>
      </c>
      <c r="B154">
        <v>1690378136</v>
      </c>
      <c r="C154">
        <v>1419.5</v>
      </c>
      <c r="D154" t="s">
        <v>609</v>
      </c>
      <c r="E154" t="s">
        <v>610</v>
      </c>
      <c r="F154" t="s">
        <v>330</v>
      </c>
      <c r="H154">
        <v>1690378136</v>
      </c>
      <c r="I154">
        <f t="shared" si="60"/>
        <v>2.2891217591529496E-3</v>
      </c>
      <c r="J154">
        <f t="shared" si="61"/>
        <v>2.2891217591529496</v>
      </c>
      <c r="K154">
        <f t="shared" si="62"/>
        <v>32.498851605487026</v>
      </c>
      <c r="L154">
        <f t="shared" si="63"/>
        <v>415.471</v>
      </c>
      <c r="M154">
        <f t="shared" si="64"/>
        <v>88.357502747702199</v>
      </c>
      <c r="N154">
        <f t="shared" si="65"/>
        <v>8.7246168055247395</v>
      </c>
      <c r="O154">
        <f t="shared" si="66"/>
        <v>41.024532791047399</v>
      </c>
      <c r="P154">
        <f t="shared" si="67"/>
        <v>0.16820890818945683</v>
      </c>
      <c r="Q154">
        <f t="shared" si="68"/>
        <v>2.0077368533250288</v>
      </c>
      <c r="R154">
        <f t="shared" si="69"/>
        <v>0.16075355203145966</v>
      </c>
      <c r="S154">
        <f t="shared" si="70"/>
        <v>0.10111326581622823</v>
      </c>
      <c r="T154">
        <f t="shared" si="71"/>
        <v>276.11369627849854</v>
      </c>
      <c r="U154">
        <f t="shared" si="72"/>
        <v>28.543688586456266</v>
      </c>
      <c r="V154">
        <f t="shared" si="73"/>
        <v>28.543688586456266</v>
      </c>
      <c r="W154">
        <f t="shared" si="74"/>
        <v>3.9167937714479297</v>
      </c>
      <c r="X154">
        <f t="shared" si="75"/>
        <v>71.090197366918332</v>
      </c>
      <c r="Y154">
        <f t="shared" si="76"/>
        <v>2.5568016654147798</v>
      </c>
      <c r="Z154">
        <f t="shared" si="77"/>
        <v>3.5965600886129794</v>
      </c>
      <c r="AA154">
        <f t="shared" si="78"/>
        <v>1.3599921060331499</v>
      </c>
      <c r="AB154">
        <f t="shared" si="79"/>
        <v>-100.95026957864508</v>
      </c>
      <c r="AC154">
        <f t="shared" si="80"/>
        <v>-158.14984929075618</v>
      </c>
      <c r="AD154">
        <f t="shared" si="81"/>
        <v>-17.138238742769982</v>
      </c>
      <c r="AE154">
        <f t="shared" si="82"/>
        <v>-0.12466133367271937</v>
      </c>
      <c r="AF154">
        <v>9</v>
      </c>
      <c r="AG154">
        <v>3</v>
      </c>
      <c r="AH154">
        <f t="shared" si="83"/>
        <v>1</v>
      </c>
      <c r="AI154">
        <f t="shared" si="84"/>
        <v>0</v>
      </c>
      <c r="AJ154">
        <f t="shared" si="85"/>
        <v>52169.905794731334</v>
      </c>
      <c r="AK154">
        <f t="shared" si="86"/>
        <v>1799.99</v>
      </c>
      <c r="AL154">
        <f t="shared" si="87"/>
        <v>1499.1030938032097</v>
      </c>
      <c r="AM154">
        <f t="shared" si="88"/>
        <v>0.83283967899999989</v>
      </c>
      <c r="AN154">
        <f t="shared" si="89"/>
        <v>0.15339735013999997</v>
      </c>
      <c r="AO154">
        <v>34.5</v>
      </c>
      <c r="AP154">
        <v>0.5</v>
      </c>
      <c r="AQ154" t="s">
        <v>331</v>
      </c>
      <c r="AR154">
        <v>2</v>
      </c>
      <c r="AS154">
        <v>1690378136</v>
      </c>
      <c r="AT154">
        <v>415.471</v>
      </c>
      <c r="AU154">
        <v>800.01300000000003</v>
      </c>
      <c r="AV154">
        <v>25.893699999999999</v>
      </c>
      <c r="AW154">
        <v>0.25924999999999998</v>
      </c>
      <c r="AX154">
        <v>415.90100000000001</v>
      </c>
      <c r="AY154">
        <v>25.682600000000001</v>
      </c>
      <c r="AZ154">
        <v>300.10300000000001</v>
      </c>
      <c r="BA154">
        <v>98.642300000000006</v>
      </c>
      <c r="BB154">
        <v>9.9929400000000002E-2</v>
      </c>
      <c r="BC154">
        <v>27.082599999999999</v>
      </c>
      <c r="BD154">
        <v>26.993099999999998</v>
      </c>
      <c r="BE154">
        <v>28.6021</v>
      </c>
      <c r="BF154">
        <v>0</v>
      </c>
      <c r="BG154">
        <v>0</v>
      </c>
      <c r="BH154">
        <v>10005</v>
      </c>
      <c r="BI154">
        <v>1083.05</v>
      </c>
      <c r="BJ154">
        <v>1.4016500000000001</v>
      </c>
      <c r="BK154">
        <v>-384.54300000000001</v>
      </c>
      <c r="BL154">
        <v>426.51499999999999</v>
      </c>
      <c r="BM154">
        <v>800.221</v>
      </c>
      <c r="BN154">
        <v>25.634499999999999</v>
      </c>
      <c r="BO154">
        <v>800.01300000000003</v>
      </c>
      <c r="BP154">
        <v>0.25924999999999998</v>
      </c>
      <c r="BQ154">
        <v>2.5542199999999999</v>
      </c>
      <c r="BR154">
        <v>2.5572999999999999E-2</v>
      </c>
      <c r="BS154">
        <v>21.376200000000001</v>
      </c>
      <c r="BT154">
        <v>-37.03</v>
      </c>
      <c r="BU154">
        <v>1799.99</v>
      </c>
      <c r="BV154">
        <v>0.91</v>
      </c>
      <c r="BW154">
        <v>3.4008400000000001E-2</v>
      </c>
      <c r="BX154">
        <v>2.1997699999999999E-2</v>
      </c>
      <c r="BY154">
        <v>3.3994400000000001E-2</v>
      </c>
      <c r="BZ154">
        <v>25</v>
      </c>
      <c r="CA154">
        <v>33528.199999999997</v>
      </c>
      <c r="CB154">
        <v>1690376213.5999999</v>
      </c>
      <c r="CC154" t="s">
        <v>332</v>
      </c>
      <c r="CD154">
        <v>1690376213.5999999</v>
      </c>
      <c r="CE154">
        <v>1690376198.0999999</v>
      </c>
      <c r="CF154">
        <v>2</v>
      </c>
      <c r="CG154">
        <v>0.66900000000000004</v>
      </c>
      <c r="CH154">
        <v>-2.1000000000000001E-2</v>
      </c>
      <c r="CI154">
        <v>-0.70099999999999996</v>
      </c>
      <c r="CJ154">
        <v>0.21099999999999999</v>
      </c>
      <c r="CK154">
        <v>799</v>
      </c>
      <c r="CL154">
        <v>21</v>
      </c>
      <c r="CM154">
        <v>0.11</v>
      </c>
      <c r="CN154">
        <v>0.17</v>
      </c>
      <c r="CO154">
        <v>-382.94207317073159</v>
      </c>
      <c r="CP154">
        <v>-8.0952961672477564</v>
      </c>
      <c r="CQ154">
        <v>0.79967705037092951</v>
      </c>
      <c r="CR154">
        <v>-1</v>
      </c>
      <c r="CS154">
        <v>25.569090243902441</v>
      </c>
      <c r="CT154">
        <v>0.36395331010450538</v>
      </c>
      <c r="CU154">
        <v>3.5940885101674071E-2</v>
      </c>
      <c r="CV154">
        <v>-1</v>
      </c>
      <c r="CW154">
        <v>0</v>
      </c>
      <c r="CX154">
        <v>0</v>
      </c>
      <c r="CY154" t="s">
        <v>333</v>
      </c>
      <c r="CZ154">
        <v>2.3650000000000002</v>
      </c>
      <c r="DA154">
        <v>2.7137199999999999</v>
      </c>
      <c r="DB154">
        <v>9.1907199999999994E-2</v>
      </c>
      <c r="DC154">
        <v>0.14553099999999999</v>
      </c>
      <c r="DD154">
        <v>0.119709</v>
      </c>
      <c r="DE154">
        <v>2.16366E-3</v>
      </c>
      <c r="DF154">
        <v>33171.199999999997</v>
      </c>
      <c r="DG154">
        <v>27538.9</v>
      </c>
      <c r="DH154">
        <v>31182.5</v>
      </c>
      <c r="DI154">
        <v>28082.2</v>
      </c>
      <c r="DJ154">
        <v>37256.6</v>
      </c>
      <c r="DK154">
        <v>39841.699999999997</v>
      </c>
      <c r="DL154">
        <v>44375.1</v>
      </c>
      <c r="DM154">
        <v>42549.7</v>
      </c>
      <c r="DN154">
        <v>1.44773</v>
      </c>
      <c r="DO154">
        <v>2.0462500000000001</v>
      </c>
      <c r="DP154">
        <v>9.01222E-2</v>
      </c>
      <c r="DQ154">
        <v>0.18797800000000001</v>
      </c>
      <c r="DR154">
        <v>25.517499999999998</v>
      </c>
      <c r="DS154">
        <v>25.528300000000002</v>
      </c>
      <c r="DT154">
        <v>39.6</v>
      </c>
      <c r="DU154">
        <v>27.2</v>
      </c>
      <c r="DV154">
        <v>14.5367</v>
      </c>
      <c r="DW154">
        <v>61.120199999999997</v>
      </c>
      <c r="DX154">
        <v>37.796500000000002</v>
      </c>
      <c r="DY154">
        <v>1</v>
      </c>
      <c r="DZ154">
        <v>-0.13686200000000001</v>
      </c>
      <c r="EA154">
        <v>-0.55621699999999996</v>
      </c>
      <c r="EB154">
        <v>20.1892</v>
      </c>
      <c r="EC154">
        <v>5.2411000000000003</v>
      </c>
      <c r="ED154">
        <v>12.039899999999999</v>
      </c>
      <c r="EE154">
        <v>5.0170500000000002</v>
      </c>
      <c r="EF154">
        <v>3.2879999999999998</v>
      </c>
      <c r="EG154">
        <v>9999</v>
      </c>
      <c r="EH154">
        <v>9999</v>
      </c>
      <c r="EI154">
        <v>9999</v>
      </c>
      <c r="EJ154">
        <v>999.9</v>
      </c>
      <c r="EK154">
        <v>1.8689</v>
      </c>
      <c r="EL154">
        <v>1.8645099999999999</v>
      </c>
      <c r="EM154">
        <v>1.8691899999999999</v>
      </c>
      <c r="EN154">
        <v>1.8671899999999999</v>
      </c>
      <c r="EO154">
        <v>1.86327</v>
      </c>
      <c r="EP154">
        <v>1.86432</v>
      </c>
      <c r="EQ154">
        <v>1.87012</v>
      </c>
      <c r="ER154">
        <v>1.8693500000000001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-0.43</v>
      </c>
      <c r="FG154">
        <v>0.21110000000000001</v>
      </c>
      <c r="FH154">
        <v>-0.150361779349652</v>
      </c>
      <c r="FI154">
        <v>-6.1462078757559423E-4</v>
      </c>
      <c r="FJ154">
        <v>-1.8861989874597051E-7</v>
      </c>
      <c r="FK154">
        <v>1.1980462299894961E-10</v>
      </c>
      <c r="FL154">
        <v>0.21114761904761539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32</v>
      </c>
      <c r="FU154">
        <v>32.299999999999997</v>
      </c>
      <c r="FV154">
        <v>1.7675799999999999</v>
      </c>
      <c r="FW154">
        <v>2.5671400000000002</v>
      </c>
      <c r="FX154">
        <v>1.5490699999999999</v>
      </c>
      <c r="FY154">
        <v>2.33765</v>
      </c>
      <c r="FZ154">
        <v>1.50146</v>
      </c>
      <c r="GA154">
        <v>2.3144499999999999</v>
      </c>
      <c r="GB154">
        <v>32.266599999999997</v>
      </c>
      <c r="GC154">
        <v>23.991199999999999</v>
      </c>
      <c r="GD154">
        <v>19</v>
      </c>
      <c r="GE154">
        <v>268.67500000000001</v>
      </c>
      <c r="GF154">
        <v>584.88499999999999</v>
      </c>
      <c r="GG154">
        <v>25.8475</v>
      </c>
      <c r="GH154">
        <v>25.7134</v>
      </c>
      <c r="GI154">
        <v>30.0002</v>
      </c>
      <c r="GJ154">
        <v>25.812200000000001</v>
      </c>
      <c r="GK154">
        <v>25.773499999999999</v>
      </c>
      <c r="GL154">
        <v>35.341999999999999</v>
      </c>
      <c r="GM154">
        <v>100</v>
      </c>
      <c r="GN154">
        <v>35.158700000000003</v>
      </c>
      <c r="GO154">
        <v>25.8506</v>
      </c>
      <c r="GP154">
        <v>800</v>
      </c>
      <c r="GQ154">
        <v>0</v>
      </c>
      <c r="GR154">
        <v>99.769900000000007</v>
      </c>
      <c r="GS154">
        <v>99.550799999999995</v>
      </c>
    </row>
    <row r="155" spans="1:201" x14ac:dyDescent="0.25">
      <c r="A155">
        <v>139</v>
      </c>
      <c r="B155">
        <v>1690378146</v>
      </c>
      <c r="C155">
        <v>1429.5</v>
      </c>
      <c r="D155" t="s">
        <v>611</v>
      </c>
      <c r="E155" t="s">
        <v>612</v>
      </c>
      <c r="F155" t="s">
        <v>330</v>
      </c>
      <c r="H155">
        <v>1690378146</v>
      </c>
      <c r="I155">
        <f t="shared" si="60"/>
        <v>2.293643354108353E-3</v>
      </c>
      <c r="J155">
        <f t="shared" si="61"/>
        <v>2.2936433541083532</v>
      </c>
      <c r="K155">
        <f t="shared" si="62"/>
        <v>32.609043352805216</v>
      </c>
      <c r="L155">
        <f t="shared" si="63"/>
        <v>414.18900000000002</v>
      </c>
      <c r="M155">
        <f t="shared" si="64"/>
        <v>87.942359857607741</v>
      </c>
      <c r="N155">
        <f t="shared" si="65"/>
        <v>8.683779168175052</v>
      </c>
      <c r="O155">
        <f t="shared" si="66"/>
        <v>40.898672900191798</v>
      </c>
      <c r="P155">
        <f t="shared" si="67"/>
        <v>0.16925049902974559</v>
      </c>
      <c r="Q155">
        <f t="shared" si="68"/>
        <v>2.0086761113318286</v>
      </c>
      <c r="R155">
        <f t="shared" si="69"/>
        <v>0.16170811162581991</v>
      </c>
      <c r="S155">
        <f t="shared" si="70"/>
        <v>0.10171721145246083</v>
      </c>
      <c r="T155">
        <f t="shared" si="71"/>
        <v>276.115208274</v>
      </c>
      <c r="U155">
        <f t="shared" si="72"/>
        <v>28.542819766472103</v>
      </c>
      <c r="V155">
        <f t="shared" si="73"/>
        <v>28.542819766472103</v>
      </c>
      <c r="W155">
        <f t="shared" si="74"/>
        <v>3.9165961928247603</v>
      </c>
      <c r="X155">
        <f t="shared" si="75"/>
        <v>71.228100892351691</v>
      </c>
      <c r="Y155">
        <f t="shared" si="76"/>
        <v>2.5619719683507198</v>
      </c>
      <c r="Z155">
        <f t="shared" si="77"/>
        <v>3.5968556458112988</v>
      </c>
      <c r="AA155">
        <f t="shared" si="78"/>
        <v>1.3546242244740405</v>
      </c>
      <c r="AB155">
        <f t="shared" si="79"/>
        <v>-101.14967191617836</v>
      </c>
      <c r="AC155">
        <f t="shared" si="80"/>
        <v>-157.97814036058705</v>
      </c>
      <c r="AD155">
        <f t="shared" si="81"/>
        <v>-17.111671007967548</v>
      </c>
      <c r="AE155">
        <f t="shared" si="82"/>
        <v>-0.12427501073298686</v>
      </c>
      <c r="AF155">
        <v>9</v>
      </c>
      <c r="AG155">
        <v>3</v>
      </c>
      <c r="AH155">
        <f t="shared" si="83"/>
        <v>1</v>
      </c>
      <c r="AI155">
        <f t="shared" si="84"/>
        <v>0</v>
      </c>
      <c r="AJ155">
        <f t="shared" si="85"/>
        <v>52214.614871104844</v>
      </c>
      <c r="AK155">
        <f t="shared" si="86"/>
        <v>1800</v>
      </c>
      <c r="AL155">
        <f t="shared" si="87"/>
        <v>1499.1116814</v>
      </c>
      <c r="AM155">
        <f t="shared" si="88"/>
        <v>0.83283982299999992</v>
      </c>
      <c r="AN155">
        <f t="shared" si="89"/>
        <v>0.15339733792999999</v>
      </c>
      <c r="AO155">
        <v>34.5</v>
      </c>
      <c r="AP155">
        <v>0.5</v>
      </c>
      <c r="AQ155" t="s">
        <v>331</v>
      </c>
      <c r="AR155">
        <v>2</v>
      </c>
      <c r="AS155">
        <v>1690378146</v>
      </c>
      <c r="AT155">
        <v>414.18900000000002</v>
      </c>
      <c r="AU155">
        <v>800.07299999999998</v>
      </c>
      <c r="AV155">
        <v>25.945599999999999</v>
      </c>
      <c r="AW155">
        <v>0.25606299999999999</v>
      </c>
      <c r="AX155">
        <v>414.61799999999999</v>
      </c>
      <c r="AY155">
        <v>25.734500000000001</v>
      </c>
      <c r="AZ155">
        <v>300.03500000000003</v>
      </c>
      <c r="BA155">
        <v>98.644099999999995</v>
      </c>
      <c r="BB155">
        <v>9.9886199999999994E-2</v>
      </c>
      <c r="BC155">
        <v>27.084</v>
      </c>
      <c r="BD155">
        <v>26.991700000000002</v>
      </c>
      <c r="BE155">
        <v>28.613399999999999</v>
      </c>
      <c r="BF155">
        <v>0</v>
      </c>
      <c r="BG155">
        <v>0</v>
      </c>
      <c r="BH155">
        <v>10013.799999999999</v>
      </c>
      <c r="BI155">
        <v>1083.06</v>
      </c>
      <c r="BJ155">
        <v>1.4016500000000001</v>
      </c>
      <c r="BK155">
        <v>-385.88499999999999</v>
      </c>
      <c r="BL155">
        <v>425.221</v>
      </c>
      <c r="BM155">
        <v>800.27800000000002</v>
      </c>
      <c r="BN155">
        <v>25.689499999999999</v>
      </c>
      <c r="BO155">
        <v>800.07299999999998</v>
      </c>
      <c r="BP155">
        <v>0.25606299999999999</v>
      </c>
      <c r="BQ155">
        <v>2.55938</v>
      </c>
      <c r="BR155">
        <v>2.5259199999999999E-2</v>
      </c>
      <c r="BS155">
        <v>21.409099999999999</v>
      </c>
      <c r="BT155">
        <v>-37.151699999999998</v>
      </c>
      <c r="BU155">
        <v>1800</v>
      </c>
      <c r="BV155">
        <v>0.91000099999999995</v>
      </c>
      <c r="BW155">
        <v>3.4008099999999999E-2</v>
      </c>
      <c r="BX155">
        <v>2.19974E-2</v>
      </c>
      <c r="BY155">
        <v>3.3994099999999999E-2</v>
      </c>
      <c r="BZ155">
        <v>25</v>
      </c>
      <c r="CA155">
        <v>33528.300000000003</v>
      </c>
      <c r="CB155">
        <v>1690376213.5999999</v>
      </c>
      <c r="CC155" t="s">
        <v>332</v>
      </c>
      <c r="CD155">
        <v>1690376213.5999999</v>
      </c>
      <c r="CE155">
        <v>1690376198.0999999</v>
      </c>
      <c r="CF155">
        <v>2</v>
      </c>
      <c r="CG155">
        <v>0.66900000000000004</v>
      </c>
      <c r="CH155">
        <v>-2.1000000000000001E-2</v>
      </c>
      <c r="CI155">
        <v>-0.70099999999999996</v>
      </c>
      <c r="CJ155">
        <v>0.21099999999999999</v>
      </c>
      <c r="CK155">
        <v>799</v>
      </c>
      <c r="CL155">
        <v>21</v>
      </c>
      <c r="CM155">
        <v>0.11</v>
      </c>
      <c r="CN155">
        <v>0.17</v>
      </c>
      <c r="CO155">
        <v>-384.35797500000001</v>
      </c>
      <c r="CP155">
        <v>-7.9704427767353083</v>
      </c>
      <c r="CQ155">
        <v>0.7693409025750555</v>
      </c>
      <c r="CR155">
        <v>-1</v>
      </c>
      <c r="CS155">
        <v>25.631057500000001</v>
      </c>
      <c r="CT155">
        <v>0.3191493433396293</v>
      </c>
      <c r="CU155">
        <v>3.0721253941692981E-2</v>
      </c>
      <c r="CV155">
        <v>-1</v>
      </c>
      <c r="CW155">
        <v>0</v>
      </c>
      <c r="CX155">
        <v>0</v>
      </c>
      <c r="CY155" t="s">
        <v>333</v>
      </c>
      <c r="CZ155">
        <v>2.3647399999999998</v>
      </c>
      <c r="DA155">
        <v>2.7136900000000002</v>
      </c>
      <c r="DB155">
        <v>9.1693800000000006E-2</v>
      </c>
      <c r="DC155">
        <v>0.14554</v>
      </c>
      <c r="DD155">
        <v>0.119879</v>
      </c>
      <c r="DE155">
        <v>2.1375000000000001E-3</v>
      </c>
      <c r="DF155">
        <v>33179</v>
      </c>
      <c r="DG155">
        <v>27538.7</v>
      </c>
      <c r="DH155">
        <v>31182.5</v>
      </c>
      <c r="DI155">
        <v>28082.3</v>
      </c>
      <c r="DJ155">
        <v>37249.5</v>
      </c>
      <c r="DK155">
        <v>39843</v>
      </c>
      <c r="DL155">
        <v>44375.3</v>
      </c>
      <c r="DM155">
        <v>42550</v>
      </c>
      <c r="DN155">
        <v>1.44713</v>
      </c>
      <c r="DO155">
        <v>2.04603</v>
      </c>
      <c r="DP155">
        <v>8.9839100000000005E-2</v>
      </c>
      <c r="DQ155">
        <v>0.18867100000000001</v>
      </c>
      <c r="DR155">
        <v>25.520700000000001</v>
      </c>
      <c r="DS155">
        <v>25.528300000000002</v>
      </c>
      <c r="DT155">
        <v>39.200000000000003</v>
      </c>
      <c r="DU155">
        <v>27.2</v>
      </c>
      <c r="DV155">
        <v>14.392200000000001</v>
      </c>
      <c r="DW155">
        <v>60.900199999999998</v>
      </c>
      <c r="DX155">
        <v>37.540100000000002</v>
      </c>
      <c r="DY155">
        <v>1</v>
      </c>
      <c r="DZ155">
        <v>-0.13672000000000001</v>
      </c>
      <c r="EA155">
        <v>-0.56017399999999995</v>
      </c>
      <c r="EB155">
        <v>20.1892</v>
      </c>
      <c r="EC155">
        <v>5.24125</v>
      </c>
      <c r="ED155">
        <v>12.039899999999999</v>
      </c>
      <c r="EE155">
        <v>5.0171000000000001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1.8688899999999999</v>
      </c>
      <c r="EL155">
        <v>1.86456</v>
      </c>
      <c r="EM155">
        <v>1.8691899999999999</v>
      </c>
      <c r="EN155">
        <v>1.8672200000000001</v>
      </c>
      <c r="EO155">
        <v>1.86327</v>
      </c>
      <c r="EP155">
        <v>1.8643400000000001</v>
      </c>
      <c r="EQ155">
        <v>1.87012</v>
      </c>
      <c r="ER155">
        <v>1.8693500000000001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-0.42899999999999999</v>
      </c>
      <c r="FG155">
        <v>0.21110000000000001</v>
      </c>
      <c r="FH155">
        <v>-0.150361779349652</v>
      </c>
      <c r="FI155">
        <v>-6.1462078757559423E-4</v>
      </c>
      <c r="FJ155">
        <v>-1.8861989874597051E-7</v>
      </c>
      <c r="FK155">
        <v>1.1980462299894961E-10</v>
      </c>
      <c r="FL155">
        <v>0.21114761904761539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32.200000000000003</v>
      </c>
      <c r="FU155">
        <v>32.5</v>
      </c>
      <c r="FV155">
        <v>1.7675799999999999</v>
      </c>
      <c r="FW155">
        <v>2.5659200000000002</v>
      </c>
      <c r="FX155">
        <v>1.5490699999999999</v>
      </c>
      <c r="FY155">
        <v>2.33765</v>
      </c>
      <c r="FZ155">
        <v>1.50146</v>
      </c>
      <c r="GA155">
        <v>2.34863</v>
      </c>
      <c r="GB155">
        <v>32.244599999999998</v>
      </c>
      <c r="GC155">
        <v>23.991199999999999</v>
      </c>
      <c r="GD155">
        <v>19</v>
      </c>
      <c r="GE155">
        <v>268.43200000000002</v>
      </c>
      <c r="GF155">
        <v>584.72299999999996</v>
      </c>
      <c r="GG155">
        <v>25.854399999999998</v>
      </c>
      <c r="GH155">
        <v>25.714400000000001</v>
      </c>
      <c r="GI155">
        <v>30.000299999999999</v>
      </c>
      <c r="GJ155">
        <v>25.812899999999999</v>
      </c>
      <c r="GK155">
        <v>25.775600000000001</v>
      </c>
      <c r="GL155">
        <v>35.339399999999998</v>
      </c>
      <c r="GM155">
        <v>100</v>
      </c>
      <c r="GN155">
        <v>34.374600000000001</v>
      </c>
      <c r="GO155">
        <v>25.864000000000001</v>
      </c>
      <c r="GP155">
        <v>800</v>
      </c>
      <c r="GQ155">
        <v>0</v>
      </c>
      <c r="GR155">
        <v>99.770300000000006</v>
      </c>
      <c r="GS155">
        <v>99.551400000000001</v>
      </c>
    </row>
    <row r="156" spans="1:201" x14ac:dyDescent="0.25">
      <c r="A156">
        <v>140</v>
      </c>
      <c r="B156">
        <v>1690378156</v>
      </c>
      <c r="C156">
        <v>1439.5</v>
      </c>
      <c r="D156" t="s">
        <v>613</v>
      </c>
      <c r="E156" t="s">
        <v>614</v>
      </c>
      <c r="F156" t="s">
        <v>330</v>
      </c>
      <c r="H156">
        <v>1690378156</v>
      </c>
      <c r="I156">
        <f t="shared" si="60"/>
        <v>2.299962699462455E-3</v>
      </c>
      <c r="J156">
        <f t="shared" si="61"/>
        <v>2.2999626994624549</v>
      </c>
      <c r="K156">
        <f t="shared" si="62"/>
        <v>32.734876031950286</v>
      </c>
      <c r="L156">
        <f t="shared" si="63"/>
        <v>412.88</v>
      </c>
      <c r="M156">
        <f t="shared" si="64"/>
        <v>87.674947684599857</v>
      </c>
      <c r="N156">
        <f t="shared" si="65"/>
        <v>8.6574093238401666</v>
      </c>
      <c r="O156">
        <f t="shared" si="66"/>
        <v>40.769584197367998</v>
      </c>
      <c r="P156">
        <f t="shared" si="67"/>
        <v>0.17047791261258122</v>
      </c>
      <c r="Q156">
        <f t="shared" si="68"/>
        <v>2.0101101798802858</v>
      </c>
      <c r="R156">
        <f t="shared" si="69"/>
        <v>0.16283358449648169</v>
      </c>
      <c r="S156">
        <f t="shared" si="70"/>
        <v>0.10242923549046548</v>
      </c>
      <c r="T156">
        <f t="shared" si="71"/>
        <v>276.11485893000003</v>
      </c>
      <c r="U156">
        <f t="shared" si="72"/>
        <v>28.541052862859303</v>
      </c>
      <c r="V156">
        <f t="shared" si="73"/>
        <v>28.541052862859303</v>
      </c>
      <c r="W156">
        <f t="shared" si="74"/>
        <v>3.9161944075391486</v>
      </c>
      <c r="X156">
        <f t="shared" si="75"/>
        <v>71.368708061525027</v>
      </c>
      <c r="Y156">
        <f t="shared" si="76"/>
        <v>2.5672554242088998</v>
      </c>
      <c r="Z156">
        <f t="shared" si="77"/>
        <v>3.5971723377642459</v>
      </c>
      <c r="AA156">
        <f t="shared" si="78"/>
        <v>1.3489389833302488</v>
      </c>
      <c r="AB156">
        <f t="shared" si="79"/>
        <v>-101.42835504629427</v>
      </c>
      <c r="AC156">
        <f t="shared" si="80"/>
        <v>-157.73689555414356</v>
      </c>
      <c r="AD156">
        <f t="shared" si="81"/>
        <v>-17.07332769440713</v>
      </c>
      <c r="AE156">
        <f t="shared" si="82"/>
        <v>-0.1237193648449022</v>
      </c>
      <c r="AF156">
        <v>9</v>
      </c>
      <c r="AG156">
        <v>3</v>
      </c>
      <c r="AH156">
        <f t="shared" si="83"/>
        <v>1</v>
      </c>
      <c r="AI156">
        <f t="shared" si="84"/>
        <v>0</v>
      </c>
      <c r="AJ156">
        <f t="shared" si="85"/>
        <v>52282.990808888986</v>
      </c>
      <c r="AK156">
        <f t="shared" si="86"/>
        <v>1800</v>
      </c>
      <c r="AL156">
        <f t="shared" si="87"/>
        <v>1499.1104789999999</v>
      </c>
      <c r="AM156">
        <f t="shared" si="88"/>
        <v>0.83283915499999994</v>
      </c>
      <c r="AN156">
        <f t="shared" si="89"/>
        <v>0.15339714385</v>
      </c>
      <c r="AO156">
        <v>34.5</v>
      </c>
      <c r="AP156">
        <v>0.5</v>
      </c>
      <c r="AQ156" t="s">
        <v>331</v>
      </c>
      <c r="AR156">
        <v>2</v>
      </c>
      <c r="AS156">
        <v>1690378156</v>
      </c>
      <c r="AT156">
        <v>412.88</v>
      </c>
      <c r="AU156">
        <v>800.01800000000003</v>
      </c>
      <c r="AV156">
        <v>25.998999999999999</v>
      </c>
      <c r="AW156">
        <v>0.25262499999999999</v>
      </c>
      <c r="AX156">
        <v>413.30900000000003</v>
      </c>
      <c r="AY156">
        <v>25.7879</v>
      </c>
      <c r="AZ156">
        <v>300.18099999999998</v>
      </c>
      <c r="BA156">
        <v>98.644400000000005</v>
      </c>
      <c r="BB156">
        <v>9.9991099999999999E-2</v>
      </c>
      <c r="BC156">
        <v>27.0855</v>
      </c>
      <c r="BD156">
        <v>26.999099999999999</v>
      </c>
      <c r="BE156">
        <v>28.636199999999999</v>
      </c>
      <c r="BF156">
        <v>0</v>
      </c>
      <c r="BG156">
        <v>0</v>
      </c>
      <c r="BH156">
        <v>10027.5</v>
      </c>
      <c r="BI156">
        <v>1083.0899999999999</v>
      </c>
      <c r="BJ156">
        <v>1.4016500000000001</v>
      </c>
      <c r="BK156">
        <v>-387.137</v>
      </c>
      <c r="BL156">
        <v>423.90100000000001</v>
      </c>
      <c r="BM156">
        <v>800.22</v>
      </c>
      <c r="BN156">
        <v>25.746400000000001</v>
      </c>
      <c r="BO156">
        <v>800.01800000000003</v>
      </c>
      <c r="BP156">
        <v>0.25262499999999999</v>
      </c>
      <c r="BQ156">
        <v>2.5646599999999999</v>
      </c>
      <c r="BR156">
        <v>2.4920000000000001E-2</v>
      </c>
      <c r="BS156">
        <v>21.442699999999999</v>
      </c>
      <c r="BT156">
        <v>-37.284700000000001</v>
      </c>
      <c r="BU156">
        <v>1800</v>
      </c>
      <c r="BV156">
        <v>0.91000199999999998</v>
      </c>
      <c r="BW156">
        <v>3.4007299999999997E-2</v>
      </c>
      <c r="BX156">
        <v>2.1996999999999999E-2</v>
      </c>
      <c r="BY156">
        <v>3.3993299999999997E-2</v>
      </c>
      <c r="BZ156">
        <v>25</v>
      </c>
      <c r="CA156">
        <v>33528.400000000001</v>
      </c>
      <c r="CB156">
        <v>1690376213.5999999</v>
      </c>
      <c r="CC156" t="s">
        <v>332</v>
      </c>
      <c r="CD156">
        <v>1690376213.5999999</v>
      </c>
      <c r="CE156">
        <v>1690376198.0999999</v>
      </c>
      <c r="CF156">
        <v>2</v>
      </c>
      <c r="CG156">
        <v>0.66900000000000004</v>
      </c>
      <c r="CH156">
        <v>-2.1000000000000001E-2</v>
      </c>
      <c r="CI156">
        <v>-0.70099999999999996</v>
      </c>
      <c r="CJ156">
        <v>0.21099999999999999</v>
      </c>
      <c r="CK156">
        <v>799</v>
      </c>
      <c r="CL156">
        <v>21</v>
      </c>
      <c r="CM156">
        <v>0.11</v>
      </c>
      <c r="CN156">
        <v>0.17</v>
      </c>
      <c r="CO156">
        <v>-385.70363414634153</v>
      </c>
      <c r="CP156">
        <v>-7.7959651567941188</v>
      </c>
      <c r="CQ156">
        <v>0.7728982123403435</v>
      </c>
      <c r="CR156">
        <v>-1</v>
      </c>
      <c r="CS156">
        <v>25.686619512195129</v>
      </c>
      <c r="CT156">
        <v>0.32716724738668468</v>
      </c>
      <c r="CU156">
        <v>3.2267322589256277E-2</v>
      </c>
      <c r="CV156">
        <v>-1</v>
      </c>
      <c r="CW156">
        <v>0</v>
      </c>
      <c r="CX156">
        <v>0</v>
      </c>
      <c r="CY156" t="s">
        <v>333</v>
      </c>
      <c r="CZ156">
        <v>2.3652099999999998</v>
      </c>
      <c r="DA156">
        <v>2.7138100000000001</v>
      </c>
      <c r="DB156">
        <v>9.1474100000000003E-2</v>
      </c>
      <c r="DC156">
        <v>0.145533</v>
      </c>
      <c r="DD156">
        <v>0.12005200000000001</v>
      </c>
      <c r="DE156">
        <v>2.1092300000000001E-3</v>
      </c>
      <c r="DF156">
        <v>33186.699999999997</v>
      </c>
      <c r="DG156">
        <v>27538.5</v>
      </c>
      <c r="DH156">
        <v>31182.2</v>
      </c>
      <c r="DI156">
        <v>28081.9</v>
      </c>
      <c r="DJ156">
        <v>37241.699999999997</v>
      </c>
      <c r="DK156">
        <v>39843.699999999997</v>
      </c>
      <c r="DL156">
        <v>44374.8</v>
      </c>
      <c r="DM156">
        <v>42549.5</v>
      </c>
      <c r="DN156">
        <v>1.4481299999999999</v>
      </c>
      <c r="DO156">
        <v>2.0461200000000002</v>
      </c>
      <c r="DP156">
        <v>9.0226500000000001E-2</v>
      </c>
      <c r="DQ156">
        <v>0.19006400000000001</v>
      </c>
      <c r="DR156">
        <v>25.521799999999999</v>
      </c>
      <c r="DS156">
        <v>25.528300000000002</v>
      </c>
      <c r="DT156">
        <v>38.799999999999997</v>
      </c>
      <c r="DU156">
        <v>27.2</v>
      </c>
      <c r="DV156">
        <v>14.2448</v>
      </c>
      <c r="DW156">
        <v>60.860199999999999</v>
      </c>
      <c r="DX156">
        <v>37.099400000000003</v>
      </c>
      <c r="DY156">
        <v>1</v>
      </c>
      <c r="DZ156">
        <v>-0.13642000000000001</v>
      </c>
      <c r="EA156">
        <v>-0.57716800000000001</v>
      </c>
      <c r="EB156">
        <v>20.189299999999999</v>
      </c>
      <c r="EC156">
        <v>5.2413999999999996</v>
      </c>
      <c r="ED156">
        <v>12.039899999999999</v>
      </c>
      <c r="EE156">
        <v>5.0170000000000003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1.8688800000000001</v>
      </c>
      <c r="EL156">
        <v>1.86452</v>
      </c>
      <c r="EM156">
        <v>1.8691899999999999</v>
      </c>
      <c r="EN156">
        <v>1.8672</v>
      </c>
      <c r="EO156">
        <v>1.8632899999999999</v>
      </c>
      <c r="EP156">
        <v>1.8643400000000001</v>
      </c>
      <c r="EQ156">
        <v>1.87012</v>
      </c>
      <c r="ER156">
        <v>1.86937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-0.42899999999999999</v>
      </c>
      <c r="FG156">
        <v>0.21110000000000001</v>
      </c>
      <c r="FH156">
        <v>-0.150361779349652</v>
      </c>
      <c r="FI156">
        <v>-6.1462078757559423E-4</v>
      </c>
      <c r="FJ156">
        <v>-1.8861989874597051E-7</v>
      </c>
      <c r="FK156">
        <v>1.1980462299894961E-10</v>
      </c>
      <c r="FL156">
        <v>0.21114761904761539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32.4</v>
      </c>
      <c r="FU156">
        <v>32.6</v>
      </c>
      <c r="FV156">
        <v>1.7675799999999999</v>
      </c>
      <c r="FW156">
        <v>2.5671400000000002</v>
      </c>
      <c r="FX156">
        <v>1.5490699999999999</v>
      </c>
      <c r="FY156">
        <v>2.33765</v>
      </c>
      <c r="FZ156">
        <v>1.50146</v>
      </c>
      <c r="GA156">
        <v>2.3901400000000002</v>
      </c>
      <c r="GB156">
        <v>32.266599999999997</v>
      </c>
      <c r="GC156">
        <v>23.991199999999999</v>
      </c>
      <c r="GD156">
        <v>19</v>
      </c>
      <c r="GE156">
        <v>268.84699999999998</v>
      </c>
      <c r="GF156">
        <v>584.83000000000004</v>
      </c>
      <c r="GG156">
        <v>25.8687</v>
      </c>
      <c r="GH156">
        <v>25.7166</v>
      </c>
      <c r="GI156">
        <v>30.0001</v>
      </c>
      <c r="GJ156">
        <v>25.814399999999999</v>
      </c>
      <c r="GK156">
        <v>25.777799999999999</v>
      </c>
      <c r="GL156">
        <v>35.339100000000002</v>
      </c>
      <c r="GM156">
        <v>100</v>
      </c>
      <c r="GN156">
        <v>33.600700000000003</v>
      </c>
      <c r="GO156">
        <v>25.8705</v>
      </c>
      <c r="GP156">
        <v>800</v>
      </c>
      <c r="GQ156">
        <v>0</v>
      </c>
      <c r="GR156">
        <v>99.769199999999998</v>
      </c>
      <c r="GS156">
        <v>99.5501</v>
      </c>
    </row>
    <row r="157" spans="1:201" x14ac:dyDescent="0.25">
      <c r="A157">
        <v>141</v>
      </c>
      <c r="B157">
        <v>1690378166</v>
      </c>
      <c r="C157">
        <v>1449.5</v>
      </c>
      <c r="D157" t="s">
        <v>615</v>
      </c>
      <c r="E157" t="s">
        <v>616</v>
      </c>
      <c r="F157" t="s">
        <v>330</v>
      </c>
      <c r="H157">
        <v>1690378166</v>
      </c>
      <c r="I157">
        <f t="shared" si="60"/>
        <v>2.3055103709111189E-3</v>
      </c>
      <c r="J157">
        <f t="shared" si="61"/>
        <v>2.3055103709111187</v>
      </c>
      <c r="K157">
        <f t="shared" si="62"/>
        <v>32.853229952962756</v>
      </c>
      <c r="L157">
        <f t="shared" si="63"/>
        <v>411.63499999999999</v>
      </c>
      <c r="M157">
        <f t="shared" si="64"/>
        <v>86.852370922238563</v>
      </c>
      <c r="N157">
        <f t="shared" si="65"/>
        <v>8.5761613708918905</v>
      </c>
      <c r="O157">
        <f t="shared" si="66"/>
        <v>40.646537894374994</v>
      </c>
      <c r="P157">
        <f t="shared" si="67"/>
        <v>0.1713640520082948</v>
      </c>
      <c r="Q157">
        <f t="shared" si="68"/>
        <v>2.0014602330514428</v>
      </c>
      <c r="R157">
        <f t="shared" si="69"/>
        <v>0.16361023151704437</v>
      </c>
      <c r="S157">
        <f t="shared" si="70"/>
        <v>0.10292380460616929</v>
      </c>
      <c r="T157">
        <f t="shared" si="71"/>
        <v>276.11479836000001</v>
      </c>
      <c r="U157">
        <f t="shared" si="72"/>
        <v>28.550475509978991</v>
      </c>
      <c r="V157">
        <f t="shared" si="73"/>
        <v>28.550475509978991</v>
      </c>
      <c r="W157">
        <f t="shared" si="74"/>
        <v>3.9183374870576246</v>
      </c>
      <c r="X157">
        <f t="shared" si="75"/>
        <v>71.493504144975944</v>
      </c>
      <c r="Y157">
        <f t="shared" si="76"/>
        <v>2.572620186275</v>
      </c>
      <c r="Z157">
        <f t="shared" si="77"/>
        <v>3.5983971089991478</v>
      </c>
      <c r="AA157">
        <f t="shared" si="78"/>
        <v>1.3457173007826246</v>
      </c>
      <c r="AB157">
        <f t="shared" si="79"/>
        <v>-101.67300735718034</v>
      </c>
      <c r="AC157">
        <f t="shared" si="80"/>
        <v>-157.4490124437861</v>
      </c>
      <c r="AD157">
        <f t="shared" si="81"/>
        <v>-17.1171203256085</v>
      </c>
      <c r="AE157">
        <f t="shared" si="82"/>
        <v>-0.1243417665749007</v>
      </c>
      <c r="AF157">
        <v>9</v>
      </c>
      <c r="AG157">
        <v>3</v>
      </c>
      <c r="AH157">
        <f t="shared" si="83"/>
        <v>1</v>
      </c>
      <c r="AI157">
        <f t="shared" si="84"/>
        <v>0</v>
      </c>
      <c r="AJ157">
        <f t="shared" si="85"/>
        <v>51869.047756942738</v>
      </c>
      <c r="AK157">
        <f t="shared" si="86"/>
        <v>1800</v>
      </c>
      <c r="AL157">
        <f t="shared" si="87"/>
        <v>1499.1108929999998</v>
      </c>
      <c r="AM157">
        <f t="shared" si="88"/>
        <v>0.83283938499999988</v>
      </c>
      <c r="AN157">
        <f t="shared" si="89"/>
        <v>0.15339711019999999</v>
      </c>
      <c r="AO157">
        <v>34.5</v>
      </c>
      <c r="AP157">
        <v>0.5</v>
      </c>
      <c r="AQ157" t="s">
        <v>331</v>
      </c>
      <c r="AR157">
        <v>2</v>
      </c>
      <c r="AS157">
        <v>1690378166</v>
      </c>
      <c r="AT157">
        <v>411.63499999999999</v>
      </c>
      <c r="AU157">
        <v>800.08</v>
      </c>
      <c r="AV157">
        <v>26.0534</v>
      </c>
      <c r="AW157">
        <v>0.24945899999999999</v>
      </c>
      <c r="AX157">
        <v>412.06200000000001</v>
      </c>
      <c r="AY157">
        <v>25.842300000000002</v>
      </c>
      <c r="AZ157">
        <v>300.21699999999998</v>
      </c>
      <c r="BA157">
        <v>98.644099999999995</v>
      </c>
      <c r="BB157">
        <v>0.100025</v>
      </c>
      <c r="BC157">
        <v>27.0913</v>
      </c>
      <c r="BD157">
        <v>27.004899999999999</v>
      </c>
      <c r="BE157">
        <v>28.627099999999999</v>
      </c>
      <c r="BF157">
        <v>0</v>
      </c>
      <c r="BG157">
        <v>0</v>
      </c>
      <c r="BH157">
        <v>9945</v>
      </c>
      <c r="BI157">
        <v>1083.2</v>
      </c>
      <c r="BJ157">
        <v>1.4016500000000001</v>
      </c>
      <c r="BK157">
        <v>-388.44499999999999</v>
      </c>
      <c r="BL157">
        <v>422.64600000000002</v>
      </c>
      <c r="BM157">
        <v>800.279</v>
      </c>
      <c r="BN157">
        <v>25.803999999999998</v>
      </c>
      <c r="BO157">
        <v>800.08</v>
      </c>
      <c r="BP157">
        <v>0.24945899999999999</v>
      </c>
      <c r="BQ157">
        <v>2.57002</v>
      </c>
      <c r="BR157">
        <v>2.46076E-2</v>
      </c>
      <c r="BS157">
        <v>21.476800000000001</v>
      </c>
      <c r="BT157">
        <v>-37.408799999999999</v>
      </c>
      <c r="BU157">
        <v>1800</v>
      </c>
      <c r="BV157">
        <v>0.91000400000000004</v>
      </c>
      <c r="BW157">
        <v>3.4006599999999998E-2</v>
      </c>
      <c r="BX157">
        <v>2.1996499999999999E-2</v>
      </c>
      <c r="BY157">
        <v>3.3992599999999998E-2</v>
      </c>
      <c r="BZ157">
        <v>25</v>
      </c>
      <c r="CA157">
        <v>33528.400000000001</v>
      </c>
      <c r="CB157">
        <v>1690376213.5999999</v>
      </c>
      <c r="CC157" t="s">
        <v>332</v>
      </c>
      <c r="CD157">
        <v>1690376213.5999999</v>
      </c>
      <c r="CE157">
        <v>1690376198.0999999</v>
      </c>
      <c r="CF157">
        <v>2</v>
      </c>
      <c r="CG157">
        <v>0.66900000000000004</v>
      </c>
      <c r="CH157">
        <v>-2.1000000000000001E-2</v>
      </c>
      <c r="CI157">
        <v>-0.70099999999999996</v>
      </c>
      <c r="CJ157">
        <v>0.21099999999999999</v>
      </c>
      <c r="CK157">
        <v>799</v>
      </c>
      <c r="CL157">
        <v>21</v>
      </c>
      <c r="CM157">
        <v>0.11</v>
      </c>
      <c r="CN157">
        <v>0.17</v>
      </c>
      <c r="CO157">
        <v>-386.88465853658539</v>
      </c>
      <c r="CP157">
        <v>-7.4916376306617032</v>
      </c>
      <c r="CQ157">
        <v>0.74107396062070563</v>
      </c>
      <c r="CR157">
        <v>-1</v>
      </c>
      <c r="CS157">
        <v>25.737500000000001</v>
      </c>
      <c r="CT157">
        <v>0.34484738675952897</v>
      </c>
      <c r="CU157">
        <v>3.4018087011212839E-2</v>
      </c>
      <c r="CV157">
        <v>-1</v>
      </c>
      <c r="CW157">
        <v>0</v>
      </c>
      <c r="CX157">
        <v>0</v>
      </c>
      <c r="CY157" t="s">
        <v>333</v>
      </c>
      <c r="CZ157">
        <v>2.3653300000000002</v>
      </c>
      <c r="DA157">
        <v>2.7137699999999998</v>
      </c>
      <c r="DB157">
        <v>9.1263899999999995E-2</v>
      </c>
      <c r="DC157">
        <v>0.14554</v>
      </c>
      <c r="DD157">
        <v>0.120227</v>
      </c>
      <c r="DE157">
        <v>2.08319E-3</v>
      </c>
      <c r="DF157">
        <v>33194.800000000003</v>
      </c>
      <c r="DG157">
        <v>27538.6</v>
      </c>
      <c r="DH157">
        <v>31182.6</v>
      </c>
      <c r="DI157">
        <v>28082.2</v>
      </c>
      <c r="DJ157">
        <v>37234.5</v>
      </c>
      <c r="DK157">
        <v>39845.1</v>
      </c>
      <c r="DL157">
        <v>44375.199999999997</v>
      </c>
      <c r="DM157">
        <v>42550</v>
      </c>
      <c r="DN157">
        <v>1.44797</v>
      </c>
      <c r="DO157">
        <v>2.0451299999999999</v>
      </c>
      <c r="DP157">
        <v>9.05469E-2</v>
      </c>
      <c r="DQ157">
        <v>0.18964</v>
      </c>
      <c r="DR157">
        <v>25.522400000000001</v>
      </c>
      <c r="DS157">
        <v>25.5261</v>
      </c>
      <c r="DT157">
        <v>38.299999999999997</v>
      </c>
      <c r="DU157">
        <v>27.2</v>
      </c>
      <c r="DV157">
        <v>14.0587</v>
      </c>
      <c r="DW157">
        <v>61.300199999999997</v>
      </c>
      <c r="DX157">
        <v>37.0593</v>
      </c>
      <c r="DY157">
        <v>1</v>
      </c>
      <c r="DZ157">
        <v>-0.13675300000000001</v>
      </c>
      <c r="EA157">
        <v>-0.51083599999999996</v>
      </c>
      <c r="EB157">
        <v>20.189499999999999</v>
      </c>
      <c r="EC157">
        <v>5.2413999999999996</v>
      </c>
      <c r="ED157">
        <v>12.039899999999999</v>
      </c>
      <c r="EE157">
        <v>5.0171999999999999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1.86886</v>
      </c>
      <c r="EL157">
        <v>1.86453</v>
      </c>
      <c r="EM157">
        <v>1.8691899999999999</v>
      </c>
      <c r="EN157">
        <v>1.8672200000000001</v>
      </c>
      <c r="EO157">
        <v>1.8632899999999999</v>
      </c>
      <c r="EP157">
        <v>1.86433</v>
      </c>
      <c r="EQ157">
        <v>1.87012</v>
      </c>
      <c r="ER157">
        <v>1.8693599999999999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-0.42699999999999999</v>
      </c>
      <c r="FG157">
        <v>0.21110000000000001</v>
      </c>
      <c r="FH157">
        <v>-0.150361779349652</v>
      </c>
      <c r="FI157">
        <v>-6.1462078757559423E-4</v>
      </c>
      <c r="FJ157">
        <v>-1.8861989874597051E-7</v>
      </c>
      <c r="FK157">
        <v>1.1980462299894961E-10</v>
      </c>
      <c r="FL157">
        <v>0.21114761904761539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32.5</v>
      </c>
      <c r="FU157">
        <v>32.799999999999997</v>
      </c>
      <c r="FV157">
        <v>1.7675799999999999</v>
      </c>
      <c r="FW157">
        <v>2.5659200000000002</v>
      </c>
      <c r="FX157">
        <v>1.5490699999999999</v>
      </c>
      <c r="FY157">
        <v>2.33765</v>
      </c>
      <c r="FZ157">
        <v>1.50146</v>
      </c>
      <c r="GA157">
        <v>2.3950200000000001</v>
      </c>
      <c r="GB157">
        <v>32.266599999999997</v>
      </c>
      <c r="GC157">
        <v>23.991199999999999</v>
      </c>
      <c r="GD157">
        <v>19</v>
      </c>
      <c r="GE157">
        <v>268.79500000000002</v>
      </c>
      <c r="GF157">
        <v>584.005</v>
      </c>
      <c r="GG157">
        <v>25.863600000000002</v>
      </c>
      <c r="GH157">
        <v>25.7166</v>
      </c>
      <c r="GI157">
        <v>30.0001</v>
      </c>
      <c r="GJ157">
        <v>25.816600000000001</v>
      </c>
      <c r="GK157">
        <v>25.777799999999999</v>
      </c>
      <c r="GL157">
        <v>35.337499999999999</v>
      </c>
      <c r="GM157">
        <v>100</v>
      </c>
      <c r="GN157">
        <v>32.838000000000001</v>
      </c>
      <c r="GO157">
        <v>25.851199999999999</v>
      </c>
      <c r="GP157">
        <v>800</v>
      </c>
      <c r="GQ157">
        <v>0</v>
      </c>
      <c r="GR157">
        <v>99.770200000000003</v>
      </c>
      <c r="GS157">
        <v>99.551199999999994</v>
      </c>
    </row>
    <row r="158" spans="1:201" x14ac:dyDescent="0.25">
      <c r="A158">
        <v>142</v>
      </c>
      <c r="B158">
        <v>1690378176</v>
      </c>
      <c r="C158">
        <v>1459.5</v>
      </c>
      <c r="D158" t="s">
        <v>617</v>
      </c>
      <c r="E158" t="s">
        <v>618</v>
      </c>
      <c r="F158" t="s">
        <v>330</v>
      </c>
      <c r="H158">
        <v>1690378176</v>
      </c>
      <c r="I158">
        <f t="shared" si="60"/>
        <v>2.3102820579111024E-3</v>
      </c>
      <c r="J158">
        <f t="shared" si="61"/>
        <v>2.3102820579111025</v>
      </c>
      <c r="K158">
        <f t="shared" si="62"/>
        <v>32.945368128370482</v>
      </c>
      <c r="L158">
        <f t="shared" si="63"/>
        <v>410.45699999999999</v>
      </c>
      <c r="M158">
        <f t="shared" si="64"/>
        <v>87.642155391024232</v>
      </c>
      <c r="N158">
        <f t="shared" si="65"/>
        <v>8.654576692624893</v>
      </c>
      <c r="O158">
        <f t="shared" si="66"/>
        <v>40.532225270768997</v>
      </c>
      <c r="P158">
        <f t="shared" si="67"/>
        <v>0.17291704266029298</v>
      </c>
      <c r="Q158">
        <f t="shared" si="68"/>
        <v>2.0108163125281346</v>
      </c>
      <c r="R158">
        <f t="shared" si="69"/>
        <v>0.16506045014625503</v>
      </c>
      <c r="S158">
        <f t="shared" si="70"/>
        <v>0.10383891403709855</v>
      </c>
      <c r="T158">
        <f t="shared" si="71"/>
        <v>276.11481709799995</v>
      </c>
      <c r="U158">
        <f t="shared" si="72"/>
        <v>28.534703183071404</v>
      </c>
      <c r="V158">
        <f t="shared" si="73"/>
        <v>28.534703183071404</v>
      </c>
      <c r="W158">
        <f t="shared" si="74"/>
        <v>3.9147508179606629</v>
      </c>
      <c r="X158">
        <f t="shared" si="75"/>
        <v>71.677365854722424</v>
      </c>
      <c r="Y158">
        <f t="shared" si="76"/>
        <v>2.5780405868189997</v>
      </c>
      <c r="Z158">
        <f t="shared" si="77"/>
        <v>3.5967289758446768</v>
      </c>
      <c r="AA158">
        <f t="shared" si="78"/>
        <v>1.3367102311416632</v>
      </c>
      <c r="AB158">
        <f t="shared" si="79"/>
        <v>-101.88343875387962</v>
      </c>
      <c r="AC158">
        <f t="shared" si="80"/>
        <v>-157.33161144485999</v>
      </c>
      <c r="AD158">
        <f t="shared" si="81"/>
        <v>-17.022762009535271</v>
      </c>
      <c r="AE158">
        <f t="shared" si="82"/>
        <v>-0.12299511027489984</v>
      </c>
      <c r="AF158">
        <v>9</v>
      </c>
      <c r="AG158">
        <v>3</v>
      </c>
      <c r="AH158">
        <f t="shared" si="83"/>
        <v>1</v>
      </c>
      <c r="AI158">
        <f t="shared" si="84"/>
        <v>0</v>
      </c>
      <c r="AJ158">
        <f t="shared" si="85"/>
        <v>52317.277221488468</v>
      </c>
      <c r="AK158">
        <f t="shared" si="86"/>
        <v>1800</v>
      </c>
      <c r="AL158">
        <f t="shared" si="87"/>
        <v>1499.1113088</v>
      </c>
      <c r="AM158">
        <f t="shared" si="88"/>
        <v>0.832839616</v>
      </c>
      <c r="AN158">
        <f t="shared" si="89"/>
        <v>0.15339712060999997</v>
      </c>
      <c r="AO158">
        <v>34.5</v>
      </c>
      <c r="AP158">
        <v>0.5</v>
      </c>
      <c r="AQ158" t="s">
        <v>331</v>
      </c>
      <c r="AR158">
        <v>2</v>
      </c>
      <c r="AS158">
        <v>1690378176</v>
      </c>
      <c r="AT158">
        <v>410.45699999999999</v>
      </c>
      <c r="AU158">
        <v>800.01700000000005</v>
      </c>
      <c r="AV158">
        <v>26.106999999999999</v>
      </c>
      <c r="AW158">
        <v>0.24676899999999999</v>
      </c>
      <c r="AX158">
        <v>410.88400000000001</v>
      </c>
      <c r="AY158">
        <v>25.895900000000001</v>
      </c>
      <c r="AZ158">
        <v>300.16699999999997</v>
      </c>
      <c r="BA158">
        <v>98.649000000000001</v>
      </c>
      <c r="BB158">
        <v>0.10001699999999999</v>
      </c>
      <c r="BC158">
        <v>27.083400000000001</v>
      </c>
      <c r="BD158">
        <v>26.989100000000001</v>
      </c>
      <c r="BE158">
        <v>28.619399999999999</v>
      </c>
      <c r="BF158">
        <v>0</v>
      </c>
      <c r="BG158">
        <v>0</v>
      </c>
      <c r="BH158">
        <v>10033.799999999999</v>
      </c>
      <c r="BI158">
        <v>1083.24</v>
      </c>
      <c r="BJ158">
        <v>1.4016500000000001</v>
      </c>
      <c r="BK158">
        <v>-389.56</v>
      </c>
      <c r="BL158">
        <v>421.46</v>
      </c>
      <c r="BM158">
        <v>800.21500000000003</v>
      </c>
      <c r="BN158">
        <v>25.860299999999999</v>
      </c>
      <c r="BO158">
        <v>800.01700000000005</v>
      </c>
      <c r="BP158">
        <v>0.24676899999999999</v>
      </c>
      <c r="BQ158">
        <v>2.5754299999999999</v>
      </c>
      <c r="BR158">
        <v>2.4343500000000001E-2</v>
      </c>
      <c r="BS158">
        <v>21.511199999999999</v>
      </c>
      <c r="BT158">
        <v>-37.514699999999998</v>
      </c>
      <c r="BU158">
        <v>1800</v>
      </c>
      <c r="BV158">
        <v>0.91000499999999995</v>
      </c>
      <c r="BW158">
        <v>3.4006300000000003E-2</v>
      </c>
      <c r="BX158">
        <v>2.19963E-2</v>
      </c>
      <c r="BY158">
        <v>3.3992300000000003E-2</v>
      </c>
      <c r="BZ158">
        <v>25</v>
      </c>
      <c r="CA158">
        <v>33528.400000000001</v>
      </c>
      <c r="CB158">
        <v>1690376213.5999999</v>
      </c>
      <c r="CC158" t="s">
        <v>332</v>
      </c>
      <c r="CD158">
        <v>1690376213.5999999</v>
      </c>
      <c r="CE158">
        <v>1690376198.0999999</v>
      </c>
      <c r="CF158">
        <v>2</v>
      </c>
      <c r="CG158">
        <v>0.66900000000000004</v>
      </c>
      <c r="CH158">
        <v>-2.1000000000000001E-2</v>
      </c>
      <c r="CI158">
        <v>-0.70099999999999996</v>
      </c>
      <c r="CJ158">
        <v>0.21099999999999999</v>
      </c>
      <c r="CK158">
        <v>799</v>
      </c>
      <c r="CL158">
        <v>21</v>
      </c>
      <c r="CM158">
        <v>0.11</v>
      </c>
      <c r="CN158">
        <v>0.17</v>
      </c>
      <c r="CO158">
        <v>-388.27140000000003</v>
      </c>
      <c r="CP158">
        <v>-7.5045253283289721</v>
      </c>
      <c r="CQ158">
        <v>0.72339034414346337</v>
      </c>
      <c r="CR158">
        <v>-1</v>
      </c>
      <c r="CS158">
        <v>25.799814999999999</v>
      </c>
      <c r="CT158">
        <v>0.34503039399615959</v>
      </c>
      <c r="CU158">
        <v>3.320091527352808E-2</v>
      </c>
      <c r="CV158">
        <v>-1</v>
      </c>
      <c r="CW158">
        <v>0</v>
      </c>
      <c r="CX158">
        <v>0</v>
      </c>
      <c r="CY158" t="s">
        <v>333</v>
      </c>
      <c r="CZ158">
        <v>2.36517</v>
      </c>
      <c r="DA158">
        <v>2.7138399999999998</v>
      </c>
      <c r="DB158">
        <v>9.1070200000000004E-2</v>
      </c>
      <c r="DC158">
        <v>0.145539</v>
      </c>
      <c r="DD158">
        <v>0.120406</v>
      </c>
      <c r="DE158">
        <v>2.0611499999999999E-3</v>
      </c>
      <c r="DF158">
        <v>33202.199999999997</v>
      </c>
      <c r="DG158">
        <v>27539.1</v>
      </c>
      <c r="DH158">
        <v>31182.799999999999</v>
      </c>
      <c r="DI158">
        <v>28082.6</v>
      </c>
      <c r="DJ158">
        <v>37226.9</v>
      </c>
      <c r="DK158">
        <v>39846.800000000003</v>
      </c>
      <c r="DL158">
        <v>44375.4</v>
      </c>
      <c r="DM158">
        <v>42550.8</v>
      </c>
      <c r="DN158">
        <v>1.4480999999999999</v>
      </c>
      <c r="DO158">
        <v>2.04522</v>
      </c>
      <c r="DP158">
        <v>8.9481500000000005E-2</v>
      </c>
      <c r="DQ158">
        <v>0.18917</v>
      </c>
      <c r="DR158">
        <v>25.524000000000001</v>
      </c>
      <c r="DS158">
        <v>25.5261</v>
      </c>
      <c r="DT158">
        <v>37.9</v>
      </c>
      <c r="DU158">
        <v>27.2</v>
      </c>
      <c r="DV158">
        <v>13.9139</v>
      </c>
      <c r="DW158">
        <v>60.7502</v>
      </c>
      <c r="DX158">
        <v>36.943100000000001</v>
      </c>
      <c r="DY158">
        <v>1</v>
      </c>
      <c r="DZ158">
        <v>-0.136324</v>
      </c>
      <c r="EA158">
        <v>-0.54691999999999996</v>
      </c>
      <c r="EB158">
        <v>20.189499999999999</v>
      </c>
      <c r="EC158">
        <v>5.2415500000000002</v>
      </c>
      <c r="ED158">
        <v>12.039899999999999</v>
      </c>
      <c r="EE158">
        <v>5.0167999999999999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1.86887</v>
      </c>
      <c r="EL158">
        <v>1.8645</v>
      </c>
      <c r="EM158">
        <v>1.8691599999999999</v>
      </c>
      <c r="EN158">
        <v>1.8672</v>
      </c>
      <c r="EO158">
        <v>1.86327</v>
      </c>
      <c r="EP158">
        <v>1.86433</v>
      </c>
      <c r="EQ158">
        <v>1.87012</v>
      </c>
      <c r="ER158">
        <v>1.8693599999999999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-0.42699999999999999</v>
      </c>
      <c r="FG158">
        <v>0.21110000000000001</v>
      </c>
      <c r="FH158">
        <v>-0.150361779349652</v>
      </c>
      <c r="FI158">
        <v>-6.1462078757559423E-4</v>
      </c>
      <c r="FJ158">
        <v>-1.8861989874597051E-7</v>
      </c>
      <c r="FK158">
        <v>1.1980462299894961E-10</v>
      </c>
      <c r="FL158">
        <v>0.21114761904761539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32.700000000000003</v>
      </c>
      <c r="FU158">
        <v>33</v>
      </c>
      <c r="FV158">
        <v>1.7675799999999999</v>
      </c>
      <c r="FW158">
        <v>2.5659200000000002</v>
      </c>
      <c r="FX158">
        <v>1.5490699999999999</v>
      </c>
      <c r="FY158">
        <v>2.33643</v>
      </c>
      <c r="FZ158">
        <v>1.50146</v>
      </c>
      <c r="GA158">
        <v>2.4182100000000002</v>
      </c>
      <c r="GB158">
        <v>32.266599999999997</v>
      </c>
      <c r="GC158">
        <v>23.991199999999999</v>
      </c>
      <c r="GD158">
        <v>19</v>
      </c>
      <c r="GE158">
        <v>268.84699999999998</v>
      </c>
      <c r="GF158">
        <v>584.11199999999997</v>
      </c>
      <c r="GG158">
        <v>25.851500000000001</v>
      </c>
      <c r="GH158">
        <v>25.718800000000002</v>
      </c>
      <c r="GI158">
        <v>30.0002</v>
      </c>
      <c r="GJ158">
        <v>25.816600000000001</v>
      </c>
      <c r="GK158">
        <v>25.779900000000001</v>
      </c>
      <c r="GL158">
        <v>35.334499999999998</v>
      </c>
      <c r="GM158">
        <v>100</v>
      </c>
      <c r="GN158">
        <v>31.671600000000002</v>
      </c>
      <c r="GO158">
        <v>25.86</v>
      </c>
      <c r="GP158">
        <v>800</v>
      </c>
      <c r="GQ158">
        <v>0</v>
      </c>
      <c r="GR158">
        <v>99.770799999999994</v>
      </c>
      <c r="GS158">
        <v>99.552899999999994</v>
      </c>
    </row>
    <row r="159" spans="1:201" x14ac:dyDescent="0.25">
      <c r="A159">
        <v>143</v>
      </c>
      <c r="B159">
        <v>1690378186</v>
      </c>
      <c r="C159">
        <v>1469.5</v>
      </c>
      <c r="D159" t="s">
        <v>619</v>
      </c>
      <c r="E159" t="s">
        <v>620</v>
      </c>
      <c r="F159" t="s">
        <v>330</v>
      </c>
      <c r="H159">
        <v>1690378186</v>
      </c>
      <c r="I159">
        <f t="shared" si="60"/>
        <v>2.3155560946496899E-3</v>
      </c>
      <c r="J159">
        <f t="shared" si="61"/>
        <v>2.3155560946496898</v>
      </c>
      <c r="K159">
        <f t="shared" si="62"/>
        <v>33.043692362977019</v>
      </c>
      <c r="L159">
        <f t="shared" si="63"/>
        <v>409.20100000000002</v>
      </c>
      <c r="M159">
        <f t="shared" si="64"/>
        <v>87.68820020446438</v>
      </c>
      <c r="N159">
        <f t="shared" si="65"/>
        <v>8.6583271884558002</v>
      </c>
      <c r="O159">
        <f t="shared" si="66"/>
        <v>40.404480141935004</v>
      </c>
      <c r="P159">
        <f t="shared" si="67"/>
        <v>0.17417692621178354</v>
      </c>
      <c r="Q159">
        <f t="shared" si="68"/>
        <v>2.0104485375137231</v>
      </c>
      <c r="R159">
        <f t="shared" si="69"/>
        <v>0.16620687859823183</v>
      </c>
      <c r="S159">
        <f t="shared" si="70"/>
        <v>0.10456498090373498</v>
      </c>
      <c r="T159">
        <f t="shared" si="71"/>
        <v>276.11342825998759</v>
      </c>
      <c r="U159">
        <f t="shared" si="72"/>
        <v>28.53049716678505</v>
      </c>
      <c r="V159">
        <f t="shared" si="73"/>
        <v>28.53049716678505</v>
      </c>
      <c r="W159">
        <f t="shared" si="74"/>
        <v>3.9137948424235525</v>
      </c>
      <c r="X159">
        <f t="shared" si="75"/>
        <v>71.837794851341712</v>
      </c>
      <c r="Y159">
        <f t="shared" si="76"/>
        <v>2.5834316593400004</v>
      </c>
      <c r="Z159">
        <f t="shared" si="77"/>
        <v>3.5962012262292453</v>
      </c>
      <c r="AA159">
        <f t="shared" si="78"/>
        <v>1.3303631830835521</v>
      </c>
      <c r="AB159">
        <f t="shared" si="79"/>
        <v>-102.11602377405133</v>
      </c>
      <c r="AC159">
        <f t="shared" si="80"/>
        <v>-157.11792524879289</v>
      </c>
      <c r="AD159">
        <f t="shared" si="81"/>
        <v>-17.002182848358633</v>
      </c>
      <c r="AE159">
        <f t="shared" si="82"/>
        <v>-0.12270361121525752</v>
      </c>
      <c r="AF159">
        <v>8</v>
      </c>
      <c r="AG159">
        <v>3</v>
      </c>
      <c r="AH159">
        <f t="shared" si="83"/>
        <v>1</v>
      </c>
      <c r="AI159">
        <f t="shared" si="84"/>
        <v>0</v>
      </c>
      <c r="AJ159">
        <f t="shared" si="85"/>
        <v>52299.896003731083</v>
      </c>
      <c r="AK159">
        <f t="shared" si="86"/>
        <v>1799.99</v>
      </c>
      <c r="AL159">
        <f t="shared" si="87"/>
        <v>1499.1039487984599</v>
      </c>
      <c r="AM159">
        <f t="shared" si="88"/>
        <v>0.83284015399999989</v>
      </c>
      <c r="AN159">
        <f t="shared" si="89"/>
        <v>0.15339720124</v>
      </c>
      <c r="AO159">
        <v>34.5</v>
      </c>
      <c r="AP159">
        <v>0.5</v>
      </c>
      <c r="AQ159" t="s">
        <v>331</v>
      </c>
      <c r="AR159">
        <v>2</v>
      </c>
      <c r="AS159">
        <v>1690378186</v>
      </c>
      <c r="AT159">
        <v>409.20100000000002</v>
      </c>
      <c r="AU159">
        <v>799.91899999999998</v>
      </c>
      <c r="AV159">
        <v>26.164000000000001</v>
      </c>
      <c r="AW159">
        <v>0.24383299999999999</v>
      </c>
      <c r="AX159">
        <v>409.62599999999998</v>
      </c>
      <c r="AY159">
        <v>25.9528</v>
      </c>
      <c r="AZ159">
        <v>300.13900000000001</v>
      </c>
      <c r="BA159">
        <v>98.639899999999997</v>
      </c>
      <c r="BB159">
        <v>0.100035</v>
      </c>
      <c r="BC159">
        <v>27.0809</v>
      </c>
      <c r="BD159">
        <v>27.002400000000002</v>
      </c>
      <c r="BE159">
        <v>28.628399999999999</v>
      </c>
      <c r="BF159">
        <v>0</v>
      </c>
      <c r="BG159">
        <v>0</v>
      </c>
      <c r="BH159">
        <v>10031.200000000001</v>
      </c>
      <c r="BI159">
        <v>1083.26</v>
      </c>
      <c r="BJ159">
        <v>1.4016500000000001</v>
      </c>
      <c r="BK159">
        <v>-390.71899999999999</v>
      </c>
      <c r="BL159">
        <v>420.19400000000002</v>
      </c>
      <c r="BM159">
        <v>800.11400000000003</v>
      </c>
      <c r="BN159">
        <v>25.920100000000001</v>
      </c>
      <c r="BO159">
        <v>799.91899999999998</v>
      </c>
      <c r="BP159">
        <v>0.24383299999999999</v>
      </c>
      <c r="BQ159">
        <v>2.58081</v>
      </c>
      <c r="BR159">
        <v>2.4051599999999999E-2</v>
      </c>
      <c r="BS159">
        <v>21.545300000000001</v>
      </c>
      <c r="BT159">
        <v>-37.633000000000003</v>
      </c>
      <c r="BU159">
        <v>1799.99</v>
      </c>
      <c r="BV159">
        <v>0.91000599999999998</v>
      </c>
      <c r="BW159">
        <v>3.4006099999999997E-2</v>
      </c>
      <c r="BX159">
        <v>2.19962E-2</v>
      </c>
      <c r="BY159">
        <v>3.39922E-2</v>
      </c>
      <c r="BZ159">
        <v>25</v>
      </c>
      <c r="CA159">
        <v>33528.300000000003</v>
      </c>
      <c r="CB159">
        <v>1690376213.5999999</v>
      </c>
      <c r="CC159" t="s">
        <v>332</v>
      </c>
      <c r="CD159">
        <v>1690376213.5999999</v>
      </c>
      <c r="CE159">
        <v>1690376198.0999999</v>
      </c>
      <c r="CF159">
        <v>2</v>
      </c>
      <c r="CG159">
        <v>0.66900000000000004</v>
      </c>
      <c r="CH159">
        <v>-2.1000000000000001E-2</v>
      </c>
      <c r="CI159">
        <v>-0.70099999999999996</v>
      </c>
      <c r="CJ159">
        <v>0.21099999999999999</v>
      </c>
      <c r="CK159">
        <v>799</v>
      </c>
      <c r="CL159">
        <v>21</v>
      </c>
      <c r="CM159">
        <v>0.11</v>
      </c>
      <c r="CN159">
        <v>0.17</v>
      </c>
      <c r="CO159">
        <v>-389.53462500000001</v>
      </c>
      <c r="CP159">
        <v>-7.3814971857409173</v>
      </c>
      <c r="CQ159">
        <v>0.71119707843536628</v>
      </c>
      <c r="CR159">
        <v>-1</v>
      </c>
      <c r="CS159">
        <v>25.85765</v>
      </c>
      <c r="CT159">
        <v>0.35029643527202231</v>
      </c>
      <c r="CU159">
        <v>3.3716724336744372E-2</v>
      </c>
      <c r="CV159">
        <v>-1</v>
      </c>
      <c r="CW159">
        <v>0</v>
      </c>
      <c r="CX159">
        <v>0</v>
      </c>
      <c r="CY159" t="s">
        <v>333</v>
      </c>
      <c r="CZ159">
        <v>2.3650799999999998</v>
      </c>
      <c r="DA159">
        <v>2.7138499999999999</v>
      </c>
      <c r="DB159">
        <v>9.0849799999999994E-2</v>
      </c>
      <c r="DC159">
        <v>0.145514</v>
      </c>
      <c r="DD159">
        <v>0.120578</v>
      </c>
      <c r="DE159">
        <v>2.03681E-3</v>
      </c>
      <c r="DF159">
        <v>33209.9</v>
      </c>
      <c r="DG159">
        <v>27539.9</v>
      </c>
      <c r="DH159">
        <v>31182.5</v>
      </c>
      <c r="DI159">
        <v>28082.7</v>
      </c>
      <c r="DJ159">
        <v>37219.5</v>
      </c>
      <c r="DK159">
        <v>39847.800000000003</v>
      </c>
      <c r="DL159">
        <v>44375.3</v>
      </c>
      <c r="DM159">
        <v>42550.8</v>
      </c>
      <c r="DN159">
        <v>1.4483200000000001</v>
      </c>
      <c r="DO159">
        <v>2.0453800000000002</v>
      </c>
      <c r="DP159">
        <v>9.0293600000000002E-2</v>
      </c>
      <c r="DQ159">
        <v>0.18984799999999999</v>
      </c>
      <c r="DR159">
        <v>25.524000000000001</v>
      </c>
      <c r="DS159">
        <v>25.524000000000001</v>
      </c>
      <c r="DT159">
        <v>37.5</v>
      </c>
      <c r="DU159">
        <v>27.2</v>
      </c>
      <c r="DV159">
        <v>13.765499999999999</v>
      </c>
      <c r="DW159">
        <v>60.980200000000004</v>
      </c>
      <c r="DX159">
        <v>37.051299999999998</v>
      </c>
      <c r="DY159">
        <v>1</v>
      </c>
      <c r="DZ159">
        <v>-0.13636200000000001</v>
      </c>
      <c r="EA159">
        <v>-0.56964099999999995</v>
      </c>
      <c r="EB159">
        <v>20.189399999999999</v>
      </c>
      <c r="EC159">
        <v>5.2415500000000002</v>
      </c>
      <c r="ED159">
        <v>12.039899999999999</v>
      </c>
      <c r="EE159">
        <v>5.01715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1.8688800000000001</v>
      </c>
      <c r="EL159">
        <v>1.8645400000000001</v>
      </c>
      <c r="EM159">
        <v>1.8691800000000001</v>
      </c>
      <c r="EN159">
        <v>1.86721</v>
      </c>
      <c r="EO159">
        <v>1.86328</v>
      </c>
      <c r="EP159">
        <v>1.86432</v>
      </c>
      <c r="EQ159">
        <v>1.87012</v>
      </c>
      <c r="ER159">
        <v>1.8693500000000001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-0.42499999999999999</v>
      </c>
      <c r="FG159">
        <v>0.2112</v>
      </c>
      <c r="FH159">
        <v>-0.150361779349652</v>
      </c>
      <c r="FI159">
        <v>-6.1462078757559423E-4</v>
      </c>
      <c r="FJ159">
        <v>-1.8861989874597051E-7</v>
      </c>
      <c r="FK159">
        <v>1.1980462299894961E-10</v>
      </c>
      <c r="FL159">
        <v>0.21114761904761539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32.9</v>
      </c>
      <c r="FU159">
        <v>33.1</v>
      </c>
      <c r="FV159">
        <v>1.7675799999999999</v>
      </c>
      <c r="FW159">
        <v>2.5634800000000002</v>
      </c>
      <c r="FX159">
        <v>1.5490699999999999</v>
      </c>
      <c r="FY159">
        <v>2.33643</v>
      </c>
      <c r="FZ159">
        <v>1.50146</v>
      </c>
      <c r="GA159">
        <v>2.3803700000000001</v>
      </c>
      <c r="GB159">
        <v>32.266599999999997</v>
      </c>
      <c r="GC159">
        <v>23.991199999999999</v>
      </c>
      <c r="GD159">
        <v>19</v>
      </c>
      <c r="GE159">
        <v>268.947</v>
      </c>
      <c r="GF159">
        <v>584.23599999999999</v>
      </c>
      <c r="GG159">
        <v>25.861999999999998</v>
      </c>
      <c r="GH159">
        <v>25.718800000000002</v>
      </c>
      <c r="GI159">
        <v>30.0002</v>
      </c>
      <c r="GJ159">
        <v>25.8187</v>
      </c>
      <c r="GK159">
        <v>25.779900000000001</v>
      </c>
      <c r="GL159">
        <v>35.338000000000001</v>
      </c>
      <c r="GM159">
        <v>100</v>
      </c>
      <c r="GN159">
        <v>30.8508</v>
      </c>
      <c r="GO159">
        <v>25.858599999999999</v>
      </c>
      <c r="GP159">
        <v>800</v>
      </c>
      <c r="GQ159">
        <v>0</v>
      </c>
      <c r="GR159">
        <v>99.770300000000006</v>
      </c>
      <c r="GS159">
        <v>99.553100000000001</v>
      </c>
    </row>
    <row r="160" spans="1:201" x14ac:dyDescent="0.25">
      <c r="A160">
        <v>144</v>
      </c>
      <c r="B160">
        <v>1690378196</v>
      </c>
      <c r="C160">
        <v>1479.5</v>
      </c>
      <c r="D160" t="s">
        <v>621</v>
      </c>
      <c r="E160" t="s">
        <v>622</v>
      </c>
      <c r="F160" t="s">
        <v>330</v>
      </c>
      <c r="H160">
        <v>1690378196</v>
      </c>
      <c r="I160">
        <f t="shared" si="60"/>
        <v>2.3210650793148882E-3</v>
      </c>
      <c r="J160">
        <f t="shared" si="61"/>
        <v>2.3210650793148884</v>
      </c>
      <c r="K160">
        <f t="shared" si="62"/>
        <v>33.166306025127788</v>
      </c>
      <c r="L160">
        <f t="shared" si="63"/>
        <v>407.91500000000002</v>
      </c>
      <c r="M160">
        <f t="shared" si="64"/>
        <v>87.222884935608377</v>
      </c>
      <c r="N160">
        <f t="shared" si="65"/>
        <v>8.6126212588724069</v>
      </c>
      <c r="O160">
        <f t="shared" si="66"/>
        <v>40.278619577953002</v>
      </c>
      <c r="P160">
        <f t="shared" si="67"/>
        <v>0.17530748291574452</v>
      </c>
      <c r="Q160">
        <f t="shared" si="68"/>
        <v>2.0085253762928161</v>
      </c>
      <c r="R160">
        <f t="shared" si="69"/>
        <v>0.16722886557759398</v>
      </c>
      <c r="S160">
        <f t="shared" si="70"/>
        <v>0.10521284455477772</v>
      </c>
      <c r="T160">
        <f t="shared" si="71"/>
        <v>276.11468895600001</v>
      </c>
      <c r="U160">
        <f t="shared" si="72"/>
        <v>28.531732319676546</v>
      </c>
      <c r="V160">
        <f t="shared" si="73"/>
        <v>28.531732319676546</v>
      </c>
      <c r="W160">
        <f t="shared" si="74"/>
        <v>3.9140755562961687</v>
      </c>
      <c r="X160">
        <f t="shared" si="75"/>
        <v>71.975767119050033</v>
      </c>
      <c r="Y160">
        <f t="shared" si="76"/>
        <v>2.5886972972981197</v>
      </c>
      <c r="Z160">
        <f t="shared" si="77"/>
        <v>3.5966234205136547</v>
      </c>
      <c r="AA160">
        <f t="shared" si="78"/>
        <v>1.325378258998049</v>
      </c>
      <c r="AB160">
        <f t="shared" si="79"/>
        <v>-102.35896999778657</v>
      </c>
      <c r="AC160">
        <f t="shared" si="80"/>
        <v>-156.88480847318516</v>
      </c>
      <c r="AD160">
        <f t="shared" si="81"/>
        <v>-16.993486069987863</v>
      </c>
      <c r="AE160">
        <f t="shared" si="82"/>
        <v>-0.1225755849595771</v>
      </c>
      <c r="AF160">
        <v>9</v>
      </c>
      <c r="AG160">
        <v>3</v>
      </c>
      <c r="AH160">
        <f t="shared" si="83"/>
        <v>1</v>
      </c>
      <c r="AI160">
        <f t="shared" si="84"/>
        <v>0</v>
      </c>
      <c r="AJ160">
        <f t="shared" si="85"/>
        <v>52207.565924162664</v>
      </c>
      <c r="AK160">
        <f t="shared" si="86"/>
        <v>1800</v>
      </c>
      <c r="AL160">
        <f t="shared" si="87"/>
        <v>1499.1117515999999</v>
      </c>
      <c r="AM160">
        <f t="shared" si="88"/>
        <v>0.83283986199999993</v>
      </c>
      <c r="AN160">
        <f t="shared" si="89"/>
        <v>0.15339704942000001</v>
      </c>
      <c r="AO160">
        <v>34.5</v>
      </c>
      <c r="AP160">
        <v>0.5</v>
      </c>
      <c r="AQ160" t="s">
        <v>331</v>
      </c>
      <c r="AR160">
        <v>2</v>
      </c>
      <c r="AS160">
        <v>1690378196</v>
      </c>
      <c r="AT160">
        <v>407.91500000000002</v>
      </c>
      <c r="AU160">
        <v>799.97</v>
      </c>
      <c r="AV160">
        <v>26.2166</v>
      </c>
      <c r="AW160">
        <v>0.24041000000000001</v>
      </c>
      <c r="AX160">
        <v>408.339</v>
      </c>
      <c r="AY160">
        <v>26.005400000000002</v>
      </c>
      <c r="AZ160">
        <v>300.18799999999999</v>
      </c>
      <c r="BA160">
        <v>98.642700000000005</v>
      </c>
      <c r="BB160">
        <v>9.9978200000000003E-2</v>
      </c>
      <c r="BC160">
        <v>27.082899999999999</v>
      </c>
      <c r="BD160">
        <v>26.987500000000001</v>
      </c>
      <c r="BE160">
        <v>28.603300000000001</v>
      </c>
      <c r="BF160">
        <v>0</v>
      </c>
      <c r="BG160">
        <v>0</v>
      </c>
      <c r="BH160">
        <v>10012.5</v>
      </c>
      <c r="BI160">
        <v>1083.3</v>
      </c>
      <c r="BJ160">
        <v>1.4016500000000001</v>
      </c>
      <c r="BK160">
        <v>-392.05500000000001</v>
      </c>
      <c r="BL160">
        <v>418.89699999999999</v>
      </c>
      <c r="BM160">
        <v>800.16300000000001</v>
      </c>
      <c r="BN160">
        <v>25.976199999999999</v>
      </c>
      <c r="BO160">
        <v>799.97</v>
      </c>
      <c r="BP160">
        <v>0.24041000000000001</v>
      </c>
      <c r="BQ160">
        <v>2.5860699999999999</v>
      </c>
      <c r="BR160">
        <v>2.3714699999999998E-2</v>
      </c>
      <c r="BS160">
        <v>21.578600000000002</v>
      </c>
      <c r="BT160">
        <v>-37.771299999999997</v>
      </c>
      <c r="BU160">
        <v>1800</v>
      </c>
      <c r="BV160">
        <v>0.91000800000000004</v>
      </c>
      <c r="BW160">
        <v>3.4005100000000003E-2</v>
      </c>
      <c r="BX160">
        <v>2.1995600000000001E-2</v>
      </c>
      <c r="BY160">
        <v>3.3991199999999999E-2</v>
      </c>
      <c r="BZ160">
        <v>25</v>
      </c>
      <c r="CA160">
        <v>33528.5</v>
      </c>
      <c r="CB160">
        <v>1690376213.5999999</v>
      </c>
      <c r="CC160" t="s">
        <v>332</v>
      </c>
      <c r="CD160">
        <v>1690376213.5999999</v>
      </c>
      <c r="CE160">
        <v>1690376198.0999999</v>
      </c>
      <c r="CF160">
        <v>2</v>
      </c>
      <c r="CG160">
        <v>0.66900000000000004</v>
      </c>
      <c r="CH160">
        <v>-2.1000000000000001E-2</v>
      </c>
      <c r="CI160">
        <v>-0.70099999999999996</v>
      </c>
      <c r="CJ160">
        <v>0.21099999999999999</v>
      </c>
      <c r="CK160">
        <v>799</v>
      </c>
      <c r="CL160">
        <v>21</v>
      </c>
      <c r="CM160">
        <v>0.11</v>
      </c>
      <c r="CN160">
        <v>0.17</v>
      </c>
      <c r="CO160">
        <v>-390.76952499999999</v>
      </c>
      <c r="CP160">
        <v>-7.6150806754207609</v>
      </c>
      <c r="CQ160">
        <v>0.73487743833580943</v>
      </c>
      <c r="CR160">
        <v>-1</v>
      </c>
      <c r="CS160">
        <v>25.914725000000001</v>
      </c>
      <c r="CT160">
        <v>0.34333733583479592</v>
      </c>
      <c r="CU160">
        <v>3.3058937898850178E-2</v>
      </c>
      <c r="CV160">
        <v>-1</v>
      </c>
      <c r="CW160">
        <v>0</v>
      </c>
      <c r="CX160">
        <v>0</v>
      </c>
      <c r="CY160" t="s">
        <v>333</v>
      </c>
      <c r="CZ160">
        <v>2.3652600000000001</v>
      </c>
      <c r="DA160">
        <v>2.7137799999999999</v>
      </c>
      <c r="DB160">
        <v>9.0635300000000002E-2</v>
      </c>
      <c r="DC160">
        <v>0.14552300000000001</v>
      </c>
      <c r="DD160">
        <v>0.120751</v>
      </c>
      <c r="DE160">
        <v>2.0086800000000001E-3</v>
      </c>
      <c r="DF160">
        <v>33217.699999999997</v>
      </c>
      <c r="DG160">
        <v>27539.200000000001</v>
      </c>
      <c r="DH160">
        <v>31182.6</v>
      </c>
      <c r="DI160">
        <v>28082.3</v>
      </c>
      <c r="DJ160">
        <v>37212</v>
      </c>
      <c r="DK160">
        <v>39848.300000000003</v>
      </c>
      <c r="DL160">
        <v>44375.199999999997</v>
      </c>
      <c r="DM160">
        <v>42550.2</v>
      </c>
      <c r="DN160">
        <v>1.44783</v>
      </c>
      <c r="DO160">
        <v>2.0452699999999999</v>
      </c>
      <c r="DP160">
        <v>8.9414400000000005E-2</v>
      </c>
      <c r="DQ160">
        <v>0.18831300000000001</v>
      </c>
      <c r="DR160">
        <v>25.523399999999999</v>
      </c>
      <c r="DS160">
        <v>25.524000000000001</v>
      </c>
      <c r="DT160">
        <v>37</v>
      </c>
      <c r="DU160">
        <v>27.2</v>
      </c>
      <c r="DV160">
        <v>13.584099999999999</v>
      </c>
      <c r="DW160">
        <v>60.910200000000003</v>
      </c>
      <c r="DX160">
        <v>36.834899999999998</v>
      </c>
      <c r="DY160">
        <v>1</v>
      </c>
      <c r="DZ160">
        <v>-0.13622200000000001</v>
      </c>
      <c r="EA160">
        <v>-0.54967299999999997</v>
      </c>
      <c r="EB160">
        <v>20.189399999999999</v>
      </c>
      <c r="EC160">
        <v>5.2413999999999996</v>
      </c>
      <c r="ED160">
        <v>12.039899999999999</v>
      </c>
      <c r="EE160">
        <v>5.0170500000000002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1.86886</v>
      </c>
      <c r="EL160">
        <v>1.8645499999999999</v>
      </c>
      <c r="EM160">
        <v>1.8691800000000001</v>
      </c>
      <c r="EN160">
        <v>1.86721</v>
      </c>
      <c r="EO160">
        <v>1.8632899999999999</v>
      </c>
      <c r="EP160">
        <v>1.86432</v>
      </c>
      <c r="EQ160">
        <v>1.87012</v>
      </c>
      <c r="ER160">
        <v>1.8693500000000001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-0.42399999999999999</v>
      </c>
      <c r="FG160">
        <v>0.2112</v>
      </c>
      <c r="FH160">
        <v>-0.150361779349652</v>
      </c>
      <c r="FI160">
        <v>-6.1462078757559423E-4</v>
      </c>
      <c r="FJ160">
        <v>-1.8861989874597051E-7</v>
      </c>
      <c r="FK160">
        <v>1.1980462299894961E-10</v>
      </c>
      <c r="FL160">
        <v>0.21114761904761539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33</v>
      </c>
      <c r="FU160">
        <v>33.299999999999997</v>
      </c>
      <c r="FV160">
        <v>1.7675799999999999</v>
      </c>
      <c r="FW160">
        <v>2.5695800000000002</v>
      </c>
      <c r="FX160">
        <v>1.5490699999999999</v>
      </c>
      <c r="FY160">
        <v>2.33643</v>
      </c>
      <c r="FZ160">
        <v>1.50024</v>
      </c>
      <c r="GA160">
        <v>2.3999000000000001</v>
      </c>
      <c r="GB160">
        <v>32.288699999999999</v>
      </c>
      <c r="GC160">
        <v>23.991199999999999</v>
      </c>
      <c r="GD160">
        <v>19</v>
      </c>
      <c r="GE160">
        <v>268.74299999999999</v>
      </c>
      <c r="GF160">
        <v>584.178</v>
      </c>
      <c r="GG160">
        <v>25.86</v>
      </c>
      <c r="GH160">
        <v>25.7209</v>
      </c>
      <c r="GI160">
        <v>30.0002</v>
      </c>
      <c r="GJ160">
        <v>25.8187</v>
      </c>
      <c r="GK160">
        <v>25.7821</v>
      </c>
      <c r="GL160">
        <v>35.332999999999998</v>
      </c>
      <c r="GM160">
        <v>100</v>
      </c>
      <c r="GN160">
        <v>30.0428</v>
      </c>
      <c r="GO160">
        <v>25.8691</v>
      </c>
      <c r="GP160">
        <v>800</v>
      </c>
      <c r="GQ160">
        <v>0</v>
      </c>
      <c r="GR160">
        <v>99.770200000000003</v>
      </c>
      <c r="GS160">
        <v>99.551599999999993</v>
      </c>
    </row>
    <row r="161" spans="1:201" x14ac:dyDescent="0.25">
      <c r="A161">
        <v>145</v>
      </c>
      <c r="B161">
        <v>1690378206</v>
      </c>
      <c r="C161">
        <v>1489.5</v>
      </c>
      <c r="D161" t="s">
        <v>623</v>
      </c>
      <c r="E161" t="s">
        <v>624</v>
      </c>
      <c r="F161" t="s">
        <v>330</v>
      </c>
      <c r="H161">
        <v>1690378206</v>
      </c>
      <c r="I161">
        <f t="shared" si="60"/>
        <v>2.325114745543417E-3</v>
      </c>
      <c r="J161">
        <f t="shared" si="61"/>
        <v>2.3251147455434169</v>
      </c>
      <c r="K161">
        <f t="shared" si="62"/>
        <v>33.246761373546967</v>
      </c>
      <c r="L161">
        <f t="shared" si="63"/>
        <v>406.88900000000001</v>
      </c>
      <c r="M161">
        <f t="shared" si="64"/>
        <v>87.0256076332291</v>
      </c>
      <c r="N161">
        <f t="shared" si="65"/>
        <v>8.5929982646193146</v>
      </c>
      <c r="O161">
        <f t="shared" si="66"/>
        <v>40.176639566003495</v>
      </c>
      <c r="P161">
        <f t="shared" si="67"/>
        <v>0.17620885908903167</v>
      </c>
      <c r="Q161">
        <f t="shared" si="68"/>
        <v>2.0101377883825182</v>
      </c>
      <c r="R161">
        <f t="shared" si="69"/>
        <v>0.16805525037354965</v>
      </c>
      <c r="S161">
        <f t="shared" si="70"/>
        <v>0.10573565543689933</v>
      </c>
      <c r="T161">
        <f t="shared" si="71"/>
        <v>276.11461989000009</v>
      </c>
      <c r="U161">
        <f t="shared" si="72"/>
        <v>28.532988940324806</v>
      </c>
      <c r="V161">
        <f t="shared" si="73"/>
        <v>28.532988940324806</v>
      </c>
      <c r="W161">
        <f t="shared" si="74"/>
        <v>3.9143611671787144</v>
      </c>
      <c r="X161">
        <f t="shared" si="75"/>
        <v>72.086421468294077</v>
      </c>
      <c r="Y161">
        <f t="shared" si="76"/>
        <v>2.5932554584907996</v>
      </c>
      <c r="Z161">
        <f t="shared" si="77"/>
        <v>3.5974257088505861</v>
      </c>
      <c r="AA161">
        <f t="shared" si="78"/>
        <v>1.3211057086879148</v>
      </c>
      <c r="AB161">
        <f t="shared" si="79"/>
        <v>-102.5375602784647</v>
      </c>
      <c r="AC161">
        <f t="shared" si="80"/>
        <v>-156.7351256762322</v>
      </c>
      <c r="AD161">
        <f t="shared" si="81"/>
        <v>-16.964081941791552</v>
      </c>
      <c r="AE161">
        <f t="shared" si="82"/>
        <v>-0.12214800648837354</v>
      </c>
      <c r="AF161">
        <v>9</v>
      </c>
      <c r="AG161">
        <v>3</v>
      </c>
      <c r="AH161">
        <f t="shared" si="83"/>
        <v>1</v>
      </c>
      <c r="AI161">
        <f t="shared" si="84"/>
        <v>0</v>
      </c>
      <c r="AJ161">
        <f t="shared" si="85"/>
        <v>52284.031000187417</v>
      </c>
      <c r="AK161">
        <f t="shared" si="86"/>
        <v>1800</v>
      </c>
      <c r="AL161">
        <f t="shared" si="87"/>
        <v>1499.1114599999999</v>
      </c>
      <c r="AM161">
        <f t="shared" si="88"/>
        <v>0.83283969999999996</v>
      </c>
      <c r="AN161">
        <f t="shared" si="89"/>
        <v>0.15339701105000003</v>
      </c>
      <c r="AO161">
        <v>34.5</v>
      </c>
      <c r="AP161">
        <v>0.5</v>
      </c>
      <c r="AQ161" t="s">
        <v>331</v>
      </c>
      <c r="AR161">
        <v>2</v>
      </c>
      <c r="AS161">
        <v>1690378206</v>
      </c>
      <c r="AT161">
        <v>406.88900000000001</v>
      </c>
      <c r="AU161">
        <v>799.92700000000002</v>
      </c>
      <c r="AV161">
        <v>26.263200000000001</v>
      </c>
      <c r="AW161">
        <v>0.238512</v>
      </c>
      <c r="AX161">
        <v>407.31299999999999</v>
      </c>
      <c r="AY161">
        <v>26.052</v>
      </c>
      <c r="AZ161">
        <v>300.137</v>
      </c>
      <c r="BA161">
        <v>98.641099999999994</v>
      </c>
      <c r="BB161">
        <v>9.9931500000000006E-2</v>
      </c>
      <c r="BC161">
        <v>27.0867</v>
      </c>
      <c r="BD161">
        <v>26.984000000000002</v>
      </c>
      <c r="BE161">
        <v>28.622</v>
      </c>
      <c r="BF161">
        <v>0</v>
      </c>
      <c r="BG161">
        <v>0</v>
      </c>
      <c r="BH161">
        <v>10028.1</v>
      </c>
      <c r="BI161">
        <v>1083.3699999999999</v>
      </c>
      <c r="BJ161">
        <v>1.4016500000000001</v>
      </c>
      <c r="BK161">
        <v>-393.03899999999999</v>
      </c>
      <c r="BL161">
        <v>417.863</v>
      </c>
      <c r="BM161">
        <v>800.11800000000005</v>
      </c>
      <c r="BN161">
        <v>26.0246</v>
      </c>
      <c r="BO161">
        <v>799.92700000000002</v>
      </c>
      <c r="BP161">
        <v>0.238512</v>
      </c>
      <c r="BQ161">
        <v>2.59063</v>
      </c>
      <c r="BR161">
        <v>2.3526999999999999E-2</v>
      </c>
      <c r="BS161">
        <v>21.607299999999999</v>
      </c>
      <c r="BT161">
        <v>-37.848999999999997</v>
      </c>
      <c r="BU161">
        <v>1800</v>
      </c>
      <c r="BV161">
        <v>0.91000800000000004</v>
      </c>
      <c r="BW161">
        <v>3.4005100000000003E-2</v>
      </c>
      <c r="BX161">
        <v>2.1995500000000001E-2</v>
      </c>
      <c r="BY161">
        <v>3.3991100000000003E-2</v>
      </c>
      <c r="BZ161">
        <v>25</v>
      </c>
      <c r="CA161">
        <v>33528.400000000001</v>
      </c>
      <c r="CB161">
        <v>1690376213.5999999</v>
      </c>
      <c r="CC161" t="s">
        <v>332</v>
      </c>
      <c r="CD161">
        <v>1690376213.5999999</v>
      </c>
      <c r="CE161">
        <v>1690376198.0999999</v>
      </c>
      <c r="CF161">
        <v>2</v>
      </c>
      <c r="CG161">
        <v>0.66900000000000004</v>
      </c>
      <c r="CH161">
        <v>-2.1000000000000001E-2</v>
      </c>
      <c r="CI161">
        <v>-0.70099999999999996</v>
      </c>
      <c r="CJ161">
        <v>0.21099999999999999</v>
      </c>
      <c r="CK161">
        <v>799</v>
      </c>
      <c r="CL161">
        <v>21</v>
      </c>
      <c r="CM161">
        <v>0.11</v>
      </c>
      <c r="CN161">
        <v>0.17</v>
      </c>
      <c r="CO161">
        <v>-391.87570731707319</v>
      </c>
      <c r="CP161">
        <v>-7.1909059233454942</v>
      </c>
      <c r="CQ161">
        <v>0.71265423641354264</v>
      </c>
      <c r="CR161">
        <v>-1</v>
      </c>
      <c r="CS161">
        <v>25.965360975609759</v>
      </c>
      <c r="CT161">
        <v>0.31563554006971078</v>
      </c>
      <c r="CU161">
        <v>3.1157678285157191E-2</v>
      </c>
      <c r="CV161">
        <v>-1</v>
      </c>
      <c r="CW161">
        <v>0</v>
      </c>
      <c r="CX161">
        <v>0</v>
      </c>
      <c r="CY161" t="s">
        <v>333</v>
      </c>
      <c r="CZ161">
        <v>2.3650699999999998</v>
      </c>
      <c r="DA161">
        <v>2.7137500000000001</v>
      </c>
      <c r="DB161">
        <v>9.0459999999999999E-2</v>
      </c>
      <c r="DC161">
        <v>0.14551500000000001</v>
      </c>
      <c r="DD161">
        <v>0.12089800000000001</v>
      </c>
      <c r="DE161">
        <v>1.9930199999999999E-3</v>
      </c>
      <c r="DF161">
        <v>33223.699999999997</v>
      </c>
      <c r="DG161">
        <v>27540</v>
      </c>
      <c r="DH161">
        <v>31182.1</v>
      </c>
      <c r="DI161">
        <v>28082.799999999999</v>
      </c>
      <c r="DJ161">
        <v>37205.199999999997</v>
      </c>
      <c r="DK161">
        <v>39849.699999999997</v>
      </c>
      <c r="DL161">
        <v>44374.7</v>
      </c>
      <c r="DM161">
        <v>42551</v>
      </c>
      <c r="DN161">
        <v>1.4480500000000001</v>
      </c>
      <c r="DO161">
        <v>2.0452699999999999</v>
      </c>
      <c r="DP161">
        <v>8.9265399999999995E-2</v>
      </c>
      <c r="DQ161">
        <v>0.18949099999999999</v>
      </c>
      <c r="DR161">
        <v>25.522400000000001</v>
      </c>
      <c r="DS161">
        <v>25.523399999999999</v>
      </c>
      <c r="DT161">
        <v>36.700000000000003</v>
      </c>
      <c r="DU161">
        <v>27.2</v>
      </c>
      <c r="DV161">
        <v>13.4748</v>
      </c>
      <c r="DW161">
        <v>60.840200000000003</v>
      </c>
      <c r="DX161">
        <v>36.883000000000003</v>
      </c>
      <c r="DY161">
        <v>1</v>
      </c>
      <c r="DZ161">
        <v>-0.13619899999999999</v>
      </c>
      <c r="EA161">
        <v>-0.56981800000000005</v>
      </c>
      <c r="EB161">
        <v>20.189299999999999</v>
      </c>
      <c r="EC161">
        <v>5.2418500000000003</v>
      </c>
      <c r="ED161">
        <v>12.039899999999999</v>
      </c>
      <c r="EE161">
        <v>5.01715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1.8688400000000001</v>
      </c>
      <c r="EL161">
        <v>1.8645400000000001</v>
      </c>
      <c r="EM161">
        <v>1.8691899999999999</v>
      </c>
      <c r="EN161">
        <v>1.86721</v>
      </c>
      <c r="EO161">
        <v>1.86328</v>
      </c>
      <c r="EP161">
        <v>1.86432</v>
      </c>
      <c r="EQ161">
        <v>1.87012</v>
      </c>
      <c r="ER161">
        <v>1.8693500000000001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-0.42399999999999999</v>
      </c>
      <c r="FG161">
        <v>0.2112</v>
      </c>
      <c r="FH161">
        <v>-0.150361779349652</v>
      </c>
      <c r="FI161">
        <v>-6.1462078757559423E-4</v>
      </c>
      <c r="FJ161">
        <v>-1.8861989874597051E-7</v>
      </c>
      <c r="FK161">
        <v>1.1980462299894961E-10</v>
      </c>
      <c r="FL161">
        <v>0.21114761904761539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33.200000000000003</v>
      </c>
      <c r="FU161">
        <v>33.5</v>
      </c>
      <c r="FV161">
        <v>1.7675799999999999</v>
      </c>
      <c r="FW161">
        <v>2.5695800000000002</v>
      </c>
      <c r="FX161">
        <v>1.5490699999999999</v>
      </c>
      <c r="FY161">
        <v>2.33643</v>
      </c>
      <c r="FZ161">
        <v>1.50146</v>
      </c>
      <c r="GA161">
        <v>2.4047900000000002</v>
      </c>
      <c r="GB161">
        <v>32.288699999999999</v>
      </c>
      <c r="GC161">
        <v>23.991199999999999</v>
      </c>
      <c r="GD161">
        <v>19</v>
      </c>
      <c r="GE161">
        <v>268.84399999999999</v>
      </c>
      <c r="GF161">
        <v>584.178</v>
      </c>
      <c r="GG161">
        <v>25.870699999999999</v>
      </c>
      <c r="GH161">
        <v>25.7209</v>
      </c>
      <c r="GI161">
        <v>30.0002</v>
      </c>
      <c r="GJ161">
        <v>25.820900000000002</v>
      </c>
      <c r="GK161">
        <v>25.7821</v>
      </c>
      <c r="GL161">
        <v>35.334600000000002</v>
      </c>
      <c r="GM161">
        <v>100</v>
      </c>
      <c r="GN161">
        <v>29.2441</v>
      </c>
      <c r="GO161">
        <v>25.8751</v>
      </c>
      <c r="GP161">
        <v>800</v>
      </c>
      <c r="GQ161">
        <v>0</v>
      </c>
      <c r="GR161">
        <v>99.769000000000005</v>
      </c>
      <c r="GS161">
        <v>99.553600000000003</v>
      </c>
    </row>
    <row r="162" spans="1:201" x14ac:dyDescent="0.25">
      <c r="A162">
        <v>146</v>
      </c>
      <c r="B162">
        <v>1690378216</v>
      </c>
      <c r="C162">
        <v>1499.5</v>
      </c>
      <c r="D162" t="s">
        <v>625</v>
      </c>
      <c r="E162" t="s">
        <v>626</v>
      </c>
      <c r="F162" t="s">
        <v>330</v>
      </c>
      <c r="H162">
        <v>1690378216</v>
      </c>
      <c r="I162">
        <f t="shared" si="60"/>
        <v>2.3296829556299099E-3</v>
      </c>
      <c r="J162">
        <f t="shared" si="61"/>
        <v>2.3296829556299099</v>
      </c>
      <c r="K162">
        <f t="shared" si="62"/>
        <v>33.359839502880945</v>
      </c>
      <c r="L162">
        <f t="shared" si="63"/>
        <v>405.69499999999999</v>
      </c>
      <c r="M162">
        <f t="shared" si="64"/>
        <v>86.376305094139354</v>
      </c>
      <c r="N162">
        <f t="shared" si="65"/>
        <v>8.5289845789641205</v>
      </c>
      <c r="O162">
        <f t="shared" si="66"/>
        <v>40.059208309405001</v>
      </c>
      <c r="P162">
        <f t="shared" si="67"/>
        <v>0.17715688035690841</v>
      </c>
      <c r="Q162">
        <f t="shared" si="68"/>
        <v>2.0031489354019265</v>
      </c>
      <c r="R162">
        <f t="shared" si="69"/>
        <v>0.16889020039697142</v>
      </c>
      <c r="S162">
        <f t="shared" si="70"/>
        <v>0.10626695245357005</v>
      </c>
      <c r="T162">
        <f t="shared" si="71"/>
        <v>276.11465736599996</v>
      </c>
      <c r="U162">
        <f t="shared" si="72"/>
        <v>28.535860223361492</v>
      </c>
      <c r="V162">
        <f t="shared" si="73"/>
        <v>28.535860223361492</v>
      </c>
      <c r="W162">
        <f t="shared" si="74"/>
        <v>3.9150138346397809</v>
      </c>
      <c r="X162">
        <f t="shared" si="75"/>
        <v>72.214892456148831</v>
      </c>
      <c r="Y162">
        <f t="shared" si="76"/>
        <v>2.5978771068363002</v>
      </c>
      <c r="Z162">
        <f t="shared" si="77"/>
        <v>3.5974257088505861</v>
      </c>
      <c r="AA162">
        <f t="shared" si="78"/>
        <v>1.3171367278034807</v>
      </c>
      <c r="AB162">
        <f t="shared" si="79"/>
        <v>-102.73901834327903</v>
      </c>
      <c r="AC162">
        <f t="shared" si="80"/>
        <v>-156.5002691965216</v>
      </c>
      <c r="AD162">
        <f t="shared" si="81"/>
        <v>-16.99800409080278</v>
      </c>
      <c r="AE162">
        <f t="shared" si="82"/>
        <v>-0.12263426460347659</v>
      </c>
      <c r="AF162">
        <v>8</v>
      </c>
      <c r="AG162">
        <v>3</v>
      </c>
      <c r="AH162">
        <f t="shared" si="83"/>
        <v>1</v>
      </c>
      <c r="AI162">
        <f t="shared" si="84"/>
        <v>0</v>
      </c>
      <c r="AJ162">
        <f t="shared" si="85"/>
        <v>51950.226002864896</v>
      </c>
      <c r="AK162">
        <f t="shared" si="86"/>
        <v>1800</v>
      </c>
      <c r="AL162">
        <f t="shared" si="87"/>
        <v>1499.1122915999999</v>
      </c>
      <c r="AM162">
        <f t="shared" si="88"/>
        <v>0.83284016199999999</v>
      </c>
      <c r="AN162">
        <f t="shared" si="89"/>
        <v>0.15339703186999998</v>
      </c>
      <c r="AO162">
        <v>34.5</v>
      </c>
      <c r="AP162">
        <v>0.5</v>
      </c>
      <c r="AQ162" t="s">
        <v>331</v>
      </c>
      <c r="AR162">
        <v>2</v>
      </c>
      <c r="AS162">
        <v>1690378216</v>
      </c>
      <c r="AT162">
        <v>405.69499999999999</v>
      </c>
      <c r="AU162">
        <v>800.01300000000003</v>
      </c>
      <c r="AV162">
        <v>26.309699999999999</v>
      </c>
      <c r="AW162">
        <v>0.235734</v>
      </c>
      <c r="AX162">
        <v>406.11799999999999</v>
      </c>
      <c r="AY162">
        <v>26.098600000000001</v>
      </c>
      <c r="AZ162">
        <v>300.14400000000001</v>
      </c>
      <c r="BA162">
        <v>98.642200000000003</v>
      </c>
      <c r="BB162">
        <v>9.9978999999999998E-2</v>
      </c>
      <c r="BC162">
        <v>27.0867</v>
      </c>
      <c r="BD162">
        <v>26.995799999999999</v>
      </c>
      <c r="BE162">
        <v>28.641200000000001</v>
      </c>
      <c r="BF162">
        <v>0</v>
      </c>
      <c r="BG162">
        <v>0</v>
      </c>
      <c r="BH162">
        <v>9961.25</v>
      </c>
      <c r="BI162">
        <v>1083.3900000000001</v>
      </c>
      <c r="BJ162">
        <v>1.4016500000000001</v>
      </c>
      <c r="BK162">
        <v>-394.31799999999998</v>
      </c>
      <c r="BL162">
        <v>416.65699999999998</v>
      </c>
      <c r="BM162">
        <v>800.202</v>
      </c>
      <c r="BN162">
        <v>26.074000000000002</v>
      </c>
      <c r="BO162">
        <v>800.01300000000003</v>
      </c>
      <c r="BP162">
        <v>0.235734</v>
      </c>
      <c r="BQ162">
        <v>2.5952500000000001</v>
      </c>
      <c r="BR162">
        <v>2.3253300000000001E-2</v>
      </c>
      <c r="BS162">
        <v>21.636500000000002</v>
      </c>
      <c r="BT162">
        <v>-37.9634</v>
      </c>
      <c r="BU162">
        <v>1800</v>
      </c>
      <c r="BV162">
        <v>0.91000999999999999</v>
      </c>
      <c r="BW162">
        <v>3.40045E-2</v>
      </c>
      <c r="BX162">
        <v>2.19951E-2</v>
      </c>
      <c r="BY162">
        <v>3.39905E-2</v>
      </c>
      <c r="BZ162">
        <v>25</v>
      </c>
      <c r="CA162">
        <v>33528.5</v>
      </c>
      <c r="CB162">
        <v>1690376213.5999999</v>
      </c>
      <c r="CC162" t="s">
        <v>332</v>
      </c>
      <c r="CD162">
        <v>1690376213.5999999</v>
      </c>
      <c r="CE162">
        <v>1690376198.0999999</v>
      </c>
      <c r="CF162">
        <v>2</v>
      </c>
      <c r="CG162">
        <v>0.66900000000000004</v>
      </c>
      <c r="CH162">
        <v>-2.1000000000000001E-2</v>
      </c>
      <c r="CI162">
        <v>-0.70099999999999996</v>
      </c>
      <c r="CJ162">
        <v>0.21099999999999999</v>
      </c>
      <c r="CK162">
        <v>799</v>
      </c>
      <c r="CL162">
        <v>21</v>
      </c>
      <c r="CM162">
        <v>0.11</v>
      </c>
      <c r="CN162">
        <v>0.17</v>
      </c>
      <c r="CO162">
        <v>-393.09736585365852</v>
      </c>
      <c r="CP162">
        <v>-6.5779651567940842</v>
      </c>
      <c r="CQ162">
        <v>0.6512567121922761</v>
      </c>
      <c r="CR162">
        <v>-1</v>
      </c>
      <c r="CS162">
        <v>26.02170487804878</v>
      </c>
      <c r="CT162">
        <v>0.29578536585368631</v>
      </c>
      <c r="CU162">
        <v>2.9173433882512371E-2</v>
      </c>
      <c r="CV162">
        <v>-1</v>
      </c>
      <c r="CW162">
        <v>0</v>
      </c>
      <c r="CX162">
        <v>0</v>
      </c>
      <c r="CY162" t="s">
        <v>333</v>
      </c>
      <c r="CZ162">
        <v>2.3651</v>
      </c>
      <c r="DA162">
        <v>2.71374</v>
      </c>
      <c r="DB162">
        <v>9.0259000000000006E-2</v>
      </c>
      <c r="DC162">
        <v>0.14552699999999999</v>
      </c>
      <c r="DD162">
        <v>0.121049</v>
      </c>
      <c r="DE162">
        <v>1.97014E-3</v>
      </c>
      <c r="DF162">
        <v>33231.199999999997</v>
      </c>
      <c r="DG162">
        <v>27539.4</v>
      </c>
      <c r="DH162">
        <v>31182.3</v>
      </c>
      <c r="DI162">
        <v>28082.6</v>
      </c>
      <c r="DJ162">
        <v>37199</v>
      </c>
      <c r="DK162">
        <v>39850.199999999997</v>
      </c>
      <c r="DL162">
        <v>44375</v>
      </c>
      <c r="DM162">
        <v>42550.6</v>
      </c>
      <c r="DN162">
        <v>1.4482999999999999</v>
      </c>
      <c r="DO162">
        <v>2.04515</v>
      </c>
      <c r="DP162">
        <v>9.0055200000000002E-2</v>
      </c>
      <c r="DQ162">
        <v>0.19076499999999999</v>
      </c>
      <c r="DR162">
        <v>25.5213</v>
      </c>
      <c r="DS162">
        <v>25.521799999999999</v>
      </c>
      <c r="DT162">
        <v>36.299999999999997</v>
      </c>
      <c r="DU162">
        <v>27.3</v>
      </c>
      <c r="DV162">
        <v>13.404999999999999</v>
      </c>
      <c r="DW162">
        <v>60.8902</v>
      </c>
      <c r="DX162">
        <v>36.806899999999999</v>
      </c>
      <c r="DY162">
        <v>1</v>
      </c>
      <c r="DZ162">
        <v>-0.13631099999999999</v>
      </c>
      <c r="EA162">
        <v>-0.59230700000000003</v>
      </c>
      <c r="EB162">
        <v>20.1891</v>
      </c>
      <c r="EC162">
        <v>5.242</v>
      </c>
      <c r="ED162">
        <v>12.039899999999999</v>
      </c>
      <c r="EE162">
        <v>5.01715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1.86887</v>
      </c>
      <c r="EL162">
        <v>1.86453</v>
      </c>
      <c r="EM162">
        <v>1.8691899999999999</v>
      </c>
      <c r="EN162">
        <v>1.8672</v>
      </c>
      <c r="EO162">
        <v>1.86328</v>
      </c>
      <c r="EP162">
        <v>1.8643400000000001</v>
      </c>
      <c r="EQ162">
        <v>1.87012</v>
      </c>
      <c r="ER162">
        <v>1.8693599999999999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-0.42299999999999999</v>
      </c>
      <c r="FG162">
        <v>0.21110000000000001</v>
      </c>
      <c r="FH162">
        <v>-0.150361779349652</v>
      </c>
      <c r="FI162">
        <v>-6.1462078757559423E-4</v>
      </c>
      <c r="FJ162">
        <v>-1.8861989874597051E-7</v>
      </c>
      <c r="FK162">
        <v>1.1980462299894961E-10</v>
      </c>
      <c r="FL162">
        <v>0.21114761904761539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33.4</v>
      </c>
      <c r="FU162">
        <v>33.6</v>
      </c>
      <c r="FV162">
        <v>1.7675799999999999</v>
      </c>
      <c r="FW162">
        <v>2.5695800000000002</v>
      </c>
      <c r="FX162">
        <v>1.5490699999999999</v>
      </c>
      <c r="FY162">
        <v>2.33765</v>
      </c>
      <c r="FZ162">
        <v>1.50146</v>
      </c>
      <c r="GA162">
        <v>2.3303199999999999</v>
      </c>
      <c r="GB162">
        <v>32.288699999999999</v>
      </c>
      <c r="GC162">
        <v>23.991199999999999</v>
      </c>
      <c r="GD162">
        <v>19</v>
      </c>
      <c r="GE162">
        <v>268.94600000000003</v>
      </c>
      <c r="GF162">
        <v>584.09900000000005</v>
      </c>
      <c r="GG162">
        <v>25.8811</v>
      </c>
      <c r="GH162">
        <v>25.722100000000001</v>
      </c>
      <c r="GI162">
        <v>30.0001</v>
      </c>
      <c r="GJ162">
        <v>25.820900000000002</v>
      </c>
      <c r="GK162">
        <v>25.784199999999998</v>
      </c>
      <c r="GL162">
        <v>35.333500000000001</v>
      </c>
      <c r="GM162">
        <v>100</v>
      </c>
      <c r="GN162">
        <v>28.475000000000001</v>
      </c>
      <c r="GO162">
        <v>25.883800000000001</v>
      </c>
      <c r="GP162">
        <v>800</v>
      </c>
      <c r="GQ162">
        <v>0</v>
      </c>
      <c r="GR162">
        <v>99.769599999999997</v>
      </c>
      <c r="GS162">
        <v>99.552599999999998</v>
      </c>
    </row>
    <row r="163" spans="1:201" x14ac:dyDescent="0.25">
      <c r="A163">
        <v>147</v>
      </c>
      <c r="B163">
        <v>1690378226</v>
      </c>
      <c r="C163">
        <v>1509.5</v>
      </c>
      <c r="D163" t="s">
        <v>627</v>
      </c>
      <c r="E163" t="s">
        <v>628</v>
      </c>
      <c r="F163" t="s">
        <v>330</v>
      </c>
      <c r="H163">
        <v>1690378226</v>
      </c>
      <c r="I163">
        <f t="shared" si="60"/>
        <v>2.3344091574875152E-3</v>
      </c>
      <c r="J163">
        <f t="shared" si="61"/>
        <v>2.334409157487515</v>
      </c>
      <c r="K163">
        <f t="shared" si="62"/>
        <v>33.461879170878035</v>
      </c>
      <c r="L163">
        <f t="shared" si="63"/>
        <v>404.61799999999999</v>
      </c>
      <c r="M163">
        <f t="shared" si="64"/>
        <v>86.298658000470539</v>
      </c>
      <c r="N163">
        <f t="shared" si="65"/>
        <v>8.5217871730390815</v>
      </c>
      <c r="O163">
        <f t="shared" si="66"/>
        <v>39.955064913777996</v>
      </c>
      <c r="P163">
        <f t="shared" si="67"/>
        <v>0.17828254466234594</v>
      </c>
      <c r="Q163">
        <f t="shared" si="68"/>
        <v>2.0057637472440244</v>
      </c>
      <c r="R163">
        <f t="shared" si="69"/>
        <v>0.16992350479203194</v>
      </c>
      <c r="S163">
        <f t="shared" si="70"/>
        <v>0.10692055069003026</v>
      </c>
      <c r="T163">
        <f t="shared" si="71"/>
        <v>276.11465736599996</v>
      </c>
      <c r="U163">
        <f t="shared" si="72"/>
        <v>28.533812652685747</v>
      </c>
      <c r="V163">
        <f t="shared" si="73"/>
        <v>28.533812652685747</v>
      </c>
      <c r="W163">
        <f t="shared" si="74"/>
        <v>3.9145483944126722</v>
      </c>
      <c r="X163">
        <f t="shared" si="75"/>
        <v>72.343587331955831</v>
      </c>
      <c r="Y163">
        <f t="shared" si="76"/>
        <v>2.6027206709832997</v>
      </c>
      <c r="Z163">
        <f t="shared" si="77"/>
        <v>3.5977213281399139</v>
      </c>
      <c r="AA163">
        <f t="shared" si="78"/>
        <v>1.3118277234293725</v>
      </c>
      <c r="AB163">
        <f t="shared" si="79"/>
        <v>-102.94744384519942</v>
      </c>
      <c r="AC163">
        <f t="shared" si="80"/>
        <v>-156.33175478877263</v>
      </c>
      <c r="AD163">
        <f t="shared" si="81"/>
        <v>-16.95751039668373</v>
      </c>
      <c r="AE163">
        <f t="shared" si="82"/>
        <v>-0.12205166465582806</v>
      </c>
      <c r="AF163">
        <v>9</v>
      </c>
      <c r="AG163">
        <v>3</v>
      </c>
      <c r="AH163">
        <f t="shared" si="83"/>
        <v>1</v>
      </c>
      <c r="AI163">
        <f t="shared" si="84"/>
        <v>0</v>
      </c>
      <c r="AJ163">
        <f t="shared" si="85"/>
        <v>52074.809582246991</v>
      </c>
      <c r="AK163">
        <f t="shared" si="86"/>
        <v>1800</v>
      </c>
      <c r="AL163">
        <f t="shared" si="87"/>
        <v>1499.1122915999999</v>
      </c>
      <c r="AM163">
        <f t="shared" si="88"/>
        <v>0.83284016199999999</v>
      </c>
      <c r="AN163">
        <f t="shared" si="89"/>
        <v>0.15339703186999998</v>
      </c>
      <c r="AO163">
        <v>34.5</v>
      </c>
      <c r="AP163">
        <v>0.5</v>
      </c>
      <c r="AQ163" t="s">
        <v>331</v>
      </c>
      <c r="AR163">
        <v>2</v>
      </c>
      <c r="AS163">
        <v>1690378226</v>
      </c>
      <c r="AT163">
        <v>404.61799999999999</v>
      </c>
      <c r="AU163">
        <v>800.077</v>
      </c>
      <c r="AV163">
        <v>26.357299999999999</v>
      </c>
      <c r="AW163">
        <v>0.23336899999999999</v>
      </c>
      <c r="AX163">
        <v>405.04</v>
      </c>
      <c r="AY163">
        <v>26.146100000000001</v>
      </c>
      <c r="AZ163">
        <v>300.16300000000001</v>
      </c>
      <c r="BA163">
        <v>98.647599999999997</v>
      </c>
      <c r="BB163">
        <v>0.100021</v>
      </c>
      <c r="BC163">
        <v>27.088100000000001</v>
      </c>
      <c r="BD163">
        <v>27</v>
      </c>
      <c r="BE163">
        <v>28.6067</v>
      </c>
      <c r="BF163">
        <v>0</v>
      </c>
      <c r="BG163">
        <v>0</v>
      </c>
      <c r="BH163">
        <v>9985.6200000000008</v>
      </c>
      <c r="BI163">
        <v>1083.52</v>
      </c>
      <c r="BJ163">
        <v>1.4016500000000001</v>
      </c>
      <c r="BK163">
        <v>-395.459</v>
      </c>
      <c r="BL163">
        <v>415.57100000000003</v>
      </c>
      <c r="BM163">
        <v>800.26400000000001</v>
      </c>
      <c r="BN163">
        <v>26.123899999999999</v>
      </c>
      <c r="BO163">
        <v>800.077</v>
      </c>
      <c r="BP163">
        <v>0.23336899999999999</v>
      </c>
      <c r="BQ163">
        <v>2.6000800000000002</v>
      </c>
      <c r="BR163">
        <v>2.3021300000000001E-2</v>
      </c>
      <c r="BS163">
        <v>21.666899999999998</v>
      </c>
      <c r="BT163">
        <v>-38.061399999999999</v>
      </c>
      <c r="BU163">
        <v>1800</v>
      </c>
      <c r="BV163">
        <v>0.91000999999999999</v>
      </c>
      <c r="BW163">
        <v>3.40045E-2</v>
      </c>
      <c r="BX163">
        <v>2.19951E-2</v>
      </c>
      <c r="BY163">
        <v>3.39905E-2</v>
      </c>
      <c r="BZ163">
        <v>25</v>
      </c>
      <c r="CA163">
        <v>33528.400000000001</v>
      </c>
      <c r="CB163">
        <v>1690376213.5999999</v>
      </c>
      <c r="CC163" t="s">
        <v>332</v>
      </c>
      <c r="CD163">
        <v>1690376213.5999999</v>
      </c>
      <c r="CE163">
        <v>1690376198.0999999</v>
      </c>
      <c r="CF163">
        <v>2</v>
      </c>
      <c r="CG163">
        <v>0.66900000000000004</v>
      </c>
      <c r="CH163">
        <v>-2.1000000000000001E-2</v>
      </c>
      <c r="CI163">
        <v>-0.70099999999999996</v>
      </c>
      <c r="CJ163">
        <v>0.21099999999999999</v>
      </c>
      <c r="CK163">
        <v>799</v>
      </c>
      <c r="CL163">
        <v>21</v>
      </c>
      <c r="CM163">
        <v>0.11</v>
      </c>
      <c r="CN163">
        <v>0.17</v>
      </c>
      <c r="CO163">
        <v>-394.08851219512201</v>
      </c>
      <c r="CP163">
        <v>-7.0160905923344847</v>
      </c>
      <c r="CQ163">
        <v>0.69409878828597871</v>
      </c>
      <c r="CR163">
        <v>-1</v>
      </c>
      <c r="CS163">
        <v>26.066304878048779</v>
      </c>
      <c r="CT163">
        <v>0.29532752613245261</v>
      </c>
      <c r="CU163">
        <v>2.9124886276084991E-2</v>
      </c>
      <c r="CV163">
        <v>-1</v>
      </c>
      <c r="CW163">
        <v>0</v>
      </c>
      <c r="CX163">
        <v>0</v>
      </c>
      <c r="CY163" t="s">
        <v>333</v>
      </c>
      <c r="CZ163">
        <v>2.3651499999999999</v>
      </c>
      <c r="DA163">
        <v>2.7138</v>
      </c>
      <c r="DB163">
        <v>9.0080800000000003E-2</v>
      </c>
      <c r="DC163">
        <v>0.145542</v>
      </c>
      <c r="DD163">
        <v>0.121208</v>
      </c>
      <c r="DE163">
        <v>1.9507700000000001E-3</v>
      </c>
      <c r="DF163">
        <v>33237.800000000003</v>
      </c>
      <c r="DG163">
        <v>27539.1</v>
      </c>
      <c r="DH163">
        <v>31182.400000000001</v>
      </c>
      <c r="DI163">
        <v>28082.799999999999</v>
      </c>
      <c r="DJ163">
        <v>37192.300000000003</v>
      </c>
      <c r="DK163">
        <v>39851.199999999997</v>
      </c>
      <c r="DL163">
        <v>44375.1</v>
      </c>
      <c r="DM163">
        <v>42550.8</v>
      </c>
      <c r="DN163">
        <v>1.44817</v>
      </c>
      <c r="DO163">
        <v>2.0453000000000001</v>
      </c>
      <c r="DP163">
        <v>9.0479900000000002E-2</v>
      </c>
      <c r="DQ163">
        <v>0.18878300000000001</v>
      </c>
      <c r="DR163">
        <v>25.518599999999999</v>
      </c>
      <c r="DS163">
        <v>25.5197</v>
      </c>
      <c r="DT163">
        <v>35.9</v>
      </c>
      <c r="DU163">
        <v>27.3</v>
      </c>
      <c r="DV163">
        <v>13.256600000000001</v>
      </c>
      <c r="DW163">
        <v>61.030200000000001</v>
      </c>
      <c r="DX163">
        <v>36.8309</v>
      </c>
      <c r="DY163">
        <v>1</v>
      </c>
      <c r="DZ163">
        <v>-0.135854</v>
      </c>
      <c r="EA163">
        <v>-0.59483699999999995</v>
      </c>
      <c r="EB163">
        <v>20.1892</v>
      </c>
      <c r="EC163">
        <v>5.242</v>
      </c>
      <c r="ED163">
        <v>12.039899999999999</v>
      </c>
      <c r="EE163">
        <v>5.0172499999999998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1.86886</v>
      </c>
      <c r="EL163">
        <v>1.8645499999999999</v>
      </c>
      <c r="EM163">
        <v>1.8691899999999999</v>
      </c>
      <c r="EN163">
        <v>1.8672200000000001</v>
      </c>
      <c r="EO163">
        <v>1.8632899999999999</v>
      </c>
      <c r="EP163">
        <v>1.86432</v>
      </c>
      <c r="EQ163">
        <v>1.87012</v>
      </c>
      <c r="ER163">
        <v>1.8693500000000001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-0.42199999999999999</v>
      </c>
      <c r="FG163">
        <v>0.2112</v>
      </c>
      <c r="FH163">
        <v>-0.150361779349652</v>
      </c>
      <c r="FI163">
        <v>-6.1462078757559423E-4</v>
      </c>
      <c r="FJ163">
        <v>-1.8861989874597051E-7</v>
      </c>
      <c r="FK163">
        <v>1.1980462299894961E-10</v>
      </c>
      <c r="FL163">
        <v>0.21114761904761539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33.5</v>
      </c>
      <c r="FU163">
        <v>33.799999999999997</v>
      </c>
      <c r="FV163">
        <v>1.7675799999999999</v>
      </c>
      <c r="FW163">
        <v>2.5720200000000002</v>
      </c>
      <c r="FX163">
        <v>1.5490699999999999</v>
      </c>
      <c r="FY163">
        <v>2.33643</v>
      </c>
      <c r="FZ163">
        <v>1.50146</v>
      </c>
      <c r="GA163">
        <v>2.36572</v>
      </c>
      <c r="GB163">
        <v>32.288699999999999</v>
      </c>
      <c r="GC163">
        <v>23.991199999999999</v>
      </c>
      <c r="GD163">
        <v>19</v>
      </c>
      <c r="GE163">
        <v>268.904</v>
      </c>
      <c r="GF163">
        <v>584.22299999999996</v>
      </c>
      <c r="GG163">
        <v>25.888000000000002</v>
      </c>
      <c r="GH163">
        <v>25.723099999999999</v>
      </c>
      <c r="GI163">
        <v>30.0001</v>
      </c>
      <c r="GJ163">
        <v>25.823</v>
      </c>
      <c r="GK163">
        <v>25.784199999999998</v>
      </c>
      <c r="GL163">
        <v>35.329700000000003</v>
      </c>
      <c r="GM163">
        <v>100</v>
      </c>
      <c r="GN163">
        <v>27.700500000000002</v>
      </c>
      <c r="GO163">
        <v>25.889700000000001</v>
      </c>
      <c r="GP163">
        <v>800</v>
      </c>
      <c r="GQ163">
        <v>0</v>
      </c>
      <c r="GR163">
        <v>99.769900000000007</v>
      </c>
      <c r="GS163">
        <v>99.553200000000004</v>
      </c>
    </row>
    <row r="164" spans="1:201" x14ac:dyDescent="0.25">
      <c r="A164">
        <v>148</v>
      </c>
      <c r="B164">
        <v>1690378236</v>
      </c>
      <c r="C164">
        <v>1519.5</v>
      </c>
      <c r="D164" t="s">
        <v>629</v>
      </c>
      <c r="E164" t="s">
        <v>630</v>
      </c>
      <c r="F164" t="s">
        <v>330</v>
      </c>
      <c r="H164">
        <v>1690378236</v>
      </c>
      <c r="I164">
        <f t="shared" si="60"/>
        <v>2.3391062576216446E-3</v>
      </c>
      <c r="J164">
        <f t="shared" si="61"/>
        <v>2.3391062576216446</v>
      </c>
      <c r="K164">
        <f t="shared" si="62"/>
        <v>33.554927200605682</v>
      </c>
      <c r="L164">
        <f t="shared" si="63"/>
        <v>403.52</v>
      </c>
      <c r="M164">
        <f t="shared" si="64"/>
        <v>86.242422774821435</v>
      </c>
      <c r="N164">
        <f t="shared" si="65"/>
        <v>8.5161022136254125</v>
      </c>
      <c r="O164">
        <f t="shared" si="66"/>
        <v>39.846023043840006</v>
      </c>
      <c r="P164">
        <f t="shared" si="67"/>
        <v>0.17939761694288298</v>
      </c>
      <c r="Q164">
        <f t="shared" si="68"/>
        <v>2.0067294775875482</v>
      </c>
      <c r="R164">
        <f t="shared" si="69"/>
        <v>0.17094021848259322</v>
      </c>
      <c r="S164">
        <f t="shared" si="70"/>
        <v>0.10756426808666275</v>
      </c>
      <c r="T164">
        <f t="shared" si="71"/>
        <v>276.11475541199997</v>
      </c>
      <c r="U164">
        <f t="shared" si="72"/>
        <v>28.530158555926487</v>
      </c>
      <c r="V164">
        <f t="shared" si="73"/>
        <v>28.530158555926487</v>
      </c>
      <c r="W164">
        <f t="shared" si="74"/>
        <v>3.9137178892155342</v>
      </c>
      <c r="X164">
        <f t="shared" si="75"/>
        <v>72.471233012989245</v>
      </c>
      <c r="Y164">
        <f t="shared" si="76"/>
        <v>2.6071140702024005</v>
      </c>
      <c r="Z164">
        <f t="shared" si="77"/>
        <v>3.5974468238109312</v>
      </c>
      <c r="AA164">
        <f t="shared" si="78"/>
        <v>1.3066038190131337</v>
      </c>
      <c r="AB164">
        <f t="shared" si="79"/>
        <v>-103.15458596111452</v>
      </c>
      <c r="AC164">
        <f t="shared" si="80"/>
        <v>-156.15234283475766</v>
      </c>
      <c r="AD164">
        <f t="shared" si="81"/>
        <v>-16.92947943566497</v>
      </c>
      <c r="AE164">
        <f t="shared" si="82"/>
        <v>-0.12165281953718932</v>
      </c>
      <c r="AF164">
        <v>8</v>
      </c>
      <c r="AG164">
        <v>3</v>
      </c>
      <c r="AH164">
        <f t="shared" si="83"/>
        <v>1</v>
      </c>
      <c r="AI164">
        <f t="shared" si="84"/>
        <v>0</v>
      </c>
      <c r="AJ164">
        <f t="shared" si="85"/>
        <v>52121.117681465104</v>
      </c>
      <c r="AK164">
        <f t="shared" si="86"/>
        <v>1800</v>
      </c>
      <c r="AL164">
        <f t="shared" si="87"/>
        <v>1499.1127091999999</v>
      </c>
      <c r="AM164">
        <f t="shared" si="88"/>
        <v>0.83284039399999998</v>
      </c>
      <c r="AN164">
        <f t="shared" si="89"/>
        <v>0.15339708633999999</v>
      </c>
      <c r="AO164">
        <v>34.5</v>
      </c>
      <c r="AP164">
        <v>0.5</v>
      </c>
      <c r="AQ164" t="s">
        <v>331</v>
      </c>
      <c r="AR164">
        <v>2</v>
      </c>
      <c r="AS164">
        <v>1690378236</v>
      </c>
      <c r="AT164">
        <v>403.52</v>
      </c>
      <c r="AU164">
        <v>799.98400000000004</v>
      </c>
      <c r="AV164">
        <v>26.402200000000001</v>
      </c>
      <c r="AW164">
        <v>0.230661</v>
      </c>
      <c r="AX164">
        <v>403.94200000000001</v>
      </c>
      <c r="AY164">
        <v>26.190999999999999</v>
      </c>
      <c r="AZ164">
        <v>300.20600000000002</v>
      </c>
      <c r="BA164">
        <v>98.646000000000001</v>
      </c>
      <c r="BB164">
        <v>0.100092</v>
      </c>
      <c r="BC164">
        <v>27.0868</v>
      </c>
      <c r="BD164">
        <v>27.011500000000002</v>
      </c>
      <c r="BE164">
        <v>28.601099999999999</v>
      </c>
      <c r="BF164">
        <v>0</v>
      </c>
      <c r="BG164">
        <v>0</v>
      </c>
      <c r="BH164">
        <v>9995</v>
      </c>
      <c r="BI164">
        <v>1083.6199999999999</v>
      </c>
      <c r="BJ164">
        <v>1.38764</v>
      </c>
      <c r="BK164">
        <v>-396.464</v>
      </c>
      <c r="BL164">
        <v>414.46300000000002</v>
      </c>
      <c r="BM164">
        <v>800.16899999999998</v>
      </c>
      <c r="BN164">
        <v>26.171500000000002</v>
      </c>
      <c r="BO164">
        <v>799.98400000000004</v>
      </c>
      <c r="BP164">
        <v>0.230661</v>
      </c>
      <c r="BQ164">
        <v>2.6044700000000001</v>
      </c>
      <c r="BR164">
        <v>2.2753700000000002E-2</v>
      </c>
      <c r="BS164">
        <v>21.694500000000001</v>
      </c>
      <c r="BT164">
        <v>-38.175400000000003</v>
      </c>
      <c r="BU164">
        <v>1800</v>
      </c>
      <c r="BV164">
        <v>0.91000999999999999</v>
      </c>
      <c r="BW164">
        <v>3.4004600000000003E-2</v>
      </c>
      <c r="BX164">
        <v>2.1995199999999999E-2</v>
      </c>
      <c r="BY164">
        <v>3.3990600000000003E-2</v>
      </c>
      <c r="BZ164">
        <v>25</v>
      </c>
      <c r="CA164">
        <v>33528.400000000001</v>
      </c>
      <c r="CB164">
        <v>1690376213.5999999</v>
      </c>
      <c r="CC164" t="s">
        <v>332</v>
      </c>
      <c r="CD164">
        <v>1690376213.5999999</v>
      </c>
      <c r="CE164">
        <v>1690376198.0999999</v>
      </c>
      <c r="CF164">
        <v>2</v>
      </c>
      <c r="CG164">
        <v>0.66900000000000004</v>
      </c>
      <c r="CH164">
        <v>-2.1000000000000001E-2</v>
      </c>
      <c r="CI164">
        <v>-0.70099999999999996</v>
      </c>
      <c r="CJ164">
        <v>0.21099999999999999</v>
      </c>
      <c r="CK164">
        <v>799</v>
      </c>
      <c r="CL164">
        <v>21</v>
      </c>
      <c r="CM164">
        <v>0.11</v>
      </c>
      <c r="CN164">
        <v>0.17</v>
      </c>
      <c r="CO164">
        <v>-395.27477499999998</v>
      </c>
      <c r="CP164">
        <v>-6.1934971857400374</v>
      </c>
      <c r="CQ164">
        <v>0.59950139647460321</v>
      </c>
      <c r="CR164">
        <v>-1</v>
      </c>
      <c r="CS164">
        <v>26.1187</v>
      </c>
      <c r="CT164">
        <v>0.28574409005630941</v>
      </c>
      <c r="CU164">
        <v>2.7500809079007042E-2</v>
      </c>
      <c r="CV164">
        <v>-1</v>
      </c>
      <c r="CW164">
        <v>0</v>
      </c>
      <c r="CX164">
        <v>0</v>
      </c>
      <c r="CY164" t="s">
        <v>333</v>
      </c>
      <c r="CZ164">
        <v>2.3653</v>
      </c>
      <c r="DA164">
        <v>2.7138800000000001</v>
      </c>
      <c r="DB164">
        <v>8.9893200000000006E-2</v>
      </c>
      <c r="DC164">
        <v>0.14552799999999999</v>
      </c>
      <c r="DD164">
        <v>0.121351</v>
      </c>
      <c r="DE164">
        <v>1.9284E-3</v>
      </c>
      <c r="DF164">
        <v>33245</v>
      </c>
      <c r="DG164">
        <v>27539.4</v>
      </c>
      <c r="DH164">
        <v>31182.7</v>
      </c>
      <c r="DI164">
        <v>28082.6</v>
      </c>
      <c r="DJ164">
        <v>37186.5</v>
      </c>
      <c r="DK164">
        <v>39851.9</v>
      </c>
      <c r="DL164">
        <v>44375.6</v>
      </c>
      <c r="DM164">
        <v>42550.6</v>
      </c>
      <c r="DN164">
        <v>1.44848</v>
      </c>
      <c r="DO164">
        <v>2.0455000000000001</v>
      </c>
      <c r="DP164">
        <v>9.1381400000000002E-2</v>
      </c>
      <c r="DQ164">
        <v>0.18853700000000001</v>
      </c>
      <c r="DR164">
        <v>25.5153</v>
      </c>
      <c r="DS164">
        <v>25.518000000000001</v>
      </c>
      <c r="DT164">
        <v>35.5</v>
      </c>
      <c r="DU164">
        <v>27.3</v>
      </c>
      <c r="DV164">
        <v>13.1089</v>
      </c>
      <c r="DW164">
        <v>61.020200000000003</v>
      </c>
      <c r="DX164">
        <v>36.714700000000001</v>
      </c>
      <c r="DY164">
        <v>1</v>
      </c>
      <c r="DZ164">
        <v>-0.13577700000000001</v>
      </c>
      <c r="EA164">
        <v>-0.51573000000000002</v>
      </c>
      <c r="EB164">
        <v>20.189399999999999</v>
      </c>
      <c r="EC164">
        <v>5.2413999999999996</v>
      </c>
      <c r="ED164">
        <v>12.039899999999999</v>
      </c>
      <c r="EE164">
        <v>5.0171000000000001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1.8688800000000001</v>
      </c>
      <c r="EL164">
        <v>1.86453</v>
      </c>
      <c r="EM164">
        <v>1.8691899999999999</v>
      </c>
      <c r="EN164">
        <v>1.86721</v>
      </c>
      <c r="EO164">
        <v>1.8632899999999999</v>
      </c>
      <c r="EP164">
        <v>1.86433</v>
      </c>
      <c r="EQ164">
        <v>1.8701300000000001</v>
      </c>
      <c r="ER164">
        <v>1.8693599999999999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-0.42199999999999999</v>
      </c>
      <c r="FG164">
        <v>0.2112</v>
      </c>
      <c r="FH164">
        <v>-0.150361779349652</v>
      </c>
      <c r="FI164">
        <v>-6.1462078757559423E-4</v>
      </c>
      <c r="FJ164">
        <v>-1.8861989874597051E-7</v>
      </c>
      <c r="FK164">
        <v>1.1980462299894961E-10</v>
      </c>
      <c r="FL164">
        <v>0.21114761904761539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33.700000000000003</v>
      </c>
      <c r="FU164">
        <v>34</v>
      </c>
      <c r="FV164">
        <v>1.7675799999999999</v>
      </c>
      <c r="FW164">
        <v>2.5622600000000002</v>
      </c>
      <c r="FX164">
        <v>1.5490699999999999</v>
      </c>
      <c r="FY164">
        <v>2.33765</v>
      </c>
      <c r="FZ164">
        <v>1.50146</v>
      </c>
      <c r="GA164">
        <v>2.36206</v>
      </c>
      <c r="GB164">
        <v>32.288699999999999</v>
      </c>
      <c r="GC164">
        <v>23.991199999999999</v>
      </c>
      <c r="GD164">
        <v>19</v>
      </c>
      <c r="GE164">
        <v>269.02699999999999</v>
      </c>
      <c r="GF164">
        <v>584.41300000000001</v>
      </c>
      <c r="GG164">
        <v>25.883099999999999</v>
      </c>
      <c r="GH164">
        <v>25.723099999999999</v>
      </c>
      <c r="GI164">
        <v>30.0001</v>
      </c>
      <c r="GJ164">
        <v>25.823</v>
      </c>
      <c r="GK164">
        <v>25.7864</v>
      </c>
      <c r="GL164">
        <v>35.331200000000003</v>
      </c>
      <c r="GM164">
        <v>100</v>
      </c>
      <c r="GN164">
        <v>26.930599999999998</v>
      </c>
      <c r="GO164">
        <v>25.868600000000001</v>
      </c>
      <c r="GP164">
        <v>800</v>
      </c>
      <c r="GQ164">
        <v>0</v>
      </c>
      <c r="GR164">
        <v>99.770899999999997</v>
      </c>
      <c r="GS164">
        <v>99.552700000000002</v>
      </c>
    </row>
    <row r="165" spans="1:201" x14ac:dyDescent="0.25">
      <c r="A165">
        <v>149</v>
      </c>
      <c r="B165">
        <v>1690378246.0999999</v>
      </c>
      <c r="C165">
        <v>1529.599999904633</v>
      </c>
      <c r="D165" t="s">
        <v>631</v>
      </c>
      <c r="E165" t="s">
        <v>632</v>
      </c>
      <c r="F165" t="s">
        <v>330</v>
      </c>
      <c r="H165">
        <v>1690378246.0999999</v>
      </c>
      <c r="I165">
        <f t="shared" si="60"/>
        <v>2.3431895451867654E-3</v>
      </c>
      <c r="J165">
        <f t="shared" si="61"/>
        <v>2.3431895451867653</v>
      </c>
      <c r="K165">
        <f t="shared" si="62"/>
        <v>33.634263990642538</v>
      </c>
      <c r="L165">
        <f t="shared" si="63"/>
        <v>402.52499999999998</v>
      </c>
      <c r="M165">
        <f t="shared" si="64"/>
        <v>86.245685471767317</v>
      </c>
      <c r="N165">
        <f t="shared" si="65"/>
        <v>8.5164226672844894</v>
      </c>
      <c r="O165">
        <f t="shared" si="66"/>
        <v>39.747762631799993</v>
      </c>
      <c r="P165">
        <f t="shared" si="67"/>
        <v>0.18042739970416369</v>
      </c>
      <c r="Q165">
        <f t="shared" si="68"/>
        <v>2.0056167911893086</v>
      </c>
      <c r="R165">
        <f t="shared" si="69"/>
        <v>0.17187061184564614</v>
      </c>
      <c r="S165">
        <f t="shared" si="70"/>
        <v>0.10815410176843755</v>
      </c>
      <c r="T165">
        <f t="shared" si="71"/>
        <v>276.11453946600005</v>
      </c>
      <c r="U165">
        <f t="shared" si="72"/>
        <v>28.53097394134095</v>
      </c>
      <c r="V165">
        <f t="shared" si="73"/>
        <v>28.53097394134095</v>
      </c>
      <c r="W165">
        <f t="shared" si="74"/>
        <v>3.9139031971564915</v>
      </c>
      <c r="X165">
        <f t="shared" si="75"/>
        <v>72.604114784205251</v>
      </c>
      <c r="Y165">
        <f t="shared" si="76"/>
        <v>2.6121397172231999</v>
      </c>
      <c r="Z165">
        <f t="shared" si="77"/>
        <v>3.5977846778891669</v>
      </c>
      <c r="AA165">
        <f t="shared" si="78"/>
        <v>1.3017634799332916</v>
      </c>
      <c r="AB165">
        <f t="shared" si="79"/>
        <v>-103.33465894273635</v>
      </c>
      <c r="AC165">
        <f t="shared" si="80"/>
        <v>-155.98092199572253</v>
      </c>
      <c r="AD165">
        <f t="shared" si="81"/>
        <v>-16.920480203381228</v>
      </c>
      <c r="AE165">
        <f t="shared" si="82"/>
        <v>-0.12152167584002882</v>
      </c>
      <c r="AF165">
        <v>8</v>
      </c>
      <c r="AG165">
        <v>3</v>
      </c>
      <c r="AH165">
        <f t="shared" si="83"/>
        <v>1</v>
      </c>
      <c r="AI165">
        <f t="shared" si="84"/>
        <v>0</v>
      </c>
      <c r="AJ165">
        <f t="shared" si="85"/>
        <v>52067.708388793813</v>
      </c>
      <c r="AK165">
        <f t="shared" si="86"/>
        <v>1800</v>
      </c>
      <c r="AL165">
        <f t="shared" si="87"/>
        <v>1499.1124445999999</v>
      </c>
      <c r="AM165">
        <f t="shared" si="88"/>
        <v>0.83284024699999992</v>
      </c>
      <c r="AN165">
        <f t="shared" si="89"/>
        <v>0.15339696637000003</v>
      </c>
      <c r="AO165">
        <v>34.5</v>
      </c>
      <c r="AP165">
        <v>0.5</v>
      </c>
      <c r="AQ165" t="s">
        <v>331</v>
      </c>
      <c r="AR165">
        <v>2</v>
      </c>
      <c r="AS165">
        <v>1690378246.0999999</v>
      </c>
      <c r="AT165">
        <v>402.52499999999998</v>
      </c>
      <c r="AU165">
        <v>800.02</v>
      </c>
      <c r="AV165">
        <v>26.453099999999999</v>
      </c>
      <c r="AW165">
        <v>0.22885900000000001</v>
      </c>
      <c r="AX165">
        <v>402.94600000000003</v>
      </c>
      <c r="AY165">
        <v>26.242000000000001</v>
      </c>
      <c r="AZ165">
        <v>300.11</v>
      </c>
      <c r="BA165">
        <v>98.646000000000001</v>
      </c>
      <c r="BB165">
        <v>0.10007199999999999</v>
      </c>
      <c r="BC165">
        <v>27.0884</v>
      </c>
      <c r="BD165">
        <v>27.009599999999999</v>
      </c>
      <c r="BE165">
        <v>28.612500000000001</v>
      </c>
      <c r="BF165">
        <v>0</v>
      </c>
      <c r="BG165">
        <v>0</v>
      </c>
      <c r="BH165">
        <v>9984.3799999999992</v>
      </c>
      <c r="BI165">
        <v>1083.5</v>
      </c>
      <c r="BJ165">
        <v>1.4016500000000001</v>
      </c>
      <c r="BK165">
        <v>-397.495</v>
      </c>
      <c r="BL165">
        <v>413.46300000000002</v>
      </c>
      <c r="BM165">
        <v>800.20299999999997</v>
      </c>
      <c r="BN165">
        <v>26.224299999999999</v>
      </c>
      <c r="BO165">
        <v>800.02</v>
      </c>
      <c r="BP165">
        <v>0.22885900000000001</v>
      </c>
      <c r="BQ165">
        <v>2.6094900000000001</v>
      </c>
      <c r="BR165">
        <v>2.2575999999999999E-2</v>
      </c>
      <c r="BS165">
        <v>21.725999999999999</v>
      </c>
      <c r="BT165">
        <v>-38.251899999999999</v>
      </c>
      <c r="BU165">
        <v>1800</v>
      </c>
      <c r="BV165">
        <v>0.91001200000000004</v>
      </c>
      <c r="BW165">
        <v>3.4003699999999998E-2</v>
      </c>
      <c r="BX165">
        <v>2.19946E-2</v>
      </c>
      <c r="BY165">
        <v>3.3989699999999998E-2</v>
      </c>
      <c r="BZ165">
        <v>25</v>
      </c>
      <c r="CA165">
        <v>33528.400000000001</v>
      </c>
      <c r="CB165">
        <v>1690376213.5999999</v>
      </c>
      <c r="CC165" t="s">
        <v>332</v>
      </c>
      <c r="CD165">
        <v>1690376213.5999999</v>
      </c>
      <c r="CE165">
        <v>1690376198.0999999</v>
      </c>
      <c r="CF165">
        <v>2</v>
      </c>
      <c r="CG165">
        <v>0.66900000000000004</v>
      </c>
      <c r="CH165">
        <v>-2.1000000000000001E-2</v>
      </c>
      <c r="CI165">
        <v>-0.70099999999999996</v>
      </c>
      <c r="CJ165">
        <v>0.21099999999999999</v>
      </c>
      <c r="CK165">
        <v>799</v>
      </c>
      <c r="CL165">
        <v>21</v>
      </c>
      <c r="CM165">
        <v>0.11</v>
      </c>
      <c r="CN165">
        <v>0.17</v>
      </c>
      <c r="CO165">
        <v>-396.405243902439</v>
      </c>
      <c r="CP165">
        <v>-6.5594262833653998</v>
      </c>
      <c r="CQ165">
        <v>0.63040326932449686</v>
      </c>
      <c r="CR165">
        <v>-1</v>
      </c>
      <c r="CS165">
        <v>26.172143902439021</v>
      </c>
      <c r="CT165">
        <v>0.31337526951023947</v>
      </c>
      <c r="CU165">
        <v>3.0087904131309649E-2</v>
      </c>
      <c r="CV165">
        <v>-1</v>
      </c>
      <c r="CW165">
        <v>0</v>
      </c>
      <c r="CX165">
        <v>0</v>
      </c>
      <c r="CY165" t="s">
        <v>333</v>
      </c>
      <c r="CZ165">
        <v>2.3650099999999998</v>
      </c>
      <c r="DA165">
        <v>2.7138499999999999</v>
      </c>
      <c r="DB165">
        <v>8.9723800000000006E-2</v>
      </c>
      <c r="DC165">
        <v>0.14553199999999999</v>
      </c>
      <c r="DD165">
        <v>0.121514</v>
      </c>
      <c r="DE165">
        <v>1.91355E-3</v>
      </c>
      <c r="DF165">
        <v>33251.1</v>
      </c>
      <c r="DG165">
        <v>27539.200000000001</v>
      </c>
      <c r="DH165">
        <v>31182.7</v>
      </c>
      <c r="DI165">
        <v>28082.6</v>
      </c>
      <c r="DJ165">
        <v>37179.199999999997</v>
      </c>
      <c r="DK165">
        <v>39852.6</v>
      </c>
      <c r="DL165">
        <v>44375.199999999997</v>
      </c>
      <c r="DM165">
        <v>42550.7</v>
      </c>
      <c r="DN165">
        <v>1.4480999999999999</v>
      </c>
      <c r="DO165">
        <v>2.04535</v>
      </c>
      <c r="DP165">
        <v>9.1329199999999999E-2</v>
      </c>
      <c r="DQ165">
        <v>0.18934200000000001</v>
      </c>
      <c r="DR165">
        <v>25.514199999999999</v>
      </c>
      <c r="DS165">
        <v>25.516300000000001</v>
      </c>
      <c r="DT165">
        <v>35.1</v>
      </c>
      <c r="DU165">
        <v>27.3</v>
      </c>
      <c r="DV165">
        <v>12.959300000000001</v>
      </c>
      <c r="DW165">
        <v>61.258400000000002</v>
      </c>
      <c r="DX165">
        <v>37.772399999999998</v>
      </c>
      <c r="DY165">
        <v>1</v>
      </c>
      <c r="DZ165">
        <v>-0.13594500000000001</v>
      </c>
      <c r="EA165">
        <v>-0.53655799999999998</v>
      </c>
      <c r="EB165">
        <v>20.189399999999999</v>
      </c>
      <c r="EC165">
        <v>5.2415500000000002</v>
      </c>
      <c r="ED165">
        <v>12.039899999999999</v>
      </c>
      <c r="EE165">
        <v>5.0172499999999998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1.8688800000000001</v>
      </c>
      <c r="EL165">
        <v>1.8645799999999999</v>
      </c>
      <c r="EM165">
        <v>1.8691899999999999</v>
      </c>
      <c r="EN165">
        <v>1.8672200000000001</v>
      </c>
      <c r="EO165">
        <v>1.86331</v>
      </c>
      <c r="EP165">
        <v>1.86433</v>
      </c>
      <c r="EQ165">
        <v>1.8701300000000001</v>
      </c>
      <c r="ER165">
        <v>1.8693500000000001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-0.42099999999999999</v>
      </c>
      <c r="FG165">
        <v>0.21110000000000001</v>
      </c>
      <c r="FH165">
        <v>-0.150361779349652</v>
      </c>
      <c r="FI165">
        <v>-6.1462078757559423E-4</v>
      </c>
      <c r="FJ165">
        <v>-1.8861989874597051E-7</v>
      </c>
      <c r="FK165">
        <v>1.1980462299894961E-10</v>
      </c>
      <c r="FL165">
        <v>0.21114761904761539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33.9</v>
      </c>
      <c r="FU165">
        <v>34.1</v>
      </c>
      <c r="FV165">
        <v>1.7675799999999999</v>
      </c>
      <c r="FW165">
        <v>2.5732400000000002</v>
      </c>
      <c r="FX165">
        <v>1.5490699999999999</v>
      </c>
      <c r="FY165">
        <v>2.33765</v>
      </c>
      <c r="FZ165">
        <v>1.50146</v>
      </c>
      <c r="GA165">
        <v>2.35107</v>
      </c>
      <c r="GB165">
        <v>32.310699999999997</v>
      </c>
      <c r="GC165">
        <v>23.991199999999999</v>
      </c>
      <c r="GD165">
        <v>19</v>
      </c>
      <c r="GE165">
        <v>268.88299999999998</v>
      </c>
      <c r="GF165">
        <v>584.28899999999999</v>
      </c>
      <c r="GG165">
        <v>25.865300000000001</v>
      </c>
      <c r="GH165">
        <v>25.725300000000001</v>
      </c>
      <c r="GI165">
        <v>30.0001</v>
      </c>
      <c r="GJ165">
        <v>25.825199999999999</v>
      </c>
      <c r="GK165">
        <v>25.7864</v>
      </c>
      <c r="GL165">
        <v>35.329099999999997</v>
      </c>
      <c r="GM165">
        <v>100</v>
      </c>
      <c r="GN165">
        <v>26.166499999999999</v>
      </c>
      <c r="GO165">
        <v>25.864699999999999</v>
      </c>
      <c r="GP165">
        <v>800</v>
      </c>
      <c r="GQ165">
        <v>0</v>
      </c>
      <c r="GR165">
        <v>99.770399999999995</v>
      </c>
      <c r="GS165">
        <v>99.552700000000002</v>
      </c>
    </row>
    <row r="166" spans="1:201" x14ac:dyDescent="0.25">
      <c r="A166">
        <v>150</v>
      </c>
      <c r="B166">
        <v>1690378256.0999999</v>
      </c>
      <c r="C166">
        <v>1539.599999904633</v>
      </c>
      <c r="D166" t="s">
        <v>633</v>
      </c>
      <c r="E166" t="s">
        <v>634</v>
      </c>
      <c r="F166" t="s">
        <v>330</v>
      </c>
      <c r="H166">
        <v>1690378256.0999999</v>
      </c>
      <c r="I166">
        <f t="shared" si="60"/>
        <v>2.3468951095233399E-3</v>
      </c>
      <c r="J166">
        <f t="shared" si="61"/>
        <v>2.3468951095233401</v>
      </c>
      <c r="K166">
        <f t="shared" si="62"/>
        <v>33.727795132531341</v>
      </c>
      <c r="L166">
        <f t="shared" si="63"/>
        <v>401.41300000000001</v>
      </c>
      <c r="M166">
        <f t="shared" si="64"/>
        <v>86.281739841636892</v>
      </c>
      <c r="N166">
        <f t="shared" si="65"/>
        <v>8.5199586840313444</v>
      </c>
      <c r="O166">
        <f t="shared" si="66"/>
        <v>39.637844363248192</v>
      </c>
      <c r="P166">
        <f t="shared" si="67"/>
        <v>0.18162618740955985</v>
      </c>
      <c r="Q166">
        <f t="shared" si="68"/>
        <v>2.0058767086959319</v>
      </c>
      <c r="R166">
        <f t="shared" si="69"/>
        <v>0.17295931694278507</v>
      </c>
      <c r="S166">
        <f t="shared" si="70"/>
        <v>0.10884378565056288</v>
      </c>
      <c r="T166">
        <f t="shared" si="71"/>
        <v>276.11288759699136</v>
      </c>
      <c r="U166">
        <f t="shared" si="72"/>
        <v>28.520639493353556</v>
      </c>
      <c r="V166">
        <f t="shared" si="73"/>
        <v>28.520639493353556</v>
      </c>
      <c r="W166">
        <f t="shared" si="74"/>
        <v>3.9115551128258339</v>
      </c>
      <c r="X166">
        <f t="shared" si="75"/>
        <v>72.747691631943496</v>
      </c>
      <c r="Y166">
        <f t="shared" si="76"/>
        <v>2.6159537566105198</v>
      </c>
      <c r="Z166">
        <f t="shared" si="77"/>
        <v>3.5959268231431483</v>
      </c>
      <c r="AA166">
        <f t="shared" si="78"/>
        <v>1.2956013562153141</v>
      </c>
      <c r="AB166">
        <f t="shared" si="79"/>
        <v>-103.49807432997929</v>
      </c>
      <c r="AC166">
        <f t="shared" si="80"/>
        <v>-155.83519984062931</v>
      </c>
      <c r="AD166">
        <f t="shared" si="81"/>
        <v>-16.900869203966092</v>
      </c>
      <c r="AE166">
        <f t="shared" si="82"/>
        <v>-0.12125577758331474</v>
      </c>
      <c r="AF166">
        <v>8</v>
      </c>
      <c r="AG166">
        <v>3</v>
      </c>
      <c r="AH166">
        <f t="shared" si="83"/>
        <v>1</v>
      </c>
      <c r="AI166">
        <f t="shared" si="84"/>
        <v>0</v>
      </c>
      <c r="AJ166">
        <f t="shared" si="85"/>
        <v>52081.638949920074</v>
      </c>
      <c r="AK166">
        <f t="shared" si="86"/>
        <v>1799.99</v>
      </c>
      <c r="AL166">
        <f t="shared" si="87"/>
        <v>1499.1042691966802</v>
      </c>
      <c r="AM166">
        <f t="shared" si="88"/>
        <v>0.83284033200000007</v>
      </c>
      <c r="AN166">
        <f t="shared" si="89"/>
        <v>0.15339690087000002</v>
      </c>
      <c r="AO166">
        <v>34.5</v>
      </c>
      <c r="AP166">
        <v>0.5</v>
      </c>
      <c r="AQ166" t="s">
        <v>331</v>
      </c>
      <c r="AR166">
        <v>2</v>
      </c>
      <c r="AS166">
        <v>1690378256.0999999</v>
      </c>
      <c r="AT166">
        <v>401.41300000000001</v>
      </c>
      <c r="AU166">
        <v>799.97699999999998</v>
      </c>
      <c r="AV166">
        <v>26.491800000000001</v>
      </c>
      <c r="AW166">
        <v>0.22669400000000001</v>
      </c>
      <c r="AX166">
        <v>401.83300000000003</v>
      </c>
      <c r="AY166">
        <v>26.2806</v>
      </c>
      <c r="AZ166">
        <v>300.10500000000002</v>
      </c>
      <c r="BA166">
        <v>98.645799999999994</v>
      </c>
      <c r="BB166">
        <v>9.9991399999999994E-2</v>
      </c>
      <c r="BC166">
        <v>27.079599999999999</v>
      </c>
      <c r="BD166">
        <v>27.008400000000002</v>
      </c>
      <c r="BE166">
        <v>28.6004</v>
      </c>
      <c r="BF166">
        <v>0</v>
      </c>
      <c r="BG166">
        <v>0</v>
      </c>
      <c r="BH166">
        <v>9986.8799999999992</v>
      </c>
      <c r="BI166">
        <v>1083.55</v>
      </c>
      <c r="BJ166">
        <v>1.4016500000000001</v>
      </c>
      <c r="BK166">
        <v>-398.565</v>
      </c>
      <c r="BL166">
        <v>412.33600000000001</v>
      </c>
      <c r="BM166">
        <v>800.15899999999999</v>
      </c>
      <c r="BN166">
        <v>26.2651</v>
      </c>
      <c r="BO166">
        <v>799.97699999999998</v>
      </c>
      <c r="BP166">
        <v>0.22669400000000001</v>
      </c>
      <c r="BQ166">
        <v>2.6133000000000002</v>
      </c>
      <c r="BR166">
        <v>2.2362400000000001E-2</v>
      </c>
      <c r="BS166">
        <v>21.7499</v>
      </c>
      <c r="BT166">
        <v>-38.3444</v>
      </c>
      <c r="BU166">
        <v>1799.99</v>
      </c>
      <c r="BV166">
        <v>0.91001399999999999</v>
      </c>
      <c r="BW166">
        <v>3.4002900000000003E-2</v>
      </c>
      <c r="BX166">
        <v>2.1994099999999999E-2</v>
      </c>
      <c r="BY166">
        <v>3.3988900000000002E-2</v>
      </c>
      <c r="BZ166">
        <v>25</v>
      </c>
      <c r="CA166">
        <v>33528.400000000001</v>
      </c>
      <c r="CB166">
        <v>1690376213.5999999</v>
      </c>
      <c r="CC166" t="s">
        <v>332</v>
      </c>
      <c r="CD166">
        <v>1690376213.5999999</v>
      </c>
      <c r="CE166">
        <v>1690376198.0999999</v>
      </c>
      <c r="CF166">
        <v>2</v>
      </c>
      <c r="CG166">
        <v>0.66900000000000004</v>
      </c>
      <c r="CH166">
        <v>-2.1000000000000001E-2</v>
      </c>
      <c r="CI166">
        <v>-0.70099999999999996</v>
      </c>
      <c r="CJ166">
        <v>0.21099999999999999</v>
      </c>
      <c r="CK166">
        <v>799</v>
      </c>
      <c r="CL166">
        <v>21</v>
      </c>
      <c r="CM166">
        <v>0.11</v>
      </c>
      <c r="CN166">
        <v>0.17</v>
      </c>
      <c r="CO166">
        <v>-397.41368292682932</v>
      </c>
      <c r="CP166">
        <v>-6.260676947326453</v>
      </c>
      <c r="CQ166">
        <v>0.60901625750355137</v>
      </c>
      <c r="CR166">
        <v>-1</v>
      </c>
      <c r="CS166">
        <v>26.218114634146339</v>
      </c>
      <c r="CT166">
        <v>0.27632221427643883</v>
      </c>
      <c r="CU166">
        <v>2.692400833579834E-2</v>
      </c>
      <c r="CV166">
        <v>-1</v>
      </c>
      <c r="CW166">
        <v>0</v>
      </c>
      <c r="CX166">
        <v>0</v>
      </c>
      <c r="CY166" t="s">
        <v>333</v>
      </c>
      <c r="CZ166">
        <v>2.36497</v>
      </c>
      <c r="DA166">
        <v>2.7137699999999998</v>
      </c>
      <c r="DB166">
        <v>8.95344E-2</v>
      </c>
      <c r="DC166">
        <v>0.14552599999999999</v>
      </c>
      <c r="DD166">
        <v>0.121638</v>
      </c>
      <c r="DE166">
        <v>1.89569E-3</v>
      </c>
      <c r="DF166">
        <v>33258</v>
      </c>
      <c r="DG166">
        <v>27539.3</v>
      </c>
      <c r="DH166">
        <v>31182.6</v>
      </c>
      <c r="DI166">
        <v>28082.5</v>
      </c>
      <c r="DJ166">
        <v>37173.699999999997</v>
      </c>
      <c r="DK166">
        <v>39853.199999999997</v>
      </c>
      <c r="DL166">
        <v>44375</v>
      </c>
      <c r="DM166">
        <v>42550.6</v>
      </c>
      <c r="DN166">
        <v>1.44845</v>
      </c>
      <c r="DO166">
        <v>2.0451299999999999</v>
      </c>
      <c r="DP166">
        <v>9.1485700000000003E-2</v>
      </c>
      <c r="DQ166">
        <v>0.18879000000000001</v>
      </c>
      <c r="DR166">
        <v>25.5105</v>
      </c>
      <c r="DS166">
        <v>25.513200000000001</v>
      </c>
      <c r="DT166">
        <v>34.700000000000003</v>
      </c>
      <c r="DU166">
        <v>27.3</v>
      </c>
      <c r="DV166">
        <v>12.8163</v>
      </c>
      <c r="DW166">
        <v>61.188400000000001</v>
      </c>
      <c r="DX166">
        <v>37.808500000000002</v>
      </c>
      <c r="DY166">
        <v>1</v>
      </c>
      <c r="DZ166">
        <v>-0.13581599999999999</v>
      </c>
      <c r="EA166">
        <v>-0.52458099999999996</v>
      </c>
      <c r="EB166">
        <v>20.1892</v>
      </c>
      <c r="EC166">
        <v>5.2418500000000003</v>
      </c>
      <c r="ED166">
        <v>12.039899999999999</v>
      </c>
      <c r="EE166">
        <v>5.0170500000000002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1.8688800000000001</v>
      </c>
      <c r="EL166">
        <v>1.8645700000000001</v>
      </c>
      <c r="EM166">
        <v>1.8691899999999999</v>
      </c>
      <c r="EN166">
        <v>1.8672200000000001</v>
      </c>
      <c r="EO166">
        <v>1.86328</v>
      </c>
      <c r="EP166">
        <v>1.8643400000000001</v>
      </c>
      <c r="EQ166">
        <v>1.87012</v>
      </c>
      <c r="ER166">
        <v>1.8693599999999999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-0.42</v>
      </c>
      <c r="FG166">
        <v>0.2112</v>
      </c>
      <c r="FH166">
        <v>-0.150361779349652</v>
      </c>
      <c r="FI166">
        <v>-6.1462078757559423E-4</v>
      </c>
      <c r="FJ166">
        <v>-1.8861989874597051E-7</v>
      </c>
      <c r="FK166">
        <v>1.1980462299894961E-10</v>
      </c>
      <c r="FL166">
        <v>0.21114761904761539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34</v>
      </c>
      <c r="FU166">
        <v>34.299999999999997</v>
      </c>
      <c r="FV166">
        <v>1.7675799999999999</v>
      </c>
      <c r="FW166">
        <v>2.5708000000000002</v>
      </c>
      <c r="FX166">
        <v>1.5490699999999999</v>
      </c>
      <c r="FY166">
        <v>2.33765</v>
      </c>
      <c r="FZ166">
        <v>1.50146</v>
      </c>
      <c r="GA166">
        <v>2.3718300000000001</v>
      </c>
      <c r="GB166">
        <v>32.310699999999997</v>
      </c>
      <c r="GC166">
        <v>23.982399999999998</v>
      </c>
      <c r="GD166">
        <v>19</v>
      </c>
      <c r="GE166">
        <v>269.02499999999998</v>
      </c>
      <c r="GF166">
        <v>584.12199999999996</v>
      </c>
      <c r="GG166">
        <v>25.8584</v>
      </c>
      <c r="GH166">
        <v>25.725300000000001</v>
      </c>
      <c r="GI166">
        <v>30.0001</v>
      </c>
      <c r="GJ166">
        <v>25.825199999999999</v>
      </c>
      <c r="GK166">
        <v>25.788</v>
      </c>
      <c r="GL166">
        <v>35.329500000000003</v>
      </c>
      <c r="GM166">
        <v>100</v>
      </c>
      <c r="GN166">
        <v>25.380800000000001</v>
      </c>
      <c r="GO166">
        <v>25.845199999999998</v>
      </c>
      <c r="GP166">
        <v>800</v>
      </c>
      <c r="GQ166">
        <v>0</v>
      </c>
      <c r="GR166">
        <v>99.77</v>
      </c>
      <c r="GS166">
        <v>99.552499999999995</v>
      </c>
    </row>
    <row r="167" spans="1:201" x14ac:dyDescent="0.25">
      <c r="A167">
        <v>151</v>
      </c>
      <c r="B167">
        <v>1690378266.0999999</v>
      </c>
      <c r="C167">
        <v>1549.599999904633</v>
      </c>
      <c r="D167" t="s">
        <v>635</v>
      </c>
      <c r="E167" t="s">
        <v>636</v>
      </c>
      <c r="F167" t="s">
        <v>330</v>
      </c>
      <c r="H167">
        <v>1690378266.0999999</v>
      </c>
      <c r="I167">
        <f t="shared" si="60"/>
        <v>2.3507829163179569E-3</v>
      </c>
      <c r="J167">
        <f t="shared" si="61"/>
        <v>2.3507829163179568</v>
      </c>
      <c r="K167">
        <f t="shared" si="62"/>
        <v>33.808424660614442</v>
      </c>
      <c r="L167">
        <f t="shared" si="63"/>
        <v>400.529</v>
      </c>
      <c r="M167">
        <f t="shared" si="64"/>
        <v>85.978501219227809</v>
      </c>
      <c r="N167">
        <f t="shared" si="65"/>
        <v>8.49006497941782</v>
      </c>
      <c r="O167">
        <f t="shared" si="66"/>
        <v>39.550785230258995</v>
      </c>
      <c r="P167">
        <f t="shared" si="67"/>
        <v>0.1824083220037932</v>
      </c>
      <c r="Q167">
        <f t="shared" si="68"/>
        <v>2.00876216121575</v>
      </c>
      <c r="R167">
        <f t="shared" si="69"/>
        <v>0.1736804850768417</v>
      </c>
      <c r="S167">
        <f t="shared" si="70"/>
        <v>0.10929965635132984</v>
      </c>
      <c r="T167">
        <f t="shared" si="71"/>
        <v>276.114411324</v>
      </c>
      <c r="U167">
        <f t="shared" si="72"/>
        <v>28.52324548568647</v>
      </c>
      <c r="V167">
        <f t="shared" si="73"/>
        <v>28.52324548568647</v>
      </c>
      <c r="W167">
        <f t="shared" si="74"/>
        <v>3.9121471030523778</v>
      </c>
      <c r="X167">
        <f t="shared" si="75"/>
        <v>72.829714539559504</v>
      </c>
      <c r="Y167">
        <f t="shared" si="76"/>
        <v>2.6198103450896997</v>
      </c>
      <c r="Z167">
        <f t="shared" si="77"/>
        <v>3.5971723377642459</v>
      </c>
      <c r="AA167">
        <f t="shared" si="78"/>
        <v>1.2923367579626781</v>
      </c>
      <c r="AB167">
        <f t="shared" si="79"/>
        <v>-103.6695266096219</v>
      </c>
      <c r="AC167">
        <f t="shared" si="80"/>
        <v>-155.70263956354879</v>
      </c>
      <c r="AD167">
        <f t="shared" si="81"/>
        <v>-16.862951071879209</v>
      </c>
      <c r="AE167">
        <f t="shared" si="82"/>
        <v>-0.12070592104987554</v>
      </c>
      <c r="AF167">
        <v>8</v>
      </c>
      <c r="AG167">
        <v>3</v>
      </c>
      <c r="AH167">
        <f t="shared" si="83"/>
        <v>1</v>
      </c>
      <c r="AI167">
        <f t="shared" si="84"/>
        <v>0</v>
      </c>
      <c r="AJ167">
        <f t="shared" si="85"/>
        <v>52218.518051448336</v>
      </c>
      <c r="AK167">
        <f t="shared" si="86"/>
        <v>1800</v>
      </c>
      <c r="AL167">
        <f t="shared" si="87"/>
        <v>1499.1128873999999</v>
      </c>
      <c r="AM167">
        <f t="shared" si="88"/>
        <v>0.83284049299999996</v>
      </c>
      <c r="AN167">
        <f t="shared" si="89"/>
        <v>0.15339689517999999</v>
      </c>
      <c r="AO167">
        <v>34.5</v>
      </c>
      <c r="AP167">
        <v>0.5</v>
      </c>
      <c r="AQ167" t="s">
        <v>331</v>
      </c>
      <c r="AR167">
        <v>2</v>
      </c>
      <c r="AS167">
        <v>1690378266.0999999</v>
      </c>
      <c r="AT167">
        <v>400.529</v>
      </c>
      <c r="AU167">
        <v>799.99400000000003</v>
      </c>
      <c r="AV167">
        <v>26.5307</v>
      </c>
      <c r="AW167">
        <v>0.22445000000000001</v>
      </c>
      <c r="AX167">
        <v>400.94799999999998</v>
      </c>
      <c r="AY167">
        <v>26.319600000000001</v>
      </c>
      <c r="AZ167">
        <v>300.12</v>
      </c>
      <c r="BA167">
        <v>98.646299999999997</v>
      </c>
      <c r="BB167">
        <v>0.10007099999999999</v>
      </c>
      <c r="BC167">
        <v>27.0855</v>
      </c>
      <c r="BD167">
        <v>26.9895</v>
      </c>
      <c r="BE167">
        <v>28.601900000000001</v>
      </c>
      <c r="BF167">
        <v>0</v>
      </c>
      <c r="BG167">
        <v>0</v>
      </c>
      <c r="BH167">
        <v>10014.4</v>
      </c>
      <c r="BI167">
        <v>1083.5</v>
      </c>
      <c r="BJ167">
        <v>1.4016500000000001</v>
      </c>
      <c r="BK167">
        <v>-399.46600000000001</v>
      </c>
      <c r="BL167">
        <v>411.44499999999999</v>
      </c>
      <c r="BM167">
        <v>800.17399999999998</v>
      </c>
      <c r="BN167">
        <v>26.3063</v>
      </c>
      <c r="BO167">
        <v>799.99400000000003</v>
      </c>
      <c r="BP167">
        <v>0.22445000000000001</v>
      </c>
      <c r="BQ167">
        <v>2.6171600000000002</v>
      </c>
      <c r="BR167">
        <v>2.21412E-2</v>
      </c>
      <c r="BS167">
        <v>21.774000000000001</v>
      </c>
      <c r="BT167">
        <v>-38.441200000000002</v>
      </c>
      <c r="BU167">
        <v>1800</v>
      </c>
      <c r="BV167">
        <v>0.91001500000000002</v>
      </c>
      <c r="BW167">
        <v>3.4002499999999998E-2</v>
      </c>
      <c r="BX167">
        <v>2.19939E-2</v>
      </c>
      <c r="BY167">
        <v>3.3988600000000001E-2</v>
      </c>
      <c r="BZ167">
        <v>25</v>
      </c>
      <c r="CA167">
        <v>33528.400000000001</v>
      </c>
      <c r="CB167">
        <v>1690376213.5999999</v>
      </c>
      <c r="CC167" t="s">
        <v>332</v>
      </c>
      <c r="CD167">
        <v>1690376213.5999999</v>
      </c>
      <c r="CE167">
        <v>1690376198.0999999</v>
      </c>
      <c r="CF167">
        <v>2</v>
      </c>
      <c r="CG167">
        <v>0.66900000000000004</v>
      </c>
      <c r="CH167">
        <v>-2.1000000000000001E-2</v>
      </c>
      <c r="CI167">
        <v>-0.70099999999999996</v>
      </c>
      <c r="CJ167">
        <v>0.21099999999999999</v>
      </c>
      <c r="CK167">
        <v>799</v>
      </c>
      <c r="CL167">
        <v>21</v>
      </c>
      <c r="CM167">
        <v>0.11</v>
      </c>
      <c r="CN167">
        <v>0.17</v>
      </c>
      <c r="CO167">
        <v>-398.49212195121947</v>
      </c>
      <c r="CP167">
        <v>-6.0336167247400398</v>
      </c>
      <c r="CQ167">
        <v>0.59696415691404592</v>
      </c>
      <c r="CR167">
        <v>-1</v>
      </c>
      <c r="CS167">
        <v>26.264292682926829</v>
      </c>
      <c r="CT167">
        <v>0.25407804878054219</v>
      </c>
      <c r="CU167">
        <v>2.5073884871674969E-2</v>
      </c>
      <c r="CV167">
        <v>-1</v>
      </c>
      <c r="CW167">
        <v>0</v>
      </c>
      <c r="CX167">
        <v>0</v>
      </c>
      <c r="CY167" t="s">
        <v>333</v>
      </c>
      <c r="CZ167">
        <v>2.3650199999999999</v>
      </c>
      <c r="DA167">
        <v>2.71387</v>
      </c>
      <c r="DB167">
        <v>8.9384400000000003E-2</v>
      </c>
      <c r="DC167">
        <v>0.14552899999999999</v>
      </c>
      <c r="DD167">
        <v>0.121763</v>
      </c>
      <c r="DE167">
        <v>1.8771899999999999E-3</v>
      </c>
      <c r="DF167">
        <v>33263.4</v>
      </c>
      <c r="DG167">
        <v>27539.4</v>
      </c>
      <c r="DH167">
        <v>31182.5</v>
      </c>
      <c r="DI167">
        <v>28082.6</v>
      </c>
      <c r="DJ167">
        <v>37168.199999999997</v>
      </c>
      <c r="DK167">
        <v>39854.199999999997</v>
      </c>
      <c r="DL167">
        <v>44374.9</v>
      </c>
      <c r="DM167">
        <v>42550.8</v>
      </c>
      <c r="DN167">
        <v>1.44825</v>
      </c>
      <c r="DO167">
        <v>2.0449199999999998</v>
      </c>
      <c r="DP167">
        <v>9.0554399999999993E-2</v>
      </c>
      <c r="DQ167">
        <v>0.18901399999999999</v>
      </c>
      <c r="DR167">
        <v>25.506699999999999</v>
      </c>
      <c r="DS167">
        <v>25.510999999999999</v>
      </c>
      <c r="DT167">
        <v>34.4</v>
      </c>
      <c r="DU167">
        <v>27.3</v>
      </c>
      <c r="DV167">
        <v>12.701499999999999</v>
      </c>
      <c r="DW167">
        <v>60.878399999999999</v>
      </c>
      <c r="DX167">
        <v>37.744399999999999</v>
      </c>
      <c r="DY167">
        <v>1</v>
      </c>
      <c r="DZ167">
        <v>-0.135877</v>
      </c>
      <c r="EA167">
        <v>-0.50512000000000001</v>
      </c>
      <c r="EB167">
        <v>20.189299999999999</v>
      </c>
      <c r="EC167">
        <v>5.2409499999999998</v>
      </c>
      <c r="ED167">
        <v>12.039899999999999</v>
      </c>
      <c r="EE167">
        <v>5.0171000000000001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1.8688800000000001</v>
      </c>
      <c r="EL167">
        <v>1.86456</v>
      </c>
      <c r="EM167">
        <v>1.8692</v>
      </c>
      <c r="EN167">
        <v>1.86721</v>
      </c>
      <c r="EO167">
        <v>1.8633200000000001</v>
      </c>
      <c r="EP167">
        <v>1.86432</v>
      </c>
      <c r="EQ167">
        <v>1.87012</v>
      </c>
      <c r="ER167">
        <v>1.8693599999999999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-0.41899999999999998</v>
      </c>
      <c r="FG167">
        <v>0.21110000000000001</v>
      </c>
      <c r="FH167">
        <v>-0.150361779349652</v>
      </c>
      <c r="FI167">
        <v>-6.1462078757559423E-4</v>
      </c>
      <c r="FJ167">
        <v>-1.8861989874597051E-7</v>
      </c>
      <c r="FK167">
        <v>1.1980462299894961E-10</v>
      </c>
      <c r="FL167">
        <v>0.21114761904761539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34.200000000000003</v>
      </c>
      <c r="FU167">
        <v>34.5</v>
      </c>
      <c r="FV167">
        <v>1.7675799999999999</v>
      </c>
      <c r="FW167">
        <v>2.5708000000000002</v>
      </c>
      <c r="FX167">
        <v>1.5490699999999999</v>
      </c>
      <c r="FY167">
        <v>2.33765</v>
      </c>
      <c r="FZ167">
        <v>1.50146</v>
      </c>
      <c r="GA167">
        <v>2.34985</v>
      </c>
      <c r="GB167">
        <v>32.310699999999997</v>
      </c>
      <c r="GC167">
        <v>23.991199999999999</v>
      </c>
      <c r="GD167">
        <v>19</v>
      </c>
      <c r="GE167">
        <v>268.94400000000002</v>
      </c>
      <c r="GF167">
        <v>583.96299999999997</v>
      </c>
      <c r="GG167">
        <v>25.840900000000001</v>
      </c>
      <c r="GH167">
        <v>25.725300000000001</v>
      </c>
      <c r="GI167">
        <v>30</v>
      </c>
      <c r="GJ167">
        <v>25.825199999999999</v>
      </c>
      <c r="GK167">
        <v>25.788499999999999</v>
      </c>
      <c r="GL167">
        <v>35.329300000000003</v>
      </c>
      <c r="GM167">
        <v>100</v>
      </c>
      <c r="GN167">
        <v>24.979800000000001</v>
      </c>
      <c r="GO167">
        <v>25.8582</v>
      </c>
      <c r="GP167">
        <v>800</v>
      </c>
      <c r="GQ167">
        <v>0</v>
      </c>
      <c r="GR167">
        <v>99.7697</v>
      </c>
      <c r="GS167">
        <v>99.552999999999997</v>
      </c>
    </row>
    <row r="168" spans="1:201" x14ac:dyDescent="0.25">
      <c r="A168">
        <v>152</v>
      </c>
      <c r="B168">
        <v>1690378276.0999999</v>
      </c>
      <c r="C168">
        <v>1559.599999904633</v>
      </c>
      <c r="D168" t="s">
        <v>637</v>
      </c>
      <c r="E168" t="s">
        <v>638</v>
      </c>
      <c r="F168" t="s">
        <v>330</v>
      </c>
      <c r="H168">
        <v>1690378276.0999999</v>
      </c>
      <c r="I168">
        <f t="shared" si="60"/>
        <v>2.3545007771012061E-3</v>
      </c>
      <c r="J168">
        <f t="shared" si="61"/>
        <v>2.3545007771012063</v>
      </c>
      <c r="K168">
        <f t="shared" si="62"/>
        <v>33.881840397489007</v>
      </c>
      <c r="L168">
        <f t="shared" si="63"/>
        <v>399.57600000000002</v>
      </c>
      <c r="M168">
        <f t="shared" si="64"/>
        <v>86.099956252396638</v>
      </c>
      <c r="N168">
        <f t="shared" si="65"/>
        <v>8.5019074535495349</v>
      </c>
      <c r="O168">
        <f t="shared" si="66"/>
        <v>39.455980241162408</v>
      </c>
      <c r="P168">
        <f t="shared" si="67"/>
        <v>0.18347615121035396</v>
      </c>
      <c r="Q168">
        <f t="shared" si="68"/>
        <v>2.0066507582089961</v>
      </c>
      <c r="R168">
        <f t="shared" si="69"/>
        <v>0.17463967760164475</v>
      </c>
      <c r="S168">
        <f t="shared" si="70"/>
        <v>0.10990824751328461</v>
      </c>
      <c r="T168">
        <f t="shared" si="71"/>
        <v>276.114398472</v>
      </c>
      <c r="U168">
        <f t="shared" si="72"/>
        <v>28.520047351631039</v>
      </c>
      <c r="V168">
        <f t="shared" si="73"/>
        <v>28.520047351631039</v>
      </c>
      <c r="W168">
        <f t="shared" si="74"/>
        <v>3.9114206098506505</v>
      </c>
      <c r="X168">
        <f t="shared" si="75"/>
        <v>72.965379852116115</v>
      </c>
      <c r="Y168">
        <f t="shared" si="76"/>
        <v>2.6241975206144401</v>
      </c>
      <c r="Z168">
        <f t="shared" si="77"/>
        <v>3.5964967576857396</v>
      </c>
      <c r="AA168">
        <f t="shared" si="78"/>
        <v>1.2872230892362104</v>
      </c>
      <c r="AB168">
        <f t="shared" si="79"/>
        <v>-103.8334842701632</v>
      </c>
      <c r="AC168">
        <f t="shared" si="80"/>
        <v>-155.53918291665644</v>
      </c>
      <c r="AD168">
        <f t="shared" si="81"/>
        <v>-16.862434949831044</v>
      </c>
      <c r="AE168">
        <f t="shared" si="82"/>
        <v>-0.12070366465064808</v>
      </c>
      <c r="AF168">
        <v>8</v>
      </c>
      <c r="AG168">
        <v>3</v>
      </c>
      <c r="AH168">
        <f t="shared" si="83"/>
        <v>1</v>
      </c>
      <c r="AI168">
        <f t="shared" si="84"/>
        <v>0</v>
      </c>
      <c r="AJ168">
        <f t="shared" si="85"/>
        <v>52118.110996423733</v>
      </c>
      <c r="AK168">
        <f t="shared" si="86"/>
        <v>1800</v>
      </c>
      <c r="AL168">
        <f t="shared" si="87"/>
        <v>1499.1138432</v>
      </c>
      <c r="AM168">
        <f t="shared" si="88"/>
        <v>0.83284102400000004</v>
      </c>
      <c r="AN168">
        <f t="shared" si="89"/>
        <v>0.15339688804000001</v>
      </c>
      <c r="AO168">
        <v>34.5</v>
      </c>
      <c r="AP168">
        <v>0.5</v>
      </c>
      <c r="AQ168" t="s">
        <v>331</v>
      </c>
      <c r="AR168">
        <v>2</v>
      </c>
      <c r="AS168">
        <v>1690378276.0999999</v>
      </c>
      <c r="AT168">
        <v>399.57600000000002</v>
      </c>
      <c r="AU168">
        <v>799.98299999999995</v>
      </c>
      <c r="AV168">
        <v>26.575600000000001</v>
      </c>
      <c r="AW168">
        <v>0.22193599999999999</v>
      </c>
      <c r="AX168">
        <v>399.99400000000003</v>
      </c>
      <c r="AY168">
        <v>26.3644</v>
      </c>
      <c r="AZ168">
        <v>300.04000000000002</v>
      </c>
      <c r="BA168">
        <v>98.6447</v>
      </c>
      <c r="BB168">
        <v>9.9919900000000006E-2</v>
      </c>
      <c r="BC168">
        <v>27.0823</v>
      </c>
      <c r="BD168">
        <v>26.9907</v>
      </c>
      <c r="BE168">
        <v>28.579599999999999</v>
      </c>
      <c r="BF168">
        <v>0</v>
      </c>
      <c r="BG168">
        <v>0</v>
      </c>
      <c r="BH168">
        <v>9994.3799999999992</v>
      </c>
      <c r="BI168">
        <v>1083.49</v>
      </c>
      <c r="BJ168">
        <v>1.40025</v>
      </c>
      <c r="BK168">
        <v>-400.40699999999998</v>
      </c>
      <c r="BL168">
        <v>410.48500000000001</v>
      </c>
      <c r="BM168">
        <v>800.16099999999994</v>
      </c>
      <c r="BN168">
        <v>26.3536</v>
      </c>
      <c r="BO168">
        <v>799.98299999999995</v>
      </c>
      <c r="BP168">
        <v>0.22193599999999999</v>
      </c>
      <c r="BQ168">
        <v>2.62154</v>
      </c>
      <c r="BR168">
        <v>2.18928E-2</v>
      </c>
      <c r="BS168">
        <v>21.801400000000001</v>
      </c>
      <c r="BT168">
        <v>-38.550800000000002</v>
      </c>
      <c r="BU168">
        <v>1800</v>
      </c>
      <c r="BV168">
        <v>0.91001799999999999</v>
      </c>
      <c r="BW168">
        <v>3.40016E-2</v>
      </c>
      <c r="BX168">
        <v>2.1993200000000001E-2</v>
      </c>
      <c r="BY168">
        <v>3.39876E-2</v>
      </c>
      <c r="BZ168">
        <v>25</v>
      </c>
      <c r="CA168">
        <v>33528.400000000001</v>
      </c>
      <c r="CB168">
        <v>1690376213.5999999</v>
      </c>
      <c r="CC168" t="s">
        <v>332</v>
      </c>
      <c r="CD168">
        <v>1690376213.5999999</v>
      </c>
      <c r="CE168">
        <v>1690376198.0999999</v>
      </c>
      <c r="CF168">
        <v>2</v>
      </c>
      <c r="CG168">
        <v>0.66900000000000004</v>
      </c>
      <c r="CH168">
        <v>-2.1000000000000001E-2</v>
      </c>
      <c r="CI168">
        <v>-0.70099999999999996</v>
      </c>
      <c r="CJ168">
        <v>0.21099999999999999</v>
      </c>
      <c r="CK168">
        <v>799</v>
      </c>
      <c r="CL168">
        <v>21</v>
      </c>
      <c r="CM168">
        <v>0.11</v>
      </c>
      <c r="CN168">
        <v>0.17</v>
      </c>
      <c r="CO168">
        <v>-399.4023902439024</v>
      </c>
      <c r="CP168">
        <v>-5.8527177700361834</v>
      </c>
      <c r="CQ168">
        <v>0.57940587223712792</v>
      </c>
      <c r="CR168">
        <v>-1</v>
      </c>
      <c r="CS168">
        <v>26.302499999999998</v>
      </c>
      <c r="CT168">
        <v>0.2588613240418049</v>
      </c>
      <c r="CU168">
        <v>2.556976110421888E-2</v>
      </c>
      <c r="CV168">
        <v>-1</v>
      </c>
      <c r="CW168">
        <v>0</v>
      </c>
      <c r="CX168">
        <v>0</v>
      </c>
      <c r="CY168" t="s">
        <v>333</v>
      </c>
      <c r="CZ168">
        <v>2.36476</v>
      </c>
      <c r="DA168">
        <v>2.7136999999999998</v>
      </c>
      <c r="DB168">
        <v>8.9220099999999997E-2</v>
      </c>
      <c r="DC168">
        <v>0.14552499999999999</v>
      </c>
      <c r="DD168">
        <v>0.121904</v>
      </c>
      <c r="DE168">
        <v>1.8564199999999999E-3</v>
      </c>
      <c r="DF168">
        <v>33269.300000000003</v>
      </c>
      <c r="DG168">
        <v>27539.7</v>
      </c>
      <c r="DH168">
        <v>31182.400000000001</v>
      </c>
      <c r="DI168">
        <v>28082.799999999999</v>
      </c>
      <c r="DJ168">
        <v>37162.1</v>
      </c>
      <c r="DK168">
        <v>39855.4</v>
      </c>
      <c r="DL168">
        <v>44374.9</v>
      </c>
      <c r="DM168">
        <v>42551.199999999997</v>
      </c>
      <c r="DN168">
        <v>1.44797</v>
      </c>
      <c r="DO168">
        <v>2.0451299999999999</v>
      </c>
      <c r="DP168">
        <v>9.0628899999999998E-2</v>
      </c>
      <c r="DQ168">
        <v>0.187643</v>
      </c>
      <c r="DR168">
        <v>25.506699999999999</v>
      </c>
      <c r="DS168">
        <v>25.510999999999999</v>
      </c>
      <c r="DT168">
        <v>34</v>
      </c>
      <c r="DU168">
        <v>27.3</v>
      </c>
      <c r="DV168">
        <v>12.554600000000001</v>
      </c>
      <c r="DW168">
        <v>61.168399999999998</v>
      </c>
      <c r="DX168">
        <v>37.924700000000001</v>
      </c>
      <c r="DY168">
        <v>1</v>
      </c>
      <c r="DZ168">
        <v>-0.135902</v>
      </c>
      <c r="EA168">
        <v>-0.58485299999999996</v>
      </c>
      <c r="EB168">
        <v>20.1891</v>
      </c>
      <c r="EC168">
        <v>5.2406499999999996</v>
      </c>
      <c r="ED168">
        <v>12.039899999999999</v>
      </c>
      <c r="EE168">
        <v>5.0170500000000002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1.86886</v>
      </c>
      <c r="EL168">
        <v>1.8645700000000001</v>
      </c>
      <c r="EM168">
        <v>1.8691800000000001</v>
      </c>
      <c r="EN168">
        <v>1.86721</v>
      </c>
      <c r="EO168">
        <v>1.86331</v>
      </c>
      <c r="EP168">
        <v>1.86433</v>
      </c>
      <c r="EQ168">
        <v>1.87012</v>
      </c>
      <c r="ER168">
        <v>1.8693599999999999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-0.41799999999999998</v>
      </c>
      <c r="FG168">
        <v>0.2112</v>
      </c>
      <c r="FH168">
        <v>-0.150361779349652</v>
      </c>
      <c r="FI168">
        <v>-6.1462078757559423E-4</v>
      </c>
      <c r="FJ168">
        <v>-1.8861989874597051E-7</v>
      </c>
      <c r="FK168">
        <v>1.1980462299894961E-10</v>
      </c>
      <c r="FL168">
        <v>0.21114761904761539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34.4</v>
      </c>
      <c r="FU168">
        <v>34.6</v>
      </c>
      <c r="FV168">
        <v>1.7675799999999999</v>
      </c>
      <c r="FW168">
        <v>2.5720200000000002</v>
      </c>
      <c r="FX168">
        <v>1.5490699999999999</v>
      </c>
      <c r="FY168">
        <v>2.33765</v>
      </c>
      <c r="FZ168">
        <v>1.50146</v>
      </c>
      <c r="GA168">
        <v>2.3938000000000001</v>
      </c>
      <c r="GB168">
        <v>32.310699999999997</v>
      </c>
      <c r="GC168">
        <v>23.991199999999999</v>
      </c>
      <c r="GD168">
        <v>19</v>
      </c>
      <c r="GE168">
        <v>268.84100000000001</v>
      </c>
      <c r="GF168">
        <v>584.12800000000004</v>
      </c>
      <c r="GG168">
        <v>25.860800000000001</v>
      </c>
      <c r="GH168">
        <v>25.727399999999999</v>
      </c>
      <c r="GI168">
        <v>30</v>
      </c>
      <c r="GJ168">
        <v>25.827400000000001</v>
      </c>
      <c r="GK168">
        <v>25.788499999999999</v>
      </c>
      <c r="GL168">
        <v>35.328299999999999</v>
      </c>
      <c r="GM168">
        <v>100</v>
      </c>
      <c r="GN168">
        <v>24.213699999999999</v>
      </c>
      <c r="GO168">
        <v>25.866</v>
      </c>
      <c r="GP168">
        <v>800</v>
      </c>
      <c r="GQ168">
        <v>0</v>
      </c>
      <c r="GR168">
        <v>99.769599999999997</v>
      </c>
      <c r="GS168">
        <v>99.553899999999999</v>
      </c>
    </row>
    <row r="169" spans="1:201" x14ac:dyDescent="0.25">
      <c r="A169">
        <v>153</v>
      </c>
      <c r="B169">
        <v>1690378286.0999999</v>
      </c>
      <c r="C169">
        <v>1569.599999904633</v>
      </c>
      <c r="D169" t="s">
        <v>639</v>
      </c>
      <c r="E169" t="s">
        <v>640</v>
      </c>
      <c r="F169" t="s">
        <v>330</v>
      </c>
      <c r="H169">
        <v>1690378286.0999999</v>
      </c>
      <c r="I169">
        <f t="shared" si="60"/>
        <v>2.3592751332939211E-3</v>
      </c>
      <c r="J169">
        <f t="shared" si="61"/>
        <v>2.359275133293921</v>
      </c>
      <c r="K169">
        <f t="shared" si="62"/>
        <v>33.988271760681911</v>
      </c>
      <c r="L169">
        <f t="shared" si="63"/>
        <v>398.47899999999998</v>
      </c>
      <c r="M169">
        <f t="shared" si="64"/>
        <v>86.009879873664858</v>
      </c>
      <c r="N169">
        <f t="shared" si="65"/>
        <v>8.493262419032197</v>
      </c>
      <c r="O169">
        <f t="shared" si="66"/>
        <v>39.348813420558997</v>
      </c>
      <c r="P169">
        <f t="shared" si="67"/>
        <v>0.18467660601488661</v>
      </c>
      <c r="Q169">
        <f t="shared" si="68"/>
        <v>2.0087748928041389</v>
      </c>
      <c r="R169">
        <f t="shared" si="69"/>
        <v>0.17573612406093328</v>
      </c>
      <c r="S169">
        <f t="shared" si="70"/>
        <v>0.11060226696971093</v>
      </c>
      <c r="T169">
        <f t="shared" si="71"/>
        <v>276.11426183400005</v>
      </c>
      <c r="U169">
        <f t="shared" si="72"/>
        <v>28.516119178794348</v>
      </c>
      <c r="V169">
        <f t="shared" si="73"/>
        <v>28.516119178794348</v>
      </c>
      <c r="W169">
        <f t="shared" si="74"/>
        <v>3.9105284409106642</v>
      </c>
      <c r="X169">
        <f t="shared" si="75"/>
        <v>73.094785014572878</v>
      </c>
      <c r="Y169">
        <f t="shared" si="76"/>
        <v>2.6287281322846998</v>
      </c>
      <c r="Z169">
        <f t="shared" si="77"/>
        <v>3.5963278799720277</v>
      </c>
      <c r="AA169">
        <f t="shared" si="78"/>
        <v>1.2818003086259644</v>
      </c>
      <c r="AB169">
        <f t="shared" si="79"/>
        <v>-104.04403337826191</v>
      </c>
      <c r="AC169">
        <f t="shared" si="80"/>
        <v>-155.36505652839404</v>
      </c>
      <c r="AD169">
        <f t="shared" si="81"/>
        <v>-16.825349448116718</v>
      </c>
      <c r="AE169">
        <f t="shared" si="82"/>
        <v>-0.12017752077261434</v>
      </c>
      <c r="AF169">
        <v>8</v>
      </c>
      <c r="AG169">
        <v>3</v>
      </c>
      <c r="AH169">
        <f t="shared" si="83"/>
        <v>1</v>
      </c>
      <c r="AI169">
        <f t="shared" si="84"/>
        <v>0</v>
      </c>
      <c r="AJ169">
        <f t="shared" si="85"/>
        <v>52219.849338933396</v>
      </c>
      <c r="AK169">
        <f t="shared" si="86"/>
        <v>1800</v>
      </c>
      <c r="AL169">
        <f t="shared" si="87"/>
        <v>1499.1135804</v>
      </c>
      <c r="AM169">
        <f t="shared" si="88"/>
        <v>0.83284087800000006</v>
      </c>
      <c r="AN169">
        <f t="shared" si="89"/>
        <v>0.15339681213000003</v>
      </c>
      <c r="AO169">
        <v>34.5</v>
      </c>
      <c r="AP169">
        <v>0.5</v>
      </c>
      <c r="AQ169" t="s">
        <v>331</v>
      </c>
      <c r="AR169">
        <v>2</v>
      </c>
      <c r="AS169">
        <v>1690378286.0999999</v>
      </c>
      <c r="AT169">
        <v>398.47899999999998</v>
      </c>
      <c r="AU169">
        <v>800.01900000000001</v>
      </c>
      <c r="AV169">
        <v>26.620699999999999</v>
      </c>
      <c r="AW169">
        <v>0.220276</v>
      </c>
      <c r="AX169">
        <v>398.89699999999999</v>
      </c>
      <c r="AY169">
        <v>26.409600000000001</v>
      </c>
      <c r="AZ169">
        <v>300.10199999999998</v>
      </c>
      <c r="BA169">
        <v>98.647499999999994</v>
      </c>
      <c r="BB169">
        <v>0.100021</v>
      </c>
      <c r="BC169">
        <v>27.081499999999998</v>
      </c>
      <c r="BD169">
        <v>26.997299999999999</v>
      </c>
      <c r="BE169">
        <v>28.575399999999998</v>
      </c>
      <c r="BF169">
        <v>0</v>
      </c>
      <c r="BG169">
        <v>0</v>
      </c>
      <c r="BH169">
        <v>10014.4</v>
      </c>
      <c r="BI169">
        <v>1083.53</v>
      </c>
      <c r="BJ169">
        <v>1.3455900000000001</v>
      </c>
      <c r="BK169">
        <v>-401.54</v>
      </c>
      <c r="BL169">
        <v>409.37700000000001</v>
      </c>
      <c r="BM169">
        <v>800.19500000000005</v>
      </c>
      <c r="BN169">
        <v>26.400500000000001</v>
      </c>
      <c r="BO169">
        <v>800.01900000000001</v>
      </c>
      <c r="BP169">
        <v>0.220276</v>
      </c>
      <c r="BQ169">
        <v>2.6260699999999999</v>
      </c>
      <c r="BR169">
        <v>2.1729700000000001E-2</v>
      </c>
      <c r="BS169">
        <v>21.829699999999999</v>
      </c>
      <c r="BT169">
        <v>-38.6235</v>
      </c>
      <c r="BU169">
        <v>1800</v>
      </c>
      <c r="BV169">
        <v>0.91001900000000002</v>
      </c>
      <c r="BW169">
        <v>3.4001099999999999E-2</v>
      </c>
      <c r="BX169">
        <v>2.1992899999999999E-2</v>
      </c>
      <c r="BY169">
        <v>3.3987099999999999E-2</v>
      </c>
      <c r="BZ169">
        <v>25</v>
      </c>
      <c r="CA169">
        <v>33528.5</v>
      </c>
      <c r="CB169">
        <v>1690376213.5999999</v>
      </c>
      <c r="CC169" t="s">
        <v>332</v>
      </c>
      <c r="CD169">
        <v>1690376213.5999999</v>
      </c>
      <c r="CE169">
        <v>1690376198.0999999</v>
      </c>
      <c r="CF169">
        <v>2</v>
      </c>
      <c r="CG169">
        <v>0.66900000000000004</v>
      </c>
      <c r="CH169">
        <v>-2.1000000000000001E-2</v>
      </c>
      <c r="CI169">
        <v>-0.70099999999999996</v>
      </c>
      <c r="CJ169">
        <v>0.21099999999999999</v>
      </c>
      <c r="CK169">
        <v>799</v>
      </c>
      <c r="CL169">
        <v>21</v>
      </c>
      <c r="CM169">
        <v>0.11</v>
      </c>
      <c r="CN169">
        <v>0.17</v>
      </c>
      <c r="CO169">
        <v>-400.40747499999998</v>
      </c>
      <c r="CP169">
        <v>-5.5406341463397073</v>
      </c>
      <c r="CQ169">
        <v>0.5368841116805344</v>
      </c>
      <c r="CR169">
        <v>-1</v>
      </c>
      <c r="CS169">
        <v>26.3495575</v>
      </c>
      <c r="CT169">
        <v>0.27424953095680088</v>
      </c>
      <c r="CU169">
        <v>2.6396163428612271E-2</v>
      </c>
      <c r="CV169">
        <v>-1</v>
      </c>
      <c r="CW169">
        <v>0</v>
      </c>
      <c r="CX169">
        <v>0</v>
      </c>
      <c r="CY169" t="s">
        <v>333</v>
      </c>
      <c r="CZ169">
        <v>2.3649399999999998</v>
      </c>
      <c r="DA169">
        <v>2.7138200000000001</v>
      </c>
      <c r="DB169">
        <v>8.9035400000000001E-2</v>
      </c>
      <c r="DC169">
        <v>0.145533</v>
      </c>
      <c r="DD169">
        <v>0.12205199999999999</v>
      </c>
      <c r="DE169">
        <v>1.8427599999999999E-3</v>
      </c>
      <c r="DF169">
        <v>33275.699999999997</v>
      </c>
      <c r="DG169">
        <v>27539.7</v>
      </c>
      <c r="DH169">
        <v>31182.1</v>
      </c>
      <c r="DI169">
        <v>28083.1</v>
      </c>
      <c r="DJ169">
        <v>37155.4</v>
      </c>
      <c r="DK169">
        <v>39856.199999999997</v>
      </c>
      <c r="DL169">
        <v>44374.5</v>
      </c>
      <c r="DM169">
        <v>42551.5</v>
      </c>
      <c r="DN169">
        <v>1.44845</v>
      </c>
      <c r="DO169">
        <v>2.0449000000000002</v>
      </c>
      <c r="DP169">
        <v>9.1031200000000007E-2</v>
      </c>
      <c r="DQ169">
        <v>0.18739</v>
      </c>
      <c r="DR169">
        <v>25.506699999999999</v>
      </c>
      <c r="DS169">
        <v>25.510999999999999</v>
      </c>
      <c r="DT169">
        <v>33.6</v>
      </c>
      <c r="DU169">
        <v>27.3</v>
      </c>
      <c r="DV169">
        <v>12.4071</v>
      </c>
      <c r="DW169">
        <v>61.308399999999999</v>
      </c>
      <c r="DX169">
        <v>37.936700000000002</v>
      </c>
      <c r="DY169">
        <v>1</v>
      </c>
      <c r="DZ169">
        <v>-0.13580500000000001</v>
      </c>
      <c r="EA169">
        <v>-0.56850800000000001</v>
      </c>
      <c r="EB169">
        <v>20.1889</v>
      </c>
      <c r="EC169">
        <v>5.2409499999999998</v>
      </c>
      <c r="ED169">
        <v>12.039899999999999</v>
      </c>
      <c r="EE169">
        <v>5.01715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1.8688899999999999</v>
      </c>
      <c r="EL169">
        <v>1.8645799999999999</v>
      </c>
      <c r="EM169">
        <v>1.8692</v>
      </c>
      <c r="EN169">
        <v>1.8672200000000001</v>
      </c>
      <c r="EO169">
        <v>1.86331</v>
      </c>
      <c r="EP169">
        <v>1.8643400000000001</v>
      </c>
      <c r="EQ169">
        <v>1.87012</v>
      </c>
      <c r="ER169">
        <v>1.8693599999999999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-0.41799999999999998</v>
      </c>
      <c r="FG169">
        <v>0.21110000000000001</v>
      </c>
      <c r="FH169">
        <v>-0.150361779349652</v>
      </c>
      <c r="FI169">
        <v>-6.1462078757559423E-4</v>
      </c>
      <c r="FJ169">
        <v>-1.8861989874597051E-7</v>
      </c>
      <c r="FK169">
        <v>1.1980462299894961E-10</v>
      </c>
      <c r="FL169">
        <v>0.21114761904761539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34.5</v>
      </c>
      <c r="FU169">
        <v>34.799999999999997</v>
      </c>
      <c r="FV169">
        <v>1.7675799999999999</v>
      </c>
      <c r="FW169">
        <v>2.5720200000000002</v>
      </c>
      <c r="FX169">
        <v>1.5490699999999999</v>
      </c>
      <c r="FY169">
        <v>2.33643</v>
      </c>
      <c r="FZ169">
        <v>1.50146</v>
      </c>
      <c r="GA169">
        <v>2.36938</v>
      </c>
      <c r="GB169">
        <v>32.310699999999997</v>
      </c>
      <c r="GC169">
        <v>23.982399999999998</v>
      </c>
      <c r="GD169">
        <v>19</v>
      </c>
      <c r="GE169">
        <v>269.03399999999999</v>
      </c>
      <c r="GF169">
        <v>583.96699999999998</v>
      </c>
      <c r="GG169">
        <v>25.87</v>
      </c>
      <c r="GH169">
        <v>25.727399999999999</v>
      </c>
      <c r="GI169">
        <v>30.0001</v>
      </c>
      <c r="GJ169">
        <v>25.827400000000001</v>
      </c>
      <c r="GK169">
        <v>25.790700000000001</v>
      </c>
      <c r="GL169">
        <v>35.326700000000002</v>
      </c>
      <c r="GM169">
        <v>100</v>
      </c>
      <c r="GN169">
        <v>23.422999999999998</v>
      </c>
      <c r="GO169">
        <v>25.871300000000002</v>
      </c>
      <c r="GP169">
        <v>800</v>
      </c>
      <c r="GQ169">
        <v>0</v>
      </c>
      <c r="GR169">
        <v>99.768600000000006</v>
      </c>
      <c r="GS169">
        <v>99.554599999999994</v>
      </c>
    </row>
    <row r="170" spans="1:201" x14ac:dyDescent="0.25">
      <c r="A170">
        <v>154</v>
      </c>
      <c r="B170">
        <v>1690378296.0999999</v>
      </c>
      <c r="C170">
        <v>1579.599999904633</v>
      </c>
      <c r="D170" t="s">
        <v>641</v>
      </c>
      <c r="E170" t="s">
        <v>642</v>
      </c>
      <c r="F170" t="s">
        <v>330</v>
      </c>
      <c r="H170">
        <v>1690378296.0999999</v>
      </c>
      <c r="I170">
        <f t="shared" si="60"/>
        <v>2.36292457943625E-3</v>
      </c>
      <c r="J170">
        <f t="shared" si="61"/>
        <v>2.3629245794362501</v>
      </c>
      <c r="K170">
        <f t="shared" si="62"/>
        <v>34.067227653757463</v>
      </c>
      <c r="L170">
        <f t="shared" si="63"/>
        <v>397.53800000000001</v>
      </c>
      <c r="M170">
        <f t="shared" si="64"/>
        <v>86.018875125666554</v>
      </c>
      <c r="N170">
        <f t="shared" si="65"/>
        <v>8.4939548472970259</v>
      </c>
      <c r="O170">
        <f t="shared" si="66"/>
        <v>39.254986968287199</v>
      </c>
      <c r="P170">
        <f t="shared" si="67"/>
        <v>0.18570208458686649</v>
      </c>
      <c r="Q170">
        <f t="shared" si="68"/>
        <v>2.0094619775566209</v>
      </c>
      <c r="R170">
        <f t="shared" si="69"/>
        <v>0.17666757577123951</v>
      </c>
      <c r="S170">
        <f t="shared" si="70"/>
        <v>0.11119231244831446</v>
      </c>
      <c r="T170">
        <f t="shared" si="71"/>
        <v>276.11437861800005</v>
      </c>
      <c r="U170">
        <f t="shared" si="72"/>
        <v>28.51323734498893</v>
      </c>
      <c r="V170">
        <f t="shared" si="73"/>
        <v>28.51323734498893</v>
      </c>
      <c r="W170">
        <f t="shared" si="74"/>
        <v>3.909874029987054</v>
      </c>
      <c r="X170">
        <f t="shared" si="75"/>
        <v>73.215893128677052</v>
      </c>
      <c r="Y170">
        <f t="shared" si="76"/>
        <v>2.6329135731082802</v>
      </c>
      <c r="Z170">
        <f t="shared" si="77"/>
        <v>3.5960956844177674</v>
      </c>
      <c r="AA170">
        <f t="shared" si="78"/>
        <v>1.2769604568787738</v>
      </c>
      <c r="AB170">
        <f t="shared" si="79"/>
        <v>-104.20497395313863</v>
      </c>
      <c r="AC170">
        <f t="shared" si="80"/>
        <v>-155.22516446753482</v>
      </c>
      <c r="AD170">
        <f t="shared" si="81"/>
        <v>-16.804118024723</v>
      </c>
      <c r="AE170">
        <f t="shared" si="82"/>
        <v>-0.11987782739637964</v>
      </c>
      <c r="AF170">
        <v>8</v>
      </c>
      <c r="AG170">
        <v>3</v>
      </c>
      <c r="AH170">
        <f t="shared" si="83"/>
        <v>1</v>
      </c>
      <c r="AI170">
        <f t="shared" si="84"/>
        <v>0</v>
      </c>
      <c r="AJ170">
        <f t="shared" si="85"/>
        <v>52252.869032978146</v>
      </c>
      <c r="AK170">
        <f t="shared" si="86"/>
        <v>1800</v>
      </c>
      <c r="AL170">
        <f t="shared" si="87"/>
        <v>1499.1144138</v>
      </c>
      <c r="AM170">
        <f t="shared" si="88"/>
        <v>0.83284134099999996</v>
      </c>
      <c r="AN170">
        <f t="shared" si="89"/>
        <v>0.15339687701000002</v>
      </c>
      <c r="AO170">
        <v>34.5</v>
      </c>
      <c r="AP170">
        <v>0.5</v>
      </c>
      <c r="AQ170" t="s">
        <v>331</v>
      </c>
      <c r="AR170">
        <v>2</v>
      </c>
      <c r="AS170">
        <v>1690378296.0999999</v>
      </c>
      <c r="AT170">
        <v>397.53800000000001</v>
      </c>
      <c r="AU170">
        <v>800.06</v>
      </c>
      <c r="AV170">
        <v>26.663699999999999</v>
      </c>
      <c r="AW170">
        <v>0.218143</v>
      </c>
      <c r="AX170">
        <v>397.95600000000002</v>
      </c>
      <c r="AY170">
        <v>26.452500000000001</v>
      </c>
      <c r="AZ170">
        <v>300.04000000000002</v>
      </c>
      <c r="BA170">
        <v>98.645300000000006</v>
      </c>
      <c r="BB170">
        <v>9.9944400000000003E-2</v>
      </c>
      <c r="BC170">
        <v>27.080400000000001</v>
      </c>
      <c r="BD170">
        <v>26.994800000000001</v>
      </c>
      <c r="BE170">
        <v>28.589300000000001</v>
      </c>
      <c r="BF170">
        <v>0</v>
      </c>
      <c r="BG170">
        <v>0</v>
      </c>
      <c r="BH170">
        <v>10021.200000000001</v>
      </c>
      <c r="BI170">
        <v>1083.56</v>
      </c>
      <c r="BJ170">
        <v>1.3455900000000001</v>
      </c>
      <c r="BK170">
        <v>-402.52100000000002</v>
      </c>
      <c r="BL170">
        <v>408.42899999999997</v>
      </c>
      <c r="BM170">
        <v>800.23400000000004</v>
      </c>
      <c r="BN170">
        <v>26.445499999999999</v>
      </c>
      <c r="BO170">
        <v>800.06</v>
      </c>
      <c r="BP170">
        <v>0.218143</v>
      </c>
      <c r="BQ170">
        <v>2.6302500000000002</v>
      </c>
      <c r="BR170">
        <v>2.1518800000000001E-2</v>
      </c>
      <c r="BS170">
        <v>21.855699999999999</v>
      </c>
      <c r="BT170">
        <v>-38.7181</v>
      </c>
      <c r="BU170">
        <v>1800</v>
      </c>
      <c r="BV170">
        <v>0.91002000000000005</v>
      </c>
      <c r="BW170">
        <v>3.4000900000000001E-2</v>
      </c>
      <c r="BX170">
        <v>2.19928E-2</v>
      </c>
      <c r="BY170">
        <v>3.39869E-2</v>
      </c>
      <c r="BZ170">
        <v>25</v>
      </c>
      <c r="CA170">
        <v>33528.5</v>
      </c>
      <c r="CB170">
        <v>1690376213.5999999</v>
      </c>
      <c r="CC170" t="s">
        <v>332</v>
      </c>
      <c r="CD170">
        <v>1690376213.5999999</v>
      </c>
      <c r="CE170">
        <v>1690376198.0999999</v>
      </c>
      <c r="CF170">
        <v>2</v>
      </c>
      <c r="CG170">
        <v>0.66900000000000004</v>
      </c>
      <c r="CH170">
        <v>-2.1000000000000001E-2</v>
      </c>
      <c r="CI170">
        <v>-0.70099999999999996</v>
      </c>
      <c r="CJ170">
        <v>0.21099999999999999</v>
      </c>
      <c r="CK170">
        <v>799</v>
      </c>
      <c r="CL170">
        <v>21</v>
      </c>
      <c r="CM170">
        <v>0.11</v>
      </c>
      <c r="CN170">
        <v>0.17</v>
      </c>
      <c r="CO170">
        <v>-401.28199999999993</v>
      </c>
      <c r="CP170">
        <v>-6.0104738675955236</v>
      </c>
      <c r="CQ170">
        <v>0.59530447221077665</v>
      </c>
      <c r="CR170">
        <v>-1</v>
      </c>
      <c r="CS170">
        <v>26.392734146341461</v>
      </c>
      <c r="CT170">
        <v>0.28183484320557678</v>
      </c>
      <c r="CU170">
        <v>2.7813460592398979E-2</v>
      </c>
      <c r="CV170">
        <v>-1</v>
      </c>
      <c r="CW170">
        <v>0</v>
      </c>
      <c r="CX170">
        <v>0</v>
      </c>
      <c r="CY170" t="s">
        <v>333</v>
      </c>
      <c r="CZ170">
        <v>2.3647399999999998</v>
      </c>
      <c r="DA170">
        <v>2.7137500000000001</v>
      </c>
      <c r="DB170">
        <v>8.8872900000000005E-2</v>
      </c>
      <c r="DC170">
        <v>0.145534</v>
      </c>
      <c r="DD170">
        <v>0.122187</v>
      </c>
      <c r="DE170">
        <v>1.82511E-3</v>
      </c>
      <c r="DF170">
        <v>33281.800000000003</v>
      </c>
      <c r="DG170">
        <v>27539.3</v>
      </c>
      <c r="DH170">
        <v>31182.3</v>
      </c>
      <c r="DI170">
        <v>28082.7</v>
      </c>
      <c r="DJ170">
        <v>37150</v>
      </c>
      <c r="DK170">
        <v>39856.300000000003</v>
      </c>
      <c r="DL170">
        <v>44374.9</v>
      </c>
      <c r="DM170">
        <v>42550.9</v>
      </c>
      <c r="DN170">
        <v>1.4483699999999999</v>
      </c>
      <c r="DO170">
        <v>2.0449000000000002</v>
      </c>
      <c r="DP170">
        <v>9.1008800000000001E-2</v>
      </c>
      <c r="DQ170">
        <v>0.18831000000000001</v>
      </c>
      <c r="DR170">
        <v>25.5046</v>
      </c>
      <c r="DS170">
        <v>25.509899999999998</v>
      </c>
      <c r="DT170">
        <v>33.299999999999997</v>
      </c>
      <c r="DU170">
        <v>27.3</v>
      </c>
      <c r="DV170">
        <v>12.2964</v>
      </c>
      <c r="DW170">
        <v>60.968400000000003</v>
      </c>
      <c r="DX170">
        <v>37.888599999999997</v>
      </c>
      <c r="DY170">
        <v>1</v>
      </c>
      <c r="DZ170">
        <v>-0.13591500000000001</v>
      </c>
      <c r="EA170">
        <v>-0.57833299999999999</v>
      </c>
      <c r="EB170">
        <v>20.1889</v>
      </c>
      <c r="EC170">
        <v>5.2411000000000003</v>
      </c>
      <c r="ED170">
        <v>12.039899999999999</v>
      </c>
      <c r="EE170">
        <v>5.01715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1.8688499999999999</v>
      </c>
      <c r="EL170">
        <v>1.86456</v>
      </c>
      <c r="EM170">
        <v>1.8691899999999999</v>
      </c>
      <c r="EN170">
        <v>1.86721</v>
      </c>
      <c r="EO170">
        <v>1.8632899999999999</v>
      </c>
      <c r="EP170">
        <v>1.86433</v>
      </c>
      <c r="EQ170">
        <v>1.87012</v>
      </c>
      <c r="ER170">
        <v>1.8693500000000001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-0.41799999999999998</v>
      </c>
      <c r="FG170">
        <v>0.2112</v>
      </c>
      <c r="FH170">
        <v>-0.150361779349652</v>
      </c>
      <c r="FI170">
        <v>-6.1462078757559423E-4</v>
      </c>
      <c r="FJ170">
        <v>-1.8861989874597051E-7</v>
      </c>
      <c r="FK170">
        <v>1.1980462299894961E-10</v>
      </c>
      <c r="FL170">
        <v>0.21114761904761539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34.700000000000003</v>
      </c>
      <c r="FU170">
        <v>35</v>
      </c>
      <c r="FV170">
        <v>1.7663599999999999</v>
      </c>
      <c r="FW170">
        <v>2.5671400000000002</v>
      </c>
      <c r="FX170">
        <v>1.5490699999999999</v>
      </c>
      <c r="FY170">
        <v>2.33643</v>
      </c>
      <c r="FZ170">
        <v>1.50146</v>
      </c>
      <c r="GA170">
        <v>2.3645</v>
      </c>
      <c r="GB170">
        <v>32.310699999999997</v>
      </c>
      <c r="GC170">
        <v>23.991199999999999</v>
      </c>
      <c r="GD170">
        <v>19</v>
      </c>
      <c r="GE170">
        <v>269.00400000000002</v>
      </c>
      <c r="GF170">
        <v>583.96699999999998</v>
      </c>
      <c r="GG170">
        <v>25.877099999999999</v>
      </c>
      <c r="GH170">
        <v>25.727399999999999</v>
      </c>
      <c r="GI170">
        <v>30</v>
      </c>
      <c r="GJ170">
        <v>25.827400000000001</v>
      </c>
      <c r="GK170">
        <v>25.790700000000001</v>
      </c>
      <c r="GL170">
        <v>35.324599999999997</v>
      </c>
      <c r="GM170">
        <v>100</v>
      </c>
      <c r="GN170">
        <v>22.645099999999999</v>
      </c>
      <c r="GO170">
        <v>25.881499999999999</v>
      </c>
      <c r="GP170">
        <v>800</v>
      </c>
      <c r="GQ170">
        <v>0</v>
      </c>
      <c r="GR170">
        <v>99.769400000000005</v>
      </c>
      <c r="GS170">
        <v>99.553200000000004</v>
      </c>
    </row>
    <row r="171" spans="1:201" x14ac:dyDescent="0.25">
      <c r="A171">
        <v>155</v>
      </c>
      <c r="B171">
        <v>1690378306.0999999</v>
      </c>
      <c r="C171">
        <v>1589.599999904633</v>
      </c>
      <c r="D171" t="s">
        <v>643</v>
      </c>
      <c r="E171" t="s">
        <v>644</v>
      </c>
      <c r="F171" t="s">
        <v>330</v>
      </c>
      <c r="H171">
        <v>1690378306.0999999</v>
      </c>
      <c r="I171">
        <f t="shared" si="60"/>
        <v>2.3669056956528867E-3</v>
      </c>
      <c r="J171">
        <f t="shared" si="61"/>
        <v>2.3669056956528869</v>
      </c>
      <c r="K171">
        <f t="shared" si="62"/>
        <v>34.145436838161345</v>
      </c>
      <c r="L171">
        <f t="shared" si="63"/>
        <v>396.73599999999999</v>
      </c>
      <c r="M171">
        <f t="shared" si="64"/>
        <v>85.754061857881197</v>
      </c>
      <c r="N171">
        <f t="shared" si="65"/>
        <v>8.4678296875308305</v>
      </c>
      <c r="O171">
        <f t="shared" si="66"/>
        <v>39.175903812927992</v>
      </c>
      <c r="P171">
        <f t="shared" si="67"/>
        <v>0.18647762183799058</v>
      </c>
      <c r="Q171">
        <f t="shared" si="68"/>
        <v>2.0084923639712726</v>
      </c>
      <c r="R171">
        <f t="shared" si="69"/>
        <v>0.1773653168648488</v>
      </c>
      <c r="S171">
        <f t="shared" si="70"/>
        <v>0.11163491128558597</v>
      </c>
      <c r="T171">
        <f t="shared" si="71"/>
        <v>276.11404588799996</v>
      </c>
      <c r="U171">
        <f t="shared" si="72"/>
        <v>28.516389598338424</v>
      </c>
      <c r="V171">
        <f t="shared" si="73"/>
        <v>28.516389598338424</v>
      </c>
      <c r="W171">
        <f t="shared" si="74"/>
        <v>3.9105898530683052</v>
      </c>
      <c r="X171">
        <f t="shared" si="75"/>
        <v>73.299388324568355</v>
      </c>
      <c r="Y171">
        <f t="shared" si="76"/>
        <v>2.6365350877568994</v>
      </c>
      <c r="Z171">
        <f t="shared" si="77"/>
        <v>3.59694009461903</v>
      </c>
      <c r="AA171">
        <f t="shared" si="78"/>
        <v>1.2740547653114058</v>
      </c>
      <c r="AB171">
        <f t="shared" si="79"/>
        <v>-104.3805411782923</v>
      </c>
      <c r="AC171">
        <f t="shared" si="80"/>
        <v>-155.05846903637465</v>
      </c>
      <c r="AD171">
        <f t="shared" si="81"/>
        <v>-16.794774651566716</v>
      </c>
      <c r="AE171">
        <f t="shared" si="82"/>
        <v>-0.11973897823372681</v>
      </c>
      <c r="AF171">
        <v>8</v>
      </c>
      <c r="AG171">
        <v>3</v>
      </c>
      <c r="AH171">
        <f t="shared" si="83"/>
        <v>1</v>
      </c>
      <c r="AI171">
        <f t="shared" si="84"/>
        <v>0</v>
      </c>
      <c r="AJ171">
        <f t="shared" si="85"/>
        <v>52205.787051638094</v>
      </c>
      <c r="AK171">
        <f t="shared" si="86"/>
        <v>1800</v>
      </c>
      <c r="AL171">
        <f t="shared" si="87"/>
        <v>1499.1133157999998</v>
      </c>
      <c r="AM171">
        <f t="shared" si="88"/>
        <v>0.83284073099999989</v>
      </c>
      <c r="AN171">
        <f t="shared" si="89"/>
        <v>0.15339669215999999</v>
      </c>
      <c r="AO171">
        <v>34.5</v>
      </c>
      <c r="AP171">
        <v>0.5</v>
      </c>
      <c r="AQ171" t="s">
        <v>331</v>
      </c>
      <c r="AR171">
        <v>2</v>
      </c>
      <c r="AS171">
        <v>1690378306.0999999</v>
      </c>
      <c r="AT171">
        <v>396.73599999999999</v>
      </c>
      <c r="AU171">
        <v>800.07299999999998</v>
      </c>
      <c r="AV171">
        <v>26.700299999999999</v>
      </c>
      <c r="AW171">
        <v>0.216479</v>
      </c>
      <c r="AX171">
        <v>397.15300000000002</v>
      </c>
      <c r="AY171">
        <v>26.489100000000001</v>
      </c>
      <c r="AZ171">
        <v>300.10000000000002</v>
      </c>
      <c r="BA171">
        <v>98.645499999999998</v>
      </c>
      <c r="BB171">
        <v>0.100023</v>
      </c>
      <c r="BC171">
        <v>27.084399999999999</v>
      </c>
      <c r="BD171">
        <v>26.988600000000002</v>
      </c>
      <c r="BE171">
        <v>28.582599999999999</v>
      </c>
      <c r="BF171">
        <v>0</v>
      </c>
      <c r="BG171">
        <v>0</v>
      </c>
      <c r="BH171">
        <v>10011.9</v>
      </c>
      <c r="BI171">
        <v>1083.6400000000001</v>
      </c>
      <c r="BJ171">
        <v>1.30494</v>
      </c>
      <c r="BK171">
        <v>-403.33600000000001</v>
      </c>
      <c r="BL171">
        <v>407.62</v>
      </c>
      <c r="BM171">
        <v>800.24599999999998</v>
      </c>
      <c r="BN171">
        <v>26.483799999999999</v>
      </c>
      <c r="BO171">
        <v>800.07299999999998</v>
      </c>
      <c r="BP171">
        <v>0.216479</v>
      </c>
      <c r="BQ171">
        <v>2.6338599999999999</v>
      </c>
      <c r="BR171">
        <v>2.1354700000000001E-2</v>
      </c>
      <c r="BS171">
        <v>21.8782</v>
      </c>
      <c r="BT171">
        <v>-38.792299999999997</v>
      </c>
      <c r="BU171">
        <v>1800</v>
      </c>
      <c r="BV171">
        <v>0.91002099999999997</v>
      </c>
      <c r="BW171">
        <v>3.4000200000000001E-2</v>
      </c>
      <c r="BX171">
        <v>2.1992299999999999E-2</v>
      </c>
      <c r="BY171">
        <v>3.3986200000000001E-2</v>
      </c>
      <c r="BZ171">
        <v>25</v>
      </c>
      <c r="CA171">
        <v>33528.5</v>
      </c>
      <c r="CB171">
        <v>1690376213.5999999</v>
      </c>
      <c r="CC171" t="s">
        <v>332</v>
      </c>
      <c r="CD171">
        <v>1690376213.5999999</v>
      </c>
      <c r="CE171">
        <v>1690376198.0999999</v>
      </c>
      <c r="CF171">
        <v>2</v>
      </c>
      <c r="CG171">
        <v>0.66900000000000004</v>
      </c>
      <c r="CH171">
        <v>-2.1000000000000001E-2</v>
      </c>
      <c r="CI171">
        <v>-0.70099999999999996</v>
      </c>
      <c r="CJ171">
        <v>0.21099999999999999</v>
      </c>
      <c r="CK171">
        <v>799</v>
      </c>
      <c r="CL171">
        <v>21</v>
      </c>
      <c r="CM171">
        <v>0.11</v>
      </c>
      <c r="CN171">
        <v>0.17</v>
      </c>
      <c r="CO171">
        <v>-402.35468292682918</v>
      </c>
      <c r="CP171">
        <v>-5.4490034843204764</v>
      </c>
      <c r="CQ171">
        <v>0.54137374669533855</v>
      </c>
      <c r="CR171">
        <v>-1</v>
      </c>
      <c r="CS171">
        <v>26.442097560975611</v>
      </c>
      <c r="CT171">
        <v>0.24951846689902679</v>
      </c>
      <c r="CU171">
        <v>2.4625214995271729E-2</v>
      </c>
      <c r="CV171">
        <v>-1</v>
      </c>
      <c r="CW171">
        <v>0</v>
      </c>
      <c r="CX171">
        <v>0</v>
      </c>
      <c r="CY171" t="s">
        <v>333</v>
      </c>
      <c r="CZ171">
        <v>2.3649399999999998</v>
      </c>
      <c r="DA171">
        <v>2.7138200000000001</v>
      </c>
      <c r="DB171">
        <v>8.8735499999999995E-2</v>
      </c>
      <c r="DC171">
        <v>0.145536</v>
      </c>
      <c r="DD171">
        <v>0.122304</v>
      </c>
      <c r="DE171">
        <v>1.8113700000000001E-3</v>
      </c>
      <c r="DF171">
        <v>33287.300000000003</v>
      </c>
      <c r="DG171">
        <v>27539.5</v>
      </c>
      <c r="DH171">
        <v>31182.7</v>
      </c>
      <c r="DI171">
        <v>28083</v>
      </c>
      <c r="DJ171">
        <v>37145.4</v>
      </c>
      <c r="DK171">
        <v>39857.4</v>
      </c>
      <c r="DL171">
        <v>44375.4</v>
      </c>
      <c r="DM171">
        <v>42551.5</v>
      </c>
      <c r="DN171">
        <v>1.44858</v>
      </c>
      <c r="DO171">
        <v>2.0446800000000001</v>
      </c>
      <c r="DP171">
        <v>9.0595300000000004E-2</v>
      </c>
      <c r="DQ171">
        <v>0.187967</v>
      </c>
      <c r="DR171">
        <v>25.505199999999999</v>
      </c>
      <c r="DS171">
        <v>25.508800000000001</v>
      </c>
      <c r="DT171">
        <v>33</v>
      </c>
      <c r="DU171">
        <v>27.3</v>
      </c>
      <c r="DV171">
        <v>12.185499999999999</v>
      </c>
      <c r="DW171">
        <v>60.988399999999999</v>
      </c>
      <c r="DX171">
        <v>37.912700000000001</v>
      </c>
      <c r="DY171">
        <v>1</v>
      </c>
      <c r="DZ171">
        <v>-0.13557900000000001</v>
      </c>
      <c r="EA171">
        <v>-0.52160700000000004</v>
      </c>
      <c r="EB171">
        <v>20.189299999999999</v>
      </c>
      <c r="EC171">
        <v>5.24125</v>
      </c>
      <c r="ED171">
        <v>12.039899999999999</v>
      </c>
      <c r="EE171">
        <v>5.0168999999999997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1.8688400000000001</v>
      </c>
      <c r="EL171">
        <v>1.8645400000000001</v>
      </c>
      <c r="EM171">
        <v>1.8691899999999999</v>
      </c>
      <c r="EN171">
        <v>1.8672200000000001</v>
      </c>
      <c r="EO171">
        <v>1.8633</v>
      </c>
      <c r="EP171">
        <v>1.86433</v>
      </c>
      <c r="EQ171">
        <v>1.87012</v>
      </c>
      <c r="ER171">
        <v>1.8693599999999999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-0.41699999999999998</v>
      </c>
      <c r="FG171">
        <v>0.2112</v>
      </c>
      <c r="FH171">
        <v>-0.150361779349652</v>
      </c>
      <c r="FI171">
        <v>-6.1462078757559423E-4</v>
      </c>
      <c r="FJ171">
        <v>-1.8861989874597051E-7</v>
      </c>
      <c r="FK171">
        <v>1.1980462299894961E-10</v>
      </c>
      <c r="FL171">
        <v>0.21114761904761539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34.9</v>
      </c>
      <c r="FU171">
        <v>35.1</v>
      </c>
      <c r="FV171">
        <v>1.7663599999999999</v>
      </c>
      <c r="FW171">
        <v>2.5671400000000002</v>
      </c>
      <c r="FX171">
        <v>1.5490699999999999</v>
      </c>
      <c r="FY171">
        <v>2.33643</v>
      </c>
      <c r="FZ171">
        <v>1.50146</v>
      </c>
      <c r="GA171">
        <v>2.4096700000000002</v>
      </c>
      <c r="GB171">
        <v>32.310699999999997</v>
      </c>
      <c r="GC171">
        <v>23.991199999999999</v>
      </c>
      <c r="GD171">
        <v>19</v>
      </c>
      <c r="GE171">
        <v>269.09500000000003</v>
      </c>
      <c r="GF171">
        <v>583.79399999999998</v>
      </c>
      <c r="GG171">
        <v>25.875900000000001</v>
      </c>
      <c r="GH171">
        <v>25.728100000000001</v>
      </c>
      <c r="GI171">
        <v>30.0002</v>
      </c>
      <c r="GJ171">
        <v>25.829499999999999</v>
      </c>
      <c r="GK171">
        <v>25.791799999999999</v>
      </c>
      <c r="GL171">
        <v>35.322499999999998</v>
      </c>
      <c r="GM171">
        <v>100</v>
      </c>
      <c r="GN171">
        <v>21.871400000000001</v>
      </c>
      <c r="GO171">
        <v>25.873000000000001</v>
      </c>
      <c r="GP171">
        <v>800</v>
      </c>
      <c r="GQ171">
        <v>0</v>
      </c>
      <c r="GR171">
        <v>99.770700000000005</v>
      </c>
      <c r="GS171">
        <v>99.554500000000004</v>
      </c>
    </row>
    <row r="172" spans="1:201" x14ac:dyDescent="0.25">
      <c r="A172">
        <v>156</v>
      </c>
      <c r="B172">
        <v>1690378316.0999999</v>
      </c>
      <c r="C172">
        <v>1599.599999904633</v>
      </c>
      <c r="D172" t="s">
        <v>645</v>
      </c>
      <c r="E172" t="s">
        <v>646</v>
      </c>
      <c r="F172" t="s">
        <v>330</v>
      </c>
      <c r="H172">
        <v>1690378316.0999999</v>
      </c>
      <c r="I172">
        <f t="shared" si="60"/>
        <v>2.3705434185394966E-3</v>
      </c>
      <c r="J172">
        <f t="shared" si="61"/>
        <v>2.3705434185394965</v>
      </c>
      <c r="K172">
        <f t="shared" si="62"/>
        <v>34.211731610449078</v>
      </c>
      <c r="L172">
        <f t="shared" si="63"/>
        <v>395.79599999999999</v>
      </c>
      <c r="M172">
        <f t="shared" si="64"/>
        <v>85.765969335465229</v>
      </c>
      <c r="N172">
        <f t="shared" si="65"/>
        <v>8.4691225424508279</v>
      </c>
      <c r="O172">
        <f t="shared" si="66"/>
        <v>39.083623164109198</v>
      </c>
      <c r="P172">
        <f t="shared" si="67"/>
        <v>0.18744382663556772</v>
      </c>
      <c r="Q172">
        <f t="shared" si="68"/>
        <v>2.0092909467828828</v>
      </c>
      <c r="R172">
        <f t="shared" si="69"/>
        <v>0.17824281815710249</v>
      </c>
      <c r="S172">
        <f t="shared" si="70"/>
        <v>0.11219078782274075</v>
      </c>
      <c r="T172">
        <f t="shared" si="71"/>
        <v>276.11400729599995</v>
      </c>
      <c r="U172">
        <f t="shared" si="72"/>
        <v>28.516335681497285</v>
      </c>
      <c r="V172">
        <f t="shared" si="73"/>
        <v>28.516335681497285</v>
      </c>
      <c r="W172">
        <f t="shared" si="74"/>
        <v>3.910577608510633</v>
      </c>
      <c r="X172">
        <f t="shared" si="75"/>
        <v>73.411791027308951</v>
      </c>
      <c r="Y172">
        <f t="shared" si="76"/>
        <v>2.6408571405824901</v>
      </c>
      <c r="Z172">
        <f t="shared" si="77"/>
        <v>3.5973201356715294</v>
      </c>
      <c r="AA172">
        <f t="shared" si="78"/>
        <v>1.2697204679281429</v>
      </c>
      <c r="AB172">
        <f t="shared" si="79"/>
        <v>-104.54096475759179</v>
      </c>
      <c r="AC172">
        <f t="shared" si="80"/>
        <v>-154.91929542157732</v>
      </c>
      <c r="AD172">
        <f t="shared" si="81"/>
        <v>-16.773177196019748</v>
      </c>
      <c r="AE172">
        <f t="shared" si="82"/>
        <v>-0.11943007918887361</v>
      </c>
      <c r="AF172">
        <v>8</v>
      </c>
      <c r="AG172">
        <v>3</v>
      </c>
      <c r="AH172">
        <f t="shared" si="83"/>
        <v>1</v>
      </c>
      <c r="AI172">
        <f t="shared" si="84"/>
        <v>0</v>
      </c>
      <c r="AJ172">
        <f t="shared" si="85"/>
        <v>52243.709185244261</v>
      </c>
      <c r="AK172">
        <f t="shared" si="86"/>
        <v>1800</v>
      </c>
      <c r="AL172">
        <f t="shared" si="87"/>
        <v>1499.1134706</v>
      </c>
      <c r="AM172">
        <f t="shared" si="88"/>
        <v>0.83284081700000001</v>
      </c>
      <c r="AN172">
        <f t="shared" si="89"/>
        <v>0.15339667071999999</v>
      </c>
      <c r="AO172">
        <v>34.5</v>
      </c>
      <c r="AP172">
        <v>0.5</v>
      </c>
      <c r="AQ172" t="s">
        <v>331</v>
      </c>
      <c r="AR172">
        <v>2</v>
      </c>
      <c r="AS172">
        <v>1690378316.0999999</v>
      </c>
      <c r="AT172">
        <v>395.79599999999999</v>
      </c>
      <c r="AU172">
        <v>799.97500000000002</v>
      </c>
      <c r="AV172">
        <v>26.7437</v>
      </c>
      <c r="AW172">
        <v>0.21452399999999999</v>
      </c>
      <c r="AX172">
        <v>396.21199999999999</v>
      </c>
      <c r="AY172">
        <v>26.532499999999999</v>
      </c>
      <c r="AZ172">
        <v>300.03399999999999</v>
      </c>
      <c r="BA172">
        <v>98.646900000000002</v>
      </c>
      <c r="BB172">
        <v>9.9987699999999999E-2</v>
      </c>
      <c r="BC172">
        <v>27.086200000000002</v>
      </c>
      <c r="BD172">
        <v>26.9863</v>
      </c>
      <c r="BE172">
        <v>28.6023</v>
      </c>
      <c r="BF172">
        <v>0</v>
      </c>
      <c r="BG172">
        <v>0</v>
      </c>
      <c r="BH172">
        <v>10019.4</v>
      </c>
      <c r="BI172">
        <v>1083.48</v>
      </c>
      <c r="BJ172">
        <v>1.28952</v>
      </c>
      <c r="BK172">
        <v>-404.17899999999997</v>
      </c>
      <c r="BL172">
        <v>406.67200000000003</v>
      </c>
      <c r="BM172">
        <v>800.14700000000005</v>
      </c>
      <c r="BN172">
        <v>26.5291</v>
      </c>
      <c r="BO172">
        <v>799.97500000000002</v>
      </c>
      <c r="BP172">
        <v>0.21452399999999999</v>
      </c>
      <c r="BQ172">
        <v>2.6381800000000002</v>
      </c>
      <c r="BR172">
        <v>2.11621E-2</v>
      </c>
      <c r="BS172">
        <v>21.905000000000001</v>
      </c>
      <c r="BT172">
        <v>-38.880099999999999</v>
      </c>
      <c r="BU172">
        <v>1800</v>
      </c>
      <c r="BV172">
        <v>0.910022</v>
      </c>
      <c r="BW172">
        <v>3.3999799999999997E-2</v>
      </c>
      <c r="BX172">
        <v>2.1992100000000001E-2</v>
      </c>
      <c r="BY172">
        <v>3.3985799999999997E-2</v>
      </c>
      <c r="BZ172">
        <v>25</v>
      </c>
      <c r="CA172">
        <v>33528.5</v>
      </c>
      <c r="CB172">
        <v>1690376213.5999999</v>
      </c>
      <c r="CC172" t="s">
        <v>332</v>
      </c>
      <c r="CD172">
        <v>1690376213.5999999</v>
      </c>
      <c r="CE172">
        <v>1690376198.0999999</v>
      </c>
      <c r="CF172">
        <v>2</v>
      </c>
      <c r="CG172">
        <v>0.66900000000000004</v>
      </c>
      <c r="CH172">
        <v>-2.1000000000000001E-2</v>
      </c>
      <c r="CI172">
        <v>-0.70099999999999996</v>
      </c>
      <c r="CJ172">
        <v>0.21099999999999999</v>
      </c>
      <c r="CK172">
        <v>799</v>
      </c>
      <c r="CL172">
        <v>21</v>
      </c>
      <c r="CM172">
        <v>0.11</v>
      </c>
      <c r="CN172">
        <v>0.17</v>
      </c>
      <c r="CO172">
        <v>-403.17982926829268</v>
      </c>
      <c r="CP172">
        <v>-5.1571986062712316</v>
      </c>
      <c r="CQ172">
        <v>0.51133383217215156</v>
      </c>
      <c r="CR172">
        <v>-1</v>
      </c>
      <c r="CS172">
        <v>26.47913170731708</v>
      </c>
      <c r="CT172">
        <v>0.24156585365852559</v>
      </c>
      <c r="CU172">
        <v>2.3830493265566011E-2</v>
      </c>
      <c r="CV172">
        <v>-1</v>
      </c>
      <c r="CW172">
        <v>0</v>
      </c>
      <c r="CX172">
        <v>0</v>
      </c>
      <c r="CY172" t="s">
        <v>333</v>
      </c>
      <c r="CZ172">
        <v>2.3647499999999999</v>
      </c>
      <c r="DA172">
        <v>2.7137899999999999</v>
      </c>
      <c r="DB172">
        <v>8.8575899999999999E-2</v>
      </c>
      <c r="DC172">
        <v>0.14552599999999999</v>
      </c>
      <c r="DD172">
        <v>0.122444</v>
      </c>
      <c r="DE172">
        <v>1.79525E-3</v>
      </c>
      <c r="DF172">
        <v>33292.6</v>
      </c>
      <c r="DG172">
        <v>27540.1</v>
      </c>
      <c r="DH172">
        <v>31182.2</v>
      </c>
      <c r="DI172">
        <v>28083.200000000001</v>
      </c>
      <c r="DJ172">
        <v>37138.800000000003</v>
      </c>
      <c r="DK172">
        <v>39858.400000000001</v>
      </c>
      <c r="DL172">
        <v>44374.7</v>
      </c>
      <c r="DM172">
        <v>42551.9</v>
      </c>
      <c r="DN172">
        <v>1.4483699999999999</v>
      </c>
      <c r="DO172">
        <v>2.0447500000000001</v>
      </c>
      <c r="DP172">
        <v>9.0360599999999999E-2</v>
      </c>
      <c r="DQ172">
        <v>0.189301</v>
      </c>
      <c r="DR172">
        <v>25.506699999999999</v>
      </c>
      <c r="DS172">
        <v>25.506699999999999</v>
      </c>
      <c r="DT172">
        <v>32.6</v>
      </c>
      <c r="DU172">
        <v>27.3</v>
      </c>
      <c r="DV172">
        <v>12.038600000000001</v>
      </c>
      <c r="DW172">
        <v>60.858400000000003</v>
      </c>
      <c r="DX172">
        <v>37.520000000000003</v>
      </c>
      <c r="DY172">
        <v>1</v>
      </c>
      <c r="DZ172">
        <v>-0.135795</v>
      </c>
      <c r="EA172">
        <v>-0.56012799999999996</v>
      </c>
      <c r="EB172">
        <v>20.1891</v>
      </c>
      <c r="EC172">
        <v>5.24125</v>
      </c>
      <c r="ED172">
        <v>12.039899999999999</v>
      </c>
      <c r="EE172">
        <v>5.0166500000000003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1.86886</v>
      </c>
      <c r="EL172">
        <v>1.86453</v>
      </c>
      <c r="EM172">
        <v>1.8692</v>
      </c>
      <c r="EN172">
        <v>1.8672</v>
      </c>
      <c r="EO172">
        <v>1.8633</v>
      </c>
      <c r="EP172">
        <v>1.86432</v>
      </c>
      <c r="EQ172">
        <v>1.8701300000000001</v>
      </c>
      <c r="ER172">
        <v>1.8693599999999999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-0.41599999999999998</v>
      </c>
      <c r="FG172">
        <v>0.2112</v>
      </c>
      <c r="FH172">
        <v>-0.150361779349652</v>
      </c>
      <c r="FI172">
        <v>-6.1462078757559423E-4</v>
      </c>
      <c r="FJ172">
        <v>-1.8861989874597051E-7</v>
      </c>
      <c r="FK172">
        <v>1.1980462299894961E-10</v>
      </c>
      <c r="FL172">
        <v>0.21114761904761539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35</v>
      </c>
      <c r="FU172">
        <v>35.299999999999997</v>
      </c>
      <c r="FV172">
        <v>1.7663599999999999</v>
      </c>
      <c r="FW172">
        <v>2.5708000000000002</v>
      </c>
      <c r="FX172">
        <v>1.5490699999999999</v>
      </c>
      <c r="FY172">
        <v>2.33643</v>
      </c>
      <c r="FZ172">
        <v>1.50146</v>
      </c>
      <c r="GA172">
        <v>2.35107</v>
      </c>
      <c r="GB172">
        <v>32.332799999999999</v>
      </c>
      <c r="GC172">
        <v>23.991199999999999</v>
      </c>
      <c r="GD172">
        <v>19</v>
      </c>
      <c r="GE172">
        <v>269.01400000000001</v>
      </c>
      <c r="GF172">
        <v>583.86900000000003</v>
      </c>
      <c r="GG172">
        <v>25.874400000000001</v>
      </c>
      <c r="GH172">
        <v>25.729600000000001</v>
      </c>
      <c r="GI172">
        <v>30</v>
      </c>
      <c r="GJ172">
        <v>25.829499999999999</v>
      </c>
      <c r="GK172">
        <v>25.7928</v>
      </c>
      <c r="GL172">
        <v>35.324300000000001</v>
      </c>
      <c r="GM172">
        <v>100</v>
      </c>
      <c r="GN172">
        <v>21.109500000000001</v>
      </c>
      <c r="GO172">
        <v>25.8843</v>
      </c>
      <c r="GP172">
        <v>800</v>
      </c>
      <c r="GQ172">
        <v>0</v>
      </c>
      <c r="GR172">
        <v>99.769099999999995</v>
      </c>
      <c r="GS172">
        <v>99.555400000000006</v>
      </c>
    </row>
    <row r="173" spans="1:201" x14ac:dyDescent="0.25">
      <c r="A173">
        <v>157</v>
      </c>
      <c r="B173">
        <v>1690378326.0999999</v>
      </c>
      <c r="C173">
        <v>1609.599999904633</v>
      </c>
      <c r="D173" t="s">
        <v>647</v>
      </c>
      <c r="E173" t="s">
        <v>648</v>
      </c>
      <c r="F173" t="s">
        <v>330</v>
      </c>
      <c r="H173">
        <v>1690378326.0999999</v>
      </c>
      <c r="I173">
        <f t="shared" si="60"/>
        <v>2.374986593191534E-3</v>
      </c>
      <c r="J173">
        <f t="shared" si="61"/>
        <v>2.3749865931915339</v>
      </c>
      <c r="K173">
        <f t="shared" si="62"/>
        <v>34.291161679522617</v>
      </c>
      <c r="L173">
        <f t="shared" si="63"/>
        <v>394.94</v>
      </c>
      <c r="M173">
        <f t="shared" si="64"/>
        <v>85.736632141642829</v>
      </c>
      <c r="N173">
        <f t="shared" si="65"/>
        <v>8.4661469482280154</v>
      </c>
      <c r="O173">
        <f t="shared" si="66"/>
        <v>38.998733589269996</v>
      </c>
      <c r="P173">
        <f t="shared" si="67"/>
        <v>0.18841117949272718</v>
      </c>
      <c r="Q173">
        <f t="shared" si="68"/>
        <v>2.0103254418732734</v>
      </c>
      <c r="R173">
        <f t="shared" si="69"/>
        <v>0.17912201601071273</v>
      </c>
      <c r="S173">
        <f t="shared" si="70"/>
        <v>0.11274767865397556</v>
      </c>
      <c r="T173">
        <f t="shared" si="71"/>
        <v>276.11256017881033</v>
      </c>
      <c r="U173">
        <f t="shared" si="72"/>
        <v>28.516822693410926</v>
      </c>
      <c r="V173">
        <f t="shared" si="73"/>
        <v>28.516822693410926</v>
      </c>
      <c r="W173">
        <f t="shared" si="74"/>
        <v>3.9106882105182024</v>
      </c>
      <c r="X173">
        <f t="shared" si="75"/>
        <v>73.511297024423911</v>
      </c>
      <c r="Y173">
        <f t="shared" si="76"/>
        <v>2.6448713214542998</v>
      </c>
      <c r="Z173">
        <f t="shared" si="77"/>
        <v>3.5979113803087288</v>
      </c>
      <c r="AA173">
        <f t="shared" si="78"/>
        <v>1.2658168890639026</v>
      </c>
      <c r="AB173">
        <f t="shared" si="79"/>
        <v>-104.73690875974665</v>
      </c>
      <c r="AC173">
        <f t="shared" si="80"/>
        <v>-154.74837333133237</v>
      </c>
      <c r="AD173">
        <f t="shared" si="81"/>
        <v>-16.746323772606416</v>
      </c>
      <c r="AE173">
        <f t="shared" si="82"/>
        <v>-0.11904568487508982</v>
      </c>
      <c r="AF173">
        <v>8</v>
      </c>
      <c r="AG173">
        <v>3</v>
      </c>
      <c r="AH173">
        <f t="shared" si="83"/>
        <v>1</v>
      </c>
      <c r="AI173">
        <f t="shared" si="84"/>
        <v>0</v>
      </c>
      <c r="AJ173">
        <f t="shared" si="85"/>
        <v>52292.723885510793</v>
      </c>
      <c r="AK173">
        <f t="shared" si="86"/>
        <v>1799.99</v>
      </c>
      <c r="AL173">
        <f t="shared" si="87"/>
        <v>1499.1034502012299</v>
      </c>
      <c r="AM173">
        <f t="shared" si="88"/>
        <v>0.83283987699999995</v>
      </c>
      <c r="AN173">
        <f t="shared" si="89"/>
        <v>0.15339671897000001</v>
      </c>
      <c r="AO173">
        <v>34.5</v>
      </c>
      <c r="AP173">
        <v>0.5</v>
      </c>
      <c r="AQ173" t="s">
        <v>331</v>
      </c>
      <c r="AR173">
        <v>2</v>
      </c>
      <c r="AS173">
        <v>1690378326.0999999</v>
      </c>
      <c r="AT173">
        <v>394.94</v>
      </c>
      <c r="AU173">
        <v>799.93200000000002</v>
      </c>
      <c r="AV173">
        <v>26.784600000000001</v>
      </c>
      <c r="AW173">
        <v>0.21319299999999999</v>
      </c>
      <c r="AX173">
        <v>395.35599999999999</v>
      </c>
      <c r="AY173">
        <v>26.573499999999999</v>
      </c>
      <c r="AZ173">
        <v>300.10599999999999</v>
      </c>
      <c r="BA173">
        <v>98.646000000000001</v>
      </c>
      <c r="BB173">
        <v>9.9970500000000004E-2</v>
      </c>
      <c r="BC173">
        <v>27.088999999999999</v>
      </c>
      <c r="BD173">
        <v>26.991800000000001</v>
      </c>
      <c r="BE173">
        <v>28.597300000000001</v>
      </c>
      <c r="BF173">
        <v>0</v>
      </c>
      <c r="BG173">
        <v>0</v>
      </c>
      <c r="BH173">
        <v>10029.4</v>
      </c>
      <c r="BI173">
        <v>1083.51</v>
      </c>
      <c r="BJ173">
        <v>1.28952</v>
      </c>
      <c r="BK173">
        <v>-404.99200000000002</v>
      </c>
      <c r="BL173">
        <v>405.81</v>
      </c>
      <c r="BM173">
        <v>800.10199999999998</v>
      </c>
      <c r="BN173">
        <v>26.5715</v>
      </c>
      <c r="BO173">
        <v>799.93200000000002</v>
      </c>
      <c r="BP173">
        <v>0.21319299999999999</v>
      </c>
      <c r="BQ173">
        <v>2.6421999999999999</v>
      </c>
      <c r="BR173">
        <v>2.1030699999999999E-2</v>
      </c>
      <c r="BS173">
        <v>21.93</v>
      </c>
      <c r="BT173">
        <v>-38.940399999999997</v>
      </c>
      <c r="BU173">
        <v>1799.99</v>
      </c>
      <c r="BV173">
        <v>0.91001100000000001</v>
      </c>
      <c r="BW173">
        <v>3.3999099999999997E-2</v>
      </c>
      <c r="BX173">
        <v>2.19916E-2</v>
      </c>
      <c r="BY173">
        <v>3.3998100000000003E-2</v>
      </c>
      <c r="BZ173">
        <v>25</v>
      </c>
      <c r="CA173">
        <v>33528.300000000003</v>
      </c>
      <c r="CB173">
        <v>1690376213.5999999</v>
      </c>
      <c r="CC173" t="s">
        <v>332</v>
      </c>
      <c r="CD173">
        <v>1690376213.5999999</v>
      </c>
      <c r="CE173">
        <v>1690376198.0999999</v>
      </c>
      <c r="CF173">
        <v>2</v>
      </c>
      <c r="CG173">
        <v>0.66900000000000004</v>
      </c>
      <c r="CH173">
        <v>-2.1000000000000001E-2</v>
      </c>
      <c r="CI173">
        <v>-0.70099999999999996</v>
      </c>
      <c r="CJ173">
        <v>0.21099999999999999</v>
      </c>
      <c r="CK173">
        <v>799</v>
      </c>
      <c r="CL173">
        <v>21</v>
      </c>
      <c r="CM173">
        <v>0.11</v>
      </c>
      <c r="CN173">
        <v>0.17</v>
      </c>
      <c r="CO173">
        <v>-404.13357500000001</v>
      </c>
      <c r="CP173">
        <v>-5.2923939962470579</v>
      </c>
      <c r="CQ173">
        <v>0.51023146156915611</v>
      </c>
      <c r="CR173">
        <v>-1</v>
      </c>
      <c r="CS173">
        <v>26.5246575</v>
      </c>
      <c r="CT173">
        <v>0.26529343339580569</v>
      </c>
      <c r="CU173">
        <v>2.55263284424142E-2</v>
      </c>
      <c r="CV173">
        <v>-1</v>
      </c>
      <c r="CW173">
        <v>0</v>
      </c>
      <c r="CX173">
        <v>0</v>
      </c>
      <c r="CY173" t="s">
        <v>333</v>
      </c>
      <c r="CZ173">
        <v>2.3649900000000001</v>
      </c>
      <c r="DA173">
        <v>2.7137899999999999</v>
      </c>
      <c r="DB173">
        <v>8.8428499999999993E-2</v>
      </c>
      <c r="DC173">
        <v>0.14551900000000001</v>
      </c>
      <c r="DD173">
        <v>0.122574</v>
      </c>
      <c r="DE173">
        <v>1.7842400000000001E-3</v>
      </c>
      <c r="DF173">
        <v>33297.9</v>
      </c>
      <c r="DG173">
        <v>27540.3</v>
      </c>
      <c r="DH173">
        <v>31182.2</v>
      </c>
      <c r="DI173">
        <v>28083.200000000001</v>
      </c>
      <c r="DJ173">
        <v>37133.199999999997</v>
      </c>
      <c r="DK173">
        <v>39858.800000000003</v>
      </c>
      <c r="DL173">
        <v>44374.7</v>
      </c>
      <c r="DM173">
        <v>42551.8</v>
      </c>
      <c r="DN173">
        <v>1.44858</v>
      </c>
      <c r="DO173">
        <v>2.0444800000000001</v>
      </c>
      <c r="DP173">
        <v>9.0826299999999999E-2</v>
      </c>
      <c r="DQ173">
        <v>0.18911800000000001</v>
      </c>
      <c r="DR173">
        <v>25.5046</v>
      </c>
      <c r="DS173">
        <v>25.5047</v>
      </c>
      <c r="DT173">
        <v>32.299999999999997</v>
      </c>
      <c r="DU173">
        <v>27.4</v>
      </c>
      <c r="DV173">
        <v>11.9978</v>
      </c>
      <c r="DW173">
        <v>60.608400000000003</v>
      </c>
      <c r="DX173">
        <v>37.347799999999999</v>
      </c>
      <c r="DY173">
        <v>1</v>
      </c>
      <c r="DZ173">
        <v>-0.13561200000000001</v>
      </c>
      <c r="EA173">
        <v>-0.58212399999999997</v>
      </c>
      <c r="EB173">
        <v>20.189</v>
      </c>
      <c r="EC173">
        <v>5.24125</v>
      </c>
      <c r="ED173">
        <v>12.039899999999999</v>
      </c>
      <c r="EE173">
        <v>5.01675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1.86887</v>
      </c>
      <c r="EL173">
        <v>1.86456</v>
      </c>
      <c r="EM173">
        <v>1.8691899999999999</v>
      </c>
      <c r="EN173">
        <v>1.8672200000000001</v>
      </c>
      <c r="EO173">
        <v>1.86328</v>
      </c>
      <c r="EP173">
        <v>1.86433</v>
      </c>
      <c r="EQ173">
        <v>1.8701300000000001</v>
      </c>
      <c r="ER173">
        <v>1.8693500000000001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-0.41599999999999998</v>
      </c>
      <c r="FG173">
        <v>0.21110000000000001</v>
      </c>
      <c r="FH173">
        <v>-0.150361779349652</v>
      </c>
      <c r="FI173">
        <v>-6.1462078757559423E-4</v>
      </c>
      <c r="FJ173">
        <v>-1.8861989874597051E-7</v>
      </c>
      <c r="FK173">
        <v>1.1980462299894961E-10</v>
      </c>
      <c r="FL173">
        <v>0.21114761904761539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35.200000000000003</v>
      </c>
      <c r="FU173">
        <v>35.5</v>
      </c>
      <c r="FV173">
        <v>1.7663599999999999</v>
      </c>
      <c r="FW173">
        <v>2.5622600000000002</v>
      </c>
      <c r="FX173">
        <v>1.5490699999999999</v>
      </c>
      <c r="FY173">
        <v>2.33643</v>
      </c>
      <c r="FZ173">
        <v>1.50146</v>
      </c>
      <c r="GA173">
        <v>2.36572</v>
      </c>
      <c r="GB173">
        <v>32.332799999999999</v>
      </c>
      <c r="GC173">
        <v>23.991199999999999</v>
      </c>
      <c r="GD173">
        <v>19</v>
      </c>
      <c r="GE173">
        <v>269.096</v>
      </c>
      <c r="GF173">
        <v>583.64200000000005</v>
      </c>
      <c r="GG173">
        <v>25.8871</v>
      </c>
      <c r="GH173">
        <v>25.729600000000001</v>
      </c>
      <c r="GI173">
        <v>30.0002</v>
      </c>
      <c r="GJ173">
        <v>25.829699999999999</v>
      </c>
      <c r="GK173">
        <v>25.7928</v>
      </c>
      <c r="GL173">
        <v>35.3217</v>
      </c>
      <c r="GM173">
        <v>100</v>
      </c>
      <c r="GN173">
        <v>20.7347</v>
      </c>
      <c r="GO173">
        <v>25.888100000000001</v>
      </c>
      <c r="GP173">
        <v>800</v>
      </c>
      <c r="GQ173">
        <v>0</v>
      </c>
      <c r="GR173">
        <v>99.769000000000005</v>
      </c>
      <c r="GS173">
        <v>99.555300000000003</v>
      </c>
    </row>
    <row r="174" spans="1:201" x14ac:dyDescent="0.25">
      <c r="A174">
        <v>158</v>
      </c>
      <c r="B174">
        <v>1690378336.0999999</v>
      </c>
      <c r="C174">
        <v>1619.599999904633</v>
      </c>
      <c r="D174" t="s">
        <v>649</v>
      </c>
      <c r="E174" t="s">
        <v>650</v>
      </c>
      <c r="F174" t="s">
        <v>330</v>
      </c>
      <c r="H174">
        <v>1690378336.0999999</v>
      </c>
      <c r="I174">
        <f t="shared" si="60"/>
        <v>2.3785518667014472E-3</v>
      </c>
      <c r="J174">
        <f t="shared" si="61"/>
        <v>2.3785518667014474</v>
      </c>
      <c r="K174">
        <f t="shared" si="62"/>
        <v>34.345269180432879</v>
      </c>
      <c r="L174">
        <f t="shared" si="63"/>
        <v>394.279</v>
      </c>
      <c r="M174">
        <f t="shared" si="64"/>
        <v>85.986120358601909</v>
      </c>
      <c r="N174">
        <f t="shared" si="65"/>
        <v>8.4904228116651161</v>
      </c>
      <c r="O174">
        <f t="shared" si="66"/>
        <v>38.931811341173301</v>
      </c>
      <c r="P174">
        <f t="shared" si="67"/>
        <v>0.18931853775978671</v>
      </c>
      <c r="Q174">
        <f t="shared" si="68"/>
        <v>2.0060962404147951</v>
      </c>
      <c r="R174">
        <f t="shared" si="69"/>
        <v>0.17992336693396144</v>
      </c>
      <c r="S174">
        <f t="shared" si="70"/>
        <v>0.11325735764743401</v>
      </c>
      <c r="T174">
        <f t="shared" si="71"/>
        <v>276.11427454199998</v>
      </c>
      <c r="U174">
        <f t="shared" si="72"/>
        <v>28.517942468503179</v>
      </c>
      <c r="V174">
        <f t="shared" si="73"/>
        <v>28.517942468503179</v>
      </c>
      <c r="W174">
        <f t="shared" si="74"/>
        <v>3.9109425254737498</v>
      </c>
      <c r="X174">
        <f t="shared" si="75"/>
        <v>73.626113654751165</v>
      </c>
      <c r="Y174">
        <f t="shared" si="76"/>
        <v>2.6489556786711699</v>
      </c>
      <c r="Z174">
        <f t="shared" si="77"/>
        <v>3.5978480286121011</v>
      </c>
      <c r="AA174">
        <f t="shared" si="78"/>
        <v>1.2619868468025799</v>
      </c>
      <c r="AB174">
        <f t="shared" si="79"/>
        <v>-104.89413732153382</v>
      </c>
      <c r="AC174">
        <f t="shared" si="80"/>
        <v>-154.57637548713299</v>
      </c>
      <c r="AD174">
        <f t="shared" si="81"/>
        <v>-16.763044423153666</v>
      </c>
      <c r="AE174">
        <f t="shared" si="82"/>
        <v>-0.11928268982049417</v>
      </c>
      <c r="AF174">
        <v>8</v>
      </c>
      <c r="AG174">
        <v>3</v>
      </c>
      <c r="AH174">
        <f t="shared" si="83"/>
        <v>1</v>
      </c>
      <c r="AI174">
        <f t="shared" si="84"/>
        <v>0</v>
      </c>
      <c r="AJ174">
        <f t="shared" si="85"/>
        <v>52090.455221928903</v>
      </c>
      <c r="AK174">
        <f t="shared" si="86"/>
        <v>1800</v>
      </c>
      <c r="AL174">
        <f t="shared" si="87"/>
        <v>1499.1101171999996</v>
      </c>
      <c r="AM174">
        <f t="shared" si="88"/>
        <v>0.83283895399999985</v>
      </c>
      <c r="AN174">
        <f t="shared" si="89"/>
        <v>0.15339681918999998</v>
      </c>
      <c r="AO174">
        <v>34.5</v>
      </c>
      <c r="AP174">
        <v>0.5</v>
      </c>
      <c r="AQ174" t="s">
        <v>331</v>
      </c>
      <c r="AR174">
        <v>2</v>
      </c>
      <c r="AS174">
        <v>1690378336.0999999</v>
      </c>
      <c r="AT174">
        <v>394.279</v>
      </c>
      <c r="AU174">
        <v>799.97900000000004</v>
      </c>
      <c r="AV174">
        <v>26.827100000000002</v>
      </c>
      <c r="AW174">
        <v>0.211202</v>
      </c>
      <c r="AX174">
        <v>394.69400000000002</v>
      </c>
      <c r="AY174">
        <v>26.616</v>
      </c>
      <c r="AZ174">
        <v>300.041</v>
      </c>
      <c r="BA174">
        <v>98.641800000000003</v>
      </c>
      <c r="BB174">
        <v>9.9982699999999994E-2</v>
      </c>
      <c r="BC174">
        <v>27.088699999999999</v>
      </c>
      <c r="BD174">
        <v>27.005400000000002</v>
      </c>
      <c r="BE174">
        <v>28.597000000000001</v>
      </c>
      <c r="BF174">
        <v>0</v>
      </c>
      <c r="BG174">
        <v>0</v>
      </c>
      <c r="BH174">
        <v>9989.3799999999992</v>
      </c>
      <c r="BI174">
        <v>1083.3399999999999</v>
      </c>
      <c r="BJ174">
        <v>1.28952</v>
      </c>
      <c r="BK174">
        <v>-405.7</v>
      </c>
      <c r="BL174">
        <v>405.14800000000002</v>
      </c>
      <c r="BM174">
        <v>800.14800000000002</v>
      </c>
      <c r="BN174">
        <v>26.6159</v>
      </c>
      <c r="BO174">
        <v>799.97900000000004</v>
      </c>
      <c r="BP174">
        <v>0.211202</v>
      </c>
      <c r="BQ174">
        <v>2.64628</v>
      </c>
      <c r="BR174">
        <v>2.0833399999999998E-2</v>
      </c>
      <c r="BS174">
        <v>21.955300000000001</v>
      </c>
      <c r="BT174">
        <v>-39.031599999999997</v>
      </c>
      <c r="BU174">
        <v>1800</v>
      </c>
      <c r="BV174">
        <v>0.90999699999999994</v>
      </c>
      <c r="BW174">
        <v>3.3997699999999999E-2</v>
      </c>
      <c r="BX174">
        <v>2.1990699999999998E-2</v>
      </c>
      <c r="BY174">
        <v>3.4014900000000001E-2</v>
      </c>
      <c r="BZ174">
        <v>25</v>
      </c>
      <c r="CA174">
        <v>33528.5</v>
      </c>
      <c r="CB174">
        <v>1690376213.5999999</v>
      </c>
      <c r="CC174" t="s">
        <v>332</v>
      </c>
      <c r="CD174">
        <v>1690376213.5999999</v>
      </c>
      <c r="CE174">
        <v>1690376198.0999999</v>
      </c>
      <c r="CF174">
        <v>2</v>
      </c>
      <c r="CG174">
        <v>0.66900000000000004</v>
      </c>
      <c r="CH174">
        <v>-2.1000000000000001E-2</v>
      </c>
      <c r="CI174">
        <v>-0.70099999999999996</v>
      </c>
      <c r="CJ174">
        <v>0.21099999999999999</v>
      </c>
      <c r="CK174">
        <v>799</v>
      </c>
      <c r="CL174">
        <v>21</v>
      </c>
      <c r="CM174">
        <v>0.11</v>
      </c>
      <c r="CN174">
        <v>0.17</v>
      </c>
      <c r="CO174">
        <v>-404.98419999999999</v>
      </c>
      <c r="CP174">
        <v>-4.9190994371484154</v>
      </c>
      <c r="CQ174">
        <v>0.47570086188696631</v>
      </c>
      <c r="CR174">
        <v>-1</v>
      </c>
      <c r="CS174">
        <v>26.568915000000001</v>
      </c>
      <c r="CT174">
        <v>0.26351369606001118</v>
      </c>
      <c r="CU174">
        <v>2.5354511925888119E-2</v>
      </c>
      <c r="CV174">
        <v>-1</v>
      </c>
      <c r="CW174">
        <v>0</v>
      </c>
      <c r="CX174">
        <v>0</v>
      </c>
      <c r="CY174" t="s">
        <v>333</v>
      </c>
      <c r="CZ174">
        <v>2.3647800000000001</v>
      </c>
      <c r="DA174">
        <v>2.7137600000000002</v>
      </c>
      <c r="DB174">
        <v>8.8311100000000003E-2</v>
      </c>
      <c r="DC174">
        <v>0.14551800000000001</v>
      </c>
      <c r="DD174">
        <v>0.12270399999999999</v>
      </c>
      <c r="DE174">
        <v>1.76771E-3</v>
      </c>
      <c r="DF174">
        <v>33302.300000000003</v>
      </c>
      <c r="DG174">
        <v>27540.400000000001</v>
      </c>
      <c r="DH174">
        <v>31182.2</v>
      </c>
      <c r="DI174">
        <v>28083.4</v>
      </c>
      <c r="DJ174">
        <v>37127.800000000003</v>
      </c>
      <c r="DK174">
        <v>39859.699999999997</v>
      </c>
      <c r="DL174">
        <v>44374.9</v>
      </c>
      <c r="DM174">
        <v>42552</v>
      </c>
      <c r="DN174">
        <v>1.44835</v>
      </c>
      <c r="DO174">
        <v>2.0446800000000001</v>
      </c>
      <c r="DP174">
        <v>9.1653299999999993E-2</v>
      </c>
      <c r="DQ174">
        <v>0.188973</v>
      </c>
      <c r="DR174">
        <v>25.5047</v>
      </c>
      <c r="DS174">
        <v>25.506699999999999</v>
      </c>
      <c r="DT174">
        <v>32</v>
      </c>
      <c r="DU174">
        <v>27.4</v>
      </c>
      <c r="DV174">
        <v>11.885999999999999</v>
      </c>
      <c r="DW174">
        <v>61.048400000000001</v>
      </c>
      <c r="DX174">
        <v>37.119399999999999</v>
      </c>
      <c r="DY174">
        <v>1</v>
      </c>
      <c r="DZ174">
        <v>-0.1356</v>
      </c>
      <c r="EA174">
        <v>-0.56701299999999999</v>
      </c>
      <c r="EB174">
        <v>20.189</v>
      </c>
      <c r="EC174">
        <v>5.24125</v>
      </c>
      <c r="ED174">
        <v>12.039899999999999</v>
      </c>
      <c r="EE174">
        <v>5.0168999999999997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1.8688499999999999</v>
      </c>
      <c r="EL174">
        <v>1.8645400000000001</v>
      </c>
      <c r="EM174">
        <v>1.8691800000000001</v>
      </c>
      <c r="EN174">
        <v>1.86721</v>
      </c>
      <c r="EO174">
        <v>1.8632899999999999</v>
      </c>
      <c r="EP174">
        <v>1.86433</v>
      </c>
      <c r="EQ174">
        <v>1.87012</v>
      </c>
      <c r="ER174">
        <v>1.8693599999999999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-0.41499999999999998</v>
      </c>
      <c r="FG174">
        <v>0.21110000000000001</v>
      </c>
      <c r="FH174">
        <v>-0.150361779349652</v>
      </c>
      <c r="FI174">
        <v>-6.1462078757559423E-4</v>
      </c>
      <c r="FJ174">
        <v>-1.8861989874597051E-7</v>
      </c>
      <c r="FK174">
        <v>1.1980462299894961E-10</v>
      </c>
      <c r="FL174">
        <v>0.21114761904761539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35.4</v>
      </c>
      <c r="FU174">
        <v>35.6</v>
      </c>
      <c r="FV174">
        <v>1.7663599999999999</v>
      </c>
      <c r="FW174">
        <v>2.5647000000000002</v>
      </c>
      <c r="FX174">
        <v>1.5490699999999999</v>
      </c>
      <c r="FY174">
        <v>2.33643</v>
      </c>
      <c r="FZ174">
        <v>1.50146</v>
      </c>
      <c r="GA174">
        <v>2.36084</v>
      </c>
      <c r="GB174">
        <v>32.332799999999999</v>
      </c>
      <c r="GC174">
        <v>23.991199999999999</v>
      </c>
      <c r="GD174">
        <v>19</v>
      </c>
      <c r="GE174">
        <v>269.012</v>
      </c>
      <c r="GF174">
        <v>583.83100000000002</v>
      </c>
      <c r="GG174">
        <v>25.8918</v>
      </c>
      <c r="GH174">
        <v>25.729600000000001</v>
      </c>
      <c r="GI174">
        <v>30.0002</v>
      </c>
      <c r="GJ174">
        <v>25.831700000000001</v>
      </c>
      <c r="GK174">
        <v>25.795000000000002</v>
      </c>
      <c r="GL174">
        <v>35.321599999999997</v>
      </c>
      <c r="GM174">
        <v>100</v>
      </c>
      <c r="GN174">
        <v>19.944500000000001</v>
      </c>
      <c r="GO174">
        <v>25.882400000000001</v>
      </c>
      <c r="GP174">
        <v>800</v>
      </c>
      <c r="GQ174">
        <v>0</v>
      </c>
      <c r="GR174">
        <v>99.769400000000005</v>
      </c>
      <c r="GS174">
        <v>99.555800000000005</v>
      </c>
    </row>
    <row r="175" spans="1:201" x14ac:dyDescent="0.25">
      <c r="A175">
        <v>159</v>
      </c>
      <c r="B175">
        <v>1690378346.0999999</v>
      </c>
      <c r="C175">
        <v>1629.599999904633</v>
      </c>
      <c r="D175" t="s">
        <v>651</v>
      </c>
      <c r="E175" t="s">
        <v>652</v>
      </c>
      <c r="F175" t="s">
        <v>330</v>
      </c>
      <c r="H175">
        <v>1690378346.0999999</v>
      </c>
      <c r="I175">
        <f t="shared" si="60"/>
        <v>2.3827559758525171E-3</v>
      </c>
      <c r="J175">
        <f t="shared" si="61"/>
        <v>2.382755975852517</v>
      </c>
      <c r="K175">
        <f t="shared" si="62"/>
        <v>34.445425895258097</v>
      </c>
      <c r="L175">
        <f t="shared" si="63"/>
        <v>393.30799999999999</v>
      </c>
      <c r="M175">
        <f t="shared" si="64"/>
        <v>85.431853935077683</v>
      </c>
      <c r="N175">
        <f t="shared" si="65"/>
        <v>8.4362336827257138</v>
      </c>
      <c r="O175">
        <f t="shared" si="66"/>
        <v>38.83841968134</v>
      </c>
      <c r="P175">
        <f t="shared" si="67"/>
        <v>0.19014842960246053</v>
      </c>
      <c r="Q175">
        <f t="shared" si="68"/>
        <v>2.006424991811822</v>
      </c>
      <c r="R175">
        <f t="shared" si="69"/>
        <v>0.18067439324822268</v>
      </c>
      <c r="S175">
        <f t="shared" si="70"/>
        <v>0.1137333517608589</v>
      </c>
      <c r="T175">
        <f t="shared" si="71"/>
        <v>276.11405859600001</v>
      </c>
      <c r="U175">
        <f t="shared" si="72"/>
        <v>28.520875338762469</v>
      </c>
      <c r="V175">
        <f t="shared" si="73"/>
        <v>28.520875338762469</v>
      </c>
      <c r="W175">
        <f t="shared" si="74"/>
        <v>3.911608685430422</v>
      </c>
      <c r="X175">
        <f t="shared" si="75"/>
        <v>73.706829610134946</v>
      </c>
      <c r="Y175">
        <f t="shared" si="76"/>
        <v>2.652591346131</v>
      </c>
      <c r="Z175">
        <f t="shared" si="77"/>
        <v>3.5988406504005419</v>
      </c>
      <c r="AA175">
        <f t="shared" si="78"/>
        <v>1.2590173392994219</v>
      </c>
      <c r="AB175">
        <f t="shared" si="79"/>
        <v>-105.07953853509601</v>
      </c>
      <c r="AC175">
        <f t="shared" si="80"/>
        <v>-154.41055577080547</v>
      </c>
      <c r="AD175">
        <f t="shared" si="81"/>
        <v>-16.742955452182166</v>
      </c>
      <c r="AE175">
        <f t="shared" si="82"/>
        <v>-0.11899116208363125</v>
      </c>
      <c r="AF175">
        <v>8</v>
      </c>
      <c r="AG175">
        <v>3</v>
      </c>
      <c r="AH175">
        <f t="shared" si="83"/>
        <v>1</v>
      </c>
      <c r="AI175">
        <f t="shared" si="84"/>
        <v>0</v>
      </c>
      <c r="AJ175">
        <f t="shared" si="85"/>
        <v>52105.473329590081</v>
      </c>
      <c r="AK175">
        <f t="shared" si="86"/>
        <v>1800</v>
      </c>
      <c r="AL175">
        <f t="shared" si="87"/>
        <v>1499.1098525999998</v>
      </c>
      <c r="AM175">
        <f t="shared" si="88"/>
        <v>0.8328388069999999</v>
      </c>
      <c r="AN175">
        <f t="shared" si="89"/>
        <v>0.15339669922000002</v>
      </c>
      <c r="AO175">
        <v>34.5</v>
      </c>
      <c r="AP175">
        <v>0.5</v>
      </c>
      <c r="AQ175" t="s">
        <v>331</v>
      </c>
      <c r="AR175">
        <v>2</v>
      </c>
      <c r="AS175">
        <v>1690378346.0999999</v>
      </c>
      <c r="AT175">
        <v>393.30799999999999</v>
      </c>
      <c r="AU175">
        <v>800.00300000000004</v>
      </c>
      <c r="AV175">
        <v>26.862200000000001</v>
      </c>
      <c r="AW175">
        <v>0.20999100000000001</v>
      </c>
      <c r="AX175">
        <v>393.72300000000001</v>
      </c>
      <c r="AY175">
        <v>26.6511</v>
      </c>
      <c r="AZ175">
        <v>300.15100000000001</v>
      </c>
      <c r="BA175">
        <v>98.648099999999999</v>
      </c>
      <c r="BB175">
        <v>0.100005</v>
      </c>
      <c r="BC175">
        <v>27.093399999999999</v>
      </c>
      <c r="BD175">
        <v>26.995000000000001</v>
      </c>
      <c r="BE175">
        <v>28.601199999999999</v>
      </c>
      <c r="BF175">
        <v>0</v>
      </c>
      <c r="BG175">
        <v>0</v>
      </c>
      <c r="BH175">
        <v>9991.8799999999992</v>
      </c>
      <c r="BI175">
        <v>1083.23</v>
      </c>
      <c r="BJ175">
        <v>1.28952</v>
      </c>
      <c r="BK175">
        <v>-406.69499999999999</v>
      </c>
      <c r="BL175">
        <v>404.16500000000002</v>
      </c>
      <c r="BM175">
        <v>800.17100000000005</v>
      </c>
      <c r="BN175">
        <v>26.652200000000001</v>
      </c>
      <c r="BO175">
        <v>800.00300000000004</v>
      </c>
      <c r="BP175">
        <v>0.20999100000000001</v>
      </c>
      <c r="BQ175">
        <v>2.6499000000000001</v>
      </c>
      <c r="BR175">
        <v>2.07152E-2</v>
      </c>
      <c r="BS175">
        <v>21.977699999999999</v>
      </c>
      <c r="BT175">
        <v>-39.086599999999997</v>
      </c>
      <c r="BU175">
        <v>1800</v>
      </c>
      <c r="BV175">
        <v>0.909999</v>
      </c>
      <c r="BW175">
        <v>3.3996800000000001E-2</v>
      </c>
      <c r="BX175">
        <v>2.1990099999999999E-2</v>
      </c>
      <c r="BY175">
        <v>3.4014000000000003E-2</v>
      </c>
      <c r="BZ175">
        <v>25</v>
      </c>
      <c r="CA175">
        <v>33528.5</v>
      </c>
      <c r="CB175">
        <v>1690376213.5999999</v>
      </c>
      <c r="CC175" t="s">
        <v>332</v>
      </c>
      <c r="CD175">
        <v>1690376213.5999999</v>
      </c>
      <c r="CE175">
        <v>1690376198.0999999</v>
      </c>
      <c r="CF175">
        <v>2</v>
      </c>
      <c r="CG175">
        <v>0.66900000000000004</v>
      </c>
      <c r="CH175">
        <v>-2.1000000000000001E-2</v>
      </c>
      <c r="CI175">
        <v>-0.70099999999999996</v>
      </c>
      <c r="CJ175">
        <v>0.21099999999999999</v>
      </c>
      <c r="CK175">
        <v>799</v>
      </c>
      <c r="CL175">
        <v>21</v>
      </c>
      <c r="CM175">
        <v>0.11</v>
      </c>
      <c r="CN175">
        <v>0.17</v>
      </c>
      <c r="CO175">
        <v>-405.71151219512188</v>
      </c>
      <c r="CP175">
        <v>-4.7539860627173471</v>
      </c>
      <c r="CQ175">
        <v>0.47233809315099862</v>
      </c>
      <c r="CR175">
        <v>-1</v>
      </c>
      <c r="CS175">
        <v>26.608039024390241</v>
      </c>
      <c r="CT175">
        <v>0.24709965156791419</v>
      </c>
      <c r="CU175">
        <v>2.439975887574573E-2</v>
      </c>
      <c r="CV175">
        <v>-1</v>
      </c>
      <c r="CW175">
        <v>0</v>
      </c>
      <c r="CX175">
        <v>0</v>
      </c>
      <c r="CY175" t="s">
        <v>333</v>
      </c>
      <c r="CZ175">
        <v>2.3651300000000002</v>
      </c>
      <c r="DA175">
        <v>2.7137899999999999</v>
      </c>
      <c r="DB175">
        <v>8.8150000000000006E-2</v>
      </c>
      <c r="DC175">
        <v>0.14552999999999999</v>
      </c>
      <c r="DD175">
        <v>0.122823</v>
      </c>
      <c r="DE175">
        <v>1.7578100000000001E-3</v>
      </c>
      <c r="DF175">
        <v>33308.400000000001</v>
      </c>
      <c r="DG175">
        <v>27540.2</v>
      </c>
      <c r="DH175">
        <v>31182.5</v>
      </c>
      <c r="DI175">
        <v>28083.599999999999</v>
      </c>
      <c r="DJ175">
        <v>37122.9</v>
      </c>
      <c r="DK175">
        <v>39860.300000000003</v>
      </c>
      <c r="DL175">
        <v>44375.1</v>
      </c>
      <c r="DM175">
        <v>42552.3</v>
      </c>
      <c r="DN175">
        <v>1.44872</v>
      </c>
      <c r="DO175">
        <v>2.0444499999999999</v>
      </c>
      <c r="DP175">
        <v>9.0792800000000007E-2</v>
      </c>
      <c r="DQ175">
        <v>0.18909899999999999</v>
      </c>
      <c r="DR175">
        <v>25.508400000000002</v>
      </c>
      <c r="DS175">
        <v>25.508900000000001</v>
      </c>
      <c r="DT175">
        <v>31.7</v>
      </c>
      <c r="DU175">
        <v>27.4</v>
      </c>
      <c r="DV175">
        <v>11.7728</v>
      </c>
      <c r="DW175">
        <v>61.038400000000003</v>
      </c>
      <c r="DX175">
        <v>36.9191</v>
      </c>
      <c r="DY175">
        <v>1</v>
      </c>
      <c r="DZ175">
        <v>-0.13560700000000001</v>
      </c>
      <c r="EA175">
        <v>-0.50249200000000005</v>
      </c>
      <c r="EB175">
        <v>20.189299999999999</v>
      </c>
      <c r="EC175">
        <v>5.2411000000000003</v>
      </c>
      <c r="ED175">
        <v>12.039899999999999</v>
      </c>
      <c r="EE175">
        <v>5.0167000000000002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1.8688400000000001</v>
      </c>
      <c r="EL175">
        <v>1.8645499999999999</v>
      </c>
      <c r="EM175">
        <v>1.8691899999999999</v>
      </c>
      <c r="EN175">
        <v>1.8672</v>
      </c>
      <c r="EO175">
        <v>1.8632899999999999</v>
      </c>
      <c r="EP175">
        <v>1.86433</v>
      </c>
      <c r="EQ175">
        <v>1.87012</v>
      </c>
      <c r="ER175">
        <v>1.8693599999999999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-0.41499999999999998</v>
      </c>
      <c r="FG175">
        <v>0.21110000000000001</v>
      </c>
      <c r="FH175">
        <v>-0.150361779349652</v>
      </c>
      <c r="FI175">
        <v>-6.1462078757559423E-4</v>
      </c>
      <c r="FJ175">
        <v>-1.8861989874597051E-7</v>
      </c>
      <c r="FK175">
        <v>1.1980462299894961E-10</v>
      </c>
      <c r="FL175">
        <v>0.21114761904761539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35.5</v>
      </c>
      <c r="FU175">
        <v>35.799999999999997</v>
      </c>
      <c r="FV175">
        <v>1.7663599999999999</v>
      </c>
      <c r="FW175">
        <v>2.5683600000000002</v>
      </c>
      <c r="FX175">
        <v>1.5490699999999999</v>
      </c>
      <c r="FY175">
        <v>2.33643</v>
      </c>
      <c r="FZ175">
        <v>1.50146</v>
      </c>
      <c r="GA175">
        <v>2.35107</v>
      </c>
      <c r="GB175">
        <v>32.332799999999999</v>
      </c>
      <c r="GC175">
        <v>23.991199999999999</v>
      </c>
      <c r="GD175">
        <v>19</v>
      </c>
      <c r="GE175">
        <v>269.166</v>
      </c>
      <c r="GF175">
        <v>583.64599999999996</v>
      </c>
      <c r="GG175">
        <v>25.8766</v>
      </c>
      <c r="GH175">
        <v>25.7318</v>
      </c>
      <c r="GI175">
        <v>30.0001</v>
      </c>
      <c r="GJ175">
        <v>25.831700000000001</v>
      </c>
      <c r="GK175">
        <v>25.795000000000002</v>
      </c>
      <c r="GL175">
        <v>35.319699999999997</v>
      </c>
      <c r="GM175">
        <v>100</v>
      </c>
      <c r="GN175">
        <v>19.1724</v>
      </c>
      <c r="GO175">
        <v>25.866399999999999</v>
      </c>
      <c r="GP175">
        <v>800</v>
      </c>
      <c r="GQ175">
        <v>0</v>
      </c>
      <c r="GR175">
        <v>99.769900000000007</v>
      </c>
      <c r="GS175">
        <v>99.556299999999993</v>
      </c>
    </row>
    <row r="176" spans="1:201" x14ac:dyDescent="0.25">
      <c r="A176">
        <v>160</v>
      </c>
      <c r="B176">
        <v>1690378356.0999999</v>
      </c>
      <c r="C176">
        <v>1639.599999904633</v>
      </c>
      <c r="D176" t="s">
        <v>653</v>
      </c>
      <c r="E176" t="s">
        <v>654</v>
      </c>
      <c r="F176" t="s">
        <v>330</v>
      </c>
      <c r="H176">
        <v>1690378356.0999999</v>
      </c>
      <c r="I176">
        <f t="shared" si="60"/>
        <v>2.3860493800954992E-3</v>
      </c>
      <c r="J176">
        <f t="shared" si="61"/>
        <v>2.3860493800954994</v>
      </c>
      <c r="K176">
        <f t="shared" si="62"/>
        <v>34.504887394195592</v>
      </c>
      <c r="L176">
        <f t="shared" si="63"/>
        <v>392.53699999999998</v>
      </c>
      <c r="M176">
        <f t="shared" si="64"/>
        <v>85.896143272765286</v>
      </c>
      <c r="N176">
        <f t="shared" si="65"/>
        <v>8.4816076577639219</v>
      </c>
      <c r="O176">
        <f t="shared" si="66"/>
        <v>38.760120050830004</v>
      </c>
      <c r="P176">
        <f t="shared" si="67"/>
        <v>0.19128139654690704</v>
      </c>
      <c r="Q176">
        <f t="shared" si="68"/>
        <v>2.0084626559510639</v>
      </c>
      <c r="R176">
        <f t="shared" si="69"/>
        <v>0.18170638221001523</v>
      </c>
      <c r="S176">
        <f t="shared" si="70"/>
        <v>0.11438681172828156</v>
      </c>
      <c r="T176">
        <f t="shared" si="71"/>
        <v>276.11594632800001</v>
      </c>
      <c r="U176">
        <f t="shared" si="72"/>
        <v>28.512081125252202</v>
      </c>
      <c r="V176">
        <f t="shared" si="73"/>
        <v>28.512081125252202</v>
      </c>
      <c r="W176">
        <f t="shared" si="74"/>
        <v>3.9096115008133441</v>
      </c>
      <c r="X176">
        <f t="shared" si="75"/>
        <v>73.831526580910662</v>
      </c>
      <c r="Y176">
        <f t="shared" si="76"/>
        <v>2.6560966769280001</v>
      </c>
      <c r="Z176">
        <f t="shared" si="77"/>
        <v>3.5975101693410481</v>
      </c>
      <c r="AA176">
        <f t="shared" si="78"/>
        <v>1.253514823885344</v>
      </c>
      <c r="AB176">
        <f t="shared" si="79"/>
        <v>-105.22477766221152</v>
      </c>
      <c r="AC176">
        <f t="shared" si="80"/>
        <v>-154.29729639618103</v>
      </c>
      <c r="AD176">
        <f t="shared" si="81"/>
        <v>-16.712442343639957</v>
      </c>
      <c r="AE176">
        <f t="shared" si="82"/>
        <v>-0.11857007403250464</v>
      </c>
      <c r="AF176">
        <v>8</v>
      </c>
      <c r="AG176">
        <v>3</v>
      </c>
      <c r="AH176">
        <f t="shared" si="83"/>
        <v>1</v>
      </c>
      <c r="AI176">
        <f t="shared" si="84"/>
        <v>0</v>
      </c>
      <c r="AJ176">
        <f t="shared" si="85"/>
        <v>52203.835515789564</v>
      </c>
      <c r="AK176">
        <f t="shared" si="86"/>
        <v>1800</v>
      </c>
      <c r="AL176">
        <f t="shared" si="87"/>
        <v>1499.1109488</v>
      </c>
      <c r="AM176">
        <f t="shared" si="88"/>
        <v>0.832839416</v>
      </c>
      <c r="AN176">
        <f t="shared" si="89"/>
        <v>0.15339774796</v>
      </c>
      <c r="AO176">
        <v>34.5</v>
      </c>
      <c r="AP176">
        <v>0.5</v>
      </c>
      <c r="AQ176" t="s">
        <v>331</v>
      </c>
      <c r="AR176">
        <v>2</v>
      </c>
      <c r="AS176">
        <v>1690378356.0999999</v>
      </c>
      <c r="AT176">
        <v>392.53699999999998</v>
      </c>
      <c r="AU176">
        <v>799.95399999999995</v>
      </c>
      <c r="AV176">
        <v>26.8992</v>
      </c>
      <c r="AW176">
        <v>0.208233</v>
      </c>
      <c r="AX176">
        <v>392.95</v>
      </c>
      <c r="AY176">
        <v>26.688099999999999</v>
      </c>
      <c r="AZ176">
        <v>300.11799999999999</v>
      </c>
      <c r="BA176">
        <v>98.642700000000005</v>
      </c>
      <c r="BB176">
        <v>9.9890000000000007E-2</v>
      </c>
      <c r="BC176">
        <v>27.0871</v>
      </c>
      <c r="BD176">
        <v>27.0062</v>
      </c>
      <c r="BE176">
        <v>28.5913</v>
      </c>
      <c r="BF176">
        <v>0</v>
      </c>
      <c r="BG176">
        <v>0</v>
      </c>
      <c r="BH176">
        <v>10011.9</v>
      </c>
      <c r="BI176">
        <v>1083.1500000000001</v>
      </c>
      <c r="BJ176">
        <v>1.30494</v>
      </c>
      <c r="BK176">
        <v>-407.41699999999997</v>
      </c>
      <c r="BL176">
        <v>403.38799999999998</v>
      </c>
      <c r="BM176">
        <v>800.12</v>
      </c>
      <c r="BN176">
        <v>26.690999999999999</v>
      </c>
      <c r="BO176">
        <v>799.95399999999995</v>
      </c>
      <c r="BP176">
        <v>0.208233</v>
      </c>
      <c r="BQ176">
        <v>2.65341</v>
      </c>
      <c r="BR176">
        <v>2.0540699999999999E-2</v>
      </c>
      <c r="BS176">
        <v>21.999400000000001</v>
      </c>
      <c r="BT176">
        <v>-39.168300000000002</v>
      </c>
      <c r="BU176">
        <v>1800</v>
      </c>
      <c r="BV176">
        <v>0.90998699999999999</v>
      </c>
      <c r="BW176">
        <v>3.3995299999999999E-2</v>
      </c>
      <c r="BX176">
        <v>2.2004800000000001E-2</v>
      </c>
      <c r="BY176">
        <v>3.4012599999999997E-2</v>
      </c>
      <c r="BZ176">
        <v>25</v>
      </c>
      <c r="CA176">
        <v>33528.300000000003</v>
      </c>
      <c r="CB176">
        <v>1690376213.5999999</v>
      </c>
      <c r="CC176" t="s">
        <v>332</v>
      </c>
      <c r="CD176">
        <v>1690376213.5999999</v>
      </c>
      <c r="CE176">
        <v>1690376198.0999999</v>
      </c>
      <c r="CF176">
        <v>2</v>
      </c>
      <c r="CG176">
        <v>0.66900000000000004</v>
      </c>
      <c r="CH176">
        <v>-2.1000000000000001E-2</v>
      </c>
      <c r="CI176">
        <v>-0.70099999999999996</v>
      </c>
      <c r="CJ176">
        <v>0.21099999999999999</v>
      </c>
      <c r="CK176">
        <v>799</v>
      </c>
      <c r="CL176">
        <v>21</v>
      </c>
      <c r="CM176">
        <v>0.11</v>
      </c>
      <c r="CN176">
        <v>0.17</v>
      </c>
      <c r="CO176">
        <v>-406.52385365853661</v>
      </c>
      <c r="CP176">
        <v>-5.2415958188158047</v>
      </c>
      <c r="CQ176">
        <v>0.51902138500871919</v>
      </c>
      <c r="CR176">
        <v>-1</v>
      </c>
      <c r="CS176">
        <v>26.64754878048781</v>
      </c>
      <c r="CT176">
        <v>0.226394425087073</v>
      </c>
      <c r="CU176">
        <v>2.2328840826588481E-2</v>
      </c>
      <c r="CV176">
        <v>-1</v>
      </c>
      <c r="CW176">
        <v>0</v>
      </c>
      <c r="CX176">
        <v>0</v>
      </c>
      <c r="CY176" t="s">
        <v>333</v>
      </c>
      <c r="CZ176">
        <v>2.3650199999999999</v>
      </c>
      <c r="DA176">
        <v>2.7136900000000002</v>
      </c>
      <c r="DB176">
        <v>8.8012400000000005E-2</v>
      </c>
      <c r="DC176">
        <v>0.14551600000000001</v>
      </c>
      <c r="DD176">
        <v>0.122934</v>
      </c>
      <c r="DE176">
        <v>1.74318E-3</v>
      </c>
      <c r="DF176">
        <v>33313.5</v>
      </c>
      <c r="DG176">
        <v>27540.5</v>
      </c>
      <c r="DH176">
        <v>31182.5</v>
      </c>
      <c r="DI176">
        <v>28083.3</v>
      </c>
      <c r="DJ176">
        <v>37118.199999999997</v>
      </c>
      <c r="DK176">
        <v>39860.800000000003</v>
      </c>
      <c r="DL176">
        <v>44375.199999999997</v>
      </c>
      <c r="DM176">
        <v>42552.2</v>
      </c>
      <c r="DN176">
        <v>1.4484999999999999</v>
      </c>
      <c r="DO176">
        <v>2.0445000000000002</v>
      </c>
      <c r="DP176">
        <v>9.1209999999999999E-2</v>
      </c>
      <c r="DQ176">
        <v>0.18836600000000001</v>
      </c>
      <c r="DR176">
        <v>25.512699999999999</v>
      </c>
      <c r="DS176">
        <v>25.510999999999999</v>
      </c>
      <c r="DT176">
        <v>31.4</v>
      </c>
      <c r="DU176">
        <v>27.4</v>
      </c>
      <c r="DV176">
        <v>11.664899999999999</v>
      </c>
      <c r="DW176">
        <v>60.9084</v>
      </c>
      <c r="DX176">
        <v>36.806899999999999</v>
      </c>
      <c r="DY176">
        <v>1</v>
      </c>
      <c r="DZ176">
        <v>-0.13536100000000001</v>
      </c>
      <c r="EA176">
        <v>-0.51587099999999997</v>
      </c>
      <c r="EB176">
        <v>20.1891</v>
      </c>
      <c r="EC176">
        <v>5.2418500000000003</v>
      </c>
      <c r="ED176">
        <v>12.039899999999999</v>
      </c>
      <c r="EE176">
        <v>5.0177500000000004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1.86886</v>
      </c>
      <c r="EL176">
        <v>1.86456</v>
      </c>
      <c r="EM176">
        <v>1.8691899999999999</v>
      </c>
      <c r="EN176">
        <v>1.86721</v>
      </c>
      <c r="EO176">
        <v>1.8632899999999999</v>
      </c>
      <c r="EP176">
        <v>1.8643400000000001</v>
      </c>
      <c r="EQ176">
        <v>1.87012</v>
      </c>
      <c r="ER176">
        <v>1.8693500000000001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-0.41299999999999998</v>
      </c>
      <c r="FG176">
        <v>0.21110000000000001</v>
      </c>
      <c r="FH176">
        <v>-0.150361779349652</v>
      </c>
      <c r="FI176">
        <v>-6.1462078757559423E-4</v>
      </c>
      <c r="FJ176">
        <v>-1.8861989874597051E-7</v>
      </c>
      <c r="FK176">
        <v>1.1980462299894961E-10</v>
      </c>
      <c r="FL176">
        <v>0.21114761904761539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35.700000000000003</v>
      </c>
      <c r="FU176">
        <v>36</v>
      </c>
      <c r="FV176">
        <v>1.7663599999999999</v>
      </c>
      <c r="FW176">
        <v>2.5671400000000002</v>
      </c>
      <c r="FX176">
        <v>1.5490699999999999</v>
      </c>
      <c r="FY176">
        <v>2.33643</v>
      </c>
      <c r="FZ176">
        <v>1.50146</v>
      </c>
      <c r="GA176">
        <v>2.33887</v>
      </c>
      <c r="GB176">
        <v>32.332799999999999</v>
      </c>
      <c r="GC176">
        <v>23.991199999999999</v>
      </c>
      <c r="GD176">
        <v>19</v>
      </c>
      <c r="GE176">
        <v>269.08100000000002</v>
      </c>
      <c r="GF176">
        <v>583.71100000000001</v>
      </c>
      <c r="GG176">
        <v>25.861999999999998</v>
      </c>
      <c r="GH176">
        <v>25.7318</v>
      </c>
      <c r="GI176">
        <v>30</v>
      </c>
      <c r="GJ176">
        <v>25.833500000000001</v>
      </c>
      <c r="GK176">
        <v>25.7971</v>
      </c>
      <c r="GL176">
        <v>35.319800000000001</v>
      </c>
      <c r="GM176">
        <v>100</v>
      </c>
      <c r="GN176">
        <v>18.776399999999999</v>
      </c>
      <c r="GO176">
        <v>25.856000000000002</v>
      </c>
      <c r="GP176">
        <v>800</v>
      </c>
      <c r="GQ176">
        <v>0</v>
      </c>
      <c r="GR176">
        <v>99.770200000000003</v>
      </c>
      <c r="GS176">
        <v>99.555899999999994</v>
      </c>
    </row>
    <row r="177" spans="1:201" x14ac:dyDescent="0.25">
      <c r="A177">
        <v>161</v>
      </c>
      <c r="B177">
        <v>1690378366.0999999</v>
      </c>
      <c r="C177">
        <v>1649.599999904633</v>
      </c>
      <c r="D177" t="s">
        <v>655</v>
      </c>
      <c r="E177" t="s">
        <v>656</v>
      </c>
      <c r="F177" t="s">
        <v>330</v>
      </c>
      <c r="H177">
        <v>1690378366.0999999</v>
      </c>
      <c r="I177">
        <f t="shared" si="60"/>
        <v>2.3887846434555286E-3</v>
      </c>
      <c r="J177">
        <f t="shared" si="61"/>
        <v>2.3887846434555287</v>
      </c>
      <c r="K177">
        <f t="shared" si="62"/>
        <v>34.566313140281721</v>
      </c>
      <c r="L177">
        <f t="shared" si="63"/>
        <v>391.78899999999999</v>
      </c>
      <c r="M177">
        <f t="shared" si="64"/>
        <v>85.657402732291345</v>
      </c>
      <c r="N177">
        <f t="shared" si="65"/>
        <v>8.4581219399269365</v>
      </c>
      <c r="O177">
        <f t="shared" si="66"/>
        <v>38.686663744390998</v>
      </c>
      <c r="P177">
        <f t="shared" si="67"/>
        <v>0.1919735004843737</v>
      </c>
      <c r="Q177">
        <f t="shared" si="68"/>
        <v>2.0057213063435251</v>
      </c>
      <c r="R177">
        <f t="shared" si="69"/>
        <v>0.18231848019731542</v>
      </c>
      <c r="S177">
        <f t="shared" si="70"/>
        <v>0.11477603674806286</v>
      </c>
      <c r="T177">
        <f t="shared" si="71"/>
        <v>276.11599404599997</v>
      </c>
      <c r="U177">
        <f t="shared" si="72"/>
        <v>28.51303243299245</v>
      </c>
      <c r="V177">
        <f t="shared" si="73"/>
        <v>28.51303243299245</v>
      </c>
      <c r="W177">
        <f t="shared" si="74"/>
        <v>3.9098275019167104</v>
      </c>
      <c r="X177">
        <f t="shared" si="75"/>
        <v>73.914046087632684</v>
      </c>
      <c r="Y177">
        <f t="shared" si="76"/>
        <v>2.6590965391367005</v>
      </c>
      <c r="Z177">
        <f t="shared" si="77"/>
        <v>3.5975524002353607</v>
      </c>
      <c r="AA177">
        <f t="shared" si="78"/>
        <v>1.2507309627800098</v>
      </c>
      <c r="AB177">
        <f t="shared" si="79"/>
        <v>-105.34540277638881</v>
      </c>
      <c r="AC177">
        <f t="shared" si="80"/>
        <v>-154.16793684310551</v>
      </c>
      <c r="AD177">
        <f t="shared" si="81"/>
        <v>-16.721349919305123</v>
      </c>
      <c r="AE177">
        <f t="shared" si="82"/>
        <v>-0.11869549279947478</v>
      </c>
      <c r="AF177">
        <v>8</v>
      </c>
      <c r="AG177">
        <v>3</v>
      </c>
      <c r="AH177">
        <f t="shared" si="83"/>
        <v>1</v>
      </c>
      <c r="AI177">
        <f t="shared" si="84"/>
        <v>0</v>
      </c>
      <c r="AJ177">
        <f t="shared" si="85"/>
        <v>52072.836853406843</v>
      </c>
      <c r="AK177">
        <f t="shared" si="86"/>
        <v>1800</v>
      </c>
      <c r="AL177">
        <f t="shared" si="87"/>
        <v>1499.1114905999998</v>
      </c>
      <c r="AM177">
        <f t="shared" si="88"/>
        <v>0.83283971699999992</v>
      </c>
      <c r="AN177">
        <f t="shared" si="89"/>
        <v>0.15339777447</v>
      </c>
      <c r="AO177">
        <v>34.5</v>
      </c>
      <c r="AP177">
        <v>0.5</v>
      </c>
      <c r="AQ177" t="s">
        <v>331</v>
      </c>
      <c r="AR177">
        <v>2</v>
      </c>
      <c r="AS177">
        <v>1690378366.0999999</v>
      </c>
      <c r="AT177">
        <v>391.78899999999999</v>
      </c>
      <c r="AU177">
        <v>799.94200000000001</v>
      </c>
      <c r="AV177">
        <v>26.929300000000001</v>
      </c>
      <c r="AW177">
        <v>0.206069</v>
      </c>
      <c r="AX177">
        <v>392.202</v>
      </c>
      <c r="AY177">
        <v>26.7181</v>
      </c>
      <c r="AZ177">
        <v>300.08999999999997</v>
      </c>
      <c r="BA177">
        <v>98.643600000000006</v>
      </c>
      <c r="BB177">
        <v>0.100019</v>
      </c>
      <c r="BC177">
        <v>27.087299999999999</v>
      </c>
      <c r="BD177">
        <v>27.013999999999999</v>
      </c>
      <c r="BE177">
        <v>28.594999999999999</v>
      </c>
      <c r="BF177">
        <v>0</v>
      </c>
      <c r="BG177">
        <v>0</v>
      </c>
      <c r="BH177">
        <v>9985.6200000000008</v>
      </c>
      <c r="BI177">
        <v>1083.08</v>
      </c>
      <c r="BJ177">
        <v>1.3455900000000001</v>
      </c>
      <c r="BK177">
        <v>-408.15300000000002</v>
      </c>
      <c r="BL177">
        <v>402.63099999999997</v>
      </c>
      <c r="BM177">
        <v>800.10699999999997</v>
      </c>
      <c r="BN177">
        <v>26.723199999999999</v>
      </c>
      <c r="BO177">
        <v>799.94200000000001</v>
      </c>
      <c r="BP177">
        <v>0.206069</v>
      </c>
      <c r="BQ177">
        <v>2.6564000000000001</v>
      </c>
      <c r="BR177">
        <v>2.0327399999999999E-2</v>
      </c>
      <c r="BS177">
        <v>22.017900000000001</v>
      </c>
      <c r="BT177">
        <v>-39.269100000000002</v>
      </c>
      <c r="BU177">
        <v>1800</v>
      </c>
      <c r="BV177">
        <v>0.90998800000000002</v>
      </c>
      <c r="BW177">
        <v>3.39951E-2</v>
      </c>
      <c r="BX177">
        <v>2.2004599999999999E-2</v>
      </c>
      <c r="BY177">
        <v>3.4012300000000002E-2</v>
      </c>
      <c r="BZ177">
        <v>25.166699999999999</v>
      </c>
      <c r="CA177">
        <v>33528.300000000003</v>
      </c>
      <c r="CB177">
        <v>1690376213.5999999</v>
      </c>
      <c r="CC177" t="s">
        <v>332</v>
      </c>
      <c r="CD177">
        <v>1690376213.5999999</v>
      </c>
      <c r="CE177">
        <v>1690376198.0999999</v>
      </c>
      <c r="CF177">
        <v>2</v>
      </c>
      <c r="CG177">
        <v>0.66900000000000004</v>
      </c>
      <c r="CH177">
        <v>-2.1000000000000001E-2</v>
      </c>
      <c r="CI177">
        <v>-0.70099999999999996</v>
      </c>
      <c r="CJ177">
        <v>0.21099999999999999</v>
      </c>
      <c r="CK177">
        <v>799</v>
      </c>
      <c r="CL177">
        <v>21</v>
      </c>
      <c r="CM177">
        <v>0.11</v>
      </c>
      <c r="CN177">
        <v>0.17</v>
      </c>
      <c r="CO177">
        <v>-407.428225</v>
      </c>
      <c r="CP177">
        <v>-4.8786529080664609</v>
      </c>
      <c r="CQ177">
        <v>0.47339098467862678</v>
      </c>
      <c r="CR177">
        <v>-1</v>
      </c>
      <c r="CS177">
        <v>26.68666</v>
      </c>
      <c r="CT177">
        <v>0.20944390243896471</v>
      </c>
      <c r="CU177">
        <v>2.0191418969453281E-2</v>
      </c>
      <c r="CV177">
        <v>-1</v>
      </c>
      <c r="CW177">
        <v>0</v>
      </c>
      <c r="CX177">
        <v>0</v>
      </c>
      <c r="CY177" t="s">
        <v>333</v>
      </c>
      <c r="CZ177">
        <v>2.3649200000000001</v>
      </c>
      <c r="DA177">
        <v>2.7138</v>
      </c>
      <c r="DB177">
        <v>8.7884400000000001E-2</v>
      </c>
      <c r="DC177">
        <v>0.14551500000000001</v>
      </c>
      <c r="DD177">
        <v>0.123031</v>
      </c>
      <c r="DE177">
        <v>1.7252999999999999E-3</v>
      </c>
      <c r="DF177">
        <v>33318.1</v>
      </c>
      <c r="DG177">
        <v>27540.9</v>
      </c>
      <c r="DH177">
        <v>31182.400000000001</v>
      </c>
      <c r="DI177">
        <v>28083.7</v>
      </c>
      <c r="DJ177">
        <v>37114</v>
      </c>
      <c r="DK177">
        <v>39861.699999999997</v>
      </c>
      <c r="DL177">
        <v>44375.199999999997</v>
      </c>
      <c r="DM177">
        <v>42552.4</v>
      </c>
      <c r="DN177">
        <v>1.4487000000000001</v>
      </c>
      <c r="DO177">
        <v>2.0446800000000001</v>
      </c>
      <c r="DP177">
        <v>9.1496900000000006E-2</v>
      </c>
      <c r="DQ177">
        <v>0.18858900000000001</v>
      </c>
      <c r="DR177">
        <v>25.515899999999998</v>
      </c>
      <c r="DS177">
        <v>25.510999999999999</v>
      </c>
      <c r="DT177">
        <v>31.1</v>
      </c>
      <c r="DU177">
        <v>27.4</v>
      </c>
      <c r="DV177">
        <v>11.552</v>
      </c>
      <c r="DW177">
        <v>61.258400000000002</v>
      </c>
      <c r="DX177">
        <v>36.991199999999999</v>
      </c>
      <c r="DY177">
        <v>1</v>
      </c>
      <c r="DZ177">
        <v>-0.135437</v>
      </c>
      <c r="EA177">
        <v>-0.51634500000000005</v>
      </c>
      <c r="EB177">
        <v>20.1892</v>
      </c>
      <c r="EC177">
        <v>5.2413999999999996</v>
      </c>
      <c r="ED177">
        <v>12.039899999999999</v>
      </c>
      <c r="EE177">
        <v>5.0174500000000002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1.8688899999999999</v>
      </c>
      <c r="EL177">
        <v>1.8645799999999999</v>
      </c>
      <c r="EM177">
        <v>1.8692</v>
      </c>
      <c r="EN177">
        <v>1.8672200000000001</v>
      </c>
      <c r="EO177">
        <v>1.8633200000000001</v>
      </c>
      <c r="EP177">
        <v>1.86436</v>
      </c>
      <c r="EQ177">
        <v>1.87012</v>
      </c>
      <c r="ER177">
        <v>1.8693599999999999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-0.41299999999999998</v>
      </c>
      <c r="FG177">
        <v>0.2112</v>
      </c>
      <c r="FH177">
        <v>-0.150361779349652</v>
      </c>
      <c r="FI177">
        <v>-6.1462078757559423E-4</v>
      </c>
      <c r="FJ177">
        <v>-1.8861989874597051E-7</v>
      </c>
      <c r="FK177">
        <v>1.1980462299894961E-10</v>
      </c>
      <c r="FL177">
        <v>0.21114761904761539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35.9</v>
      </c>
      <c r="FU177">
        <v>36.1</v>
      </c>
      <c r="FV177">
        <v>1.7663599999999999</v>
      </c>
      <c r="FW177">
        <v>2.5708000000000002</v>
      </c>
      <c r="FX177">
        <v>1.5490699999999999</v>
      </c>
      <c r="FY177">
        <v>2.33643</v>
      </c>
      <c r="FZ177">
        <v>1.50146</v>
      </c>
      <c r="GA177">
        <v>2.2875999999999999</v>
      </c>
      <c r="GB177">
        <v>32.354900000000001</v>
      </c>
      <c r="GC177">
        <v>23.982399999999998</v>
      </c>
      <c r="GD177">
        <v>19</v>
      </c>
      <c r="GE177">
        <v>269.16399999999999</v>
      </c>
      <c r="GF177">
        <v>583.85599999999999</v>
      </c>
      <c r="GG177">
        <v>25.852599999999999</v>
      </c>
      <c r="GH177">
        <v>25.733899999999998</v>
      </c>
      <c r="GI177">
        <v>30</v>
      </c>
      <c r="GJ177">
        <v>25.8338</v>
      </c>
      <c r="GK177">
        <v>25.7971</v>
      </c>
      <c r="GL177">
        <v>35.319899999999997</v>
      </c>
      <c r="GM177">
        <v>100</v>
      </c>
      <c r="GN177">
        <v>17.993200000000002</v>
      </c>
      <c r="GO177">
        <v>25.841899999999999</v>
      </c>
      <c r="GP177">
        <v>800</v>
      </c>
      <c r="GQ177">
        <v>0</v>
      </c>
      <c r="GR177">
        <v>99.77</v>
      </c>
      <c r="GS177">
        <v>99.556799999999996</v>
      </c>
    </row>
    <row r="178" spans="1:201" x14ac:dyDescent="0.25">
      <c r="A178">
        <v>162</v>
      </c>
      <c r="B178">
        <v>1690378376.0999999</v>
      </c>
      <c r="C178">
        <v>1659.599999904633</v>
      </c>
      <c r="D178" t="s">
        <v>657</v>
      </c>
      <c r="E178" t="s">
        <v>658</v>
      </c>
      <c r="F178" t="s">
        <v>330</v>
      </c>
      <c r="H178">
        <v>1690378376.0999999</v>
      </c>
      <c r="I178">
        <f t="shared" si="60"/>
        <v>2.3928813647024327E-3</v>
      </c>
      <c r="J178">
        <f t="shared" si="61"/>
        <v>2.3928813647024327</v>
      </c>
      <c r="K178">
        <f t="shared" si="62"/>
        <v>34.659558699105716</v>
      </c>
      <c r="L178">
        <f t="shared" si="63"/>
        <v>391.01400000000001</v>
      </c>
      <c r="M178">
        <f t="shared" si="64"/>
        <v>85.822415253565779</v>
      </c>
      <c r="N178">
        <f t="shared" si="65"/>
        <v>8.4745340680881753</v>
      </c>
      <c r="O178">
        <f t="shared" si="66"/>
        <v>38.610675944146799</v>
      </c>
      <c r="P178">
        <f t="shared" si="67"/>
        <v>0.1931113155337531</v>
      </c>
      <c r="Q178">
        <f t="shared" si="68"/>
        <v>2.0093961297179019</v>
      </c>
      <c r="R178">
        <f t="shared" si="69"/>
        <v>0.18336152679330972</v>
      </c>
      <c r="S178">
        <f t="shared" si="70"/>
        <v>0.11543589976247932</v>
      </c>
      <c r="T178">
        <f t="shared" si="71"/>
        <v>276.11659510200008</v>
      </c>
      <c r="U178">
        <f t="shared" si="72"/>
        <v>28.506281263257833</v>
      </c>
      <c r="V178">
        <f t="shared" si="73"/>
        <v>28.506281263257833</v>
      </c>
      <c r="W178">
        <f t="shared" si="74"/>
        <v>3.9082948265653239</v>
      </c>
      <c r="X178">
        <f t="shared" si="75"/>
        <v>74.022370639997078</v>
      </c>
      <c r="Y178">
        <f t="shared" si="76"/>
        <v>2.6625403285375602</v>
      </c>
      <c r="Z178">
        <f t="shared" si="77"/>
        <v>3.59694009461903</v>
      </c>
      <c r="AA178">
        <f t="shared" si="78"/>
        <v>1.2457544980277637</v>
      </c>
      <c r="AB178">
        <f t="shared" si="79"/>
        <v>-105.52606818337728</v>
      </c>
      <c r="AC178">
        <f t="shared" si="80"/>
        <v>-154.03319939642626</v>
      </c>
      <c r="AD178">
        <f t="shared" si="81"/>
        <v>-16.675379356293167</v>
      </c>
      <c r="AE178">
        <f t="shared" si="82"/>
        <v>-0.11805183409660458</v>
      </c>
      <c r="AF178">
        <v>8</v>
      </c>
      <c r="AG178">
        <v>3</v>
      </c>
      <c r="AH178">
        <f t="shared" si="83"/>
        <v>1</v>
      </c>
      <c r="AI178">
        <f t="shared" si="84"/>
        <v>0</v>
      </c>
      <c r="AJ178">
        <f t="shared" si="85"/>
        <v>52249.014564781712</v>
      </c>
      <c r="AK178">
        <f t="shared" si="86"/>
        <v>1800</v>
      </c>
      <c r="AL178">
        <f t="shared" si="87"/>
        <v>1499.1113951999998</v>
      </c>
      <c r="AM178">
        <f t="shared" si="88"/>
        <v>0.83283966399999987</v>
      </c>
      <c r="AN178">
        <f t="shared" si="89"/>
        <v>0.15339810839000004</v>
      </c>
      <c r="AO178">
        <v>34.5</v>
      </c>
      <c r="AP178">
        <v>0.5</v>
      </c>
      <c r="AQ178" t="s">
        <v>331</v>
      </c>
      <c r="AR178">
        <v>2</v>
      </c>
      <c r="AS178">
        <v>1690378376.0999999</v>
      </c>
      <c r="AT178">
        <v>391.01400000000001</v>
      </c>
      <c r="AU178">
        <v>800.09299999999996</v>
      </c>
      <c r="AV178">
        <v>26.963799999999999</v>
      </c>
      <c r="AW178">
        <v>0.20505100000000001</v>
      </c>
      <c r="AX178">
        <v>391.42599999999999</v>
      </c>
      <c r="AY178">
        <v>26.752600000000001</v>
      </c>
      <c r="AZ178">
        <v>300.19499999999999</v>
      </c>
      <c r="BA178">
        <v>98.644999999999996</v>
      </c>
      <c r="BB178">
        <v>9.9996199999999993E-2</v>
      </c>
      <c r="BC178">
        <v>27.084399999999999</v>
      </c>
      <c r="BD178">
        <v>26.991599999999998</v>
      </c>
      <c r="BE178">
        <v>28.588899999999999</v>
      </c>
      <c r="BF178">
        <v>0</v>
      </c>
      <c r="BG178">
        <v>0</v>
      </c>
      <c r="BH178">
        <v>10020.6</v>
      </c>
      <c r="BI178">
        <v>1083.04</v>
      </c>
      <c r="BJ178">
        <v>1.3035399999999999</v>
      </c>
      <c r="BK178">
        <v>-409.07900000000001</v>
      </c>
      <c r="BL178">
        <v>401.84899999999999</v>
      </c>
      <c r="BM178">
        <v>800.25699999999995</v>
      </c>
      <c r="BN178">
        <v>26.758700000000001</v>
      </c>
      <c r="BO178">
        <v>800.09299999999996</v>
      </c>
      <c r="BP178">
        <v>0.20505100000000001</v>
      </c>
      <c r="BQ178">
        <v>2.65984</v>
      </c>
      <c r="BR178">
        <v>2.0227200000000001E-2</v>
      </c>
      <c r="BS178">
        <v>22.039100000000001</v>
      </c>
      <c r="BT178">
        <v>-39.316699999999997</v>
      </c>
      <c r="BU178">
        <v>1800</v>
      </c>
      <c r="BV178">
        <v>0.90998299999999999</v>
      </c>
      <c r="BW178">
        <v>3.3994900000000002E-2</v>
      </c>
      <c r="BX178">
        <v>2.20097E-2</v>
      </c>
      <c r="BY178">
        <v>3.4012100000000003E-2</v>
      </c>
      <c r="BZ178">
        <v>25.291699999999999</v>
      </c>
      <c r="CA178">
        <v>33528.199999999997</v>
      </c>
      <c r="CB178">
        <v>1690376213.5999999</v>
      </c>
      <c r="CC178" t="s">
        <v>332</v>
      </c>
      <c r="CD178">
        <v>1690376213.5999999</v>
      </c>
      <c r="CE178">
        <v>1690376198.0999999</v>
      </c>
      <c r="CF178">
        <v>2</v>
      </c>
      <c r="CG178">
        <v>0.66900000000000004</v>
      </c>
      <c r="CH178">
        <v>-2.1000000000000001E-2</v>
      </c>
      <c r="CI178">
        <v>-0.70099999999999996</v>
      </c>
      <c r="CJ178">
        <v>0.21099999999999999</v>
      </c>
      <c r="CK178">
        <v>799</v>
      </c>
      <c r="CL178">
        <v>21</v>
      </c>
      <c r="CM178">
        <v>0.11</v>
      </c>
      <c r="CN178">
        <v>0.17</v>
      </c>
      <c r="CO178">
        <v>-408.22075609756098</v>
      </c>
      <c r="CP178">
        <v>-4.5553588850180446</v>
      </c>
      <c r="CQ178">
        <v>0.45521700965303952</v>
      </c>
      <c r="CR178">
        <v>-1</v>
      </c>
      <c r="CS178">
        <v>26.722543902439021</v>
      </c>
      <c r="CT178">
        <v>0.20987665505224609</v>
      </c>
      <c r="CU178">
        <v>2.073581853066871E-2</v>
      </c>
      <c r="CV178">
        <v>-1</v>
      </c>
      <c r="CW178">
        <v>0</v>
      </c>
      <c r="CX178">
        <v>0</v>
      </c>
      <c r="CY178" t="s">
        <v>333</v>
      </c>
      <c r="CZ178">
        <v>2.3652500000000001</v>
      </c>
      <c r="DA178">
        <v>2.7138100000000001</v>
      </c>
      <c r="DB178">
        <v>8.7752200000000002E-2</v>
      </c>
      <c r="DC178">
        <v>0.145535</v>
      </c>
      <c r="DD178">
        <v>0.123142</v>
      </c>
      <c r="DE178">
        <v>1.7168999999999999E-3</v>
      </c>
      <c r="DF178">
        <v>33322.6</v>
      </c>
      <c r="DG178">
        <v>27540.400000000001</v>
      </c>
      <c r="DH178">
        <v>31182.1</v>
      </c>
      <c r="DI178">
        <v>28083.9</v>
      </c>
      <c r="DJ178">
        <v>37108.699999999997</v>
      </c>
      <c r="DK178">
        <v>39862.400000000001</v>
      </c>
      <c r="DL178">
        <v>44374.6</v>
      </c>
      <c r="DM178">
        <v>42552.800000000003</v>
      </c>
      <c r="DN178">
        <v>1.44885</v>
      </c>
      <c r="DO178">
        <v>2.0444800000000001</v>
      </c>
      <c r="DP178">
        <v>8.9999300000000004E-2</v>
      </c>
      <c r="DQ178">
        <v>0.18821299999999999</v>
      </c>
      <c r="DR178">
        <v>25.518000000000001</v>
      </c>
      <c r="DS178">
        <v>25.510999999999999</v>
      </c>
      <c r="DT178">
        <v>30.8</v>
      </c>
      <c r="DU178">
        <v>27.4</v>
      </c>
      <c r="DV178">
        <v>11.4392</v>
      </c>
      <c r="DW178">
        <v>60.5884</v>
      </c>
      <c r="DX178">
        <v>36.863</v>
      </c>
      <c r="DY178">
        <v>1</v>
      </c>
      <c r="DZ178">
        <v>-0.135264</v>
      </c>
      <c r="EA178">
        <v>-0.48370099999999999</v>
      </c>
      <c r="EB178">
        <v>20.1892</v>
      </c>
      <c r="EC178">
        <v>5.2415500000000002</v>
      </c>
      <c r="ED178">
        <v>12.039899999999999</v>
      </c>
      <c r="EE178">
        <v>5.0173500000000004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1.86887</v>
      </c>
      <c r="EL178">
        <v>1.8645799999999999</v>
      </c>
      <c r="EM178">
        <v>1.8691899999999999</v>
      </c>
      <c r="EN178">
        <v>1.8672200000000001</v>
      </c>
      <c r="EO178">
        <v>1.8632899999999999</v>
      </c>
      <c r="EP178">
        <v>1.86435</v>
      </c>
      <c r="EQ178">
        <v>1.87012</v>
      </c>
      <c r="ER178">
        <v>1.8693500000000001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-0.41199999999999998</v>
      </c>
      <c r="FG178">
        <v>0.2112</v>
      </c>
      <c r="FH178">
        <v>-0.150361779349652</v>
      </c>
      <c r="FI178">
        <v>-6.1462078757559423E-4</v>
      </c>
      <c r="FJ178">
        <v>-1.8861989874597051E-7</v>
      </c>
      <c r="FK178">
        <v>1.1980462299894961E-10</v>
      </c>
      <c r="FL178">
        <v>0.21114761904761539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36</v>
      </c>
      <c r="FU178">
        <v>36.299999999999997</v>
      </c>
      <c r="FV178">
        <v>1.7663599999999999</v>
      </c>
      <c r="FW178">
        <v>2.5744600000000002</v>
      </c>
      <c r="FX178">
        <v>1.5490699999999999</v>
      </c>
      <c r="FY178">
        <v>2.33643</v>
      </c>
      <c r="FZ178">
        <v>1.50146</v>
      </c>
      <c r="GA178">
        <v>2.3107899999999999</v>
      </c>
      <c r="GB178">
        <v>32.354900000000001</v>
      </c>
      <c r="GC178">
        <v>23.991199999999999</v>
      </c>
      <c r="GD178">
        <v>19</v>
      </c>
      <c r="GE178">
        <v>269.22800000000001</v>
      </c>
      <c r="GF178">
        <v>583.71500000000003</v>
      </c>
      <c r="GG178">
        <v>25.836099999999998</v>
      </c>
      <c r="GH178">
        <v>25.733899999999998</v>
      </c>
      <c r="GI178">
        <v>30</v>
      </c>
      <c r="GJ178">
        <v>25.834499999999998</v>
      </c>
      <c r="GK178">
        <v>25.799299999999999</v>
      </c>
      <c r="GL178">
        <v>35.3155</v>
      </c>
      <c r="GM178">
        <v>100</v>
      </c>
      <c r="GN178">
        <v>17.218</v>
      </c>
      <c r="GO178">
        <v>25.859200000000001</v>
      </c>
      <c r="GP178">
        <v>800</v>
      </c>
      <c r="GQ178">
        <v>0</v>
      </c>
      <c r="GR178">
        <v>99.768900000000002</v>
      </c>
      <c r="GS178">
        <v>99.557599999999994</v>
      </c>
    </row>
    <row r="179" spans="1:201" x14ac:dyDescent="0.25">
      <c r="A179">
        <v>163</v>
      </c>
      <c r="B179">
        <v>1690378386.0999999</v>
      </c>
      <c r="C179">
        <v>1669.599999904633</v>
      </c>
      <c r="D179" t="s">
        <v>659</v>
      </c>
      <c r="E179" t="s">
        <v>660</v>
      </c>
      <c r="F179" t="s">
        <v>330</v>
      </c>
      <c r="H179">
        <v>1690378386.0999999</v>
      </c>
      <c r="I179">
        <f t="shared" si="60"/>
        <v>2.3955375883318755E-3</v>
      </c>
      <c r="J179">
        <f t="shared" si="61"/>
        <v>2.3955375883318757</v>
      </c>
      <c r="K179">
        <f t="shared" si="62"/>
        <v>34.712583297453904</v>
      </c>
      <c r="L179">
        <f t="shared" si="63"/>
        <v>390.31700000000001</v>
      </c>
      <c r="M179">
        <f t="shared" si="64"/>
        <v>85.519777907121707</v>
      </c>
      <c r="N179">
        <f t="shared" si="65"/>
        <v>8.4443721025616458</v>
      </c>
      <c r="O179">
        <f t="shared" si="66"/>
        <v>38.540581683165001</v>
      </c>
      <c r="P179">
        <f t="shared" si="67"/>
        <v>0.19367832792645426</v>
      </c>
      <c r="Q179">
        <f t="shared" si="68"/>
        <v>2.0083161385346271</v>
      </c>
      <c r="R179">
        <f t="shared" si="69"/>
        <v>0.18386777587718864</v>
      </c>
      <c r="S179">
        <f t="shared" si="70"/>
        <v>0.11575737304586121</v>
      </c>
      <c r="T179">
        <f t="shared" si="71"/>
        <v>276.11671188599996</v>
      </c>
      <c r="U179">
        <f t="shared" si="72"/>
        <v>28.509790535050559</v>
      </c>
      <c r="V179">
        <f t="shared" si="73"/>
        <v>28.509790535050559</v>
      </c>
      <c r="W179">
        <f t="shared" si="74"/>
        <v>3.9090914489229593</v>
      </c>
      <c r="X179">
        <f t="shared" si="75"/>
        <v>74.086860132767868</v>
      </c>
      <c r="Y179">
        <f t="shared" si="76"/>
        <v>2.6654544128789999</v>
      </c>
      <c r="Z179">
        <f t="shared" si="77"/>
        <v>3.5977424446148127</v>
      </c>
      <c r="AA179">
        <f t="shared" si="78"/>
        <v>1.2436370360439595</v>
      </c>
      <c r="AB179">
        <f t="shared" si="79"/>
        <v>-105.64320764543571</v>
      </c>
      <c r="AC179">
        <f t="shared" si="80"/>
        <v>-153.91893326940024</v>
      </c>
      <c r="AD179">
        <f t="shared" si="81"/>
        <v>-16.672577442447174</v>
      </c>
      <c r="AE179">
        <f t="shared" si="82"/>
        <v>-0.11800647128316655</v>
      </c>
      <c r="AF179">
        <v>8</v>
      </c>
      <c r="AG179">
        <v>3</v>
      </c>
      <c r="AH179">
        <f t="shared" si="83"/>
        <v>1</v>
      </c>
      <c r="AI179">
        <f t="shared" si="84"/>
        <v>0</v>
      </c>
      <c r="AJ179">
        <f t="shared" si="85"/>
        <v>52196.6154663282</v>
      </c>
      <c r="AK179">
        <f t="shared" si="86"/>
        <v>1800</v>
      </c>
      <c r="AL179">
        <f t="shared" si="87"/>
        <v>1499.1122286</v>
      </c>
      <c r="AM179">
        <f t="shared" si="88"/>
        <v>0.83284012699999999</v>
      </c>
      <c r="AN179">
        <f t="shared" si="89"/>
        <v>0.15339817326999999</v>
      </c>
      <c r="AO179">
        <v>34.5</v>
      </c>
      <c r="AP179">
        <v>0.5</v>
      </c>
      <c r="AQ179" t="s">
        <v>331</v>
      </c>
      <c r="AR179">
        <v>2</v>
      </c>
      <c r="AS179">
        <v>1690378386.0999999</v>
      </c>
      <c r="AT179">
        <v>390.31700000000001</v>
      </c>
      <c r="AU179">
        <v>800.05</v>
      </c>
      <c r="AV179">
        <v>26.994199999999999</v>
      </c>
      <c r="AW179">
        <v>0.20319300000000001</v>
      </c>
      <c r="AX179">
        <v>390.72899999999998</v>
      </c>
      <c r="AY179">
        <v>26.783100000000001</v>
      </c>
      <c r="AZ179">
        <v>300.15699999999998</v>
      </c>
      <c r="BA179">
        <v>98.6417</v>
      </c>
      <c r="BB179">
        <v>0.100045</v>
      </c>
      <c r="BC179">
        <v>27.088200000000001</v>
      </c>
      <c r="BD179">
        <v>27.010899999999999</v>
      </c>
      <c r="BE179">
        <v>28.592199999999998</v>
      </c>
      <c r="BF179">
        <v>0</v>
      </c>
      <c r="BG179">
        <v>0</v>
      </c>
      <c r="BH179">
        <v>10010.6</v>
      </c>
      <c r="BI179">
        <v>1083.02</v>
      </c>
      <c r="BJ179">
        <v>1.4016500000000001</v>
      </c>
      <c r="BK179">
        <v>-409.73399999999998</v>
      </c>
      <c r="BL179">
        <v>401.14499999999998</v>
      </c>
      <c r="BM179">
        <v>800.21299999999997</v>
      </c>
      <c r="BN179">
        <v>26.791</v>
      </c>
      <c r="BO179">
        <v>800.05</v>
      </c>
      <c r="BP179">
        <v>0.20319300000000001</v>
      </c>
      <c r="BQ179">
        <v>2.66276</v>
      </c>
      <c r="BR179">
        <v>2.00433E-2</v>
      </c>
      <c r="BS179">
        <v>22.057099999999998</v>
      </c>
      <c r="BT179">
        <v>-39.404699999999998</v>
      </c>
      <c r="BU179">
        <v>1800</v>
      </c>
      <c r="BV179">
        <v>0.90998400000000002</v>
      </c>
      <c r="BW179">
        <v>3.3994700000000003E-2</v>
      </c>
      <c r="BX179">
        <v>2.2009600000000001E-2</v>
      </c>
      <c r="BY179">
        <v>3.4011899999999998E-2</v>
      </c>
      <c r="BZ179">
        <v>25.291699999999999</v>
      </c>
      <c r="CA179">
        <v>33528.300000000003</v>
      </c>
      <c r="CB179">
        <v>1690376213.5999999</v>
      </c>
      <c r="CC179" t="s">
        <v>332</v>
      </c>
      <c r="CD179">
        <v>1690376213.5999999</v>
      </c>
      <c r="CE179">
        <v>1690376198.0999999</v>
      </c>
      <c r="CF179">
        <v>2</v>
      </c>
      <c r="CG179">
        <v>0.66900000000000004</v>
      </c>
      <c r="CH179">
        <v>-2.1000000000000001E-2</v>
      </c>
      <c r="CI179">
        <v>-0.70099999999999996</v>
      </c>
      <c r="CJ179">
        <v>0.21099999999999999</v>
      </c>
      <c r="CK179">
        <v>799</v>
      </c>
      <c r="CL179">
        <v>21</v>
      </c>
      <c r="CM179">
        <v>0.11</v>
      </c>
      <c r="CN179">
        <v>0.17</v>
      </c>
      <c r="CO179">
        <v>-408.94312195121961</v>
      </c>
      <c r="CP179">
        <v>-4.4833588850170587</v>
      </c>
      <c r="CQ179">
        <v>0.44670098009262149</v>
      </c>
      <c r="CR179">
        <v>-1</v>
      </c>
      <c r="CS179">
        <v>26.756653658536589</v>
      </c>
      <c r="CT179">
        <v>0.2028480836237409</v>
      </c>
      <c r="CU179">
        <v>2.0035774073208789E-2</v>
      </c>
      <c r="CV179">
        <v>-1</v>
      </c>
      <c r="CW179">
        <v>0</v>
      </c>
      <c r="CX179">
        <v>0</v>
      </c>
      <c r="CY179" t="s">
        <v>333</v>
      </c>
      <c r="CZ179">
        <v>2.3651399999999998</v>
      </c>
      <c r="DA179">
        <v>2.7138499999999999</v>
      </c>
      <c r="DB179">
        <v>8.7628999999999999E-2</v>
      </c>
      <c r="DC179">
        <v>0.14552499999999999</v>
      </c>
      <c r="DD179">
        <v>0.123235</v>
      </c>
      <c r="DE179">
        <v>1.70148E-3</v>
      </c>
      <c r="DF179">
        <v>33327.1</v>
      </c>
      <c r="DG179">
        <v>27540.799999999999</v>
      </c>
      <c r="DH179">
        <v>31182.1</v>
      </c>
      <c r="DI179">
        <v>28084</v>
      </c>
      <c r="DJ179">
        <v>37104.6</v>
      </c>
      <c r="DK179">
        <v>39863.1</v>
      </c>
      <c r="DL179">
        <v>44374.400000000001</v>
      </c>
      <c r="DM179">
        <v>42552.9</v>
      </c>
      <c r="DN179">
        <v>1.4491499999999999</v>
      </c>
      <c r="DO179">
        <v>2.0447000000000002</v>
      </c>
      <c r="DP179">
        <v>9.1209999999999999E-2</v>
      </c>
      <c r="DQ179">
        <v>0.188418</v>
      </c>
      <c r="DR179">
        <v>25.517499999999998</v>
      </c>
      <c r="DS179">
        <v>25.510999999999999</v>
      </c>
      <c r="DT179">
        <v>30.5</v>
      </c>
      <c r="DU179">
        <v>27.4</v>
      </c>
      <c r="DV179">
        <v>11.328799999999999</v>
      </c>
      <c r="DW179">
        <v>60.758400000000002</v>
      </c>
      <c r="DX179">
        <v>36.915100000000002</v>
      </c>
      <c r="DY179">
        <v>1</v>
      </c>
      <c r="DZ179">
        <v>-0.13525200000000001</v>
      </c>
      <c r="EA179">
        <v>-0.56634799999999996</v>
      </c>
      <c r="EB179">
        <v>20.189</v>
      </c>
      <c r="EC179">
        <v>5.2408000000000001</v>
      </c>
      <c r="ED179">
        <v>12.039899999999999</v>
      </c>
      <c r="EE179">
        <v>5.0171999999999999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1.8688899999999999</v>
      </c>
      <c r="EL179">
        <v>1.86459</v>
      </c>
      <c r="EM179">
        <v>1.8692</v>
      </c>
      <c r="EN179">
        <v>1.8672200000000001</v>
      </c>
      <c r="EO179">
        <v>1.8633</v>
      </c>
      <c r="EP179">
        <v>1.8643400000000001</v>
      </c>
      <c r="EQ179">
        <v>1.87012</v>
      </c>
      <c r="ER179">
        <v>1.8693599999999999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-0.41199999999999998</v>
      </c>
      <c r="FG179">
        <v>0.21110000000000001</v>
      </c>
      <c r="FH179">
        <v>-0.150361779349652</v>
      </c>
      <c r="FI179">
        <v>-6.1462078757559423E-4</v>
      </c>
      <c r="FJ179">
        <v>-1.8861989874597051E-7</v>
      </c>
      <c r="FK179">
        <v>1.1980462299894961E-10</v>
      </c>
      <c r="FL179">
        <v>0.21114761904761539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36.200000000000003</v>
      </c>
      <c r="FU179">
        <v>36.5</v>
      </c>
      <c r="FV179">
        <v>1.7663599999999999</v>
      </c>
      <c r="FW179">
        <v>2.5732400000000002</v>
      </c>
      <c r="FX179">
        <v>1.5490699999999999</v>
      </c>
      <c r="FY179">
        <v>2.33765</v>
      </c>
      <c r="FZ179">
        <v>1.50146</v>
      </c>
      <c r="GA179">
        <v>2.2827099999999998</v>
      </c>
      <c r="GB179">
        <v>32.354900000000001</v>
      </c>
      <c r="GC179">
        <v>23.982399999999998</v>
      </c>
      <c r="GD179">
        <v>19</v>
      </c>
      <c r="GE179">
        <v>269.35700000000003</v>
      </c>
      <c r="GF179">
        <v>583.90099999999995</v>
      </c>
      <c r="GG179">
        <v>25.8611</v>
      </c>
      <c r="GH179">
        <v>25.7361</v>
      </c>
      <c r="GI179">
        <v>30.0001</v>
      </c>
      <c r="GJ179">
        <v>25.835999999999999</v>
      </c>
      <c r="GK179">
        <v>25.799299999999999</v>
      </c>
      <c r="GL179">
        <v>35.317900000000002</v>
      </c>
      <c r="GM179">
        <v>100</v>
      </c>
      <c r="GN179">
        <v>16.836600000000001</v>
      </c>
      <c r="GO179">
        <v>25.860099999999999</v>
      </c>
      <c r="GP179">
        <v>800</v>
      </c>
      <c r="GQ179">
        <v>0</v>
      </c>
      <c r="GR179">
        <v>99.768600000000006</v>
      </c>
      <c r="GS179">
        <v>99.557900000000004</v>
      </c>
    </row>
    <row r="180" spans="1:201" x14ac:dyDescent="0.25">
      <c r="A180">
        <v>164</v>
      </c>
      <c r="B180">
        <v>1690378396.0999999</v>
      </c>
      <c r="C180">
        <v>1679.599999904633</v>
      </c>
      <c r="D180" t="s">
        <v>661</v>
      </c>
      <c r="E180" t="s">
        <v>662</v>
      </c>
      <c r="F180" t="s">
        <v>330</v>
      </c>
      <c r="H180">
        <v>1690378396.0999999</v>
      </c>
      <c r="I180">
        <f t="shared" si="60"/>
        <v>2.3988166130132316E-3</v>
      </c>
      <c r="J180">
        <f t="shared" si="61"/>
        <v>2.3988166130132313</v>
      </c>
      <c r="K180">
        <f t="shared" si="62"/>
        <v>34.771025754949783</v>
      </c>
      <c r="L180">
        <f t="shared" si="63"/>
        <v>389.53300000000002</v>
      </c>
      <c r="M180">
        <f t="shared" si="64"/>
        <v>85.521490526074601</v>
      </c>
      <c r="N180">
        <f t="shared" si="65"/>
        <v>8.4444790354219617</v>
      </c>
      <c r="O180">
        <f t="shared" si="66"/>
        <v>38.462884964594004</v>
      </c>
      <c r="P180">
        <f t="shared" si="67"/>
        <v>0.19454711913687445</v>
      </c>
      <c r="Q180">
        <f t="shared" si="68"/>
        <v>2.0060877519054632</v>
      </c>
      <c r="R180">
        <f t="shared" si="69"/>
        <v>0.18464037815155934</v>
      </c>
      <c r="S180">
        <f t="shared" si="70"/>
        <v>0.11624826348872541</v>
      </c>
      <c r="T180">
        <f t="shared" si="71"/>
        <v>276.11510709266065</v>
      </c>
      <c r="U180">
        <f t="shared" si="72"/>
        <v>28.510794572277675</v>
      </c>
      <c r="V180">
        <f t="shared" si="73"/>
        <v>28.510794572277675</v>
      </c>
      <c r="W180">
        <f t="shared" si="74"/>
        <v>3.9093193964814383</v>
      </c>
      <c r="X180">
        <f t="shared" si="75"/>
        <v>74.188220916040464</v>
      </c>
      <c r="Y180">
        <f t="shared" si="76"/>
        <v>2.6692264431868002</v>
      </c>
      <c r="Z180">
        <f t="shared" si="77"/>
        <v>3.5979113803087288</v>
      </c>
      <c r="AA180">
        <f t="shared" si="78"/>
        <v>1.2400929532946381</v>
      </c>
      <c r="AB180">
        <f t="shared" si="79"/>
        <v>-105.7878126338835</v>
      </c>
      <c r="AC180">
        <f t="shared" si="80"/>
        <v>-153.77021503569219</v>
      </c>
      <c r="AD180">
        <f t="shared" si="81"/>
        <v>-16.675120452964098</v>
      </c>
      <c r="AE180">
        <f t="shared" si="82"/>
        <v>-0.11804102987915144</v>
      </c>
      <c r="AF180">
        <v>8</v>
      </c>
      <c r="AG180">
        <v>3</v>
      </c>
      <c r="AH180">
        <f t="shared" si="83"/>
        <v>1</v>
      </c>
      <c r="AI180">
        <f t="shared" si="84"/>
        <v>0</v>
      </c>
      <c r="AJ180">
        <f t="shared" si="85"/>
        <v>52089.980685830873</v>
      </c>
      <c r="AK180">
        <f t="shared" si="86"/>
        <v>1799.99</v>
      </c>
      <c r="AL180">
        <f t="shared" si="87"/>
        <v>1499.1046039948199</v>
      </c>
      <c r="AM180">
        <f t="shared" si="88"/>
        <v>0.83284051799999992</v>
      </c>
      <c r="AN180">
        <f t="shared" si="89"/>
        <v>0.15339813392999999</v>
      </c>
      <c r="AO180">
        <v>34.5</v>
      </c>
      <c r="AP180">
        <v>0.5</v>
      </c>
      <c r="AQ180" t="s">
        <v>331</v>
      </c>
      <c r="AR180">
        <v>2</v>
      </c>
      <c r="AS180">
        <v>1690378396.0999999</v>
      </c>
      <c r="AT180">
        <v>389.53300000000002</v>
      </c>
      <c r="AU180">
        <v>799.99099999999999</v>
      </c>
      <c r="AV180">
        <v>27.032599999999999</v>
      </c>
      <c r="AW180">
        <v>0.202047</v>
      </c>
      <c r="AX180">
        <v>389.94499999999999</v>
      </c>
      <c r="AY180">
        <v>26.8215</v>
      </c>
      <c r="AZ180">
        <v>300.113</v>
      </c>
      <c r="BA180">
        <v>98.641000000000005</v>
      </c>
      <c r="BB180">
        <v>0.100018</v>
      </c>
      <c r="BC180">
        <v>27.088999999999999</v>
      </c>
      <c r="BD180">
        <v>27.0031</v>
      </c>
      <c r="BE180">
        <v>28.589200000000002</v>
      </c>
      <c r="BF180">
        <v>0</v>
      </c>
      <c r="BG180">
        <v>0</v>
      </c>
      <c r="BH180">
        <v>9989.3799999999992</v>
      </c>
      <c r="BI180">
        <v>1082.9000000000001</v>
      </c>
      <c r="BJ180">
        <v>1.4016500000000001</v>
      </c>
      <c r="BK180">
        <v>-410.45800000000003</v>
      </c>
      <c r="BL180">
        <v>400.35599999999999</v>
      </c>
      <c r="BM180">
        <v>800.15300000000002</v>
      </c>
      <c r="BN180">
        <v>26.8306</v>
      </c>
      <c r="BO180">
        <v>799.99099999999999</v>
      </c>
      <c r="BP180">
        <v>0.202047</v>
      </c>
      <c r="BQ180">
        <v>2.6665199999999998</v>
      </c>
      <c r="BR180">
        <v>1.9930099999999999E-2</v>
      </c>
      <c r="BS180">
        <v>22.080300000000001</v>
      </c>
      <c r="BT180">
        <v>-39.459299999999999</v>
      </c>
      <c r="BU180">
        <v>1799.99</v>
      </c>
      <c r="BV180">
        <v>0.90998699999999999</v>
      </c>
      <c r="BW180">
        <v>3.3993599999999999E-2</v>
      </c>
      <c r="BX180">
        <v>2.2008900000000001E-2</v>
      </c>
      <c r="BY180">
        <v>3.4010899999999997E-2</v>
      </c>
      <c r="BZ180">
        <v>25.625</v>
      </c>
      <c r="CA180">
        <v>33528.1</v>
      </c>
      <c r="CB180">
        <v>1690376213.5999999</v>
      </c>
      <c r="CC180" t="s">
        <v>332</v>
      </c>
      <c r="CD180">
        <v>1690376213.5999999</v>
      </c>
      <c r="CE180">
        <v>1690376198.0999999</v>
      </c>
      <c r="CF180">
        <v>2</v>
      </c>
      <c r="CG180">
        <v>0.66900000000000004</v>
      </c>
      <c r="CH180">
        <v>-2.1000000000000001E-2</v>
      </c>
      <c r="CI180">
        <v>-0.70099999999999996</v>
      </c>
      <c r="CJ180">
        <v>0.21099999999999999</v>
      </c>
      <c r="CK180">
        <v>799</v>
      </c>
      <c r="CL180">
        <v>21</v>
      </c>
      <c r="CM180">
        <v>0.11</v>
      </c>
      <c r="CN180">
        <v>0.17</v>
      </c>
      <c r="CO180">
        <v>-409.6388780487805</v>
      </c>
      <c r="CP180">
        <v>-4.4301742160277886</v>
      </c>
      <c r="CQ180">
        <v>0.4403773988530546</v>
      </c>
      <c r="CR180">
        <v>-1</v>
      </c>
      <c r="CS180">
        <v>26.7869268292683</v>
      </c>
      <c r="CT180">
        <v>0.20571846689897499</v>
      </c>
      <c r="CU180">
        <v>2.0316556079268869E-2</v>
      </c>
      <c r="CV180">
        <v>-1</v>
      </c>
      <c r="CW180">
        <v>0</v>
      </c>
      <c r="CX180">
        <v>0</v>
      </c>
      <c r="CY180" t="s">
        <v>333</v>
      </c>
      <c r="CZ180">
        <v>2.3650000000000002</v>
      </c>
      <c r="DA180">
        <v>2.7138</v>
      </c>
      <c r="DB180">
        <v>8.7493100000000004E-2</v>
      </c>
      <c r="DC180">
        <v>0.14551600000000001</v>
      </c>
      <c r="DD180">
        <v>0.12335599999999999</v>
      </c>
      <c r="DE180">
        <v>1.69198E-3</v>
      </c>
      <c r="DF180">
        <v>33331.9</v>
      </c>
      <c r="DG180">
        <v>27540.9</v>
      </c>
      <c r="DH180">
        <v>31182</v>
      </c>
      <c r="DI180">
        <v>28083.8</v>
      </c>
      <c r="DJ180">
        <v>37099.5</v>
      </c>
      <c r="DK180">
        <v>39863.199999999997</v>
      </c>
      <c r="DL180">
        <v>44374.5</v>
      </c>
      <c r="DM180">
        <v>42552.5</v>
      </c>
      <c r="DN180">
        <v>1.4488000000000001</v>
      </c>
      <c r="DO180">
        <v>2.0447500000000001</v>
      </c>
      <c r="DP180">
        <v>9.07332E-2</v>
      </c>
      <c r="DQ180">
        <v>0.18810499999999999</v>
      </c>
      <c r="DR180">
        <v>25.517499999999998</v>
      </c>
      <c r="DS180">
        <v>25.513200000000001</v>
      </c>
      <c r="DT180">
        <v>30.2</v>
      </c>
      <c r="DU180">
        <v>27.4</v>
      </c>
      <c r="DV180">
        <v>11.217700000000001</v>
      </c>
      <c r="DW180">
        <v>61.168399999999998</v>
      </c>
      <c r="DX180">
        <v>37.007199999999997</v>
      </c>
      <c r="DY180">
        <v>1</v>
      </c>
      <c r="DZ180">
        <v>-0.13508600000000001</v>
      </c>
      <c r="EA180">
        <v>-0.47593099999999999</v>
      </c>
      <c r="EB180">
        <v>20.1892</v>
      </c>
      <c r="EC180">
        <v>5.2409499999999998</v>
      </c>
      <c r="ED180">
        <v>12.039899999999999</v>
      </c>
      <c r="EE180">
        <v>5.0172999999999996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1.8688800000000001</v>
      </c>
      <c r="EL180">
        <v>1.8646</v>
      </c>
      <c r="EM180">
        <v>1.8692</v>
      </c>
      <c r="EN180">
        <v>1.8672200000000001</v>
      </c>
      <c r="EO180">
        <v>1.8632899999999999</v>
      </c>
      <c r="EP180">
        <v>1.86436</v>
      </c>
      <c r="EQ180">
        <v>1.87012</v>
      </c>
      <c r="ER180">
        <v>1.86937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-0.41199999999999998</v>
      </c>
      <c r="FG180">
        <v>0.21110000000000001</v>
      </c>
      <c r="FH180">
        <v>-0.150361779349652</v>
      </c>
      <c r="FI180">
        <v>-6.1462078757559423E-4</v>
      </c>
      <c r="FJ180">
        <v>-1.8861989874597051E-7</v>
      </c>
      <c r="FK180">
        <v>1.1980462299894961E-10</v>
      </c>
      <c r="FL180">
        <v>0.21114761904761539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36.4</v>
      </c>
      <c r="FU180">
        <v>36.6</v>
      </c>
      <c r="FV180">
        <v>1.7663599999999999</v>
      </c>
      <c r="FW180">
        <v>2.5708000000000002</v>
      </c>
      <c r="FX180">
        <v>1.5490699999999999</v>
      </c>
      <c r="FY180">
        <v>2.33643</v>
      </c>
      <c r="FZ180">
        <v>1.50146</v>
      </c>
      <c r="GA180">
        <v>2.2802699999999998</v>
      </c>
      <c r="GB180">
        <v>32.354900000000001</v>
      </c>
      <c r="GC180">
        <v>23.982399999999998</v>
      </c>
      <c r="GD180">
        <v>19</v>
      </c>
      <c r="GE180">
        <v>269.21899999999999</v>
      </c>
      <c r="GF180">
        <v>583.96699999999998</v>
      </c>
      <c r="GG180">
        <v>25.8523</v>
      </c>
      <c r="GH180">
        <v>25.7361</v>
      </c>
      <c r="GI180">
        <v>30.0002</v>
      </c>
      <c r="GJ180">
        <v>25.837299999999999</v>
      </c>
      <c r="GK180">
        <v>25.801400000000001</v>
      </c>
      <c r="GL180">
        <v>35.3185</v>
      </c>
      <c r="GM180">
        <v>100</v>
      </c>
      <c r="GN180">
        <v>16.085899999999999</v>
      </c>
      <c r="GO180">
        <v>25.842700000000001</v>
      </c>
      <c r="GP180">
        <v>800</v>
      </c>
      <c r="GQ180">
        <v>0</v>
      </c>
      <c r="GR180">
        <v>99.768600000000006</v>
      </c>
      <c r="GS180">
        <v>99.557000000000002</v>
      </c>
    </row>
    <row r="181" spans="1:201" x14ac:dyDescent="0.25">
      <c r="A181">
        <v>165</v>
      </c>
      <c r="B181">
        <v>1690378406.0999999</v>
      </c>
      <c r="C181">
        <v>1689.599999904633</v>
      </c>
      <c r="D181" t="s">
        <v>663</v>
      </c>
      <c r="E181" t="s">
        <v>664</v>
      </c>
      <c r="F181" t="s">
        <v>330</v>
      </c>
      <c r="H181">
        <v>1690378406.0999999</v>
      </c>
      <c r="I181">
        <f t="shared" si="60"/>
        <v>2.4028642350250999E-3</v>
      </c>
      <c r="J181">
        <f t="shared" si="61"/>
        <v>2.4028642350250999</v>
      </c>
      <c r="K181">
        <f t="shared" si="62"/>
        <v>34.839110121959315</v>
      </c>
      <c r="L181">
        <f t="shared" si="63"/>
        <v>388.79199999999997</v>
      </c>
      <c r="M181">
        <f t="shared" si="64"/>
        <v>85.993108966193532</v>
      </c>
      <c r="N181">
        <f t="shared" si="65"/>
        <v>8.491179317513291</v>
      </c>
      <c r="O181">
        <f t="shared" si="66"/>
        <v>38.390315560197607</v>
      </c>
      <c r="P181">
        <f t="shared" si="67"/>
        <v>0.19575024723616111</v>
      </c>
      <c r="Q181">
        <f t="shared" si="68"/>
        <v>2.0081374789721629</v>
      </c>
      <c r="R181">
        <f t="shared" si="69"/>
        <v>0.18573365870895062</v>
      </c>
      <c r="S181">
        <f t="shared" si="70"/>
        <v>0.11694075919463867</v>
      </c>
      <c r="T181">
        <f t="shared" si="71"/>
        <v>276.11643425400001</v>
      </c>
      <c r="U181">
        <f t="shared" si="72"/>
        <v>28.506209177436212</v>
      </c>
      <c r="V181">
        <f t="shared" si="73"/>
        <v>28.506209177436212</v>
      </c>
      <c r="W181">
        <f t="shared" si="74"/>
        <v>3.9082784642053179</v>
      </c>
      <c r="X181">
        <f t="shared" si="75"/>
        <v>74.31221862654175</v>
      </c>
      <c r="Y181">
        <f t="shared" si="76"/>
        <v>2.6734053134698503</v>
      </c>
      <c r="Z181">
        <f t="shared" si="77"/>
        <v>3.5975312847341132</v>
      </c>
      <c r="AA181">
        <f t="shared" si="78"/>
        <v>1.2348731507354676</v>
      </c>
      <c r="AB181">
        <f t="shared" si="79"/>
        <v>-105.9663127646069</v>
      </c>
      <c r="AC181">
        <f t="shared" si="80"/>
        <v>-153.62577589454145</v>
      </c>
      <c r="AD181">
        <f t="shared" si="81"/>
        <v>-16.641922441239398</v>
      </c>
      <c r="AE181">
        <f t="shared" si="82"/>
        <v>-0.11757684638772048</v>
      </c>
      <c r="AF181">
        <v>8</v>
      </c>
      <c r="AG181">
        <v>3</v>
      </c>
      <c r="AH181">
        <f t="shared" si="83"/>
        <v>1</v>
      </c>
      <c r="AI181">
        <f t="shared" si="84"/>
        <v>0</v>
      </c>
      <c r="AJ181">
        <f t="shared" si="85"/>
        <v>52188.265856036822</v>
      </c>
      <c r="AK181">
        <f t="shared" si="86"/>
        <v>1800</v>
      </c>
      <c r="AL181">
        <f t="shared" si="87"/>
        <v>1499.1133643999999</v>
      </c>
      <c r="AM181">
        <f t="shared" si="88"/>
        <v>0.8328407579999999</v>
      </c>
      <c r="AN181">
        <f t="shared" si="89"/>
        <v>0.15339801903</v>
      </c>
      <c r="AO181">
        <v>34.5</v>
      </c>
      <c r="AP181">
        <v>0.5</v>
      </c>
      <c r="AQ181" t="s">
        <v>331</v>
      </c>
      <c r="AR181">
        <v>2</v>
      </c>
      <c r="AS181">
        <v>1690378406.0999999</v>
      </c>
      <c r="AT181">
        <v>388.79199999999997</v>
      </c>
      <c r="AU181">
        <v>800.01800000000003</v>
      </c>
      <c r="AV181">
        <v>27.0745</v>
      </c>
      <c r="AW181">
        <v>0.20063800000000001</v>
      </c>
      <c r="AX181">
        <v>389.20400000000001</v>
      </c>
      <c r="AY181">
        <v>26.863399999999999</v>
      </c>
      <c r="AZ181">
        <v>300.12200000000001</v>
      </c>
      <c r="BA181">
        <v>98.642600000000002</v>
      </c>
      <c r="BB181">
        <v>9.9955299999999997E-2</v>
      </c>
      <c r="BC181">
        <v>27.087199999999999</v>
      </c>
      <c r="BD181">
        <v>26.997599999999998</v>
      </c>
      <c r="BE181">
        <v>28.579000000000001</v>
      </c>
      <c r="BF181">
        <v>0</v>
      </c>
      <c r="BG181">
        <v>0</v>
      </c>
      <c r="BH181">
        <v>10008.799999999999</v>
      </c>
      <c r="BI181">
        <v>1082.73</v>
      </c>
      <c r="BJ181">
        <v>1.4016500000000001</v>
      </c>
      <c r="BK181">
        <v>-411.22500000000002</v>
      </c>
      <c r="BL181">
        <v>399.61200000000002</v>
      </c>
      <c r="BM181">
        <v>800.178</v>
      </c>
      <c r="BN181">
        <v>26.873899999999999</v>
      </c>
      <c r="BO181">
        <v>800.01800000000003</v>
      </c>
      <c r="BP181">
        <v>0.20063800000000001</v>
      </c>
      <c r="BQ181">
        <v>2.6707000000000001</v>
      </c>
      <c r="BR181">
        <v>1.97915E-2</v>
      </c>
      <c r="BS181">
        <v>22.105899999999998</v>
      </c>
      <c r="BT181">
        <v>-39.526499999999999</v>
      </c>
      <c r="BU181">
        <v>1800</v>
      </c>
      <c r="BV181">
        <v>0.90999099999999999</v>
      </c>
      <c r="BW181">
        <v>3.3992099999999997E-2</v>
      </c>
      <c r="BX181">
        <v>2.20079E-2</v>
      </c>
      <c r="BY181">
        <v>3.4009299999999999E-2</v>
      </c>
      <c r="BZ181">
        <v>25.666699999999999</v>
      </c>
      <c r="CA181">
        <v>33528.300000000003</v>
      </c>
      <c r="CB181">
        <v>1690376213.5999999</v>
      </c>
      <c r="CC181" t="s">
        <v>332</v>
      </c>
      <c r="CD181">
        <v>1690376213.5999999</v>
      </c>
      <c r="CE181">
        <v>1690376198.0999999</v>
      </c>
      <c r="CF181">
        <v>2</v>
      </c>
      <c r="CG181">
        <v>0.66900000000000004</v>
      </c>
      <c r="CH181">
        <v>-2.1000000000000001E-2</v>
      </c>
      <c r="CI181">
        <v>-0.70099999999999996</v>
      </c>
      <c r="CJ181">
        <v>0.21099999999999999</v>
      </c>
      <c r="CK181">
        <v>799</v>
      </c>
      <c r="CL181">
        <v>21</v>
      </c>
      <c r="CM181">
        <v>0.11</v>
      </c>
      <c r="CN181">
        <v>0.17</v>
      </c>
      <c r="CO181">
        <v>-410.45604999999989</v>
      </c>
      <c r="CP181">
        <v>-4.4505365853655796</v>
      </c>
      <c r="CQ181">
        <v>0.42934024677404808</v>
      </c>
      <c r="CR181">
        <v>-1</v>
      </c>
      <c r="CS181">
        <v>26.829407499999999</v>
      </c>
      <c r="CT181">
        <v>0.27065178236390319</v>
      </c>
      <c r="CU181">
        <v>2.609672764447675E-2</v>
      </c>
      <c r="CV181">
        <v>-1</v>
      </c>
      <c r="CW181">
        <v>0</v>
      </c>
      <c r="CX181">
        <v>0</v>
      </c>
      <c r="CY181" t="s">
        <v>333</v>
      </c>
      <c r="CZ181">
        <v>2.3650000000000002</v>
      </c>
      <c r="DA181">
        <v>2.7137500000000001</v>
      </c>
      <c r="DB181">
        <v>8.7366600000000003E-2</v>
      </c>
      <c r="DC181">
        <v>0.14552100000000001</v>
      </c>
      <c r="DD181">
        <v>0.123491</v>
      </c>
      <c r="DE181">
        <v>1.6803499999999999E-3</v>
      </c>
      <c r="DF181">
        <v>33336.6</v>
      </c>
      <c r="DG181">
        <v>27540.799999999999</v>
      </c>
      <c r="DH181">
        <v>31182.1</v>
      </c>
      <c r="DI181">
        <v>28083.9</v>
      </c>
      <c r="DJ181">
        <v>37093.800000000003</v>
      </c>
      <c r="DK181">
        <v>39863.9</v>
      </c>
      <c r="DL181">
        <v>44374.6</v>
      </c>
      <c r="DM181">
        <v>42552.800000000003</v>
      </c>
      <c r="DN181">
        <v>1.4487000000000001</v>
      </c>
      <c r="DO181">
        <v>2.0444499999999999</v>
      </c>
      <c r="DP181">
        <v>9.0394199999999994E-2</v>
      </c>
      <c r="DQ181">
        <v>0.187475</v>
      </c>
      <c r="DR181">
        <v>25.517499999999998</v>
      </c>
      <c r="DS181">
        <v>25.513200000000001</v>
      </c>
      <c r="DT181">
        <v>29.9</v>
      </c>
      <c r="DU181">
        <v>27.4</v>
      </c>
      <c r="DV181">
        <v>11.105700000000001</v>
      </c>
      <c r="DW181">
        <v>60.738399999999999</v>
      </c>
      <c r="DX181">
        <v>37.267600000000002</v>
      </c>
      <c r="DY181">
        <v>1</v>
      </c>
      <c r="DZ181">
        <v>-0.13505800000000001</v>
      </c>
      <c r="EA181">
        <v>-0.477516</v>
      </c>
      <c r="EB181">
        <v>20.189299999999999</v>
      </c>
      <c r="EC181">
        <v>5.24125</v>
      </c>
      <c r="ED181">
        <v>12.039899999999999</v>
      </c>
      <c r="EE181">
        <v>5.0172499999999998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1.8688800000000001</v>
      </c>
      <c r="EL181">
        <v>1.8646</v>
      </c>
      <c r="EM181">
        <v>1.8691899999999999</v>
      </c>
      <c r="EN181">
        <v>1.86721</v>
      </c>
      <c r="EO181">
        <v>1.86328</v>
      </c>
      <c r="EP181">
        <v>1.8643400000000001</v>
      </c>
      <c r="EQ181">
        <v>1.87012</v>
      </c>
      <c r="ER181">
        <v>1.8693500000000001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-0.41199999999999998</v>
      </c>
      <c r="FG181">
        <v>0.21110000000000001</v>
      </c>
      <c r="FH181">
        <v>-0.150361779349652</v>
      </c>
      <c r="FI181">
        <v>-6.1462078757559423E-4</v>
      </c>
      <c r="FJ181">
        <v>-1.8861989874597051E-7</v>
      </c>
      <c r="FK181">
        <v>1.1980462299894961E-10</v>
      </c>
      <c r="FL181">
        <v>0.21114761904761539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36.5</v>
      </c>
      <c r="FU181">
        <v>36.799999999999997</v>
      </c>
      <c r="FV181">
        <v>1.7663599999999999</v>
      </c>
      <c r="FW181">
        <v>2.5756800000000002</v>
      </c>
      <c r="FX181">
        <v>1.5490699999999999</v>
      </c>
      <c r="FY181">
        <v>2.33765</v>
      </c>
      <c r="FZ181">
        <v>1.50146</v>
      </c>
      <c r="GA181">
        <v>2.2509800000000002</v>
      </c>
      <c r="GB181">
        <v>32.354900000000001</v>
      </c>
      <c r="GC181">
        <v>23.982399999999998</v>
      </c>
      <c r="GD181">
        <v>19</v>
      </c>
      <c r="GE181">
        <v>269.18299999999999</v>
      </c>
      <c r="GF181">
        <v>583.72500000000002</v>
      </c>
      <c r="GG181">
        <v>25.837199999999999</v>
      </c>
      <c r="GH181">
        <v>25.738299999999999</v>
      </c>
      <c r="GI181">
        <v>30.0001</v>
      </c>
      <c r="GJ181">
        <v>25.838200000000001</v>
      </c>
      <c r="GK181">
        <v>25.802</v>
      </c>
      <c r="GL181">
        <v>35.316699999999997</v>
      </c>
      <c r="GM181">
        <v>100</v>
      </c>
      <c r="GN181">
        <v>15.3163</v>
      </c>
      <c r="GO181">
        <v>25.835799999999999</v>
      </c>
      <c r="GP181">
        <v>800</v>
      </c>
      <c r="GQ181">
        <v>0</v>
      </c>
      <c r="GR181">
        <v>99.768799999999999</v>
      </c>
      <c r="GS181">
        <v>99.557599999999994</v>
      </c>
    </row>
    <row r="182" spans="1:201" x14ac:dyDescent="0.25">
      <c r="A182">
        <v>166</v>
      </c>
      <c r="B182">
        <v>1690378416.0999999</v>
      </c>
      <c r="C182">
        <v>1699.599999904633</v>
      </c>
      <c r="D182" t="s">
        <v>665</v>
      </c>
      <c r="E182" t="s">
        <v>666</v>
      </c>
      <c r="F182" t="s">
        <v>330</v>
      </c>
      <c r="H182">
        <v>1690378416.0999999</v>
      </c>
      <c r="I182">
        <f t="shared" si="60"/>
        <v>2.4053239689701719E-3</v>
      </c>
      <c r="J182">
        <f t="shared" si="61"/>
        <v>2.4053239689701718</v>
      </c>
      <c r="K182">
        <f t="shared" si="62"/>
        <v>34.907378092497524</v>
      </c>
      <c r="L182">
        <f t="shared" si="63"/>
        <v>388.11700000000002</v>
      </c>
      <c r="M182">
        <f t="shared" si="64"/>
        <v>85.757489211689489</v>
      </c>
      <c r="N182">
        <f t="shared" si="65"/>
        <v>8.4682640002480767</v>
      </c>
      <c r="O182">
        <f t="shared" si="66"/>
        <v>38.325250064997</v>
      </c>
      <c r="P182">
        <f t="shared" si="67"/>
        <v>0.19644189757536659</v>
      </c>
      <c r="Q182">
        <f t="shared" si="68"/>
        <v>2.0077824766838006</v>
      </c>
      <c r="R182">
        <f t="shared" si="69"/>
        <v>0.18635467385374757</v>
      </c>
      <c r="S182">
        <f t="shared" si="70"/>
        <v>0.11733478743100709</v>
      </c>
      <c r="T182">
        <f t="shared" si="71"/>
        <v>276.11472292079497</v>
      </c>
      <c r="U182">
        <f t="shared" si="72"/>
        <v>28.501422286321521</v>
      </c>
      <c r="V182">
        <f t="shared" si="73"/>
        <v>28.501422286321521</v>
      </c>
      <c r="W182">
        <f t="shared" si="74"/>
        <v>3.9071920481064959</v>
      </c>
      <c r="X182">
        <f t="shared" si="75"/>
        <v>74.377931340764221</v>
      </c>
      <c r="Y182">
        <f t="shared" si="76"/>
        <v>2.6751255020028006</v>
      </c>
      <c r="Z182">
        <f t="shared" si="77"/>
        <v>3.5966656423215788</v>
      </c>
      <c r="AA182">
        <f t="shared" si="78"/>
        <v>1.2320665461036953</v>
      </c>
      <c r="AB182">
        <f t="shared" si="79"/>
        <v>-106.07478703158458</v>
      </c>
      <c r="AC182">
        <f t="shared" si="80"/>
        <v>-153.5242660977049</v>
      </c>
      <c r="AD182">
        <f t="shared" si="81"/>
        <v>-16.633129452281601</v>
      </c>
      <c r="AE182">
        <f t="shared" si="82"/>
        <v>-0.11745966077609182</v>
      </c>
      <c r="AF182">
        <v>8</v>
      </c>
      <c r="AG182">
        <v>3</v>
      </c>
      <c r="AH182">
        <f t="shared" si="83"/>
        <v>1</v>
      </c>
      <c r="AI182">
        <f t="shared" si="84"/>
        <v>0</v>
      </c>
      <c r="AJ182">
        <f t="shared" si="85"/>
        <v>52172.093047702845</v>
      </c>
      <c r="AK182">
        <f t="shared" si="86"/>
        <v>1799.99</v>
      </c>
      <c r="AL182">
        <f t="shared" si="87"/>
        <v>1499.10461659475</v>
      </c>
      <c r="AM182">
        <f t="shared" si="88"/>
        <v>0.83284052500000005</v>
      </c>
      <c r="AN182">
        <f t="shared" si="89"/>
        <v>0.15339792049999998</v>
      </c>
      <c r="AO182">
        <v>34.5</v>
      </c>
      <c r="AP182">
        <v>0.5</v>
      </c>
      <c r="AQ182" t="s">
        <v>331</v>
      </c>
      <c r="AR182">
        <v>2</v>
      </c>
      <c r="AS182">
        <v>1690378416.0999999</v>
      </c>
      <c r="AT182">
        <v>388.11700000000002</v>
      </c>
      <c r="AU182">
        <v>799.976</v>
      </c>
      <c r="AV182">
        <v>27.090800000000002</v>
      </c>
      <c r="AW182">
        <v>0.19928699999999999</v>
      </c>
      <c r="AX182">
        <v>388.52800000000002</v>
      </c>
      <c r="AY182">
        <v>26.8796</v>
      </c>
      <c r="AZ182">
        <v>300.22699999999998</v>
      </c>
      <c r="BA182">
        <v>98.646600000000007</v>
      </c>
      <c r="BB182">
        <v>0.100041</v>
      </c>
      <c r="BC182">
        <v>27.083100000000002</v>
      </c>
      <c r="BD182">
        <v>26.989899999999999</v>
      </c>
      <c r="BE182">
        <v>28.5991</v>
      </c>
      <c r="BF182">
        <v>0</v>
      </c>
      <c r="BG182">
        <v>0</v>
      </c>
      <c r="BH182">
        <v>10005</v>
      </c>
      <c r="BI182">
        <v>1082.7</v>
      </c>
      <c r="BJ182">
        <v>1.33578</v>
      </c>
      <c r="BK182">
        <v>-411.85899999999998</v>
      </c>
      <c r="BL182">
        <v>398.92399999999998</v>
      </c>
      <c r="BM182">
        <v>800.13499999999999</v>
      </c>
      <c r="BN182">
        <v>26.891500000000001</v>
      </c>
      <c r="BO182">
        <v>799.976</v>
      </c>
      <c r="BP182">
        <v>0.19928699999999999</v>
      </c>
      <c r="BQ182">
        <v>2.6724100000000002</v>
      </c>
      <c r="BR182">
        <v>1.96589E-2</v>
      </c>
      <c r="BS182">
        <v>22.116499999999998</v>
      </c>
      <c r="BT182">
        <v>-39.591099999999997</v>
      </c>
      <c r="BU182">
        <v>1799.99</v>
      </c>
      <c r="BV182">
        <v>0.90999200000000002</v>
      </c>
      <c r="BW182">
        <v>3.3991599999999997E-2</v>
      </c>
      <c r="BX182">
        <v>2.2007499999999999E-2</v>
      </c>
      <c r="BY182">
        <v>3.4008799999999999E-2</v>
      </c>
      <c r="BZ182">
        <v>25.666699999999999</v>
      </c>
      <c r="CA182">
        <v>33528.199999999997</v>
      </c>
      <c r="CB182">
        <v>1690376213.5999999</v>
      </c>
      <c r="CC182" t="s">
        <v>332</v>
      </c>
      <c r="CD182">
        <v>1690376213.5999999</v>
      </c>
      <c r="CE182">
        <v>1690376198.0999999</v>
      </c>
      <c r="CF182">
        <v>2</v>
      </c>
      <c r="CG182">
        <v>0.66900000000000004</v>
      </c>
      <c r="CH182">
        <v>-2.1000000000000001E-2</v>
      </c>
      <c r="CI182">
        <v>-0.70099999999999996</v>
      </c>
      <c r="CJ182">
        <v>0.21099999999999999</v>
      </c>
      <c r="CK182">
        <v>799</v>
      </c>
      <c r="CL182">
        <v>21</v>
      </c>
      <c r="CM182">
        <v>0.11</v>
      </c>
      <c r="CN182">
        <v>0.17</v>
      </c>
      <c r="CO182">
        <v>-411.18307499999992</v>
      </c>
      <c r="CP182">
        <v>-4.4007692307685344</v>
      </c>
      <c r="CQ182">
        <v>0.42462197231772653</v>
      </c>
      <c r="CR182">
        <v>-1</v>
      </c>
      <c r="CS182">
        <v>26.866035</v>
      </c>
      <c r="CT182">
        <v>0.17259512195115681</v>
      </c>
      <c r="CU182">
        <v>1.7295108412496311E-2</v>
      </c>
      <c r="CV182">
        <v>-1</v>
      </c>
      <c r="CW182">
        <v>0</v>
      </c>
      <c r="CX182">
        <v>0</v>
      </c>
      <c r="CY182" t="s">
        <v>333</v>
      </c>
      <c r="CZ182">
        <v>2.3653599999999999</v>
      </c>
      <c r="DA182">
        <v>2.7138399999999998</v>
      </c>
      <c r="DB182">
        <v>8.7253300000000006E-2</v>
      </c>
      <c r="DC182">
        <v>0.14552100000000001</v>
      </c>
      <c r="DD182">
        <v>0.123547</v>
      </c>
      <c r="DE182">
        <v>1.6692300000000001E-3</v>
      </c>
      <c r="DF182">
        <v>33341</v>
      </c>
      <c r="DG182">
        <v>27540.6</v>
      </c>
      <c r="DH182">
        <v>31182.3</v>
      </c>
      <c r="DI182">
        <v>28083.7</v>
      </c>
      <c r="DJ182">
        <v>37091.4</v>
      </c>
      <c r="DK182">
        <v>39864.199999999997</v>
      </c>
      <c r="DL182">
        <v>44374.7</v>
      </c>
      <c r="DM182">
        <v>42552.7</v>
      </c>
      <c r="DN182">
        <v>1.4489700000000001</v>
      </c>
      <c r="DO182">
        <v>2.04427</v>
      </c>
      <c r="DP182">
        <v>8.9924799999999999E-2</v>
      </c>
      <c r="DQ182">
        <v>0.18871199999999999</v>
      </c>
      <c r="DR182">
        <v>25.517499999999998</v>
      </c>
      <c r="DS182">
        <v>25.513200000000001</v>
      </c>
      <c r="DT182">
        <v>29.7</v>
      </c>
      <c r="DU182">
        <v>27.4</v>
      </c>
      <c r="DV182">
        <v>11.0311</v>
      </c>
      <c r="DW182">
        <v>60.998399999999997</v>
      </c>
      <c r="DX182">
        <v>37.548099999999998</v>
      </c>
      <c r="DY182">
        <v>1</v>
      </c>
      <c r="DZ182">
        <v>-0.13471</v>
      </c>
      <c r="EA182">
        <v>-0.54857599999999995</v>
      </c>
      <c r="EB182">
        <v>20.189</v>
      </c>
      <c r="EC182">
        <v>5.2409499999999998</v>
      </c>
      <c r="ED182">
        <v>12.039899999999999</v>
      </c>
      <c r="EE182">
        <v>5.0168999999999997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1.8688899999999999</v>
      </c>
      <c r="EL182">
        <v>1.8645700000000001</v>
      </c>
      <c r="EM182">
        <v>1.8691899999999999</v>
      </c>
      <c r="EN182">
        <v>1.86721</v>
      </c>
      <c r="EO182">
        <v>1.86328</v>
      </c>
      <c r="EP182">
        <v>1.86433</v>
      </c>
      <c r="EQ182">
        <v>1.87012</v>
      </c>
      <c r="ER182">
        <v>1.8693500000000001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-0.41099999999999998</v>
      </c>
      <c r="FG182">
        <v>0.2112</v>
      </c>
      <c r="FH182">
        <v>-0.150361779349652</v>
      </c>
      <c r="FI182">
        <v>-6.1462078757559423E-4</v>
      </c>
      <c r="FJ182">
        <v>-1.8861989874597051E-7</v>
      </c>
      <c r="FK182">
        <v>1.1980462299894961E-10</v>
      </c>
      <c r="FL182">
        <v>0.21114761904761539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36.700000000000003</v>
      </c>
      <c r="FU182">
        <v>37</v>
      </c>
      <c r="FV182">
        <v>1.7663599999999999</v>
      </c>
      <c r="FW182">
        <v>2.5744600000000002</v>
      </c>
      <c r="FX182">
        <v>1.5490699999999999</v>
      </c>
      <c r="FY182">
        <v>2.33643</v>
      </c>
      <c r="FZ182">
        <v>1.50146</v>
      </c>
      <c r="GA182">
        <v>2.3059099999999999</v>
      </c>
      <c r="GB182">
        <v>32.354900000000001</v>
      </c>
      <c r="GC182">
        <v>23.982399999999998</v>
      </c>
      <c r="GD182">
        <v>19</v>
      </c>
      <c r="GE182">
        <v>269.29500000000002</v>
      </c>
      <c r="GF182">
        <v>583.6</v>
      </c>
      <c r="GG182">
        <v>25.840699999999998</v>
      </c>
      <c r="GH182">
        <v>25.7395</v>
      </c>
      <c r="GI182">
        <v>30.0002</v>
      </c>
      <c r="GJ182">
        <v>25.8384</v>
      </c>
      <c r="GK182">
        <v>25.803599999999999</v>
      </c>
      <c r="GL182">
        <v>35.317399999999999</v>
      </c>
      <c r="GM182">
        <v>100</v>
      </c>
      <c r="GN182">
        <v>14.945</v>
      </c>
      <c r="GO182">
        <v>25.852599999999999</v>
      </c>
      <c r="GP182">
        <v>800</v>
      </c>
      <c r="GQ182">
        <v>0</v>
      </c>
      <c r="GR182">
        <v>99.769199999999998</v>
      </c>
      <c r="GS182">
        <v>99.557100000000005</v>
      </c>
    </row>
    <row r="183" spans="1:201" x14ac:dyDescent="0.25">
      <c r="A183">
        <v>167</v>
      </c>
      <c r="B183">
        <v>1690378426.0999999</v>
      </c>
      <c r="C183">
        <v>1709.599999904633</v>
      </c>
      <c r="D183" t="s">
        <v>667</v>
      </c>
      <c r="E183" t="s">
        <v>668</v>
      </c>
      <c r="F183" t="s">
        <v>330</v>
      </c>
      <c r="H183">
        <v>1690378426.0999999</v>
      </c>
      <c r="I183">
        <f t="shared" si="60"/>
        <v>2.4071144498270291E-3</v>
      </c>
      <c r="J183">
        <f t="shared" si="61"/>
        <v>2.4071144498270289</v>
      </c>
      <c r="K183">
        <f t="shared" si="62"/>
        <v>34.959570727014459</v>
      </c>
      <c r="L183">
        <f t="shared" si="63"/>
        <v>387.41500000000002</v>
      </c>
      <c r="M183">
        <f t="shared" si="64"/>
        <v>85.281867935512778</v>
      </c>
      <c r="N183">
        <f t="shared" si="65"/>
        <v>8.4215129327292484</v>
      </c>
      <c r="O183">
        <f t="shared" si="66"/>
        <v>38.256906325039495</v>
      </c>
      <c r="P183">
        <f t="shared" si="67"/>
        <v>0.19690035919174484</v>
      </c>
      <c r="Q183">
        <f t="shared" si="68"/>
        <v>2.0061087448506529</v>
      </c>
      <c r="R183">
        <f t="shared" si="69"/>
        <v>0.18675931463859702</v>
      </c>
      <c r="S183">
        <f t="shared" si="70"/>
        <v>0.11759216281526198</v>
      </c>
      <c r="T183">
        <f t="shared" si="71"/>
        <v>276.11612026199998</v>
      </c>
      <c r="U183">
        <f t="shared" si="72"/>
        <v>28.506336944261211</v>
      </c>
      <c r="V183">
        <f t="shared" si="73"/>
        <v>28.506336944261211</v>
      </c>
      <c r="W183">
        <f t="shared" si="74"/>
        <v>3.9083074653277108</v>
      </c>
      <c r="X183">
        <f t="shared" si="75"/>
        <v>74.437865749142432</v>
      </c>
      <c r="Y183">
        <f t="shared" si="76"/>
        <v>2.67798838021083</v>
      </c>
      <c r="Z183">
        <f t="shared" si="77"/>
        <v>3.5976157473881929</v>
      </c>
      <c r="AA183">
        <f t="shared" si="78"/>
        <v>1.2303190851168808</v>
      </c>
      <c r="AB183">
        <f t="shared" si="79"/>
        <v>-106.15374723737199</v>
      </c>
      <c r="AC183">
        <f t="shared" si="80"/>
        <v>-153.44113151638982</v>
      </c>
      <c r="AD183">
        <f t="shared" si="81"/>
        <v>-16.638773487143805</v>
      </c>
      <c r="AE183">
        <f t="shared" si="82"/>
        <v>-0.11753197890561751</v>
      </c>
      <c r="AF183">
        <v>8</v>
      </c>
      <c r="AG183">
        <v>3</v>
      </c>
      <c r="AH183">
        <f t="shared" si="83"/>
        <v>1</v>
      </c>
      <c r="AI183">
        <f t="shared" si="84"/>
        <v>0</v>
      </c>
      <c r="AJ183">
        <f t="shared" si="85"/>
        <v>52091.401917264368</v>
      </c>
      <c r="AK183">
        <f t="shared" si="86"/>
        <v>1800</v>
      </c>
      <c r="AL183">
        <f t="shared" si="87"/>
        <v>1499.1126822000001</v>
      </c>
      <c r="AM183">
        <f t="shared" si="88"/>
        <v>0.83284037900000008</v>
      </c>
      <c r="AN183">
        <f t="shared" si="89"/>
        <v>0.15339784459</v>
      </c>
      <c r="AO183">
        <v>34.5</v>
      </c>
      <c r="AP183">
        <v>0.5</v>
      </c>
      <c r="AQ183" t="s">
        <v>331</v>
      </c>
      <c r="AR183">
        <v>2</v>
      </c>
      <c r="AS183">
        <v>1690378426.0999999</v>
      </c>
      <c r="AT183">
        <v>387.41500000000002</v>
      </c>
      <c r="AU183">
        <v>800.01900000000001</v>
      </c>
      <c r="AV183">
        <v>27.1191</v>
      </c>
      <c r="AW183">
        <v>0.19813</v>
      </c>
      <c r="AX183">
        <v>387.82499999999999</v>
      </c>
      <c r="AY183">
        <v>26.908000000000001</v>
      </c>
      <c r="AZ183">
        <v>300.113</v>
      </c>
      <c r="BA183">
        <v>98.649199999999993</v>
      </c>
      <c r="BB183">
        <v>9.9961300000000003E-2</v>
      </c>
      <c r="BC183">
        <v>27.087599999999998</v>
      </c>
      <c r="BD183">
        <v>27.002800000000001</v>
      </c>
      <c r="BE183">
        <v>28.601800000000001</v>
      </c>
      <c r="BF183">
        <v>0</v>
      </c>
      <c r="BG183">
        <v>0</v>
      </c>
      <c r="BH183">
        <v>9988.75</v>
      </c>
      <c r="BI183">
        <v>1082.71</v>
      </c>
      <c r="BJ183">
        <v>1.4016500000000001</v>
      </c>
      <c r="BK183">
        <v>-412.60399999999998</v>
      </c>
      <c r="BL183">
        <v>398.214</v>
      </c>
      <c r="BM183">
        <v>800.178</v>
      </c>
      <c r="BN183">
        <v>26.920999999999999</v>
      </c>
      <c r="BO183">
        <v>800.01900000000001</v>
      </c>
      <c r="BP183">
        <v>0.19813</v>
      </c>
      <c r="BQ183">
        <v>2.6752799999999999</v>
      </c>
      <c r="BR183">
        <v>1.9545400000000001E-2</v>
      </c>
      <c r="BS183">
        <v>22.134</v>
      </c>
      <c r="BT183">
        <v>-39.646799999999999</v>
      </c>
      <c r="BU183">
        <v>1800</v>
      </c>
      <c r="BV183">
        <v>0.90999300000000005</v>
      </c>
      <c r="BW183">
        <v>3.3991100000000003E-2</v>
      </c>
      <c r="BX183">
        <v>2.2007200000000001E-2</v>
      </c>
      <c r="BY183">
        <v>3.4008299999999998E-2</v>
      </c>
      <c r="BZ183">
        <v>25.666699999999999</v>
      </c>
      <c r="CA183">
        <v>33528.300000000003</v>
      </c>
      <c r="CB183">
        <v>1690376213.5999999</v>
      </c>
      <c r="CC183" t="s">
        <v>332</v>
      </c>
      <c r="CD183">
        <v>1690376213.5999999</v>
      </c>
      <c r="CE183">
        <v>1690376198.0999999</v>
      </c>
      <c r="CF183">
        <v>2</v>
      </c>
      <c r="CG183">
        <v>0.66900000000000004</v>
      </c>
      <c r="CH183">
        <v>-2.1000000000000001E-2</v>
      </c>
      <c r="CI183">
        <v>-0.70099999999999996</v>
      </c>
      <c r="CJ183">
        <v>0.21099999999999999</v>
      </c>
      <c r="CK183">
        <v>799</v>
      </c>
      <c r="CL183">
        <v>21</v>
      </c>
      <c r="CM183">
        <v>0.11</v>
      </c>
      <c r="CN183">
        <v>0.17</v>
      </c>
      <c r="CO183">
        <v>-411.86579999999992</v>
      </c>
      <c r="CP183">
        <v>-4.0867091932449764</v>
      </c>
      <c r="CQ183">
        <v>0.39501836666160312</v>
      </c>
      <c r="CR183">
        <v>-1</v>
      </c>
      <c r="CS183">
        <v>26.8916225</v>
      </c>
      <c r="CT183">
        <v>0.1395951219511628</v>
      </c>
      <c r="CU183">
        <v>1.356313915544659E-2</v>
      </c>
      <c r="CV183">
        <v>-1</v>
      </c>
      <c r="CW183">
        <v>0</v>
      </c>
      <c r="CX183">
        <v>0</v>
      </c>
      <c r="CY183" t="s">
        <v>333</v>
      </c>
      <c r="CZ183">
        <v>2.3649900000000001</v>
      </c>
      <c r="DA183">
        <v>2.71374</v>
      </c>
      <c r="DB183">
        <v>8.7133699999999994E-2</v>
      </c>
      <c r="DC183">
        <v>0.14552999999999999</v>
      </c>
      <c r="DD183">
        <v>0.12364</v>
      </c>
      <c r="DE183">
        <v>1.6597000000000001E-3</v>
      </c>
      <c r="DF183">
        <v>33345.199999999997</v>
      </c>
      <c r="DG183">
        <v>27540.7</v>
      </c>
      <c r="DH183">
        <v>31182.2</v>
      </c>
      <c r="DI183">
        <v>28084.1</v>
      </c>
      <c r="DJ183">
        <v>37087.599999999999</v>
      </c>
      <c r="DK183">
        <v>39865.199999999997</v>
      </c>
      <c r="DL183">
        <v>44374.9</v>
      </c>
      <c r="DM183">
        <v>42553.3</v>
      </c>
      <c r="DN183">
        <v>1.44895</v>
      </c>
      <c r="DO183">
        <v>2.0444300000000002</v>
      </c>
      <c r="DP183">
        <v>9.0714500000000003E-2</v>
      </c>
      <c r="DQ183">
        <v>0.18887599999999999</v>
      </c>
      <c r="DR183">
        <v>25.517499999999998</v>
      </c>
      <c r="DS183">
        <v>25.513200000000001</v>
      </c>
      <c r="DT183">
        <v>29.4</v>
      </c>
      <c r="DU183">
        <v>27.5</v>
      </c>
      <c r="DV183">
        <v>10.984400000000001</v>
      </c>
      <c r="DW183">
        <v>60.778399999999998</v>
      </c>
      <c r="DX183">
        <v>37.708300000000001</v>
      </c>
      <c r="DY183">
        <v>1</v>
      </c>
      <c r="DZ183">
        <v>-0.134517</v>
      </c>
      <c r="EA183">
        <v>-0.55670200000000003</v>
      </c>
      <c r="EB183">
        <v>20.1892</v>
      </c>
      <c r="EC183">
        <v>5.2411000000000003</v>
      </c>
      <c r="ED183">
        <v>12.039899999999999</v>
      </c>
      <c r="EE183">
        <v>5.0168999999999997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1.8688899999999999</v>
      </c>
      <c r="EL183">
        <v>1.86456</v>
      </c>
      <c r="EM183">
        <v>1.8692</v>
      </c>
      <c r="EN183">
        <v>1.86721</v>
      </c>
      <c r="EO183">
        <v>1.86328</v>
      </c>
      <c r="EP183">
        <v>1.8643400000000001</v>
      </c>
      <c r="EQ183">
        <v>1.87012</v>
      </c>
      <c r="ER183">
        <v>1.8693500000000001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-0.41</v>
      </c>
      <c r="FG183">
        <v>0.21110000000000001</v>
      </c>
      <c r="FH183">
        <v>-0.150361779349652</v>
      </c>
      <c r="FI183">
        <v>-6.1462078757559423E-4</v>
      </c>
      <c r="FJ183">
        <v>-1.8861989874597051E-7</v>
      </c>
      <c r="FK183">
        <v>1.1980462299894961E-10</v>
      </c>
      <c r="FL183">
        <v>0.21114761904761539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36.9</v>
      </c>
      <c r="FU183">
        <v>37.1</v>
      </c>
      <c r="FV183">
        <v>1.7663599999999999</v>
      </c>
      <c r="FW183">
        <v>2.5732400000000002</v>
      </c>
      <c r="FX183">
        <v>1.5490699999999999</v>
      </c>
      <c r="FY183">
        <v>2.33643</v>
      </c>
      <c r="FZ183">
        <v>1.50146</v>
      </c>
      <c r="GA183">
        <v>2.31934</v>
      </c>
      <c r="GB183">
        <v>32.354900000000001</v>
      </c>
      <c r="GC183">
        <v>23.982399999999998</v>
      </c>
      <c r="GD183">
        <v>19</v>
      </c>
      <c r="GE183">
        <v>269.29399999999998</v>
      </c>
      <c r="GF183">
        <v>583.73500000000001</v>
      </c>
      <c r="GG183">
        <v>25.859000000000002</v>
      </c>
      <c r="GH183">
        <v>25.740400000000001</v>
      </c>
      <c r="GI183">
        <v>30.0002</v>
      </c>
      <c r="GJ183">
        <v>25.840399999999999</v>
      </c>
      <c r="GK183">
        <v>25.8047</v>
      </c>
      <c r="GL183">
        <v>35.315899999999999</v>
      </c>
      <c r="GM183">
        <v>100</v>
      </c>
      <c r="GN183">
        <v>14.1721</v>
      </c>
      <c r="GO183">
        <v>25.861499999999999</v>
      </c>
      <c r="GP183">
        <v>800</v>
      </c>
      <c r="GQ183">
        <v>0</v>
      </c>
      <c r="GR183">
        <v>99.769300000000001</v>
      </c>
      <c r="GS183">
        <v>99.558599999999998</v>
      </c>
    </row>
    <row r="184" spans="1:201" x14ac:dyDescent="0.25">
      <c r="A184">
        <v>168</v>
      </c>
      <c r="B184">
        <v>1690378436.0999999</v>
      </c>
      <c r="C184">
        <v>1719.599999904633</v>
      </c>
      <c r="D184" t="s">
        <v>669</v>
      </c>
      <c r="E184" t="s">
        <v>670</v>
      </c>
      <c r="F184" t="s">
        <v>330</v>
      </c>
      <c r="H184">
        <v>1690378436.0999999</v>
      </c>
      <c r="I184">
        <f t="shared" si="60"/>
        <v>2.4104581780169066E-3</v>
      </c>
      <c r="J184">
        <f t="shared" si="61"/>
        <v>2.4104581780169068</v>
      </c>
      <c r="K184">
        <f t="shared" si="62"/>
        <v>35.015535778373071</v>
      </c>
      <c r="L184">
        <f t="shared" si="63"/>
        <v>386.87900000000002</v>
      </c>
      <c r="M184">
        <f t="shared" si="64"/>
        <v>85.584177297303796</v>
      </c>
      <c r="N184">
        <f t="shared" si="65"/>
        <v>8.451204547978147</v>
      </c>
      <c r="O184">
        <f t="shared" si="66"/>
        <v>38.203248165361998</v>
      </c>
      <c r="P184">
        <f t="shared" si="67"/>
        <v>0.19779236467805597</v>
      </c>
      <c r="Q184">
        <f t="shared" si="68"/>
        <v>2.0082490248799201</v>
      </c>
      <c r="R184">
        <f t="shared" si="69"/>
        <v>0.18757209118187726</v>
      </c>
      <c r="S184">
        <f t="shared" si="70"/>
        <v>0.1181067826653322</v>
      </c>
      <c r="T184">
        <f t="shared" si="71"/>
        <v>276.11605551600002</v>
      </c>
      <c r="U184">
        <f t="shared" si="72"/>
        <v>28.501544548218398</v>
      </c>
      <c r="V184">
        <f t="shared" si="73"/>
        <v>28.501544548218398</v>
      </c>
      <c r="W184">
        <f t="shared" si="74"/>
        <v>3.9072197929615808</v>
      </c>
      <c r="X184">
        <f t="shared" si="75"/>
        <v>74.51907960842432</v>
      </c>
      <c r="Y184">
        <f t="shared" si="76"/>
        <v>2.6805639844045999</v>
      </c>
      <c r="Z184">
        <f t="shared" si="77"/>
        <v>3.5971512242101875</v>
      </c>
      <c r="AA184">
        <f t="shared" si="78"/>
        <v>1.226655808556981</v>
      </c>
      <c r="AB184">
        <f t="shared" si="79"/>
        <v>-106.30120565054558</v>
      </c>
      <c r="AC184">
        <f t="shared" si="80"/>
        <v>-153.3241595947168</v>
      </c>
      <c r="AD184">
        <f t="shared" si="81"/>
        <v>-16.607790731788779</v>
      </c>
      <c r="AE184">
        <f t="shared" si="82"/>
        <v>-0.11710046105113747</v>
      </c>
      <c r="AF184">
        <v>8</v>
      </c>
      <c r="AG184">
        <v>3</v>
      </c>
      <c r="AH184">
        <f t="shared" si="83"/>
        <v>1</v>
      </c>
      <c r="AI184">
        <f t="shared" si="84"/>
        <v>0</v>
      </c>
      <c r="AJ184">
        <f t="shared" si="85"/>
        <v>52194.012746196218</v>
      </c>
      <c r="AK184">
        <f t="shared" si="86"/>
        <v>1800</v>
      </c>
      <c r="AL184">
        <f t="shared" si="87"/>
        <v>1499.1124176000001</v>
      </c>
      <c r="AM184">
        <f t="shared" si="88"/>
        <v>0.83284023200000001</v>
      </c>
      <c r="AN184">
        <f t="shared" si="89"/>
        <v>0.15339780862000002</v>
      </c>
      <c r="AO184">
        <v>34.5</v>
      </c>
      <c r="AP184">
        <v>0.5</v>
      </c>
      <c r="AQ184" t="s">
        <v>331</v>
      </c>
      <c r="AR184">
        <v>2</v>
      </c>
      <c r="AS184">
        <v>1690378436.0999999</v>
      </c>
      <c r="AT184">
        <v>386.87900000000002</v>
      </c>
      <c r="AU184">
        <v>799.99699999999996</v>
      </c>
      <c r="AV184">
        <v>27.145700000000001</v>
      </c>
      <c r="AW184">
        <v>0.19651199999999999</v>
      </c>
      <c r="AX184">
        <v>387.28899999999999</v>
      </c>
      <c r="AY184">
        <v>26.9345</v>
      </c>
      <c r="AZ184">
        <v>300.20699999999999</v>
      </c>
      <c r="BA184">
        <v>98.647199999999998</v>
      </c>
      <c r="BB184">
        <v>0.100078</v>
      </c>
      <c r="BC184">
        <v>27.0854</v>
      </c>
      <c r="BD184">
        <v>27.0045</v>
      </c>
      <c r="BE184">
        <v>28.5871</v>
      </c>
      <c r="BF184">
        <v>0</v>
      </c>
      <c r="BG184">
        <v>0</v>
      </c>
      <c r="BH184">
        <v>10009.4</v>
      </c>
      <c r="BI184">
        <v>1082.6199999999999</v>
      </c>
      <c r="BJ184">
        <v>1.4016500000000001</v>
      </c>
      <c r="BK184">
        <v>-413.11900000000003</v>
      </c>
      <c r="BL184">
        <v>397.67399999999998</v>
      </c>
      <c r="BM184">
        <v>800.15499999999997</v>
      </c>
      <c r="BN184">
        <v>26.949100000000001</v>
      </c>
      <c r="BO184">
        <v>799.99699999999996</v>
      </c>
      <c r="BP184">
        <v>0.19651199999999999</v>
      </c>
      <c r="BQ184">
        <v>2.6778400000000002</v>
      </c>
      <c r="BR184">
        <v>1.9385400000000001E-2</v>
      </c>
      <c r="BS184">
        <v>22.149799999999999</v>
      </c>
      <c r="BT184">
        <v>-39.725700000000003</v>
      </c>
      <c r="BU184">
        <v>1800</v>
      </c>
      <c r="BV184">
        <v>0.90999300000000005</v>
      </c>
      <c r="BW184">
        <v>3.3992599999999998E-2</v>
      </c>
      <c r="BX184">
        <v>2.2006600000000001E-2</v>
      </c>
      <c r="BY184">
        <v>3.40074E-2</v>
      </c>
      <c r="BZ184">
        <v>25.666699999999999</v>
      </c>
      <c r="CA184">
        <v>33528.300000000003</v>
      </c>
      <c r="CB184">
        <v>1690376213.5999999</v>
      </c>
      <c r="CC184" t="s">
        <v>332</v>
      </c>
      <c r="CD184">
        <v>1690376213.5999999</v>
      </c>
      <c r="CE184">
        <v>1690376198.0999999</v>
      </c>
      <c r="CF184">
        <v>2</v>
      </c>
      <c r="CG184">
        <v>0.66900000000000004</v>
      </c>
      <c r="CH184">
        <v>-2.1000000000000001E-2</v>
      </c>
      <c r="CI184">
        <v>-0.70099999999999996</v>
      </c>
      <c r="CJ184">
        <v>0.21099999999999999</v>
      </c>
      <c r="CK184">
        <v>799</v>
      </c>
      <c r="CL184">
        <v>21</v>
      </c>
      <c r="CM184">
        <v>0.11</v>
      </c>
      <c r="CN184">
        <v>0.17</v>
      </c>
      <c r="CO184">
        <v>-412.50425000000013</v>
      </c>
      <c r="CP184">
        <v>-3.7487729831136551</v>
      </c>
      <c r="CQ184">
        <v>0.36260700144923091</v>
      </c>
      <c r="CR184">
        <v>-1</v>
      </c>
      <c r="CS184">
        <v>26.918857500000001</v>
      </c>
      <c r="CT184">
        <v>0.18186754221387549</v>
      </c>
      <c r="CU184">
        <v>1.751964450980667E-2</v>
      </c>
      <c r="CV184">
        <v>-1</v>
      </c>
      <c r="CW184">
        <v>0</v>
      </c>
      <c r="CX184">
        <v>0</v>
      </c>
      <c r="CY184" t="s">
        <v>333</v>
      </c>
      <c r="CZ184">
        <v>2.3653</v>
      </c>
      <c r="DA184">
        <v>2.7138800000000001</v>
      </c>
      <c r="DB184">
        <v>8.7038900000000002E-2</v>
      </c>
      <c r="DC184">
        <v>0.14552399999999999</v>
      </c>
      <c r="DD184">
        <v>0.123721</v>
      </c>
      <c r="DE184">
        <v>1.64627E-3</v>
      </c>
      <c r="DF184">
        <v>33348.5</v>
      </c>
      <c r="DG184">
        <v>27540.9</v>
      </c>
      <c r="DH184">
        <v>31182</v>
      </c>
      <c r="DI184">
        <v>28084.1</v>
      </c>
      <c r="DJ184">
        <v>37083.699999999997</v>
      </c>
      <c r="DK184">
        <v>39865.599999999999</v>
      </c>
      <c r="DL184">
        <v>44374.400000000001</v>
      </c>
      <c r="DM184">
        <v>42553.2</v>
      </c>
      <c r="DN184">
        <v>1.4492499999999999</v>
      </c>
      <c r="DO184">
        <v>2.0439699999999998</v>
      </c>
      <c r="DP184">
        <v>9.0953000000000006E-2</v>
      </c>
      <c r="DQ184">
        <v>0.187971</v>
      </c>
      <c r="DR184">
        <v>25.5153</v>
      </c>
      <c r="DS184">
        <v>25.513200000000001</v>
      </c>
      <c r="DT184">
        <v>29.1</v>
      </c>
      <c r="DU184">
        <v>27.5</v>
      </c>
      <c r="DV184">
        <v>10.8727</v>
      </c>
      <c r="DW184">
        <v>61.038400000000003</v>
      </c>
      <c r="DX184">
        <v>37.816499999999998</v>
      </c>
      <c r="DY184">
        <v>1</v>
      </c>
      <c r="DZ184">
        <v>-0.13472600000000001</v>
      </c>
      <c r="EA184">
        <v>-0.50405500000000003</v>
      </c>
      <c r="EB184">
        <v>20.1892</v>
      </c>
      <c r="EC184">
        <v>5.2411000000000003</v>
      </c>
      <c r="ED184">
        <v>12.039899999999999</v>
      </c>
      <c r="EE184">
        <v>5.01675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1.8688800000000001</v>
      </c>
      <c r="EL184">
        <v>1.86456</v>
      </c>
      <c r="EM184">
        <v>1.8691899999999999</v>
      </c>
      <c r="EN184">
        <v>1.8672200000000001</v>
      </c>
      <c r="EO184">
        <v>1.8632899999999999</v>
      </c>
      <c r="EP184">
        <v>1.86432</v>
      </c>
      <c r="EQ184">
        <v>1.87012</v>
      </c>
      <c r="ER184">
        <v>1.8693599999999999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-0.41</v>
      </c>
      <c r="FG184">
        <v>0.2112</v>
      </c>
      <c r="FH184">
        <v>-0.150361779349652</v>
      </c>
      <c r="FI184">
        <v>-6.1462078757559423E-4</v>
      </c>
      <c r="FJ184">
        <v>-1.8861989874597051E-7</v>
      </c>
      <c r="FK184">
        <v>1.1980462299894961E-10</v>
      </c>
      <c r="FL184">
        <v>0.21114761904761539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37</v>
      </c>
      <c r="FU184">
        <v>37.299999999999997</v>
      </c>
      <c r="FV184">
        <v>1.7663599999999999</v>
      </c>
      <c r="FW184">
        <v>2.5744600000000002</v>
      </c>
      <c r="FX184">
        <v>1.5490699999999999</v>
      </c>
      <c r="FY184">
        <v>2.33643</v>
      </c>
      <c r="FZ184">
        <v>1.50146</v>
      </c>
      <c r="GA184">
        <v>2.35229</v>
      </c>
      <c r="GB184">
        <v>32.377000000000002</v>
      </c>
      <c r="GC184">
        <v>23.982399999999998</v>
      </c>
      <c r="GD184">
        <v>19</v>
      </c>
      <c r="GE184">
        <v>269.42599999999999</v>
      </c>
      <c r="GF184">
        <v>583.37699999999995</v>
      </c>
      <c r="GG184">
        <v>25.8598</v>
      </c>
      <c r="GH184">
        <v>25.742599999999999</v>
      </c>
      <c r="GI184">
        <v>30.0002</v>
      </c>
      <c r="GJ184">
        <v>25.842500000000001</v>
      </c>
      <c r="GK184">
        <v>25.805700000000002</v>
      </c>
      <c r="GL184">
        <v>35.312600000000003</v>
      </c>
      <c r="GM184">
        <v>100</v>
      </c>
      <c r="GN184">
        <v>13.7841</v>
      </c>
      <c r="GO184">
        <v>25.846299999999999</v>
      </c>
      <c r="GP184">
        <v>800</v>
      </c>
      <c r="GQ184">
        <v>0</v>
      </c>
      <c r="GR184">
        <v>99.768500000000003</v>
      </c>
      <c r="GS184">
        <v>99.558400000000006</v>
      </c>
    </row>
    <row r="185" spans="1:201" x14ac:dyDescent="0.25">
      <c r="A185">
        <v>169</v>
      </c>
      <c r="B185">
        <v>1690378446.0999999</v>
      </c>
      <c r="C185">
        <v>1729.599999904633</v>
      </c>
      <c r="D185" t="s">
        <v>671</v>
      </c>
      <c r="E185" t="s">
        <v>672</v>
      </c>
      <c r="F185" t="s">
        <v>330</v>
      </c>
      <c r="H185">
        <v>1690378446.0999999</v>
      </c>
      <c r="I185">
        <f t="shared" si="60"/>
        <v>2.4121286922751286E-3</v>
      </c>
      <c r="J185">
        <f t="shared" si="61"/>
        <v>2.4121286922751288</v>
      </c>
      <c r="K185">
        <f t="shared" si="62"/>
        <v>35.058838784061322</v>
      </c>
      <c r="L185">
        <f t="shared" si="63"/>
        <v>386.202</v>
      </c>
      <c r="M185">
        <f t="shared" si="64"/>
        <v>85.473323434440005</v>
      </c>
      <c r="N185">
        <f t="shared" si="65"/>
        <v>8.4400124659063351</v>
      </c>
      <c r="O185">
        <f t="shared" si="66"/>
        <v>38.135286699810003</v>
      </c>
      <c r="P185">
        <f t="shared" si="67"/>
        <v>0.19844379420075023</v>
      </c>
      <c r="Q185">
        <f t="shared" si="68"/>
        <v>2.0055337702972116</v>
      </c>
      <c r="R185">
        <f t="shared" si="69"/>
        <v>0.18814481936747518</v>
      </c>
      <c r="S185">
        <f t="shared" si="70"/>
        <v>0.11847127444409689</v>
      </c>
      <c r="T185">
        <f t="shared" si="71"/>
        <v>276.11610040800002</v>
      </c>
      <c r="U185">
        <f t="shared" si="72"/>
        <v>28.500863171111995</v>
      </c>
      <c r="V185">
        <f t="shared" si="73"/>
        <v>28.500863171111995</v>
      </c>
      <c r="W185">
        <f t="shared" si="74"/>
        <v>3.9070651704517356</v>
      </c>
      <c r="X185">
        <f t="shared" si="75"/>
        <v>74.60440028817581</v>
      </c>
      <c r="Y185">
        <f t="shared" si="76"/>
        <v>2.6833495825535003</v>
      </c>
      <c r="Z185">
        <f t="shared" si="77"/>
        <v>3.5967711987342246</v>
      </c>
      <c r="AA185">
        <f t="shared" si="78"/>
        <v>1.2237155878982353</v>
      </c>
      <c r="AB185">
        <f t="shared" si="79"/>
        <v>-106.37487532933318</v>
      </c>
      <c r="AC185">
        <f t="shared" si="80"/>
        <v>-153.23780567214189</v>
      </c>
      <c r="AD185">
        <f t="shared" si="81"/>
        <v>-16.620703824083197</v>
      </c>
      <c r="AE185">
        <f t="shared" si="82"/>
        <v>-0.11728441755823837</v>
      </c>
      <c r="AF185">
        <v>8</v>
      </c>
      <c r="AG185">
        <v>3</v>
      </c>
      <c r="AH185">
        <f t="shared" si="83"/>
        <v>1</v>
      </c>
      <c r="AI185">
        <f t="shared" si="84"/>
        <v>0</v>
      </c>
      <c r="AJ185">
        <f t="shared" si="85"/>
        <v>52064.544329037941</v>
      </c>
      <c r="AK185">
        <f t="shared" si="86"/>
        <v>1800</v>
      </c>
      <c r="AL185">
        <f t="shared" si="87"/>
        <v>1499.1132528000001</v>
      </c>
      <c r="AM185">
        <f t="shared" si="88"/>
        <v>0.83284069599999999</v>
      </c>
      <c r="AN185">
        <f t="shared" si="89"/>
        <v>0.15339783356</v>
      </c>
      <c r="AO185">
        <v>34.5</v>
      </c>
      <c r="AP185">
        <v>0.5</v>
      </c>
      <c r="AQ185" t="s">
        <v>331</v>
      </c>
      <c r="AR185">
        <v>2</v>
      </c>
      <c r="AS185">
        <v>1690378446.0999999</v>
      </c>
      <c r="AT185">
        <v>386.202</v>
      </c>
      <c r="AU185">
        <v>799.99099999999999</v>
      </c>
      <c r="AV185">
        <v>27.174700000000001</v>
      </c>
      <c r="AW185">
        <v>0.19559699999999999</v>
      </c>
      <c r="AX185">
        <v>386.61099999999999</v>
      </c>
      <c r="AY185">
        <v>26.9635</v>
      </c>
      <c r="AZ185">
        <v>300.07299999999998</v>
      </c>
      <c r="BA185">
        <v>98.644400000000005</v>
      </c>
      <c r="BB185">
        <v>0.100005</v>
      </c>
      <c r="BC185">
        <v>27.083600000000001</v>
      </c>
      <c r="BD185">
        <v>27.0093</v>
      </c>
      <c r="BE185">
        <v>28.579899999999999</v>
      </c>
      <c r="BF185">
        <v>0</v>
      </c>
      <c r="BG185">
        <v>0</v>
      </c>
      <c r="BH185">
        <v>9983.75</v>
      </c>
      <c r="BI185">
        <v>1082.73</v>
      </c>
      <c r="BJ185">
        <v>1.4016500000000001</v>
      </c>
      <c r="BK185">
        <v>-413.78899999999999</v>
      </c>
      <c r="BL185">
        <v>396.99</v>
      </c>
      <c r="BM185">
        <v>800.14700000000005</v>
      </c>
      <c r="BN185">
        <v>26.979099999999999</v>
      </c>
      <c r="BO185">
        <v>799.99099999999999</v>
      </c>
      <c r="BP185">
        <v>0.19559699999999999</v>
      </c>
      <c r="BQ185">
        <v>2.6806299999999998</v>
      </c>
      <c r="BR185">
        <v>1.9294499999999999E-2</v>
      </c>
      <c r="BS185">
        <v>22.166799999999999</v>
      </c>
      <c r="BT185">
        <v>-39.770800000000001</v>
      </c>
      <c r="BU185">
        <v>1800</v>
      </c>
      <c r="BV185">
        <v>0.909995</v>
      </c>
      <c r="BW185">
        <v>3.3990399999999997E-2</v>
      </c>
      <c r="BX185">
        <v>2.20068E-2</v>
      </c>
      <c r="BY185">
        <v>3.4007599999999999E-2</v>
      </c>
      <c r="BZ185">
        <v>25.666699999999999</v>
      </c>
      <c r="CA185">
        <v>33528.300000000003</v>
      </c>
      <c r="CB185">
        <v>1690376213.5999999</v>
      </c>
      <c r="CC185" t="s">
        <v>332</v>
      </c>
      <c r="CD185">
        <v>1690376213.5999999</v>
      </c>
      <c r="CE185">
        <v>1690376198.0999999</v>
      </c>
      <c r="CF185">
        <v>2</v>
      </c>
      <c r="CG185">
        <v>0.66900000000000004</v>
      </c>
      <c r="CH185">
        <v>-2.1000000000000001E-2</v>
      </c>
      <c r="CI185">
        <v>-0.70099999999999996</v>
      </c>
      <c r="CJ185">
        <v>0.21099999999999999</v>
      </c>
      <c r="CK185">
        <v>799</v>
      </c>
      <c r="CL185">
        <v>21</v>
      </c>
      <c r="CM185">
        <v>0.11</v>
      </c>
      <c r="CN185">
        <v>0.17</v>
      </c>
      <c r="CO185">
        <v>-413.13804999999991</v>
      </c>
      <c r="CP185">
        <v>-3.7940262664167679</v>
      </c>
      <c r="CQ185">
        <v>0.36722547229189012</v>
      </c>
      <c r="CR185">
        <v>-1</v>
      </c>
      <c r="CS185">
        <v>26.948307499999999</v>
      </c>
      <c r="CT185">
        <v>0.1717159474670773</v>
      </c>
      <c r="CU185">
        <v>1.656367090200719E-2</v>
      </c>
      <c r="CV185">
        <v>-1</v>
      </c>
      <c r="CW185">
        <v>0</v>
      </c>
      <c r="CX185">
        <v>0</v>
      </c>
      <c r="CY185" t="s">
        <v>333</v>
      </c>
      <c r="CZ185">
        <v>2.3648600000000002</v>
      </c>
      <c r="DA185">
        <v>2.7137799999999999</v>
      </c>
      <c r="DB185">
        <v>8.6919200000000002E-2</v>
      </c>
      <c r="DC185">
        <v>0.14551900000000001</v>
      </c>
      <c r="DD185">
        <v>0.12381</v>
      </c>
      <c r="DE185">
        <v>1.63864E-3</v>
      </c>
      <c r="DF185">
        <v>33352.400000000001</v>
      </c>
      <c r="DG185">
        <v>27540.9</v>
      </c>
      <c r="DH185">
        <v>31181.599999999999</v>
      </c>
      <c r="DI185">
        <v>28083.9</v>
      </c>
      <c r="DJ185">
        <v>37079.4</v>
      </c>
      <c r="DK185">
        <v>39865.9</v>
      </c>
      <c r="DL185">
        <v>44373.9</v>
      </c>
      <c r="DM185">
        <v>42553.2</v>
      </c>
      <c r="DN185">
        <v>1.4487000000000001</v>
      </c>
      <c r="DO185">
        <v>2.0442499999999999</v>
      </c>
      <c r="DP185">
        <v>9.1247300000000003E-2</v>
      </c>
      <c r="DQ185">
        <v>0.18773200000000001</v>
      </c>
      <c r="DR185">
        <v>25.5153</v>
      </c>
      <c r="DS185">
        <v>25.509899999999998</v>
      </c>
      <c r="DT185">
        <v>28.9</v>
      </c>
      <c r="DU185">
        <v>27.5</v>
      </c>
      <c r="DV185">
        <v>10.798</v>
      </c>
      <c r="DW185">
        <v>61.208399999999997</v>
      </c>
      <c r="DX185">
        <v>37.864600000000003</v>
      </c>
      <c r="DY185">
        <v>1</v>
      </c>
      <c r="DZ185">
        <v>-0.13460900000000001</v>
      </c>
      <c r="EA185">
        <v>-0.48811300000000002</v>
      </c>
      <c r="EB185">
        <v>20.1892</v>
      </c>
      <c r="EC185">
        <v>5.2404999999999999</v>
      </c>
      <c r="ED185">
        <v>12.039899999999999</v>
      </c>
      <c r="EE185">
        <v>5.0168499999999998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1.8688899999999999</v>
      </c>
      <c r="EL185">
        <v>1.86456</v>
      </c>
      <c r="EM185">
        <v>1.8692</v>
      </c>
      <c r="EN185">
        <v>1.8672200000000001</v>
      </c>
      <c r="EO185">
        <v>1.86331</v>
      </c>
      <c r="EP185">
        <v>1.8643400000000001</v>
      </c>
      <c r="EQ185">
        <v>1.87012</v>
      </c>
      <c r="ER185">
        <v>1.8693500000000001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-0.40899999999999997</v>
      </c>
      <c r="FG185">
        <v>0.2112</v>
      </c>
      <c r="FH185">
        <v>-0.150361779349652</v>
      </c>
      <c r="FI185">
        <v>-6.1462078757559423E-4</v>
      </c>
      <c r="FJ185">
        <v>-1.8861989874597051E-7</v>
      </c>
      <c r="FK185">
        <v>1.1980462299894961E-10</v>
      </c>
      <c r="FL185">
        <v>0.21114761904761539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37.200000000000003</v>
      </c>
      <c r="FU185">
        <v>37.5</v>
      </c>
      <c r="FV185">
        <v>1.7663599999999999</v>
      </c>
      <c r="FW185">
        <v>2.5720200000000002</v>
      </c>
      <c r="FX185">
        <v>1.5490699999999999</v>
      </c>
      <c r="FY185">
        <v>2.33643</v>
      </c>
      <c r="FZ185">
        <v>1.50146</v>
      </c>
      <c r="GA185">
        <v>2.3535200000000001</v>
      </c>
      <c r="GB185">
        <v>32.377000000000002</v>
      </c>
      <c r="GC185">
        <v>23.991199999999999</v>
      </c>
      <c r="GD185">
        <v>19</v>
      </c>
      <c r="GE185">
        <v>269.2</v>
      </c>
      <c r="GF185">
        <v>583.62800000000004</v>
      </c>
      <c r="GG185">
        <v>25.843800000000002</v>
      </c>
      <c r="GH185">
        <v>25.743300000000001</v>
      </c>
      <c r="GI185">
        <v>30.0001</v>
      </c>
      <c r="GJ185">
        <v>25.842500000000001</v>
      </c>
      <c r="GK185">
        <v>25.8079</v>
      </c>
      <c r="GL185">
        <v>35.313499999999998</v>
      </c>
      <c r="GM185">
        <v>100</v>
      </c>
      <c r="GN185">
        <v>13.007199999999999</v>
      </c>
      <c r="GO185">
        <v>25.83</v>
      </c>
      <c r="GP185">
        <v>800</v>
      </c>
      <c r="GQ185">
        <v>0</v>
      </c>
      <c r="GR185">
        <v>99.767200000000003</v>
      </c>
      <c r="GS185">
        <v>99.558099999999996</v>
      </c>
    </row>
    <row r="186" spans="1:201" x14ac:dyDescent="0.25">
      <c r="A186">
        <v>170</v>
      </c>
      <c r="B186">
        <v>1690378456.0999999</v>
      </c>
      <c r="C186">
        <v>1739.599999904633</v>
      </c>
      <c r="D186" t="s">
        <v>673</v>
      </c>
      <c r="E186" t="s">
        <v>674</v>
      </c>
      <c r="F186" t="s">
        <v>330</v>
      </c>
      <c r="H186">
        <v>1690378456.0999999</v>
      </c>
      <c r="I186">
        <f t="shared" si="60"/>
        <v>2.4146000217104631E-3</v>
      </c>
      <c r="J186">
        <f t="shared" si="61"/>
        <v>2.4146000217104633</v>
      </c>
      <c r="K186">
        <f t="shared" si="62"/>
        <v>35.122120970948266</v>
      </c>
      <c r="L186">
        <f t="shared" si="63"/>
        <v>385.55500000000001</v>
      </c>
      <c r="M186">
        <f t="shared" si="64"/>
        <v>85.572719996754117</v>
      </c>
      <c r="N186">
        <f t="shared" si="65"/>
        <v>8.4499244453482838</v>
      </c>
      <c r="O186">
        <f t="shared" si="66"/>
        <v>38.071836674700002</v>
      </c>
      <c r="P186">
        <f t="shared" si="67"/>
        <v>0.19931613263017076</v>
      </c>
      <c r="Q186">
        <f t="shared" si="68"/>
        <v>2.00855508428381</v>
      </c>
      <c r="R186">
        <f t="shared" si="69"/>
        <v>0.18894370879831429</v>
      </c>
      <c r="S186">
        <f t="shared" si="70"/>
        <v>0.11897673913281931</v>
      </c>
      <c r="T186">
        <f t="shared" si="71"/>
        <v>276.11618254199999</v>
      </c>
      <c r="U186">
        <f t="shared" si="72"/>
        <v>28.493536404214954</v>
      </c>
      <c r="V186">
        <f t="shared" si="73"/>
        <v>28.493536404214954</v>
      </c>
      <c r="W186">
        <f t="shared" si="74"/>
        <v>3.9054028702229822</v>
      </c>
      <c r="X186">
        <f t="shared" si="75"/>
        <v>74.686754015851648</v>
      </c>
      <c r="Y186">
        <f t="shared" si="76"/>
        <v>2.6856022004880002</v>
      </c>
      <c r="Z186">
        <f t="shared" si="77"/>
        <v>3.5958212883612579</v>
      </c>
      <c r="AA186">
        <f t="shared" si="78"/>
        <v>1.2198006697349819</v>
      </c>
      <c r="AB186">
        <f t="shared" si="79"/>
        <v>-106.48386095743142</v>
      </c>
      <c r="AC186">
        <f t="shared" si="80"/>
        <v>-153.16255961649574</v>
      </c>
      <c r="AD186">
        <f t="shared" si="81"/>
        <v>-16.586574767774785</v>
      </c>
      <c r="AE186">
        <f t="shared" si="82"/>
        <v>-0.11681279970196101</v>
      </c>
      <c r="AF186">
        <v>8</v>
      </c>
      <c r="AG186">
        <v>3</v>
      </c>
      <c r="AH186">
        <f t="shared" si="83"/>
        <v>1</v>
      </c>
      <c r="AI186">
        <f t="shared" si="84"/>
        <v>0</v>
      </c>
      <c r="AJ186">
        <f t="shared" si="85"/>
        <v>52209.708990475963</v>
      </c>
      <c r="AK186">
        <f t="shared" si="86"/>
        <v>1800</v>
      </c>
      <c r="AL186">
        <f t="shared" si="87"/>
        <v>1499.1129612</v>
      </c>
      <c r="AM186">
        <f t="shared" si="88"/>
        <v>0.83284053400000002</v>
      </c>
      <c r="AN186">
        <f t="shared" si="89"/>
        <v>0.15339787919</v>
      </c>
      <c r="AO186">
        <v>34.5</v>
      </c>
      <c r="AP186">
        <v>0.5</v>
      </c>
      <c r="AQ186" t="s">
        <v>331</v>
      </c>
      <c r="AR186">
        <v>2</v>
      </c>
      <c r="AS186">
        <v>1690378456.0999999</v>
      </c>
      <c r="AT186">
        <v>385.55500000000001</v>
      </c>
      <c r="AU186">
        <v>800.01900000000001</v>
      </c>
      <c r="AV186">
        <v>27.197199999999999</v>
      </c>
      <c r="AW186">
        <v>0.19405</v>
      </c>
      <c r="AX186">
        <v>385.964</v>
      </c>
      <c r="AY186">
        <v>26.9861</v>
      </c>
      <c r="AZ186">
        <v>300.10599999999999</v>
      </c>
      <c r="BA186">
        <v>98.645499999999998</v>
      </c>
      <c r="BB186">
        <v>0.10004</v>
      </c>
      <c r="BC186">
        <v>27.0791</v>
      </c>
      <c r="BD186">
        <v>26.985399999999998</v>
      </c>
      <c r="BE186">
        <v>28.558800000000002</v>
      </c>
      <c r="BF186">
        <v>0</v>
      </c>
      <c r="BG186">
        <v>0</v>
      </c>
      <c r="BH186">
        <v>10012.5</v>
      </c>
      <c r="BI186">
        <v>1082.6500000000001</v>
      </c>
      <c r="BJ186">
        <v>1.32877</v>
      </c>
      <c r="BK186">
        <v>-414.464</v>
      </c>
      <c r="BL186">
        <v>396.334</v>
      </c>
      <c r="BM186">
        <v>800.17399999999998</v>
      </c>
      <c r="BN186">
        <v>27.0032</v>
      </c>
      <c r="BO186">
        <v>800.01900000000001</v>
      </c>
      <c r="BP186">
        <v>0.19405</v>
      </c>
      <c r="BQ186">
        <v>2.68289</v>
      </c>
      <c r="BR186">
        <v>1.9142099999999999E-2</v>
      </c>
      <c r="BS186">
        <v>22.180700000000002</v>
      </c>
      <c r="BT186">
        <v>-39.846899999999998</v>
      </c>
      <c r="BU186">
        <v>1800</v>
      </c>
      <c r="BV186">
        <v>0.90999300000000005</v>
      </c>
      <c r="BW186">
        <v>3.3992799999999997E-2</v>
      </c>
      <c r="BX186">
        <v>2.2006700000000001E-2</v>
      </c>
      <c r="BY186">
        <v>3.4007500000000003E-2</v>
      </c>
      <c r="BZ186">
        <v>25.666699999999999</v>
      </c>
      <c r="CA186">
        <v>33528.300000000003</v>
      </c>
      <c r="CB186">
        <v>1690376213.5999999</v>
      </c>
      <c r="CC186" t="s">
        <v>332</v>
      </c>
      <c r="CD186">
        <v>1690376213.5999999</v>
      </c>
      <c r="CE186">
        <v>1690376198.0999999</v>
      </c>
      <c r="CF186">
        <v>2</v>
      </c>
      <c r="CG186">
        <v>0.66900000000000004</v>
      </c>
      <c r="CH186">
        <v>-2.1000000000000001E-2</v>
      </c>
      <c r="CI186">
        <v>-0.70099999999999996</v>
      </c>
      <c r="CJ186">
        <v>0.21099999999999999</v>
      </c>
      <c r="CK186">
        <v>799</v>
      </c>
      <c r="CL186">
        <v>21</v>
      </c>
      <c r="CM186">
        <v>0.11</v>
      </c>
      <c r="CN186">
        <v>0.17</v>
      </c>
      <c r="CO186">
        <v>-413.79415</v>
      </c>
      <c r="CP186">
        <v>-4.0018086303946632</v>
      </c>
      <c r="CQ186">
        <v>0.38749068053309088</v>
      </c>
      <c r="CR186">
        <v>-1</v>
      </c>
      <c r="CS186">
        <v>26.975660000000001</v>
      </c>
      <c r="CT186">
        <v>0.16403977485920401</v>
      </c>
      <c r="CU186">
        <v>1.5844443821100191E-2</v>
      </c>
      <c r="CV186">
        <v>-1</v>
      </c>
      <c r="CW186">
        <v>0</v>
      </c>
      <c r="CX186">
        <v>0</v>
      </c>
      <c r="CY186" t="s">
        <v>333</v>
      </c>
      <c r="CZ186">
        <v>2.3649499999999999</v>
      </c>
      <c r="DA186">
        <v>2.7138399999999998</v>
      </c>
      <c r="DB186">
        <v>8.6807800000000004E-2</v>
      </c>
      <c r="DC186">
        <v>0.14552399999999999</v>
      </c>
      <c r="DD186">
        <v>0.12388200000000001</v>
      </c>
      <c r="DE186">
        <v>1.6258500000000001E-3</v>
      </c>
      <c r="DF186">
        <v>33356.5</v>
      </c>
      <c r="DG186">
        <v>27540.799999999999</v>
      </c>
      <c r="DH186">
        <v>31181.599999999999</v>
      </c>
      <c r="DI186">
        <v>28084</v>
      </c>
      <c r="DJ186">
        <v>37076.199999999997</v>
      </c>
      <c r="DK186">
        <v>39866.5</v>
      </c>
      <c r="DL186">
        <v>44373.8</v>
      </c>
      <c r="DM186">
        <v>42553.2</v>
      </c>
      <c r="DN186">
        <v>1.44895</v>
      </c>
      <c r="DO186">
        <v>2.0438999999999998</v>
      </c>
      <c r="DP186">
        <v>8.9913599999999996E-2</v>
      </c>
      <c r="DQ186">
        <v>0.1867</v>
      </c>
      <c r="DR186">
        <v>25.513200000000001</v>
      </c>
      <c r="DS186">
        <v>25.505600000000001</v>
      </c>
      <c r="DT186">
        <v>28.7</v>
      </c>
      <c r="DU186">
        <v>27.5</v>
      </c>
      <c r="DV186">
        <v>10.7232</v>
      </c>
      <c r="DW186">
        <v>61.228400000000001</v>
      </c>
      <c r="DX186">
        <v>37.692300000000003</v>
      </c>
      <c r="DY186">
        <v>1</v>
      </c>
      <c r="DZ186">
        <v>-0.13439799999999999</v>
      </c>
      <c r="EA186">
        <v>-0.53599699999999995</v>
      </c>
      <c r="EB186">
        <v>20.1892</v>
      </c>
      <c r="EC186">
        <v>5.2408000000000001</v>
      </c>
      <c r="ED186">
        <v>12.039899999999999</v>
      </c>
      <c r="EE186">
        <v>5.0167999999999999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1.8688800000000001</v>
      </c>
      <c r="EL186">
        <v>1.8645799999999999</v>
      </c>
      <c r="EM186">
        <v>1.8691899999999999</v>
      </c>
      <c r="EN186">
        <v>1.8672200000000001</v>
      </c>
      <c r="EO186">
        <v>1.86328</v>
      </c>
      <c r="EP186">
        <v>1.8643400000000001</v>
      </c>
      <c r="EQ186">
        <v>1.87012</v>
      </c>
      <c r="ER186">
        <v>1.8693599999999999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-0.40899999999999997</v>
      </c>
      <c r="FG186">
        <v>0.21110000000000001</v>
      </c>
      <c r="FH186">
        <v>-0.150361779349652</v>
      </c>
      <c r="FI186">
        <v>-6.1462078757559423E-4</v>
      </c>
      <c r="FJ186">
        <v>-1.8861989874597051E-7</v>
      </c>
      <c r="FK186">
        <v>1.1980462299894961E-10</v>
      </c>
      <c r="FL186">
        <v>0.21114761904761539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37.4</v>
      </c>
      <c r="FU186">
        <v>37.6</v>
      </c>
      <c r="FV186">
        <v>1.7663599999999999</v>
      </c>
      <c r="FW186">
        <v>2.5708000000000002</v>
      </c>
      <c r="FX186">
        <v>1.5490699999999999</v>
      </c>
      <c r="FY186">
        <v>2.33643</v>
      </c>
      <c r="FZ186">
        <v>1.50146</v>
      </c>
      <c r="GA186">
        <v>2.3925800000000002</v>
      </c>
      <c r="GB186">
        <v>32.377000000000002</v>
      </c>
      <c r="GC186">
        <v>23.991199999999999</v>
      </c>
      <c r="GD186">
        <v>19</v>
      </c>
      <c r="GE186">
        <v>269.31200000000001</v>
      </c>
      <c r="GF186">
        <v>583.33900000000006</v>
      </c>
      <c r="GG186">
        <v>25.836200000000002</v>
      </c>
      <c r="GH186">
        <v>25.744800000000001</v>
      </c>
      <c r="GI186">
        <v>30.0002</v>
      </c>
      <c r="GJ186">
        <v>25.8447</v>
      </c>
      <c r="GK186">
        <v>25.8079</v>
      </c>
      <c r="GL186">
        <v>35.311100000000003</v>
      </c>
      <c r="GM186">
        <v>100</v>
      </c>
      <c r="GN186">
        <v>12.2409</v>
      </c>
      <c r="GO186">
        <v>25.853999999999999</v>
      </c>
      <c r="GP186">
        <v>800</v>
      </c>
      <c r="GQ186">
        <v>0</v>
      </c>
      <c r="GR186">
        <v>99.766999999999996</v>
      </c>
      <c r="GS186">
        <v>99.558300000000003</v>
      </c>
    </row>
    <row r="187" spans="1:201" x14ac:dyDescent="0.25">
      <c r="A187">
        <v>171</v>
      </c>
      <c r="B187">
        <v>1690378466.0999999</v>
      </c>
      <c r="C187">
        <v>1749.599999904633</v>
      </c>
      <c r="D187" t="s">
        <v>675</v>
      </c>
      <c r="E187" t="s">
        <v>676</v>
      </c>
      <c r="F187" t="s">
        <v>330</v>
      </c>
      <c r="H187">
        <v>1690378466.0999999</v>
      </c>
      <c r="I187">
        <f t="shared" si="60"/>
        <v>2.417314243974573E-3</v>
      </c>
      <c r="J187">
        <f t="shared" si="61"/>
        <v>2.4173142439745732</v>
      </c>
      <c r="K187">
        <f t="shared" si="62"/>
        <v>35.167759170214836</v>
      </c>
      <c r="L187">
        <f t="shared" si="63"/>
        <v>385.08199999999999</v>
      </c>
      <c r="M187">
        <f t="shared" si="64"/>
        <v>85.566552728055129</v>
      </c>
      <c r="N187">
        <f t="shared" si="65"/>
        <v>8.4492627460737975</v>
      </c>
      <c r="O187">
        <f t="shared" si="66"/>
        <v>38.024892823767999</v>
      </c>
      <c r="P187">
        <f t="shared" si="67"/>
        <v>0.19992929366590292</v>
      </c>
      <c r="Q187">
        <f t="shared" si="68"/>
        <v>2.0042277991399446</v>
      </c>
      <c r="R187">
        <f t="shared" si="69"/>
        <v>0.18947348427661515</v>
      </c>
      <c r="S187">
        <f t="shared" si="70"/>
        <v>0.11931475394982075</v>
      </c>
      <c r="T187">
        <f t="shared" si="71"/>
        <v>276.11627923799995</v>
      </c>
      <c r="U187">
        <f t="shared" si="72"/>
        <v>28.495094274586215</v>
      </c>
      <c r="V187">
        <f t="shared" si="73"/>
        <v>28.495094274586215</v>
      </c>
      <c r="W187">
        <f t="shared" si="74"/>
        <v>3.905756268919848</v>
      </c>
      <c r="X187">
        <f t="shared" si="75"/>
        <v>74.754994409159394</v>
      </c>
      <c r="Y187">
        <f t="shared" si="76"/>
        <v>2.6880244466356005</v>
      </c>
      <c r="Z187">
        <f t="shared" si="77"/>
        <v>3.5957790752055074</v>
      </c>
      <c r="AA187">
        <f t="shared" si="78"/>
        <v>1.2177318222842475</v>
      </c>
      <c r="AB187">
        <f t="shared" si="79"/>
        <v>-106.60355815927868</v>
      </c>
      <c r="AC187">
        <f t="shared" si="80"/>
        <v>-153.02252335965844</v>
      </c>
      <c r="AD187">
        <f t="shared" si="81"/>
        <v>-16.607301351657917</v>
      </c>
      <c r="AE187">
        <f t="shared" si="82"/>
        <v>-0.11710363259507517</v>
      </c>
      <c r="AF187">
        <v>8</v>
      </c>
      <c r="AG187">
        <v>3</v>
      </c>
      <c r="AH187">
        <f t="shared" si="83"/>
        <v>1</v>
      </c>
      <c r="AI187">
        <f t="shared" si="84"/>
        <v>0</v>
      </c>
      <c r="AJ187">
        <f t="shared" si="85"/>
        <v>52003.06319817435</v>
      </c>
      <c r="AK187">
        <f t="shared" si="86"/>
        <v>1800</v>
      </c>
      <c r="AL187">
        <f t="shared" si="87"/>
        <v>1499.1124067999999</v>
      </c>
      <c r="AM187">
        <f t="shared" si="88"/>
        <v>0.83284022599999996</v>
      </c>
      <c r="AN187">
        <f t="shared" si="89"/>
        <v>0.15339793290999998</v>
      </c>
      <c r="AO187">
        <v>34.5</v>
      </c>
      <c r="AP187">
        <v>0.5</v>
      </c>
      <c r="AQ187" t="s">
        <v>331</v>
      </c>
      <c r="AR187">
        <v>2</v>
      </c>
      <c r="AS187">
        <v>1690378466.0999999</v>
      </c>
      <c r="AT187">
        <v>385.08199999999999</v>
      </c>
      <c r="AU187">
        <v>800.01700000000005</v>
      </c>
      <c r="AV187">
        <v>27.221900000000002</v>
      </c>
      <c r="AW187">
        <v>0.19250500000000001</v>
      </c>
      <c r="AX187">
        <v>385.49</v>
      </c>
      <c r="AY187">
        <v>27.0108</v>
      </c>
      <c r="AZ187">
        <v>300.14400000000001</v>
      </c>
      <c r="BA187">
        <v>98.644900000000007</v>
      </c>
      <c r="BB187">
        <v>0.100024</v>
      </c>
      <c r="BC187">
        <v>27.078900000000001</v>
      </c>
      <c r="BD187">
        <v>27.003</v>
      </c>
      <c r="BE187">
        <v>28.5871</v>
      </c>
      <c r="BF187">
        <v>0</v>
      </c>
      <c r="BG187">
        <v>0</v>
      </c>
      <c r="BH187">
        <v>9971.25</v>
      </c>
      <c r="BI187">
        <v>1082.58</v>
      </c>
      <c r="BJ187">
        <v>1.3862300000000001</v>
      </c>
      <c r="BK187">
        <v>-414.935</v>
      </c>
      <c r="BL187">
        <v>395.858</v>
      </c>
      <c r="BM187">
        <v>800.17100000000005</v>
      </c>
      <c r="BN187">
        <v>27.029399999999999</v>
      </c>
      <c r="BO187">
        <v>800.01700000000005</v>
      </c>
      <c r="BP187">
        <v>0.19250500000000001</v>
      </c>
      <c r="BQ187">
        <v>2.6852999999999998</v>
      </c>
      <c r="BR187">
        <v>1.8989599999999999E-2</v>
      </c>
      <c r="BS187">
        <v>22.195499999999999</v>
      </c>
      <c r="BT187">
        <v>-39.9236</v>
      </c>
      <c r="BU187">
        <v>1800</v>
      </c>
      <c r="BV187">
        <v>0.90998999999999997</v>
      </c>
      <c r="BW187">
        <v>3.3997100000000002E-2</v>
      </c>
      <c r="BX187">
        <v>2.2006299999999999E-2</v>
      </c>
      <c r="BY187">
        <v>3.40069E-2</v>
      </c>
      <c r="BZ187">
        <v>25.666699999999999</v>
      </c>
      <c r="CA187">
        <v>33528.199999999997</v>
      </c>
      <c r="CB187">
        <v>1690376213.5999999</v>
      </c>
      <c r="CC187" t="s">
        <v>332</v>
      </c>
      <c r="CD187">
        <v>1690376213.5999999</v>
      </c>
      <c r="CE187">
        <v>1690376198.0999999</v>
      </c>
      <c r="CF187">
        <v>2</v>
      </c>
      <c r="CG187">
        <v>0.66900000000000004</v>
      </c>
      <c r="CH187">
        <v>-2.1000000000000001E-2</v>
      </c>
      <c r="CI187">
        <v>-0.70099999999999996</v>
      </c>
      <c r="CJ187">
        <v>0.21099999999999999</v>
      </c>
      <c r="CK187">
        <v>799</v>
      </c>
      <c r="CL187">
        <v>21</v>
      </c>
      <c r="CM187">
        <v>0.11</v>
      </c>
      <c r="CN187">
        <v>0.17</v>
      </c>
      <c r="CO187">
        <v>-414.39125000000001</v>
      </c>
      <c r="CP187">
        <v>-3.203594746715889</v>
      </c>
      <c r="CQ187">
        <v>0.31293831261128913</v>
      </c>
      <c r="CR187">
        <v>-1</v>
      </c>
      <c r="CS187">
        <v>27.002022499999999</v>
      </c>
      <c r="CT187">
        <v>0.15594033771097801</v>
      </c>
      <c r="CU187">
        <v>1.501323561894647E-2</v>
      </c>
      <c r="CV187">
        <v>-1</v>
      </c>
      <c r="CW187">
        <v>0</v>
      </c>
      <c r="CX187">
        <v>0</v>
      </c>
      <c r="CY187" t="s">
        <v>333</v>
      </c>
      <c r="CZ187">
        <v>2.3650799999999998</v>
      </c>
      <c r="DA187">
        <v>2.7137899999999999</v>
      </c>
      <c r="DB187">
        <v>8.6725300000000005E-2</v>
      </c>
      <c r="DC187">
        <v>0.14552200000000001</v>
      </c>
      <c r="DD187">
        <v>0.12396</v>
      </c>
      <c r="DE187">
        <v>1.61304E-3</v>
      </c>
      <c r="DF187">
        <v>33359.4</v>
      </c>
      <c r="DG187">
        <v>27540.799999999999</v>
      </c>
      <c r="DH187">
        <v>31181.5</v>
      </c>
      <c r="DI187">
        <v>28083.9</v>
      </c>
      <c r="DJ187">
        <v>37072.800000000003</v>
      </c>
      <c r="DK187">
        <v>39866.699999999997</v>
      </c>
      <c r="DL187">
        <v>44373.599999999999</v>
      </c>
      <c r="DM187">
        <v>42553</v>
      </c>
      <c r="DN187">
        <v>1.4492499999999999</v>
      </c>
      <c r="DO187">
        <v>2.0440499999999999</v>
      </c>
      <c r="DP187">
        <v>9.1120599999999996E-2</v>
      </c>
      <c r="DQ187">
        <v>0.18862999999999999</v>
      </c>
      <c r="DR187">
        <v>25.510999999999999</v>
      </c>
      <c r="DS187">
        <v>25.502400000000002</v>
      </c>
      <c r="DT187">
        <v>28.5</v>
      </c>
      <c r="DU187">
        <v>27.5</v>
      </c>
      <c r="DV187">
        <v>10.648400000000001</v>
      </c>
      <c r="DW187">
        <v>60.558399999999999</v>
      </c>
      <c r="DX187">
        <v>37.3277</v>
      </c>
      <c r="DY187">
        <v>1</v>
      </c>
      <c r="DZ187">
        <v>-0.13414100000000001</v>
      </c>
      <c r="EA187">
        <v>-0.56507099999999999</v>
      </c>
      <c r="EB187">
        <v>20.189</v>
      </c>
      <c r="EC187">
        <v>5.2404999999999999</v>
      </c>
      <c r="ED187">
        <v>12.039899999999999</v>
      </c>
      <c r="EE187">
        <v>5.0166500000000003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1.8688400000000001</v>
      </c>
      <c r="EL187">
        <v>1.8645799999999999</v>
      </c>
      <c r="EM187">
        <v>1.8691899999999999</v>
      </c>
      <c r="EN187">
        <v>1.8672</v>
      </c>
      <c r="EO187">
        <v>1.86328</v>
      </c>
      <c r="EP187">
        <v>1.86435</v>
      </c>
      <c r="EQ187">
        <v>1.87012</v>
      </c>
      <c r="ER187">
        <v>1.8693500000000001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-0.40799999999999997</v>
      </c>
      <c r="FG187">
        <v>0.21110000000000001</v>
      </c>
      <c r="FH187">
        <v>-0.150361779349652</v>
      </c>
      <c r="FI187">
        <v>-6.1462078757559423E-4</v>
      </c>
      <c r="FJ187">
        <v>-1.8861989874597051E-7</v>
      </c>
      <c r="FK187">
        <v>1.1980462299894961E-10</v>
      </c>
      <c r="FL187">
        <v>0.21114761904761539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37.5</v>
      </c>
      <c r="FU187">
        <v>37.799999999999997</v>
      </c>
      <c r="FV187">
        <v>1.7663599999999999</v>
      </c>
      <c r="FW187">
        <v>2.5634800000000002</v>
      </c>
      <c r="FX187">
        <v>1.5490699999999999</v>
      </c>
      <c r="FY187">
        <v>2.33643</v>
      </c>
      <c r="FZ187">
        <v>1.50146</v>
      </c>
      <c r="GA187">
        <v>2.3986800000000001</v>
      </c>
      <c r="GB187">
        <v>32.377000000000002</v>
      </c>
      <c r="GC187">
        <v>23.991199999999999</v>
      </c>
      <c r="GD187">
        <v>19</v>
      </c>
      <c r="GE187">
        <v>269.435</v>
      </c>
      <c r="GF187">
        <v>583.48800000000006</v>
      </c>
      <c r="GG187">
        <v>25.860499999999998</v>
      </c>
      <c r="GH187">
        <v>25.7469</v>
      </c>
      <c r="GI187">
        <v>30.0002</v>
      </c>
      <c r="GJ187">
        <v>25.8447</v>
      </c>
      <c r="GK187">
        <v>25.810099999999998</v>
      </c>
      <c r="GL187">
        <v>35.313200000000002</v>
      </c>
      <c r="GM187">
        <v>100</v>
      </c>
      <c r="GN187">
        <v>11.858599999999999</v>
      </c>
      <c r="GO187">
        <v>25.867999999999999</v>
      </c>
      <c r="GP187">
        <v>800</v>
      </c>
      <c r="GQ187">
        <v>0</v>
      </c>
      <c r="GR187">
        <v>99.7667</v>
      </c>
      <c r="GS187">
        <v>99.557900000000004</v>
      </c>
    </row>
    <row r="188" spans="1:201" x14ac:dyDescent="0.25">
      <c r="A188">
        <v>172</v>
      </c>
      <c r="B188">
        <v>1690378476.0999999</v>
      </c>
      <c r="C188">
        <v>1759.599999904633</v>
      </c>
      <c r="D188" t="s">
        <v>677</v>
      </c>
      <c r="E188" t="s">
        <v>678</v>
      </c>
      <c r="F188" t="s">
        <v>330</v>
      </c>
      <c r="H188">
        <v>1690378476.0999999</v>
      </c>
      <c r="I188">
        <f t="shared" si="60"/>
        <v>2.4195863131372067E-3</v>
      </c>
      <c r="J188">
        <f t="shared" si="61"/>
        <v>2.4195863131372066</v>
      </c>
      <c r="K188">
        <f t="shared" si="62"/>
        <v>35.220017743977358</v>
      </c>
      <c r="L188">
        <f t="shared" si="63"/>
        <v>384.46899999999999</v>
      </c>
      <c r="M188">
        <f t="shared" si="64"/>
        <v>85.314986723567444</v>
      </c>
      <c r="N188">
        <f t="shared" si="65"/>
        <v>8.4245355196419922</v>
      </c>
      <c r="O188">
        <f t="shared" si="66"/>
        <v>37.964874298063997</v>
      </c>
      <c r="P188">
        <f t="shared" si="67"/>
        <v>0.20048449261634779</v>
      </c>
      <c r="Q188">
        <f t="shared" si="68"/>
        <v>2.0045039805189853</v>
      </c>
      <c r="R188">
        <f t="shared" si="69"/>
        <v>0.18997353798639435</v>
      </c>
      <c r="S188">
        <f t="shared" si="70"/>
        <v>0.1196318872817892</v>
      </c>
      <c r="T188">
        <f t="shared" si="71"/>
        <v>276.11618480999994</v>
      </c>
      <c r="U188">
        <f t="shared" si="72"/>
        <v>28.497675384738685</v>
      </c>
      <c r="V188">
        <f t="shared" si="73"/>
        <v>28.497675384738685</v>
      </c>
      <c r="W188">
        <f t="shared" si="74"/>
        <v>3.9063418481942573</v>
      </c>
      <c r="X188">
        <f t="shared" si="75"/>
        <v>74.812965973754586</v>
      </c>
      <c r="Y188">
        <f t="shared" si="76"/>
        <v>2.6906774819904</v>
      </c>
      <c r="Z188">
        <f t="shared" si="77"/>
        <v>3.5965389781957402</v>
      </c>
      <c r="AA188">
        <f t="shared" si="78"/>
        <v>1.2156643662038573</v>
      </c>
      <c r="AB188">
        <f t="shared" si="79"/>
        <v>-106.70375640935082</v>
      </c>
      <c r="AC188">
        <f t="shared" si="80"/>
        <v>-152.93350158654172</v>
      </c>
      <c r="AD188">
        <f t="shared" si="81"/>
        <v>-16.595864542255878</v>
      </c>
      <c r="AE188">
        <f t="shared" si="82"/>
        <v>-0.11693772814848558</v>
      </c>
      <c r="AF188">
        <v>8</v>
      </c>
      <c r="AG188">
        <v>3</v>
      </c>
      <c r="AH188">
        <f t="shared" si="83"/>
        <v>1</v>
      </c>
      <c r="AI188">
        <f t="shared" si="84"/>
        <v>0</v>
      </c>
      <c r="AJ188">
        <f t="shared" si="85"/>
        <v>52015.638592854637</v>
      </c>
      <c r="AK188">
        <f t="shared" si="86"/>
        <v>1800</v>
      </c>
      <c r="AL188">
        <f t="shared" si="87"/>
        <v>1499.1093809999998</v>
      </c>
      <c r="AM188">
        <f t="shared" si="88"/>
        <v>0.83283854499999987</v>
      </c>
      <c r="AN188">
        <f t="shared" si="89"/>
        <v>0.15339788044999997</v>
      </c>
      <c r="AO188">
        <v>34.5</v>
      </c>
      <c r="AP188">
        <v>0.5</v>
      </c>
      <c r="AQ188" t="s">
        <v>331</v>
      </c>
      <c r="AR188">
        <v>2</v>
      </c>
      <c r="AS188">
        <v>1690378476.0999999</v>
      </c>
      <c r="AT188">
        <v>384.46899999999999</v>
      </c>
      <c r="AU188">
        <v>800.04200000000003</v>
      </c>
      <c r="AV188">
        <v>27.2484</v>
      </c>
      <c r="AW188">
        <v>0.19145200000000001</v>
      </c>
      <c r="AX188">
        <v>384.87700000000001</v>
      </c>
      <c r="AY188">
        <v>27.037299999999998</v>
      </c>
      <c r="AZ188">
        <v>300.11200000000002</v>
      </c>
      <c r="BA188">
        <v>98.646199999999993</v>
      </c>
      <c r="BB188">
        <v>0.10005600000000001</v>
      </c>
      <c r="BC188">
        <v>27.0825</v>
      </c>
      <c r="BD188">
        <v>26.993300000000001</v>
      </c>
      <c r="BE188">
        <v>28.575299999999999</v>
      </c>
      <c r="BF188">
        <v>0</v>
      </c>
      <c r="BG188">
        <v>0</v>
      </c>
      <c r="BH188">
        <v>9973.75</v>
      </c>
      <c r="BI188">
        <v>1082.54</v>
      </c>
      <c r="BJ188">
        <v>1.20963</v>
      </c>
      <c r="BK188">
        <v>-415.57299999999998</v>
      </c>
      <c r="BL188">
        <v>395.238</v>
      </c>
      <c r="BM188">
        <v>800.19500000000005</v>
      </c>
      <c r="BN188">
        <v>27.056899999999999</v>
      </c>
      <c r="BO188">
        <v>800.04200000000003</v>
      </c>
      <c r="BP188">
        <v>0.19145200000000001</v>
      </c>
      <c r="BQ188">
        <v>2.6879499999999998</v>
      </c>
      <c r="BR188">
        <v>1.8886E-2</v>
      </c>
      <c r="BS188">
        <v>22.211600000000001</v>
      </c>
      <c r="BT188">
        <v>-39.975999999999999</v>
      </c>
      <c r="BU188">
        <v>1800</v>
      </c>
      <c r="BV188">
        <v>0.90998199999999996</v>
      </c>
      <c r="BW188">
        <v>3.4005100000000003E-2</v>
      </c>
      <c r="BX188">
        <v>2.2006000000000001E-2</v>
      </c>
      <c r="BY188">
        <v>3.4006500000000002E-2</v>
      </c>
      <c r="BZ188">
        <v>25.708300000000001</v>
      </c>
      <c r="CA188">
        <v>33528.199999999997</v>
      </c>
      <c r="CB188">
        <v>1690376213.5999999</v>
      </c>
      <c r="CC188" t="s">
        <v>332</v>
      </c>
      <c r="CD188">
        <v>1690376213.5999999</v>
      </c>
      <c r="CE188">
        <v>1690376198.0999999</v>
      </c>
      <c r="CF188">
        <v>2</v>
      </c>
      <c r="CG188">
        <v>0.66900000000000004</v>
      </c>
      <c r="CH188">
        <v>-2.1000000000000001E-2</v>
      </c>
      <c r="CI188">
        <v>-0.70099999999999996</v>
      </c>
      <c r="CJ188">
        <v>0.21099999999999999</v>
      </c>
      <c r="CK188">
        <v>799</v>
      </c>
      <c r="CL188">
        <v>21</v>
      </c>
      <c r="CM188">
        <v>0.11</v>
      </c>
      <c r="CN188">
        <v>0.17</v>
      </c>
      <c r="CO188">
        <v>-414.94309756097562</v>
      </c>
      <c r="CP188">
        <v>-3.8651916376304478</v>
      </c>
      <c r="CQ188">
        <v>0.38843141748783949</v>
      </c>
      <c r="CR188">
        <v>-1</v>
      </c>
      <c r="CS188">
        <v>27.025858536585371</v>
      </c>
      <c r="CT188">
        <v>0.1572794425087416</v>
      </c>
      <c r="CU188">
        <v>1.55312898277019E-2</v>
      </c>
      <c r="CV188">
        <v>-1</v>
      </c>
      <c r="CW188">
        <v>0</v>
      </c>
      <c r="CX188">
        <v>0</v>
      </c>
      <c r="CY188" t="s">
        <v>333</v>
      </c>
      <c r="CZ188">
        <v>2.3649800000000001</v>
      </c>
      <c r="DA188">
        <v>2.7138200000000001</v>
      </c>
      <c r="DB188">
        <v>8.6619600000000005E-2</v>
      </c>
      <c r="DC188">
        <v>0.14552599999999999</v>
      </c>
      <c r="DD188">
        <v>0.124045</v>
      </c>
      <c r="DE188">
        <v>1.6043299999999999E-3</v>
      </c>
      <c r="DF188">
        <v>33363.4</v>
      </c>
      <c r="DG188">
        <v>27540.7</v>
      </c>
      <c r="DH188">
        <v>31181.599999999999</v>
      </c>
      <c r="DI188">
        <v>28084</v>
      </c>
      <c r="DJ188">
        <v>37069.4</v>
      </c>
      <c r="DK188">
        <v>39867.300000000003</v>
      </c>
      <c r="DL188">
        <v>44374</v>
      </c>
      <c r="DM188">
        <v>42553.2</v>
      </c>
      <c r="DN188">
        <v>1.4490000000000001</v>
      </c>
      <c r="DO188">
        <v>2.0439500000000002</v>
      </c>
      <c r="DP188">
        <v>9.0658699999999995E-2</v>
      </c>
      <c r="DQ188">
        <v>0.18803800000000001</v>
      </c>
      <c r="DR188">
        <v>25.508900000000001</v>
      </c>
      <c r="DS188">
        <v>25.500299999999999</v>
      </c>
      <c r="DT188">
        <v>28.3</v>
      </c>
      <c r="DU188">
        <v>27.5</v>
      </c>
      <c r="DV188">
        <v>10.5733</v>
      </c>
      <c r="DW188">
        <v>61.208399999999997</v>
      </c>
      <c r="DX188">
        <v>37.055300000000003</v>
      </c>
      <c r="DY188">
        <v>1</v>
      </c>
      <c r="DZ188">
        <v>-0.13395299999999999</v>
      </c>
      <c r="EA188">
        <v>-0.49298199999999998</v>
      </c>
      <c r="EB188">
        <v>20.189299999999999</v>
      </c>
      <c r="EC188">
        <v>5.2409499999999998</v>
      </c>
      <c r="ED188">
        <v>12.039899999999999</v>
      </c>
      <c r="EE188">
        <v>5.0163500000000001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1.8688899999999999</v>
      </c>
      <c r="EL188">
        <v>1.8645799999999999</v>
      </c>
      <c r="EM188">
        <v>1.8691899999999999</v>
      </c>
      <c r="EN188">
        <v>1.86721</v>
      </c>
      <c r="EO188">
        <v>1.8633</v>
      </c>
      <c r="EP188">
        <v>1.8643400000000001</v>
      </c>
      <c r="EQ188">
        <v>1.87012</v>
      </c>
      <c r="ER188">
        <v>1.8693500000000001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-0.40799999999999997</v>
      </c>
      <c r="FG188">
        <v>0.21110000000000001</v>
      </c>
      <c r="FH188">
        <v>-0.150361779349652</v>
      </c>
      <c r="FI188">
        <v>-6.1462078757559423E-4</v>
      </c>
      <c r="FJ188">
        <v>-1.8861989874597051E-7</v>
      </c>
      <c r="FK188">
        <v>1.1980462299894961E-10</v>
      </c>
      <c r="FL188">
        <v>0.21114761904761539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37.700000000000003</v>
      </c>
      <c r="FU188">
        <v>38</v>
      </c>
      <c r="FV188">
        <v>1.7663599999999999</v>
      </c>
      <c r="FW188">
        <v>2.5659200000000002</v>
      </c>
      <c r="FX188">
        <v>1.5490699999999999</v>
      </c>
      <c r="FY188">
        <v>2.33643</v>
      </c>
      <c r="FZ188">
        <v>1.50146</v>
      </c>
      <c r="GA188">
        <v>2.3718300000000001</v>
      </c>
      <c r="GB188">
        <v>32.399099999999997</v>
      </c>
      <c r="GC188">
        <v>23.991199999999999</v>
      </c>
      <c r="GD188">
        <v>19</v>
      </c>
      <c r="GE188">
        <v>269.34100000000001</v>
      </c>
      <c r="GF188">
        <v>583.42399999999998</v>
      </c>
      <c r="GG188">
        <v>25.863700000000001</v>
      </c>
      <c r="GH188">
        <v>25.748100000000001</v>
      </c>
      <c r="GI188">
        <v>30.0002</v>
      </c>
      <c r="GJ188">
        <v>25.846900000000002</v>
      </c>
      <c r="GK188">
        <v>25.811699999999998</v>
      </c>
      <c r="GL188">
        <v>35.308599999999998</v>
      </c>
      <c r="GM188">
        <v>100</v>
      </c>
      <c r="GN188">
        <v>11.108700000000001</v>
      </c>
      <c r="GO188">
        <v>25.860099999999999</v>
      </c>
      <c r="GP188">
        <v>800</v>
      </c>
      <c r="GQ188">
        <v>0</v>
      </c>
      <c r="GR188">
        <v>99.767399999999995</v>
      </c>
      <c r="GS188">
        <v>99.558300000000003</v>
      </c>
    </row>
    <row r="189" spans="1:201" x14ac:dyDescent="0.25">
      <c r="A189">
        <v>173</v>
      </c>
      <c r="B189">
        <v>1690378486.0999999</v>
      </c>
      <c r="C189">
        <v>1769.599999904633</v>
      </c>
      <c r="D189" t="s">
        <v>679</v>
      </c>
      <c r="E189" t="s">
        <v>680</v>
      </c>
      <c r="F189" t="s">
        <v>330</v>
      </c>
      <c r="H189">
        <v>1690378486.0999999</v>
      </c>
      <c r="I189">
        <f t="shared" si="60"/>
        <v>2.4221005540234234E-3</v>
      </c>
      <c r="J189">
        <f t="shared" si="61"/>
        <v>2.4221005540234235</v>
      </c>
      <c r="K189">
        <f t="shared" si="62"/>
        <v>35.276938111320035</v>
      </c>
      <c r="L189">
        <f t="shared" si="63"/>
        <v>383.846</v>
      </c>
      <c r="M189">
        <f t="shared" si="64"/>
        <v>85.301375366507656</v>
      </c>
      <c r="N189">
        <f t="shared" si="65"/>
        <v>8.4231781420787009</v>
      </c>
      <c r="O189">
        <f t="shared" si="66"/>
        <v>37.903295500599995</v>
      </c>
      <c r="P189">
        <f t="shared" si="67"/>
        <v>0.20123211423361426</v>
      </c>
      <c r="Q189">
        <f t="shared" si="68"/>
        <v>2.0075783931093514</v>
      </c>
      <c r="R189">
        <f t="shared" si="69"/>
        <v>0.19066014273784052</v>
      </c>
      <c r="S189">
        <f t="shared" si="70"/>
        <v>0.12006613488426435</v>
      </c>
      <c r="T189">
        <f t="shared" si="71"/>
        <v>276.11477540850336</v>
      </c>
      <c r="U189">
        <f t="shared" si="72"/>
        <v>28.493483789324628</v>
      </c>
      <c r="V189">
        <f t="shared" si="73"/>
        <v>28.493483789324628</v>
      </c>
      <c r="W189">
        <f t="shared" si="74"/>
        <v>3.9053909351637497</v>
      </c>
      <c r="X189">
        <f t="shared" si="75"/>
        <v>74.87923873933849</v>
      </c>
      <c r="Y189">
        <f t="shared" si="76"/>
        <v>2.6928555200500002</v>
      </c>
      <c r="Z189">
        <f t="shared" si="77"/>
        <v>3.5962645526139467</v>
      </c>
      <c r="AA189">
        <f t="shared" si="78"/>
        <v>1.2125354151137495</v>
      </c>
      <c r="AB189">
        <f t="shared" si="79"/>
        <v>-106.81463443243297</v>
      </c>
      <c r="AC189">
        <f t="shared" si="80"/>
        <v>-152.85509890388911</v>
      </c>
      <c r="AD189">
        <f t="shared" si="81"/>
        <v>-16.561500661179455</v>
      </c>
      <c r="AE189">
        <f t="shared" si="82"/>
        <v>-0.11645858899819928</v>
      </c>
      <c r="AF189">
        <v>8</v>
      </c>
      <c r="AG189">
        <v>3</v>
      </c>
      <c r="AH189">
        <f t="shared" si="83"/>
        <v>1</v>
      </c>
      <c r="AI189">
        <f t="shared" si="84"/>
        <v>0</v>
      </c>
      <c r="AJ189">
        <f t="shared" si="85"/>
        <v>52162.65707004429</v>
      </c>
      <c r="AK189">
        <f t="shared" si="86"/>
        <v>1799.99</v>
      </c>
      <c r="AL189">
        <f t="shared" si="87"/>
        <v>1499.1015764116401</v>
      </c>
      <c r="AM189">
        <f t="shared" si="88"/>
        <v>0.83283883599999997</v>
      </c>
      <c r="AN189">
        <f t="shared" si="89"/>
        <v>0.15339794965999998</v>
      </c>
      <c r="AO189">
        <v>34.5</v>
      </c>
      <c r="AP189">
        <v>0.5</v>
      </c>
      <c r="AQ189" t="s">
        <v>331</v>
      </c>
      <c r="AR189">
        <v>2</v>
      </c>
      <c r="AS189">
        <v>1690378486.0999999</v>
      </c>
      <c r="AT189">
        <v>383.846</v>
      </c>
      <c r="AU189">
        <v>799.995</v>
      </c>
      <c r="AV189">
        <v>27.270499999999998</v>
      </c>
      <c r="AW189">
        <v>0.190744</v>
      </c>
      <c r="AX189">
        <v>384.25299999999999</v>
      </c>
      <c r="AY189">
        <v>27.0593</v>
      </c>
      <c r="AZ189">
        <v>300.16399999999999</v>
      </c>
      <c r="BA189">
        <v>98.646100000000004</v>
      </c>
      <c r="BB189">
        <v>0.1</v>
      </c>
      <c r="BC189">
        <v>27.081199999999999</v>
      </c>
      <c r="BD189">
        <v>27.0183</v>
      </c>
      <c r="BE189">
        <v>28.567799999999998</v>
      </c>
      <c r="BF189">
        <v>0</v>
      </c>
      <c r="BG189">
        <v>0</v>
      </c>
      <c r="BH189">
        <v>10003.1</v>
      </c>
      <c r="BI189">
        <v>1082.47</v>
      </c>
      <c r="BJ189">
        <v>1.3455900000000001</v>
      </c>
      <c r="BK189">
        <v>-416.149</v>
      </c>
      <c r="BL189">
        <v>394.60700000000003</v>
      </c>
      <c r="BM189">
        <v>800.14700000000005</v>
      </c>
      <c r="BN189">
        <v>27.079699999999999</v>
      </c>
      <c r="BO189">
        <v>799.995</v>
      </c>
      <c r="BP189">
        <v>0.190744</v>
      </c>
      <c r="BQ189">
        <v>2.6901299999999999</v>
      </c>
      <c r="BR189">
        <v>1.8816200000000002E-2</v>
      </c>
      <c r="BS189">
        <v>22.224900000000002</v>
      </c>
      <c r="BT189">
        <v>-40.011499999999998</v>
      </c>
      <c r="BU189">
        <v>1799.99</v>
      </c>
      <c r="BV189">
        <v>0.90998199999999996</v>
      </c>
      <c r="BW189">
        <v>3.4006300000000003E-2</v>
      </c>
      <c r="BX189">
        <v>2.2005799999999999E-2</v>
      </c>
      <c r="BY189">
        <v>3.4006000000000002E-2</v>
      </c>
      <c r="BZ189">
        <v>25.708300000000001</v>
      </c>
      <c r="CA189">
        <v>33528.1</v>
      </c>
      <c r="CB189">
        <v>1690376213.5999999</v>
      </c>
      <c r="CC189" t="s">
        <v>332</v>
      </c>
      <c r="CD189">
        <v>1690376213.5999999</v>
      </c>
      <c r="CE189">
        <v>1690376198.0999999</v>
      </c>
      <c r="CF189">
        <v>2</v>
      </c>
      <c r="CG189">
        <v>0.66900000000000004</v>
      </c>
      <c r="CH189">
        <v>-2.1000000000000001E-2</v>
      </c>
      <c r="CI189">
        <v>-0.70099999999999996</v>
      </c>
      <c r="CJ189">
        <v>0.21099999999999999</v>
      </c>
      <c r="CK189">
        <v>799</v>
      </c>
      <c r="CL189">
        <v>21</v>
      </c>
      <c r="CM189">
        <v>0.11</v>
      </c>
      <c r="CN189">
        <v>0.17</v>
      </c>
      <c r="CO189">
        <v>-415.50712195121952</v>
      </c>
      <c r="CP189">
        <v>-3.1553101045296499</v>
      </c>
      <c r="CQ189">
        <v>0.32257948123410513</v>
      </c>
      <c r="CR189">
        <v>-1</v>
      </c>
      <c r="CS189">
        <v>27.051002439024391</v>
      </c>
      <c r="CT189">
        <v>0.1480076655052385</v>
      </c>
      <c r="CU189">
        <v>1.465401780924265E-2</v>
      </c>
      <c r="CV189">
        <v>-1</v>
      </c>
      <c r="CW189">
        <v>0</v>
      </c>
      <c r="CX189">
        <v>0</v>
      </c>
      <c r="CY189" t="s">
        <v>333</v>
      </c>
      <c r="CZ189">
        <v>2.3651499999999999</v>
      </c>
      <c r="DA189">
        <v>2.7137899999999999</v>
      </c>
      <c r="DB189">
        <v>8.6510900000000002E-2</v>
      </c>
      <c r="DC189">
        <v>0.14552000000000001</v>
      </c>
      <c r="DD189">
        <v>0.124114</v>
      </c>
      <c r="DE189">
        <v>1.5984599999999999E-3</v>
      </c>
      <c r="DF189">
        <v>33367.5</v>
      </c>
      <c r="DG189">
        <v>27540.7</v>
      </c>
      <c r="DH189">
        <v>31181.8</v>
      </c>
      <c r="DI189">
        <v>28083.7</v>
      </c>
      <c r="DJ189">
        <v>37066.400000000001</v>
      </c>
      <c r="DK189">
        <v>39867.300000000003</v>
      </c>
      <c r="DL189">
        <v>44373.9</v>
      </c>
      <c r="DM189">
        <v>42553</v>
      </c>
      <c r="DN189">
        <v>1.4492799999999999</v>
      </c>
      <c r="DO189">
        <v>2.0439699999999998</v>
      </c>
      <c r="DP189">
        <v>9.2189800000000002E-2</v>
      </c>
      <c r="DQ189">
        <v>0.18758</v>
      </c>
      <c r="DR189">
        <v>25.508900000000001</v>
      </c>
      <c r="DS189">
        <v>25.500299999999999</v>
      </c>
      <c r="DT189">
        <v>28.1</v>
      </c>
      <c r="DU189">
        <v>27.5</v>
      </c>
      <c r="DV189">
        <v>10.4993</v>
      </c>
      <c r="DW189">
        <v>60.928400000000003</v>
      </c>
      <c r="DX189">
        <v>36.859000000000002</v>
      </c>
      <c r="DY189">
        <v>1</v>
      </c>
      <c r="DZ189">
        <v>-0.133714</v>
      </c>
      <c r="EA189">
        <v>-0.532443</v>
      </c>
      <c r="EB189">
        <v>20.1892</v>
      </c>
      <c r="EC189">
        <v>5.2411000000000003</v>
      </c>
      <c r="ED189">
        <v>12.039899999999999</v>
      </c>
      <c r="EE189">
        <v>5.0166000000000004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1.86886</v>
      </c>
      <c r="EL189">
        <v>1.8645499999999999</v>
      </c>
      <c r="EM189">
        <v>1.8692</v>
      </c>
      <c r="EN189">
        <v>1.86721</v>
      </c>
      <c r="EO189">
        <v>1.8632899999999999</v>
      </c>
      <c r="EP189">
        <v>1.86435</v>
      </c>
      <c r="EQ189">
        <v>1.87012</v>
      </c>
      <c r="ER189">
        <v>1.8693500000000001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-0.40699999999999997</v>
      </c>
      <c r="FG189">
        <v>0.2112</v>
      </c>
      <c r="FH189">
        <v>-0.150361779349652</v>
      </c>
      <c r="FI189">
        <v>-6.1462078757559423E-4</v>
      </c>
      <c r="FJ189">
        <v>-1.8861989874597051E-7</v>
      </c>
      <c r="FK189">
        <v>1.1980462299894961E-10</v>
      </c>
      <c r="FL189">
        <v>0.21114761904761539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37.9</v>
      </c>
      <c r="FU189">
        <v>38.1</v>
      </c>
      <c r="FV189">
        <v>1.7663599999999999</v>
      </c>
      <c r="FW189">
        <v>2.5683600000000002</v>
      </c>
      <c r="FX189">
        <v>1.5490699999999999</v>
      </c>
      <c r="FY189">
        <v>2.33765</v>
      </c>
      <c r="FZ189">
        <v>1.50024</v>
      </c>
      <c r="GA189">
        <v>2.36084</v>
      </c>
      <c r="GB189">
        <v>32.377000000000002</v>
      </c>
      <c r="GC189">
        <v>23.991199999999999</v>
      </c>
      <c r="GD189">
        <v>19</v>
      </c>
      <c r="GE189">
        <v>269.46300000000002</v>
      </c>
      <c r="GF189">
        <v>583.45100000000002</v>
      </c>
      <c r="GG189">
        <v>25.862200000000001</v>
      </c>
      <c r="GH189">
        <v>25.749099999999999</v>
      </c>
      <c r="GI189">
        <v>30.000299999999999</v>
      </c>
      <c r="GJ189">
        <v>25.849</v>
      </c>
      <c r="GK189">
        <v>25.812200000000001</v>
      </c>
      <c r="GL189">
        <v>35.311399999999999</v>
      </c>
      <c r="GM189">
        <v>100</v>
      </c>
      <c r="GN189">
        <v>10.734</v>
      </c>
      <c r="GO189">
        <v>25.8612</v>
      </c>
      <c r="GP189">
        <v>800</v>
      </c>
      <c r="GQ189">
        <v>0</v>
      </c>
      <c r="GR189">
        <v>99.767499999999998</v>
      </c>
      <c r="GS189">
        <v>99.557599999999994</v>
      </c>
    </row>
    <row r="190" spans="1:201" x14ac:dyDescent="0.25">
      <c r="A190">
        <v>174</v>
      </c>
      <c r="B190">
        <v>1690378496.0999999</v>
      </c>
      <c r="C190">
        <v>1779.599999904633</v>
      </c>
      <c r="D190" t="s">
        <v>681</v>
      </c>
      <c r="E190" t="s">
        <v>682</v>
      </c>
      <c r="F190" t="s">
        <v>330</v>
      </c>
      <c r="H190">
        <v>1690378496.0999999</v>
      </c>
      <c r="I190">
        <f t="shared" si="60"/>
        <v>2.425262560560327E-3</v>
      </c>
      <c r="J190">
        <f t="shared" si="61"/>
        <v>2.4252625605603271</v>
      </c>
      <c r="K190">
        <f t="shared" si="62"/>
        <v>35.343448973534855</v>
      </c>
      <c r="L190">
        <f t="shared" si="63"/>
        <v>383.07</v>
      </c>
      <c r="M190">
        <f t="shared" si="64"/>
        <v>84.766322447034611</v>
      </c>
      <c r="N190">
        <f t="shared" si="65"/>
        <v>8.3703559593375552</v>
      </c>
      <c r="O190">
        <f t="shared" si="66"/>
        <v>37.826723689079998</v>
      </c>
      <c r="P190">
        <f t="shared" si="67"/>
        <v>0.20180663250959363</v>
      </c>
      <c r="Q190">
        <f t="shared" si="68"/>
        <v>2.0038478864305631</v>
      </c>
      <c r="R190">
        <f t="shared" si="69"/>
        <v>0.19115725192239277</v>
      </c>
      <c r="S190">
        <f t="shared" si="70"/>
        <v>0.12038323572396865</v>
      </c>
      <c r="T190">
        <f t="shared" si="71"/>
        <v>276.1147492546487</v>
      </c>
      <c r="U190">
        <f t="shared" si="72"/>
        <v>28.501482425217734</v>
      </c>
      <c r="V190">
        <f t="shared" si="73"/>
        <v>28.501482425217734</v>
      </c>
      <c r="W190">
        <f t="shared" si="74"/>
        <v>3.9072056953864545</v>
      </c>
      <c r="X190">
        <f t="shared" si="75"/>
        <v>74.944434175505791</v>
      </c>
      <c r="Y190">
        <f t="shared" si="76"/>
        <v>2.6962760670443995</v>
      </c>
      <c r="Z190">
        <f t="shared" si="77"/>
        <v>3.5977002117732018</v>
      </c>
      <c r="AA190">
        <f t="shared" si="78"/>
        <v>1.210929628342055</v>
      </c>
      <c r="AB190">
        <f t="shared" si="79"/>
        <v>-106.95407892071042</v>
      </c>
      <c r="AC190">
        <f t="shared" si="80"/>
        <v>-152.70055206329769</v>
      </c>
      <c r="AD190">
        <f t="shared" si="81"/>
        <v>-16.576780214561232</v>
      </c>
      <c r="AE190">
        <f t="shared" si="82"/>
        <v>-0.11666194392060447</v>
      </c>
      <c r="AF190">
        <v>8</v>
      </c>
      <c r="AG190">
        <v>3</v>
      </c>
      <c r="AH190">
        <f t="shared" si="83"/>
        <v>1</v>
      </c>
      <c r="AI190">
        <f t="shared" si="84"/>
        <v>0</v>
      </c>
      <c r="AJ190">
        <f t="shared" si="85"/>
        <v>51983.399259200924</v>
      </c>
      <c r="AK190">
        <f t="shared" si="86"/>
        <v>1799.99</v>
      </c>
      <c r="AL190">
        <f t="shared" si="87"/>
        <v>1499.1011570139701</v>
      </c>
      <c r="AM190">
        <f t="shared" si="88"/>
        <v>0.83283860300000001</v>
      </c>
      <c r="AN190">
        <f t="shared" si="89"/>
        <v>0.15339793513</v>
      </c>
      <c r="AO190">
        <v>34.5</v>
      </c>
      <c r="AP190">
        <v>0.5</v>
      </c>
      <c r="AQ190" t="s">
        <v>331</v>
      </c>
      <c r="AR190">
        <v>2</v>
      </c>
      <c r="AS190">
        <v>1690378496.0999999</v>
      </c>
      <c r="AT190">
        <v>383.07</v>
      </c>
      <c r="AU190">
        <v>799.99800000000005</v>
      </c>
      <c r="AV190">
        <v>27.305099999999999</v>
      </c>
      <c r="AW190">
        <v>0.18951100000000001</v>
      </c>
      <c r="AX190">
        <v>383.47699999999998</v>
      </c>
      <c r="AY190">
        <v>27.094000000000001</v>
      </c>
      <c r="AZ190">
        <v>300.14800000000002</v>
      </c>
      <c r="BA190">
        <v>98.646199999999993</v>
      </c>
      <c r="BB190">
        <v>0.10004399999999999</v>
      </c>
      <c r="BC190">
        <v>27.088000000000001</v>
      </c>
      <c r="BD190">
        <v>26.9956</v>
      </c>
      <c r="BE190">
        <v>28.5884</v>
      </c>
      <c r="BF190">
        <v>0</v>
      </c>
      <c r="BG190">
        <v>0</v>
      </c>
      <c r="BH190">
        <v>9967.5</v>
      </c>
      <c r="BI190">
        <v>1082.3900000000001</v>
      </c>
      <c r="BJ190">
        <v>1.3455900000000001</v>
      </c>
      <c r="BK190">
        <v>-416.92700000000002</v>
      </c>
      <c r="BL190">
        <v>393.82400000000001</v>
      </c>
      <c r="BM190">
        <v>800.149</v>
      </c>
      <c r="BN190">
        <v>27.115600000000001</v>
      </c>
      <c r="BO190">
        <v>799.99800000000005</v>
      </c>
      <c r="BP190">
        <v>0.18951100000000001</v>
      </c>
      <c r="BQ190">
        <v>2.69354</v>
      </c>
      <c r="BR190">
        <v>1.8694599999999999E-2</v>
      </c>
      <c r="BS190">
        <v>22.245799999999999</v>
      </c>
      <c r="BT190">
        <v>-40.073599999999999</v>
      </c>
      <c r="BU190">
        <v>1799.99</v>
      </c>
      <c r="BV190">
        <v>0.90998100000000004</v>
      </c>
      <c r="BW190">
        <v>3.4008200000000002E-2</v>
      </c>
      <c r="BX190">
        <v>2.2005400000000001E-2</v>
      </c>
      <c r="BY190">
        <v>3.4005500000000001E-2</v>
      </c>
      <c r="BZ190">
        <v>26</v>
      </c>
      <c r="CA190">
        <v>33528.1</v>
      </c>
      <c r="CB190">
        <v>1690376213.5999999</v>
      </c>
      <c r="CC190" t="s">
        <v>332</v>
      </c>
      <c r="CD190">
        <v>1690376213.5999999</v>
      </c>
      <c r="CE190">
        <v>1690376198.0999999</v>
      </c>
      <c r="CF190">
        <v>2</v>
      </c>
      <c r="CG190">
        <v>0.66900000000000004</v>
      </c>
      <c r="CH190">
        <v>-2.1000000000000001E-2</v>
      </c>
      <c r="CI190">
        <v>-0.70099999999999996</v>
      </c>
      <c r="CJ190">
        <v>0.21099999999999999</v>
      </c>
      <c r="CK190">
        <v>799</v>
      </c>
      <c r="CL190">
        <v>21</v>
      </c>
      <c r="CM190">
        <v>0.11</v>
      </c>
      <c r="CN190">
        <v>0.17</v>
      </c>
      <c r="CO190">
        <v>-416.12387500000011</v>
      </c>
      <c r="CP190">
        <v>-4.0787729831126196</v>
      </c>
      <c r="CQ190">
        <v>0.39429514246944108</v>
      </c>
      <c r="CR190">
        <v>-1</v>
      </c>
      <c r="CS190">
        <v>27.079660000000001</v>
      </c>
      <c r="CT190">
        <v>0.17765403377103739</v>
      </c>
      <c r="CU190">
        <v>1.7267886379056359E-2</v>
      </c>
      <c r="CV190">
        <v>-1</v>
      </c>
      <c r="CW190">
        <v>0</v>
      </c>
      <c r="CX190">
        <v>0</v>
      </c>
      <c r="CY190" t="s">
        <v>333</v>
      </c>
      <c r="CZ190">
        <v>2.3651</v>
      </c>
      <c r="DA190">
        <v>2.7138100000000001</v>
      </c>
      <c r="DB190">
        <v>8.6376300000000003E-2</v>
      </c>
      <c r="DC190">
        <v>0.14552000000000001</v>
      </c>
      <c r="DD190">
        <v>0.124224</v>
      </c>
      <c r="DE190">
        <v>1.5882400000000001E-3</v>
      </c>
      <c r="DF190">
        <v>33372.6</v>
      </c>
      <c r="DG190">
        <v>27540.6</v>
      </c>
      <c r="DH190">
        <v>31182</v>
      </c>
      <c r="DI190">
        <v>28083.7</v>
      </c>
      <c r="DJ190">
        <v>37062.199999999997</v>
      </c>
      <c r="DK190">
        <v>39867.699999999997</v>
      </c>
      <c r="DL190">
        <v>44374.5</v>
      </c>
      <c r="DM190">
        <v>42553</v>
      </c>
      <c r="DN190">
        <v>1.4489000000000001</v>
      </c>
      <c r="DO190">
        <v>2.0442</v>
      </c>
      <c r="DP190">
        <v>9.0796500000000002E-2</v>
      </c>
      <c r="DQ190">
        <v>0.18883900000000001</v>
      </c>
      <c r="DR190">
        <v>25.508900000000001</v>
      </c>
      <c r="DS190">
        <v>25.500299999999999</v>
      </c>
      <c r="DT190">
        <v>27.8</v>
      </c>
      <c r="DU190">
        <v>27.5</v>
      </c>
      <c r="DV190">
        <v>10.3873</v>
      </c>
      <c r="DW190">
        <v>61.218400000000003</v>
      </c>
      <c r="DX190">
        <v>36.883000000000003</v>
      </c>
      <c r="DY190">
        <v>1</v>
      </c>
      <c r="DZ190">
        <v>-0.13400899999999999</v>
      </c>
      <c r="EA190">
        <v>-0.49303399999999997</v>
      </c>
      <c r="EB190">
        <v>20.189299999999999</v>
      </c>
      <c r="EC190">
        <v>5.24125</v>
      </c>
      <c r="ED190">
        <v>12.039899999999999</v>
      </c>
      <c r="EE190">
        <v>5.0162000000000004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1.86887</v>
      </c>
      <c r="EL190">
        <v>1.8645400000000001</v>
      </c>
      <c r="EM190">
        <v>1.8691899999999999</v>
      </c>
      <c r="EN190">
        <v>1.8672200000000001</v>
      </c>
      <c r="EO190">
        <v>1.8632899999999999</v>
      </c>
      <c r="EP190">
        <v>1.8643400000000001</v>
      </c>
      <c r="EQ190">
        <v>1.8701300000000001</v>
      </c>
      <c r="ER190">
        <v>1.8693500000000001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-0.40699999999999997</v>
      </c>
      <c r="FG190">
        <v>0.21110000000000001</v>
      </c>
      <c r="FH190">
        <v>-0.150361779349652</v>
      </c>
      <c r="FI190">
        <v>-6.1462078757559423E-4</v>
      </c>
      <c r="FJ190">
        <v>-1.8861989874597051E-7</v>
      </c>
      <c r="FK190">
        <v>1.1980462299894961E-10</v>
      </c>
      <c r="FL190">
        <v>0.21114761904761539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38</v>
      </c>
      <c r="FU190">
        <v>38.299999999999997</v>
      </c>
      <c r="FV190">
        <v>1.7663599999999999</v>
      </c>
      <c r="FW190">
        <v>2.5671400000000002</v>
      </c>
      <c r="FX190">
        <v>1.5490699999999999</v>
      </c>
      <c r="FY190">
        <v>2.33765</v>
      </c>
      <c r="FZ190">
        <v>1.50146</v>
      </c>
      <c r="GA190">
        <v>2.3278799999999999</v>
      </c>
      <c r="GB190">
        <v>32.399099999999997</v>
      </c>
      <c r="GC190">
        <v>23.991199999999999</v>
      </c>
      <c r="GD190">
        <v>19</v>
      </c>
      <c r="GE190">
        <v>269.31</v>
      </c>
      <c r="GF190">
        <v>583.66099999999994</v>
      </c>
      <c r="GG190">
        <v>25.8567</v>
      </c>
      <c r="GH190">
        <v>25.751300000000001</v>
      </c>
      <c r="GI190">
        <v>30</v>
      </c>
      <c r="GJ190">
        <v>25.8492</v>
      </c>
      <c r="GK190">
        <v>25.814299999999999</v>
      </c>
      <c r="GL190">
        <v>35.311399999999999</v>
      </c>
      <c r="GM190">
        <v>100</v>
      </c>
      <c r="GN190">
        <v>9.9446600000000007</v>
      </c>
      <c r="GO190">
        <v>25.858899999999998</v>
      </c>
      <c r="GP190">
        <v>800</v>
      </c>
      <c r="GQ190">
        <v>0</v>
      </c>
      <c r="GR190">
        <v>99.7684</v>
      </c>
      <c r="GS190">
        <v>99.557599999999994</v>
      </c>
    </row>
    <row r="191" spans="1:201" x14ac:dyDescent="0.25">
      <c r="A191">
        <v>175</v>
      </c>
      <c r="B191">
        <v>1690378506.0999999</v>
      </c>
      <c r="C191">
        <v>1789.599999904633</v>
      </c>
      <c r="D191" t="s">
        <v>683</v>
      </c>
      <c r="E191" t="s">
        <v>684</v>
      </c>
      <c r="F191" t="s">
        <v>330</v>
      </c>
      <c r="H191">
        <v>1690378506.0999999</v>
      </c>
      <c r="I191">
        <f t="shared" si="60"/>
        <v>2.4278682530537435E-3</v>
      </c>
      <c r="J191">
        <f t="shared" si="61"/>
        <v>2.4278682530537434</v>
      </c>
      <c r="K191">
        <f t="shared" si="62"/>
        <v>35.388727931225134</v>
      </c>
      <c r="L191">
        <f t="shared" si="63"/>
        <v>382.54700000000003</v>
      </c>
      <c r="M191">
        <f t="shared" si="64"/>
        <v>85.316259316309598</v>
      </c>
      <c r="N191">
        <f t="shared" si="65"/>
        <v>8.424854185852519</v>
      </c>
      <c r="O191">
        <f t="shared" si="66"/>
        <v>37.775949391855406</v>
      </c>
      <c r="P191">
        <f t="shared" si="67"/>
        <v>0.20282598321151071</v>
      </c>
      <c r="Q191">
        <f t="shared" si="68"/>
        <v>2.0070188210731343</v>
      </c>
      <c r="R191">
        <f t="shared" si="69"/>
        <v>0.19208785129431097</v>
      </c>
      <c r="S191">
        <f t="shared" si="70"/>
        <v>0.12097228915673292</v>
      </c>
      <c r="T191">
        <f t="shared" si="71"/>
        <v>276.11606728800001</v>
      </c>
      <c r="U191">
        <f t="shared" si="72"/>
        <v>28.492426766986178</v>
      </c>
      <c r="V191">
        <f t="shared" si="73"/>
        <v>28.492426766986178</v>
      </c>
      <c r="W191">
        <f t="shared" si="74"/>
        <v>3.9051511690148453</v>
      </c>
      <c r="X191">
        <f t="shared" si="75"/>
        <v>75.040544277154524</v>
      </c>
      <c r="Y191">
        <f t="shared" si="76"/>
        <v>2.6987673778505399</v>
      </c>
      <c r="Z191">
        <f t="shared" si="77"/>
        <v>3.5964123179636336</v>
      </c>
      <c r="AA191">
        <f t="shared" si="78"/>
        <v>1.2063837911643054</v>
      </c>
      <c r="AB191">
        <f t="shared" si="79"/>
        <v>-107.06898995967009</v>
      </c>
      <c r="AC191">
        <f t="shared" si="80"/>
        <v>-152.62237959264033</v>
      </c>
      <c r="AD191">
        <f t="shared" si="81"/>
        <v>-16.540866820690855</v>
      </c>
      <c r="AE191">
        <f t="shared" si="82"/>
        <v>-0.11616908500124623</v>
      </c>
      <c r="AF191">
        <v>8</v>
      </c>
      <c r="AG191">
        <v>3</v>
      </c>
      <c r="AH191">
        <f t="shared" si="83"/>
        <v>1</v>
      </c>
      <c r="AI191">
        <f t="shared" si="84"/>
        <v>0</v>
      </c>
      <c r="AJ191">
        <f t="shared" si="85"/>
        <v>52135.848128654245</v>
      </c>
      <c r="AK191">
        <f t="shared" si="86"/>
        <v>1800</v>
      </c>
      <c r="AL191">
        <f t="shared" si="87"/>
        <v>1499.1092207999998</v>
      </c>
      <c r="AM191">
        <f t="shared" si="88"/>
        <v>0.83283845599999984</v>
      </c>
      <c r="AN191">
        <f t="shared" si="89"/>
        <v>0.15339781516000001</v>
      </c>
      <c r="AO191">
        <v>34.5</v>
      </c>
      <c r="AP191">
        <v>0.5</v>
      </c>
      <c r="AQ191" t="s">
        <v>331</v>
      </c>
      <c r="AR191">
        <v>2</v>
      </c>
      <c r="AS191">
        <v>1690378506.0999999</v>
      </c>
      <c r="AT191">
        <v>382.54700000000003</v>
      </c>
      <c r="AU191">
        <v>799.952</v>
      </c>
      <c r="AV191">
        <v>27.329699999999999</v>
      </c>
      <c r="AW191">
        <v>0.18828700000000001</v>
      </c>
      <c r="AX191">
        <v>382.95299999999997</v>
      </c>
      <c r="AY191">
        <v>27.118500000000001</v>
      </c>
      <c r="AZ191">
        <v>300.17700000000002</v>
      </c>
      <c r="BA191">
        <v>98.648600000000002</v>
      </c>
      <c r="BB191">
        <v>9.9918199999999999E-2</v>
      </c>
      <c r="BC191">
        <v>27.081900000000001</v>
      </c>
      <c r="BD191">
        <v>26.9956</v>
      </c>
      <c r="BE191">
        <v>28.573399999999999</v>
      </c>
      <c r="BF191">
        <v>0</v>
      </c>
      <c r="BG191">
        <v>0</v>
      </c>
      <c r="BH191">
        <v>9997.5</v>
      </c>
      <c r="BI191">
        <v>1082.32</v>
      </c>
      <c r="BJ191">
        <v>1.3455900000000001</v>
      </c>
      <c r="BK191">
        <v>-417.40499999999997</v>
      </c>
      <c r="BL191">
        <v>393.29500000000002</v>
      </c>
      <c r="BM191">
        <v>800.10299999999995</v>
      </c>
      <c r="BN191">
        <v>27.141400000000001</v>
      </c>
      <c r="BO191">
        <v>799.952</v>
      </c>
      <c r="BP191">
        <v>0.18828700000000001</v>
      </c>
      <c r="BQ191">
        <v>2.6960299999999999</v>
      </c>
      <c r="BR191">
        <v>1.8574199999999999E-2</v>
      </c>
      <c r="BS191">
        <v>22.260999999999999</v>
      </c>
      <c r="BT191">
        <v>-40.135399999999997</v>
      </c>
      <c r="BU191">
        <v>1800</v>
      </c>
      <c r="BV191">
        <v>0.90998299999999999</v>
      </c>
      <c r="BW191">
        <v>3.4007299999999997E-2</v>
      </c>
      <c r="BX191">
        <v>2.2004800000000001E-2</v>
      </c>
      <c r="BY191">
        <v>3.4004600000000003E-2</v>
      </c>
      <c r="BZ191">
        <v>25.958300000000001</v>
      </c>
      <c r="CA191">
        <v>33528.199999999997</v>
      </c>
      <c r="CB191">
        <v>1690376213.5999999</v>
      </c>
      <c r="CC191" t="s">
        <v>332</v>
      </c>
      <c r="CD191">
        <v>1690376213.5999999</v>
      </c>
      <c r="CE191">
        <v>1690376198.0999999</v>
      </c>
      <c r="CF191">
        <v>2</v>
      </c>
      <c r="CG191">
        <v>0.66900000000000004</v>
      </c>
      <c r="CH191">
        <v>-2.1000000000000001E-2</v>
      </c>
      <c r="CI191">
        <v>-0.70099999999999996</v>
      </c>
      <c r="CJ191">
        <v>0.21099999999999999</v>
      </c>
      <c r="CK191">
        <v>799</v>
      </c>
      <c r="CL191">
        <v>21</v>
      </c>
      <c r="CM191">
        <v>0.11</v>
      </c>
      <c r="CN191">
        <v>0.17</v>
      </c>
      <c r="CO191">
        <v>-416.7883250000001</v>
      </c>
      <c r="CP191">
        <v>-3.807208255159694</v>
      </c>
      <c r="CQ191">
        <v>0.36992495100358253</v>
      </c>
      <c r="CR191">
        <v>-1</v>
      </c>
      <c r="CS191">
        <v>27.111687499999999</v>
      </c>
      <c r="CT191">
        <v>0.20701350844274391</v>
      </c>
      <c r="CU191">
        <v>1.998951209384553E-2</v>
      </c>
      <c r="CV191">
        <v>-1</v>
      </c>
      <c r="CW191">
        <v>0</v>
      </c>
      <c r="CX191">
        <v>0</v>
      </c>
      <c r="CY191" t="s">
        <v>333</v>
      </c>
      <c r="CZ191">
        <v>2.3651800000000001</v>
      </c>
      <c r="DA191">
        <v>2.7137099999999998</v>
      </c>
      <c r="DB191">
        <v>8.6287000000000003E-2</v>
      </c>
      <c r="DC191">
        <v>0.14551700000000001</v>
      </c>
      <c r="DD191">
        <v>0.124304</v>
      </c>
      <c r="DE191">
        <v>1.5781300000000001E-3</v>
      </c>
      <c r="DF191">
        <v>33375.4</v>
      </c>
      <c r="DG191">
        <v>27540.400000000001</v>
      </c>
      <c r="DH191">
        <v>31181.5</v>
      </c>
      <c r="DI191">
        <v>28083.4</v>
      </c>
      <c r="DJ191">
        <v>37058.1</v>
      </c>
      <c r="DK191">
        <v>39867.800000000003</v>
      </c>
      <c r="DL191">
        <v>44373.7</v>
      </c>
      <c r="DM191">
        <v>42552.6</v>
      </c>
      <c r="DN191">
        <v>1.44902</v>
      </c>
      <c r="DO191">
        <v>2.0440800000000001</v>
      </c>
      <c r="DP191">
        <v>9.0666099999999999E-2</v>
      </c>
      <c r="DQ191">
        <v>0.187919</v>
      </c>
      <c r="DR191">
        <v>25.510999999999999</v>
      </c>
      <c r="DS191">
        <v>25.500299999999999</v>
      </c>
      <c r="DT191">
        <v>27.6</v>
      </c>
      <c r="DU191">
        <v>27.5</v>
      </c>
      <c r="DV191">
        <v>10.3125</v>
      </c>
      <c r="DW191">
        <v>60.998399999999997</v>
      </c>
      <c r="DX191">
        <v>36.730800000000002</v>
      </c>
      <c r="DY191">
        <v>1</v>
      </c>
      <c r="DZ191">
        <v>-0.13349800000000001</v>
      </c>
      <c r="EA191">
        <v>-0.51604000000000005</v>
      </c>
      <c r="EB191">
        <v>20.189299999999999</v>
      </c>
      <c r="EC191">
        <v>5.24125</v>
      </c>
      <c r="ED191">
        <v>12.039899999999999</v>
      </c>
      <c r="EE191">
        <v>5.0164499999999999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1.8688400000000001</v>
      </c>
      <c r="EL191">
        <v>1.8645499999999999</v>
      </c>
      <c r="EM191">
        <v>1.8691899999999999</v>
      </c>
      <c r="EN191">
        <v>1.8672</v>
      </c>
      <c r="EO191">
        <v>1.8632899999999999</v>
      </c>
      <c r="EP191">
        <v>1.86435</v>
      </c>
      <c r="EQ191">
        <v>1.8701300000000001</v>
      </c>
      <c r="ER191">
        <v>1.8693500000000001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-0.40600000000000003</v>
      </c>
      <c r="FG191">
        <v>0.2112</v>
      </c>
      <c r="FH191">
        <v>-0.150361779349652</v>
      </c>
      <c r="FI191">
        <v>-6.1462078757559423E-4</v>
      </c>
      <c r="FJ191">
        <v>-1.8861989874597051E-7</v>
      </c>
      <c r="FK191">
        <v>1.1980462299894961E-10</v>
      </c>
      <c r="FL191">
        <v>0.21114761904761539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38.200000000000003</v>
      </c>
      <c r="FU191">
        <v>38.5</v>
      </c>
      <c r="FV191">
        <v>1.7663599999999999</v>
      </c>
      <c r="FW191">
        <v>2.5683600000000002</v>
      </c>
      <c r="FX191">
        <v>1.5490699999999999</v>
      </c>
      <c r="FY191">
        <v>2.33765</v>
      </c>
      <c r="FZ191">
        <v>1.50146</v>
      </c>
      <c r="GA191">
        <v>2.2814899999999998</v>
      </c>
      <c r="GB191">
        <v>32.399099999999997</v>
      </c>
      <c r="GC191">
        <v>23.991199999999999</v>
      </c>
      <c r="GD191">
        <v>19</v>
      </c>
      <c r="GE191">
        <v>269.37</v>
      </c>
      <c r="GF191">
        <v>583.57600000000002</v>
      </c>
      <c r="GG191">
        <v>25.857700000000001</v>
      </c>
      <c r="GH191">
        <v>25.7531</v>
      </c>
      <c r="GI191">
        <v>30.000299999999999</v>
      </c>
      <c r="GJ191">
        <v>25.851199999999999</v>
      </c>
      <c r="GK191">
        <v>25.815999999999999</v>
      </c>
      <c r="GL191">
        <v>35.311500000000002</v>
      </c>
      <c r="GM191">
        <v>100</v>
      </c>
      <c r="GN191">
        <v>9.5562400000000007</v>
      </c>
      <c r="GO191">
        <v>25.857700000000001</v>
      </c>
      <c r="GP191">
        <v>800</v>
      </c>
      <c r="GQ191">
        <v>0</v>
      </c>
      <c r="GR191">
        <v>99.766900000000007</v>
      </c>
      <c r="GS191">
        <v>99.556700000000006</v>
      </c>
    </row>
    <row r="192" spans="1:201" x14ac:dyDescent="0.25">
      <c r="A192">
        <v>176</v>
      </c>
      <c r="B192">
        <v>1690378516.0999999</v>
      </c>
      <c r="C192">
        <v>1799.599999904633</v>
      </c>
      <c r="D192" t="s">
        <v>685</v>
      </c>
      <c r="E192" t="s">
        <v>686</v>
      </c>
      <c r="F192" t="s">
        <v>330</v>
      </c>
      <c r="H192">
        <v>1690378516.0999999</v>
      </c>
      <c r="I192">
        <f t="shared" si="60"/>
        <v>2.4292803828812486E-3</v>
      </c>
      <c r="J192">
        <f t="shared" si="61"/>
        <v>2.4292803828812488</v>
      </c>
      <c r="K192">
        <f t="shared" si="62"/>
        <v>35.429131940378255</v>
      </c>
      <c r="L192">
        <f t="shared" si="63"/>
        <v>382.12099999999998</v>
      </c>
      <c r="M192">
        <f t="shared" si="64"/>
        <v>84.902890632298934</v>
      </c>
      <c r="N192">
        <f t="shared" si="65"/>
        <v>8.3837437720231627</v>
      </c>
      <c r="O192">
        <f t="shared" si="66"/>
        <v>37.732573414768297</v>
      </c>
      <c r="P192">
        <f t="shared" si="67"/>
        <v>0.20308070906461911</v>
      </c>
      <c r="Q192">
        <f t="shared" si="68"/>
        <v>2.004754630728899</v>
      </c>
      <c r="R192">
        <f t="shared" si="69"/>
        <v>0.19230489252188057</v>
      </c>
      <c r="S192">
        <f t="shared" si="70"/>
        <v>0.12111105209868137</v>
      </c>
      <c r="T192">
        <f t="shared" si="71"/>
        <v>276.11597836800007</v>
      </c>
      <c r="U192">
        <f t="shared" si="72"/>
        <v>28.495640839454634</v>
      </c>
      <c r="V192">
        <f t="shared" si="73"/>
        <v>28.495640839454634</v>
      </c>
      <c r="W192">
        <f t="shared" si="74"/>
        <v>3.9058802622971975</v>
      </c>
      <c r="X192">
        <f t="shared" si="75"/>
        <v>75.07063781246778</v>
      </c>
      <c r="Y192">
        <f t="shared" si="76"/>
        <v>2.7002141724711901</v>
      </c>
      <c r="Z192">
        <f t="shared" si="77"/>
        <v>3.5968978699988305</v>
      </c>
      <c r="AA192">
        <f t="shared" si="78"/>
        <v>1.2056660898260074</v>
      </c>
      <c r="AB192">
        <f t="shared" si="79"/>
        <v>-107.13126488506306</v>
      </c>
      <c r="AC192">
        <f t="shared" si="80"/>
        <v>-152.54899403523152</v>
      </c>
      <c r="AD192">
        <f t="shared" si="81"/>
        <v>-16.552041161372973</v>
      </c>
      <c r="AE192">
        <f t="shared" si="82"/>
        <v>-0.11632171366747457</v>
      </c>
      <c r="AF192">
        <v>8</v>
      </c>
      <c r="AG192">
        <v>3</v>
      </c>
      <c r="AH192">
        <f t="shared" si="83"/>
        <v>1</v>
      </c>
      <c r="AI192">
        <f t="shared" si="84"/>
        <v>0</v>
      </c>
      <c r="AJ192">
        <f t="shared" si="85"/>
        <v>52027.276716600558</v>
      </c>
      <c r="AK192">
        <f t="shared" si="86"/>
        <v>1800</v>
      </c>
      <c r="AL192">
        <f t="shared" si="87"/>
        <v>1499.1094998000003</v>
      </c>
      <c r="AM192">
        <f t="shared" si="88"/>
        <v>0.83283861100000012</v>
      </c>
      <c r="AN192">
        <f t="shared" si="89"/>
        <v>0.15339776576000003</v>
      </c>
      <c r="AO192">
        <v>34.5</v>
      </c>
      <c r="AP192">
        <v>0.5</v>
      </c>
      <c r="AQ192" t="s">
        <v>331</v>
      </c>
      <c r="AR192">
        <v>2</v>
      </c>
      <c r="AS192">
        <v>1690378516.0999999</v>
      </c>
      <c r="AT192">
        <v>382.12099999999998</v>
      </c>
      <c r="AU192">
        <v>800</v>
      </c>
      <c r="AV192">
        <v>27.345300000000002</v>
      </c>
      <c r="AW192">
        <v>0.18754100000000001</v>
      </c>
      <c r="AX192">
        <v>382.52800000000002</v>
      </c>
      <c r="AY192">
        <v>27.1341</v>
      </c>
      <c r="AZ192">
        <v>300.166</v>
      </c>
      <c r="BA192">
        <v>98.645099999999999</v>
      </c>
      <c r="BB192">
        <v>9.9992300000000006E-2</v>
      </c>
      <c r="BC192">
        <v>27.084199999999999</v>
      </c>
      <c r="BD192">
        <v>26.9954</v>
      </c>
      <c r="BE192">
        <v>28.555700000000002</v>
      </c>
      <c r="BF192">
        <v>0</v>
      </c>
      <c r="BG192">
        <v>0</v>
      </c>
      <c r="BH192">
        <v>9976.25</v>
      </c>
      <c r="BI192">
        <v>1082.29</v>
      </c>
      <c r="BJ192">
        <v>1.3455900000000001</v>
      </c>
      <c r="BK192">
        <v>-417.87900000000002</v>
      </c>
      <c r="BL192">
        <v>392.86399999999998</v>
      </c>
      <c r="BM192">
        <v>800.15</v>
      </c>
      <c r="BN192">
        <v>27.157699999999998</v>
      </c>
      <c r="BO192">
        <v>800</v>
      </c>
      <c r="BP192">
        <v>0.18754100000000001</v>
      </c>
      <c r="BQ192">
        <v>2.69747</v>
      </c>
      <c r="BR192">
        <v>1.84999E-2</v>
      </c>
      <c r="BS192">
        <v>22.2697</v>
      </c>
      <c r="BT192">
        <v>-40.173699999999997</v>
      </c>
      <c r="BU192">
        <v>1800</v>
      </c>
      <c r="BV192">
        <v>0.90998500000000004</v>
      </c>
      <c r="BW192">
        <v>3.4006599999999998E-2</v>
      </c>
      <c r="BX192">
        <v>2.2004300000000001E-2</v>
      </c>
      <c r="BY192">
        <v>3.4003800000000001E-2</v>
      </c>
      <c r="BZ192">
        <v>26</v>
      </c>
      <c r="CA192">
        <v>33528.199999999997</v>
      </c>
      <c r="CB192">
        <v>1690376213.5999999</v>
      </c>
      <c r="CC192" t="s">
        <v>332</v>
      </c>
      <c r="CD192">
        <v>1690376213.5999999</v>
      </c>
      <c r="CE192">
        <v>1690376198.0999999</v>
      </c>
      <c r="CF192">
        <v>2</v>
      </c>
      <c r="CG192">
        <v>0.66900000000000004</v>
      </c>
      <c r="CH192">
        <v>-2.1000000000000001E-2</v>
      </c>
      <c r="CI192">
        <v>-0.70099999999999996</v>
      </c>
      <c r="CJ192">
        <v>0.21099999999999999</v>
      </c>
      <c r="CK192">
        <v>799</v>
      </c>
      <c r="CL192">
        <v>21</v>
      </c>
      <c r="CM192">
        <v>0.11</v>
      </c>
      <c r="CN192">
        <v>0.17</v>
      </c>
      <c r="CO192">
        <v>-417.33724999999993</v>
      </c>
      <c r="CP192">
        <v>-2.66390994371368</v>
      </c>
      <c r="CQ192">
        <v>0.25960737181366511</v>
      </c>
      <c r="CR192">
        <v>-1</v>
      </c>
      <c r="CS192">
        <v>27.138077500000001</v>
      </c>
      <c r="CT192">
        <v>0.113625140712923</v>
      </c>
      <c r="CU192">
        <v>1.124523204518248E-2</v>
      </c>
      <c r="CV192">
        <v>-1</v>
      </c>
      <c r="CW192">
        <v>0</v>
      </c>
      <c r="CX192">
        <v>0</v>
      </c>
      <c r="CY192" t="s">
        <v>333</v>
      </c>
      <c r="CZ192">
        <v>2.3651599999999999</v>
      </c>
      <c r="DA192">
        <v>2.7137600000000002</v>
      </c>
      <c r="DB192">
        <v>8.62097E-2</v>
      </c>
      <c r="DC192">
        <v>0.14551800000000001</v>
      </c>
      <c r="DD192">
        <v>0.124349</v>
      </c>
      <c r="DE192">
        <v>1.57189E-3</v>
      </c>
      <c r="DF192">
        <v>33378.400000000001</v>
      </c>
      <c r="DG192">
        <v>27540.400000000001</v>
      </c>
      <c r="DH192">
        <v>31181.7</v>
      </c>
      <c r="DI192">
        <v>28083.5</v>
      </c>
      <c r="DJ192">
        <v>37056.300000000003</v>
      </c>
      <c r="DK192">
        <v>39868.1</v>
      </c>
      <c r="DL192">
        <v>44373.9</v>
      </c>
      <c r="DM192">
        <v>42552.800000000003</v>
      </c>
      <c r="DN192">
        <v>1.44913</v>
      </c>
      <c r="DO192">
        <v>2.0440800000000001</v>
      </c>
      <c r="DP192">
        <v>9.0654899999999997E-2</v>
      </c>
      <c r="DQ192">
        <v>0.186834</v>
      </c>
      <c r="DR192">
        <v>25.510999999999999</v>
      </c>
      <c r="DS192">
        <v>25.500299999999999</v>
      </c>
      <c r="DT192">
        <v>27.5</v>
      </c>
      <c r="DU192">
        <v>27.5</v>
      </c>
      <c r="DV192">
        <v>10.273999999999999</v>
      </c>
      <c r="DW192">
        <v>61.228400000000001</v>
      </c>
      <c r="DX192">
        <v>36.806899999999999</v>
      </c>
      <c r="DY192">
        <v>1</v>
      </c>
      <c r="DZ192">
        <v>-0.13333600000000001</v>
      </c>
      <c r="EA192">
        <v>-0.52397300000000002</v>
      </c>
      <c r="EB192">
        <v>20.1892</v>
      </c>
      <c r="EC192">
        <v>5.24125</v>
      </c>
      <c r="ED192">
        <v>12.039899999999999</v>
      </c>
      <c r="EE192">
        <v>5.0161499999999997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1.86883</v>
      </c>
      <c r="EL192">
        <v>1.8645499999999999</v>
      </c>
      <c r="EM192">
        <v>1.86917</v>
      </c>
      <c r="EN192">
        <v>1.8672</v>
      </c>
      <c r="EO192">
        <v>1.86328</v>
      </c>
      <c r="EP192">
        <v>1.86435</v>
      </c>
      <c r="EQ192">
        <v>1.87012</v>
      </c>
      <c r="ER192">
        <v>1.8693500000000001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-0.40699999999999997</v>
      </c>
      <c r="FG192">
        <v>0.2112</v>
      </c>
      <c r="FH192">
        <v>-0.150361779349652</v>
      </c>
      <c r="FI192">
        <v>-6.1462078757559423E-4</v>
      </c>
      <c r="FJ192">
        <v>-1.8861989874597051E-7</v>
      </c>
      <c r="FK192">
        <v>1.1980462299894961E-10</v>
      </c>
      <c r="FL192">
        <v>0.21114761904761539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38.4</v>
      </c>
      <c r="FU192">
        <v>38.6</v>
      </c>
      <c r="FV192">
        <v>1.7663599999999999</v>
      </c>
      <c r="FW192">
        <v>2.5659200000000002</v>
      </c>
      <c r="FX192">
        <v>1.5490699999999999</v>
      </c>
      <c r="FY192">
        <v>2.33765</v>
      </c>
      <c r="FZ192">
        <v>1.50146</v>
      </c>
      <c r="GA192">
        <v>2.3095699999999999</v>
      </c>
      <c r="GB192">
        <v>32.399099999999997</v>
      </c>
      <c r="GC192">
        <v>23.991199999999999</v>
      </c>
      <c r="GD192">
        <v>19</v>
      </c>
      <c r="GE192">
        <v>269.41500000000002</v>
      </c>
      <c r="GF192">
        <v>583.58299999999997</v>
      </c>
      <c r="GG192">
        <v>25.858899999999998</v>
      </c>
      <c r="GH192">
        <v>25.753399999999999</v>
      </c>
      <c r="GI192">
        <v>30.0002</v>
      </c>
      <c r="GJ192">
        <v>25.852399999999999</v>
      </c>
      <c r="GK192">
        <v>25.816500000000001</v>
      </c>
      <c r="GL192">
        <v>35.312100000000001</v>
      </c>
      <c r="GM192">
        <v>100</v>
      </c>
      <c r="GN192">
        <v>9.1648399999999999</v>
      </c>
      <c r="GO192">
        <v>25.865100000000002</v>
      </c>
      <c r="GP192">
        <v>800</v>
      </c>
      <c r="GQ192">
        <v>0</v>
      </c>
      <c r="GR192">
        <v>99.767300000000006</v>
      </c>
      <c r="GS192">
        <v>99.556899999999999</v>
      </c>
    </row>
    <row r="193" spans="1:201" x14ac:dyDescent="0.25">
      <c r="A193">
        <v>177</v>
      </c>
      <c r="B193">
        <v>1690378526.0999999</v>
      </c>
      <c r="C193">
        <v>1809.599999904633</v>
      </c>
      <c r="D193" t="s">
        <v>687</v>
      </c>
      <c r="E193" t="s">
        <v>688</v>
      </c>
      <c r="F193" t="s">
        <v>330</v>
      </c>
      <c r="H193">
        <v>1690378526.0999999</v>
      </c>
      <c r="I193">
        <f t="shared" si="60"/>
        <v>2.4320693601852486E-3</v>
      </c>
      <c r="J193">
        <f t="shared" si="61"/>
        <v>2.4320693601852486</v>
      </c>
      <c r="K193">
        <f t="shared" si="62"/>
        <v>35.477918684161516</v>
      </c>
      <c r="L193">
        <f t="shared" si="63"/>
        <v>381.64</v>
      </c>
      <c r="M193">
        <f t="shared" si="64"/>
        <v>85.008238613566121</v>
      </c>
      <c r="N193">
        <f t="shared" si="65"/>
        <v>8.394153653363059</v>
      </c>
      <c r="O193">
        <f t="shared" si="66"/>
        <v>37.685109731920001</v>
      </c>
      <c r="P193">
        <f t="shared" si="67"/>
        <v>0.20378295487622858</v>
      </c>
      <c r="Q193">
        <f t="shared" si="68"/>
        <v>2.0065230429182792</v>
      </c>
      <c r="R193">
        <f t="shared" si="69"/>
        <v>0.19294363713693921</v>
      </c>
      <c r="S193">
        <f t="shared" si="70"/>
        <v>0.12151557526155136</v>
      </c>
      <c r="T193">
        <f t="shared" si="71"/>
        <v>276.11602434000002</v>
      </c>
      <c r="U193">
        <f t="shared" si="72"/>
        <v>28.495089490709027</v>
      </c>
      <c r="V193">
        <f t="shared" si="73"/>
        <v>28.495089490709027</v>
      </c>
      <c r="W193">
        <f t="shared" si="74"/>
        <v>3.9057551836675022</v>
      </c>
      <c r="X193">
        <f t="shared" si="75"/>
        <v>75.133102473325692</v>
      </c>
      <c r="Y193">
        <f t="shared" si="76"/>
        <v>2.7027147689667999</v>
      </c>
      <c r="Z193">
        <f t="shared" si="77"/>
        <v>3.5972356790754612</v>
      </c>
      <c r="AA193">
        <f t="shared" si="78"/>
        <v>1.2030404147007023</v>
      </c>
      <c r="AB193">
        <f t="shared" si="79"/>
        <v>-107.25425878416947</v>
      </c>
      <c r="AC193">
        <f t="shared" si="80"/>
        <v>-152.45083528983449</v>
      </c>
      <c r="AD193">
        <f t="shared" si="81"/>
        <v>-16.526898330628949</v>
      </c>
      <c r="AE193">
        <f t="shared" si="82"/>
        <v>-0.1159680646328809</v>
      </c>
      <c r="AF193">
        <v>8</v>
      </c>
      <c r="AG193">
        <v>3</v>
      </c>
      <c r="AH193">
        <f t="shared" si="83"/>
        <v>1</v>
      </c>
      <c r="AI193">
        <f t="shared" si="84"/>
        <v>0</v>
      </c>
      <c r="AJ193">
        <f t="shared" si="85"/>
        <v>52111.411485083481</v>
      </c>
      <c r="AK193">
        <f t="shared" si="86"/>
        <v>1800</v>
      </c>
      <c r="AL193">
        <f t="shared" si="87"/>
        <v>1499.1110370000001</v>
      </c>
      <c r="AM193">
        <f t="shared" si="88"/>
        <v>0.83283946500000006</v>
      </c>
      <c r="AN193">
        <f t="shared" si="89"/>
        <v>0.1533977913</v>
      </c>
      <c r="AO193">
        <v>34.5</v>
      </c>
      <c r="AP193">
        <v>0.5</v>
      </c>
      <c r="AQ193" t="s">
        <v>331</v>
      </c>
      <c r="AR193">
        <v>2</v>
      </c>
      <c r="AS193">
        <v>1690378526.0999999</v>
      </c>
      <c r="AT193">
        <v>381.64</v>
      </c>
      <c r="AU193">
        <v>800.02</v>
      </c>
      <c r="AV193">
        <v>27.3706</v>
      </c>
      <c r="AW193">
        <v>0.18617300000000001</v>
      </c>
      <c r="AX193">
        <v>382.04599999999999</v>
      </c>
      <c r="AY193">
        <v>27.159500000000001</v>
      </c>
      <c r="AZ193">
        <v>300.20800000000003</v>
      </c>
      <c r="BA193">
        <v>98.645099999999999</v>
      </c>
      <c r="BB193">
        <v>0.100078</v>
      </c>
      <c r="BC193">
        <v>27.085799999999999</v>
      </c>
      <c r="BD193">
        <v>27.005299999999998</v>
      </c>
      <c r="BE193">
        <v>28.5458</v>
      </c>
      <c r="BF193">
        <v>0</v>
      </c>
      <c r="BG193">
        <v>0</v>
      </c>
      <c r="BH193">
        <v>9993.1200000000008</v>
      </c>
      <c r="BI193">
        <v>1082.25</v>
      </c>
      <c r="BJ193">
        <v>1.3455900000000001</v>
      </c>
      <c r="BK193">
        <v>-418.38</v>
      </c>
      <c r="BL193">
        <v>392.37900000000002</v>
      </c>
      <c r="BM193">
        <v>800.16899999999998</v>
      </c>
      <c r="BN193">
        <v>27.1844</v>
      </c>
      <c r="BO193">
        <v>800.02</v>
      </c>
      <c r="BP193">
        <v>0.18617300000000001</v>
      </c>
      <c r="BQ193">
        <v>2.69998</v>
      </c>
      <c r="BR193">
        <v>1.8364999999999999E-2</v>
      </c>
      <c r="BS193">
        <v>22.285</v>
      </c>
      <c r="BT193">
        <v>-40.243600000000001</v>
      </c>
      <c r="BU193">
        <v>1800</v>
      </c>
      <c r="BV193">
        <v>0.90998900000000005</v>
      </c>
      <c r="BW193">
        <v>3.4005300000000002E-2</v>
      </c>
      <c r="BX193">
        <v>2.2003499999999999E-2</v>
      </c>
      <c r="BY193">
        <v>3.4002600000000001E-2</v>
      </c>
      <c r="BZ193">
        <v>26</v>
      </c>
      <c r="CA193">
        <v>33528.300000000003</v>
      </c>
      <c r="CB193">
        <v>1690376213.5999999</v>
      </c>
      <c r="CC193" t="s">
        <v>332</v>
      </c>
      <c r="CD193">
        <v>1690376213.5999999</v>
      </c>
      <c r="CE193">
        <v>1690376198.0999999</v>
      </c>
      <c r="CF193">
        <v>2</v>
      </c>
      <c r="CG193">
        <v>0.66900000000000004</v>
      </c>
      <c r="CH193">
        <v>-2.1000000000000001E-2</v>
      </c>
      <c r="CI193">
        <v>-0.70099999999999996</v>
      </c>
      <c r="CJ193">
        <v>0.21099999999999999</v>
      </c>
      <c r="CK193">
        <v>799</v>
      </c>
      <c r="CL193">
        <v>21</v>
      </c>
      <c r="CM193">
        <v>0.11</v>
      </c>
      <c r="CN193">
        <v>0.17</v>
      </c>
      <c r="CO193">
        <v>-417.79682926829281</v>
      </c>
      <c r="CP193">
        <v>-2.9565783972122239</v>
      </c>
      <c r="CQ193">
        <v>0.29962813558004381</v>
      </c>
      <c r="CR193">
        <v>-1</v>
      </c>
      <c r="CS193">
        <v>27.157692682926829</v>
      </c>
      <c r="CT193">
        <v>0.13539512195120379</v>
      </c>
      <c r="CU193">
        <v>1.3607071157483891E-2</v>
      </c>
      <c r="CV193">
        <v>-1</v>
      </c>
      <c r="CW193">
        <v>0</v>
      </c>
      <c r="CX193">
        <v>0</v>
      </c>
      <c r="CY193" t="s">
        <v>333</v>
      </c>
      <c r="CZ193">
        <v>2.3652799999999998</v>
      </c>
      <c r="DA193">
        <v>2.7138599999999999</v>
      </c>
      <c r="DB193">
        <v>8.6125699999999999E-2</v>
      </c>
      <c r="DC193">
        <v>0.14552000000000001</v>
      </c>
      <c r="DD193">
        <v>0.124429</v>
      </c>
      <c r="DE193">
        <v>1.56054E-3</v>
      </c>
      <c r="DF193">
        <v>33381.4</v>
      </c>
      <c r="DG193">
        <v>27540.3</v>
      </c>
      <c r="DH193">
        <v>31181.7</v>
      </c>
      <c r="DI193">
        <v>28083.4</v>
      </c>
      <c r="DJ193">
        <v>37053</v>
      </c>
      <c r="DK193">
        <v>39868.5</v>
      </c>
      <c r="DL193">
        <v>44374</v>
      </c>
      <c r="DM193">
        <v>42552.7</v>
      </c>
      <c r="DN193">
        <v>1.4492799999999999</v>
      </c>
      <c r="DO193">
        <v>2.0440200000000002</v>
      </c>
      <c r="DP193">
        <v>9.1262200000000002E-2</v>
      </c>
      <c r="DQ193">
        <v>0.18623100000000001</v>
      </c>
      <c r="DR193">
        <v>25.510999999999999</v>
      </c>
      <c r="DS193">
        <v>25.500299999999999</v>
      </c>
      <c r="DT193">
        <v>27.3</v>
      </c>
      <c r="DU193">
        <v>27.5</v>
      </c>
      <c r="DV193">
        <v>10.200799999999999</v>
      </c>
      <c r="DW193">
        <v>60.888399999999997</v>
      </c>
      <c r="DX193">
        <v>36.871000000000002</v>
      </c>
      <c r="DY193">
        <v>1</v>
      </c>
      <c r="DZ193">
        <v>-0.133488</v>
      </c>
      <c r="EA193">
        <v>-0.51086900000000002</v>
      </c>
      <c r="EB193">
        <v>20.189299999999999</v>
      </c>
      <c r="EC193">
        <v>5.24125</v>
      </c>
      <c r="ED193">
        <v>12.039899999999999</v>
      </c>
      <c r="EE193">
        <v>5.0160999999999998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1.8688499999999999</v>
      </c>
      <c r="EL193">
        <v>1.86456</v>
      </c>
      <c r="EM193">
        <v>1.8691599999999999</v>
      </c>
      <c r="EN193">
        <v>1.8672</v>
      </c>
      <c r="EO193">
        <v>1.8633200000000001</v>
      </c>
      <c r="EP193">
        <v>1.8643400000000001</v>
      </c>
      <c r="EQ193">
        <v>1.87012</v>
      </c>
      <c r="ER193">
        <v>1.8693500000000001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-0.40600000000000003</v>
      </c>
      <c r="FG193">
        <v>0.21110000000000001</v>
      </c>
      <c r="FH193">
        <v>-0.150361779349652</v>
      </c>
      <c r="FI193">
        <v>-6.1462078757559423E-4</v>
      </c>
      <c r="FJ193">
        <v>-1.8861989874597051E-7</v>
      </c>
      <c r="FK193">
        <v>1.1980462299894961E-10</v>
      </c>
      <c r="FL193">
        <v>0.21114761904761539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38.5</v>
      </c>
      <c r="FU193">
        <v>38.799999999999997</v>
      </c>
      <c r="FV193">
        <v>1.7663599999999999</v>
      </c>
      <c r="FW193">
        <v>2.5708000000000002</v>
      </c>
      <c r="FX193">
        <v>1.5490699999999999</v>
      </c>
      <c r="FY193">
        <v>2.33765</v>
      </c>
      <c r="FZ193">
        <v>1.50146</v>
      </c>
      <c r="GA193">
        <v>2.2607400000000002</v>
      </c>
      <c r="GB193">
        <v>32.399099999999997</v>
      </c>
      <c r="GC193">
        <v>23.991199999999999</v>
      </c>
      <c r="GD193">
        <v>19</v>
      </c>
      <c r="GE193">
        <v>269.48099999999999</v>
      </c>
      <c r="GF193">
        <v>583.56600000000003</v>
      </c>
      <c r="GG193">
        <v>25.8629</v>
      </c>
      <c r="GH193">
        <v>25.755600000000001</v>
      </c>
      <c r="GI193">
        <v>30.0002</v>
      </c>
      <c r="GJ193">
        <v>25.853400000000001</v>
      </c>
      <c r="GK193">
        <v>25.8186</v>
      </c>
      <c r="GL193">
        <v>35.31</v>
      </c>
      <c r="GM193">
        <v>100</v>
      </c>
      <c r="GN193">
        <v>8.3976000000000006</v>
      </c>
      <c r="GO193">
        <v>25.86</v>
      </c>
      <c r="GP193">
        <v>800</v>
      </c>
      <c r="GQ193">
        <v>0</v>
      </c>
      <c r="GR193">
        <v>99.767399999999995</v>
      </c>
      <c r="GS193">
        <v>99.556700000000006</v>
      </c>
    </row>
    <row r="194" spans="1:201" x14ac:dyDescent="0.25">
      <c r="A194">
        <v>178</v>
      </c>
      <c r="B194">
        <v>1690378536.0999999</v>
      </c>
      <c r="C194">
        <v>1819.599999904633</v>
      </c>
      <c r="D194" t="s">
        <v>689</v>
      </c>
      <c r="E194" t="s">
        <v>690</v>
      </c>
      <c r="F194" t="s">
        <v>330</v>
      </c>
      <c r="H194">
        <v>1690378536.0999999</v>
      </c>
      <c r="I194">
        <f t="shared" si="60"/>
        <v>2.434429077457122E-3</v>
      </c>
      <c r="J194">
        <f t="shared" si="61"/>
        <v>2.4344290774571218</v>
      </c>
      <c r="K194">
        <f t="shared" si="62"/>
        <v>35.528008072740178</v>
      </c>
      <c r="L194">
        <f t="shared" si="63"/>
        <v>381.072</v>
      </c>
      <c r="M194">
        <f t="shared" si="64"/>
        <v>85.116773004053897</v>
      </c>
      <c r="N194">
        <f t="shared" si="65"/>
        <v>8.4049627420689692</v>
      </c>
      <c r="O194">
        <f t="shared" si="66"/>
        <v>37.629433647504001</v>
      </c>
      <c r="P194">
        <f t="shared" si="67"/>
        <v>0.20457856954669024</v>
      </c>
      <c r="Q194">
        <f t="shared" si="68"/>
        <v>2.0045039805189853</v>
      </c>
      <c r="R194">
        <f t="shared" si="69"/>
        <v>0.1936465141742541</v>
      </c>
      <c r="S194">
        <f t="shared" si="70"/>
        <v>0.12196256910687089</v>
      </c>
      <c r="T194">
        <f t="shared" si="71"/>
        <v>276.11432649099737</v>
      </c>
      <c r="U194">
        <f t="shared" si="72"/>
        <v>28.492591440555568</v>
      </c>
      <c r="V194">
        <f t="shared" si="73"/>
        <v>28.492591440555568</v>
      </c>
      <c r="W194">
        <f t="shared" si="74"/>
        <v>3.9051885213523119</v>
      </c>
      <c r="X194">
        <f t="shared" si="75"/>
        <v>75.219195526526178</v>
      </c>
      <c r="Y194">
        <f t="shared" si="76"/>
        <v>2.7053512030289997</v>
      </c>
      <c r="Z194">
        <f t="shared" si="77"/>
        <v>3.5966234205136547</v>
      </c>
      <c r="AA194">
        <f t="shared" si="78"/>
        <v>1.1998373183233122</v>
      </c>
      <c r="AB194">
        <f t="shared" si="79"/>
        <v>-107.35832231585908</v>
      </c>
      <c r="AC194">
        <f t="shared" si="80"/>
        <v>-152.34086918530485</v>
      </c>
      <c r="AD194">
        <f t="shared" si="81"/>
        <v>-16.531167079819184</v>
      </c>
      <c r="AE194">
        <f t="shared" si="82"/>
        <v>-0.11603208998573677</v>
      </c>
      <c r="AF194">
        <v>8</v>
      </c>
      <c r="AG194">
        <v>3</v>
      </c>
      <c r="AH194">
        <f t="shared" si="83"/>
        <v>1</v>
      </c>
      <c r="AI194">
        <f t="shared" si="84"/>
        <v>0</v>
      </c>
      <c r="AJ194">
        <f t="shared" si="85"/>
        <v>52015.569257829426</v>
      </c>
      <c r="AK194">
        <f t="shared" si="86"/>
        <v>1799.99</v>
      </c>
      <c r="AL194">
        <f t="shared" si="87"/>
        <v>1499.1013244130399</v>
      </c>
      <c r="AM194">
        <f t="shared" si="88"/>
        <v>0.83283869599999993</v>
      </c>
      <c r="AN194">
        <f t="shared" si="89"/>
        <v>0.15339770025999999</v>
      </c>
      <c r="AO194">
        <v>34.5</v>
      </c>
      <c r="AP194">
        <v>0.5</v>
      </c>
      <c r="AQ194" t="s">
        <v>331</v>
      </c>
      <c r="AR194">
        <v>2</v>
      </c>
      <c r="AS194">
        <v>1690378536.0999999</v>
      </c>
      <c r="AT194">
        <v>381.072</v>
      </c>
      <c r="AU194">
        <v>800.05</v>
      </c>
      <c r="AV194">
        <v>27.396999999999998</v>
      </c>
      <c r="AW194">
        <v>0.18512300000000001</v>
      </c>
      <c r="AX194">
        <v>381.47800000000001</v>
      </c>
      <c r="AY194">
        <v>27.1859</v>
      </c>
      <c r="AZ194">
        <v>300.18799999999999</v>
      </c>
      <c r="BA194">
        <v>98.646199999999993</v>
      </c>
      <c r="BB194">
        <v>0.10005699999999999</v>
      </c>
      <c r="BC194">
        <v>27.082899999999999</v>
      </c>
      <c r="BD194">
        <v>27.0016</v>
      </c>
      <c r="BE194">
        <v>28.579499999999999</v>
      </c>
      <c r="BF194">
        <v>0</v>
      </c>
      <c r="BG194">
        <v>0</v>
      </c>
      <c r="BH194">
        <v>9973.75</v>
      </c>
      <c r="BI194">
        <v>1082.1600000000001</v>
      </c>
      <c r="BJ194">
        <v>1.3455900000000001</v>
      </c>
      <c r="BK194">
        <v>-418.97800000000001</v>
      </c>
      <c r="BL194">
        <v>391.80700000000002</v>
      </c>
      <c r="BM194">
        <v>800.19899999999996</v>
      </c>
      <c r="BN194">
        <v>27.2119</v>
      </c>
      <c r="BO194">
        <v>800.05</v>
      </c>
      <c r="BP194">
        <v>0.18512300000000001</v>
      </c>
      <c r="BQ194">
        <v>2.70261</v>
      </c>
      <c r="BR194">
        <v>1.8261699999999999E-2</v>
      </c>
      <c r="BS194">
        <v>22.300999999999998</v>
      </c>
      <c r="BT194">
        <v>-40.297499999999999</v>
      </c>
      <c r="BU194">
        <v>1799.99</v>
      </c>
      <c r="BV194">
        <v>0.90998699999999999</v>
      </c>
      <c r="BW194">
        <v>3.4005800000000003E-2</v>
      </c>
      <c r="BX194">
        <v>2.20038E-2</v>
      </c>
      <c r="BY194">
        <v>3.4002999999999999E-2</v>
      </c>
      <c r="BZ194">
        <v>26</v>
      </c>
      <c r="CA194">
        <v>33528.199999999997</v>
      </c>
      <c r="CB194">
        <v>1690376213.5999999</v>
      </c>
      <c r="CC194" t="s">
        <v>332</v>
      </c>
      <c r="CD194">
        <v>1690376213.5999999</v>
      </c>
      <c r="CE194">
        <v>1690376198.0999999</v>
      </c>
      <c r="CF194">
        <v>2</v>
      </c>
      <c r="CG194">
        <v>0.66900000000000004</v>
      </c>
      <c r="CH194">
        <v>-2.1000000000000001E-2</v>
      </c>
      <c r="CI194">
        <v>-0.70099999999999996</v>
      </c>
      <c r="CJ194">
        <v>0.21099999999999999</v>
      </c>
      <c r="CK194">
        <v>799</v>
      </c>
      <c r="CL194">
        <v>21</v>
      </c>
      <c r="CM194">
        <v>0.11</v>
      </c>
      <c r="CN194">
        <v>0.17</v>
      </c>
      <c r="CO194">
        <v>-418.32621951219511</v>
      </c>
      <c r="CP194">
        <v>-3.0581393728223709</v>
      </c>
      <c r="CQ194">
        <v>0.30826085819066412</v>
      </c>
      <c r="CR194">
        <v>-1</v>
      </c>
      <c r="CS194">
        <v>27.181582926829272</v>
      </c>
      <c r="CT194">
        <v>0.15313170731703751</v>
      </c>
      <c r="CU194">
        <v>1.5157207131230669E-2</v>
      </c>
      <c r="CV194">
        <v>-1</v>
      </c>
      <c r="CW194">
        <v>0</v>
      </c>
      <c r="CX194">
        <v>0</v>
      </c>
      <c r="CY194" t="s">
        <v>333</v>
      </c>
      <c r="CZ194">
        <v>2.3652299999999999</v>
      </c>
      <c r="DA194">
        <v>2.7138300000000002</v>
      </c>
      <c r="DB194">
        <v>8.6027500000000007E-2</v>
      </c>
      <c r="DC194">
        <v>0.14552399999999999</v>
      </c>
      <c r="DD194">
        <v>0.124513</v>
      </c>
      <c r="DE194">
        <v>1.55185E-3</v>
      </c>
      <c r="DF194">
        <v>33385.1</v>
      </c>
      <c r="DG194">
        <v>27540.2</v>
      </c>
      <c r="DH194">
        <v>31181.8</v>
      </c>
      <c r="DI194">
        <v>28083.5</v>
      </c>
      <c r="DJ194">
        <v>37049.5</v>
      </c>
      <c r="DK194">
        <v>39868.9</v>
      </c>
      <c r="DL194">
        <v>44374.2</v>
      </c>
      <c r="DM194">
        <v>42552.7</v>
      </c>
      <c r="DN194">
        <v>1.4493</v>
      </c>
      <c r="DO194">
        <v>2.04392</v>
      </c>
      <c r="DP194">
        <v>9.1034900000000002E-2</v>
      </c>
      <c r="DQ194">
        <v>0.18839900000000001</v>
      </c>
      <c r="DR194">
        <v>25.510999999999999</v>
      </c>
      <c r="DS194">
        <v>25.4986</v>
      </c>
      <c r="DT194">
        <v>27.1</v>
      </c>
      <c r="DU194">
        <v>27.6</v>
      </c>
      <c r="DV194">
        <v>10.185600000000001</v>
      </c>
      <c r="DW194">
        <v>61.358400000000003</v>
      </c>
      <c r="DX194">
        <v>36.955100000000002</v>
      </c>
      <c r="DY194">
        <v>1</v>
      </c>
      <c r="DZ194">
        <v>-0.13337099999999999</v>
      </c>
      <c r="EA194">
        <v>-0.50435200000000002</v>
      </c>
      <c r="EB194">
        <v>20.189299999999999</v>
      </c>
      <c r="EC194">
        <v>5.24125</v>
      </c>
      <c r="ED194">
        <v>12.039899999999999</v>
      </c>
      <c r="EE194">
        <v>5.0163000000000002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1.8688400000000001</v>
      </c>
      <c r="EL194">
        <v>1.8645499999999999</v>
      </c>
      <c r="EM194">
        <v>1.8691500000000001</v>
      </c>
      <c r="EN194">
        <v>1.86721</v>
      </c>
      <c r="EO194">
        <v>1.86331</v>
      </c>
      <c r="EP194">
        <v>1.86432</v>
      </c>
      <c r="EQ194">
        <v>1.87012</v>
      </c>
      <c r="ER194">
        <v>1.8693500000000001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-0.40600000000000003</v>
      </c>
      <c r="FG194">
        <v>0.21110000000000001</v>
      </c>
      <c r="FH194">
        <v>-0.150361779349652</v>
      </c>
      <c r="FI194">
        <v>-6.1462078757559423E-4</v>
      </c>
      <c r="FJ194">
        <v>-1.8861989874597051E-7</v>
      </c>
      <c r="FK194">
        <v>1.1980462299894961E-10</v>
      </c>
      <c r="FL194">
        <v>0.21114761904761539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38.700000000000003</v>
      </c>
      <c r="FU194">
        <v>39</v>
      </c>
      <c r="FV194">
        <v>1.7663599999999999</v>
      </c>
      <c r="FW194">
        <v>2.5671400000000002</v>
      </c>
      <c r="FX194">
        <v>1.5490699999999999</v>
      </c>
      <c r="FY194">
        <v>2.33765</v>
      </c>
      <c r="FZ194">
        <v>1.50146</v>
      </c>
      <c r="GA194">
        <v>2.2766099999999998</v>
      </c>
      <c r="GB194">
        <v>32.399099999999997</v>
      </c>
      <c r="GC194">
        <v>23.982399999999998</v>
      </c>
      <c r="GD194">
        <v>19</v>
      </c>
      <c r="GE194">
        <v>269.50099999999998</v>
      </c>
      <c r="GF194">
        <v>583.50800000000004</v>
      </c>
      <c r="GG194">
        <v>25.8582</v>
      </c>
      <c r="GH194">
        <v>25.7578</v>
      </c>
      <c r="GI194">
        <v>30.0001</v>
      </c>
      <c r="GJ194">
        <v>25.855499999999999</v>
      </c>
      <c r="GK194">
        <v>25.820799999999998</v>
      </c>
      <c r="GL194">
        <v>35.311199999999999</v>
      </c>
      <c r="GM194">
        <v>100</v>
      </c>
      <c r="GN194">
        <v>8.0018999999999991</v>
      </c>
      <c r="GO194">
        <v>25.854099999999999</v>
      </c>
      <c r="GP194">
        <v>800</v>
      </c>
      <c r="GQ194">
        <v>0</v>
      </c>
      <c r="GR194">
        <v>99.767799999999994</v>
      </c>
      <c r="GS194">
        <v>99.556899999999999</v>
      </c>
    </row>
    <row r="195" spans="1:201" x14ac:dyDescent="0.25">
      <c r="A195">
        <v>179</v>
      </c>
      <c r="B195">
        <v>1690378546.0999999</v>
      </c>
      <c r="C195">
        <v>1829.599999904633</v>
      </c>
      <c r="D195" t="s">
        <v>691</v>
      </c>
      <c r="E195" t="s">
        <v>692</v>
      </c>
      <c r="F195" t="s">
        <v>330</v>
      </c>
      <c r="H195">
        <v>1690378546.0999999</v>
      </c>
      <c r="I195">
        <f t="shared" si="60"/>
        <v>2.4369335515025173E-3</v>
      </c>
      <c r="J195">
        <f t="shared" si="61"/>
        <v>2.4369335515025172</v>
      </c>
      <c r="K195">
        <f t="shared" si="62"/>
        <v>35.584239862465445</v>
      </c>
      <c r="L195">
        <f t="shared" si="63"/>
        <v>380.524</v>
      </c>
      <c r="M195">
        <f t="shared" si="64"/>
        <v>84.845898961233942</v>
      </c>
      <c r="N195">
        <f t="shared" si="65"/>
        <v>8.3781473220405687</v>
      </c>
      <c r="O195">
        <f t="shared" si="66"/>
        <v>37.575017421040002</v>
      </c>
      <c r="P195">
        <f t="shared" si="67"/>
        <v>0.20511481955346003</v>
      </c>
      <c r="Q195">
        <f t="shared" si="68"/>
        <v>2.0038383370834971</v>
      </c>
      <c r="R195">
        <f t="shared" si="69"/>
        <v>0.19412359070979776</v>
      </c>
      <c r="S195">
        <f t="shared" si="70"/>
        <v>0.12226565814573015</v>
      </c>
      <c r="T195">
        <f t="shared" si="71"/>
        <v>276.11576130599997</v>
      </c>
      <c r="U195">
        <f t="shared" si="72"/>
        <v>28.494300237139374</v>
      </c>
      <c r="V195">
        <f t="shared" si="73"/>
        <v>28.494300237139374</v>
      </c>
      <c r="W195">
        <f t="shared" si="74"/>
        <v>3.9055761401790505</v>
      </c>
      <c r="X195">
        <f t="shared" si="75"/>
        <v>75.268720304073739</v>
      </c>
      <c r="Y195">
        <f t="shared" si="76"/>
        <v>2.7074820186480002</v>
      </c>
      <c r="Z195">
        <f t="shared" si="77"/>
        <v>3.5970878841970486</v>
      </c>
      <c r="AA195">
        <f t="shared" si="78"/>
        <v>1.1980941215310503</v>
      </c>
      <c r="AB195">
        <f t="shared" si="79"/>
        <v>-107.46876962126102</v>
      </c>
      <c r="AC195">
        <f t="shared" si="80"/>
        <v>-152.23721559711669</v>
      </c>
      <c r="AD195">
        <f t="shared" si="81"/>
        <v>-16.525728900580432</v>
      </c>
      <c r="AE195">
        <f t="shared" si="82"/>
        <v>-0.11595281295814175</v>
      </c>
      <c r="AF195">
        <v>8</v>
      </c>
      <c r="AG195">
        <v>3</v>
      </c>
      <c r="AH195">
        <f t="shared" si="83"/>
        <v>1</v>
      </c>
      <c r="AI195">
        <f t="shared" si="84"/>
        <v>0</v>
      </c>
      <c r="AJ195">
        <f t="shared" si="85"/>
        <v>51983.427347028723</v>
      </c>
      <c r="AK195">
        <f t="shared" si="86"/>
        <v>1800</v>
      </c>
      <c r="AL195">
        <f t="shared" si="87"/>
        <v>1499.1102215999999</v>
      </c>
      <c r="AM195">
        <f t="shared" si="88"/>
        <v>0.83283901199999999</v>
      </c>
      <c r="AN195">
        <f t="shared" si="89"/>
        <v>0.15339764516999999</v>
      </c>
      <c r="AO195">
        <v>34.5</v>
      </c>
      <c r="AP195">
        <v>0.5</v>
      </c>
      <c r="AQ195" t="s">
        <v>331</v>
      </c>
      <c r="AR195">
        <v>2</v>
      </c>
      <c r="AS195">
        <v>1690378546.0999999</v>
      </c>
      <c r="AT195">
        <v>380.524</v>
      </c>
      <c r="AU195">
        <v>800.07399999999996</v>
      </c>
      <c r="AV195">
        <v>27.418800000000001</v>
      </c>
      <c r="AW195">
        <v>0.18407499999999999</v>
      </c>
      <c r="AX195">
        <v>380.92899999999997</v>
      </c>
      <c r="AY195">
        <v>27.207699999999999</v>
      </c>
      <c r="AZ195">
        <v>300.238</v>
      </c>
      <c r="BA195">
        <v>98.645300000000006</v>
      </c>
      <c r="BB195">
        <v>0.10016</v>
      </c>
      <c r="BC195">
        <v>27.085100000000001</v>
      </c>
      <c r="BD195">
        <v>27.0001</v>
      </c>
      <c r="BE195">
        <v>28.5609</v>
      </c>
      <c r="BF195">
        <v>0</v>
      </c>
      <c r="BG195">
        <v>0</v>
      </c>
      <c r="BH195">
        <v>9967.5</v>
      </c>
      <c r="BI195">
        <v>1082.1099999999999</v>
      </c>
      <c r="BJ195">
        <v>1.3455900000000001</v>
      </c>
      <c r="BK195">
        <v>-419.55</v>
      </c>
      <c r="BL195">
        <v>391.25099999999998</v>
      </c>
      <c r="BM195">
        <v>800.221</v>
      </c>
      <c r="BN195">
        <v>27.2347</v>
      </c>
      <c r="BO195">
        <v>800.07399999999996</v>
      </c>
      <c r="BP195">
        <v>0.18407499999999999</v>
      </c>
      <c r="BQ195">
        <v>2.7047400000000001</v>
      </c>
      <c r="BR195">
        <v>1.8158199999999999E-2</v>
      </c>
      <c r="BS195">
        <v>22.3139</v>
      </c>
      <c r="BT195">
        <v>-40.351799999999997</v>
      </c>
      <c r="BU195">
        <v>1800</v>
      </c>
      <c r="BV195">
        <v>0.90998999999999997</v>
      </c>
      <c r="BW195">
        <v>3.4004699999999999E-2</v>
      </c>
      <c r="BX195">
        <v>2.2003100000000001E-2</v>
      </c>
      <c r="BY195">
        <v>3.4001900000000002E-2</v>
      </c>
      <c r="BZ195">
        <v>26</v>
      </c>
      <c r="CA195">
        <v>33528.300000000003</v>
      </c>
      <c r="CB195">
        <v>1690376213.5999999</v>
      </c>
      <c r="CC195" t="s">
        <v>332</v>
      </c>
      <c r="CD195">
        <v>1690376213.5999999</v>
      </c>
      <c r="CE195">
        <v>1690376198.0999999</v>
      </c>
      <c r="CF195">
        <v>2</v>
      </c>
      <c r="CG195">
        <v>0.66900000000000004</v>
      </c>
      <c r="CH195">
        <v>-2.1000000000000001E-2</v>
      </c>
      <c r="CI195">
        <v>-0.70099999999999996</v>
      </c>
      <c r="CJ195">
        <v>0.21099999999999999</v>
      </c>
      <c r="CK195">
        <v>799</v>
      </c>
      <c r="CL195">
        <v>21</v>
      </c>
      <c r="CM195">
        <v>0.11</v>
      </c>
      <c r="CN195">
        <v>0.17</v>
      </c>
      <c r="CO195">
        <v>-418.86455000000012</v>
      </c>
      <c r="CP195">
        <v>-2.899001876171702</v>
      </c>
      <c r="CQ195">
        <v>0.28611168710837248</v>
      </c>
      <c r="CR195">
        <v>-1</v>
      </c>
      <c r="CS195">
        <v>27.208369999999999</v>
      </c>
      <c r="CT195">
        <v>0.14779136960588329</v>
      </c>
      <c r="CU195">
        <v>1.425024912062939E-2</v>
      </c>
      <c r="CV195">
        <v>-1</v>
      </c>
      <c r="CW195">
        <v>0</v>
      </c>
      <c r="CX195">
        <v>0</v>
      </c>
      <c r="CY195" t="s">
        <v>333</v>
      </c>
      <c r="CZ195">
        <v>2.36538</v>
      </c>
      <c r="DA195">
        <v>2.7139199999999999</v>
      </c>
      <c r="DB195">
        <v>8.5930599999999996E-2</v>
      </c>
      <c r="DC195">
        <v>0.14552599999999999</v>
      </c>
      <c r="DD195">
        <v>0.12458</v>
      </c>
      <c r="DE195">
        <v>1.5431500000000001E-3</v>
      </c>
      <c r="DF195">
        <v>33388.1</v>
      </c>
      <c r="DG195">
        <v>27539.7</v>
      </c>
      <c r="DH195">
        <v>31181.200000000001</v>
      </c>
      <c r="DI195">
        <v>28083</v>
      </c>
      <c r="DJ195">
        <v>37046</v>
      </c>
      <c r="DK195">
        <v>39868.6</v>
      </c>
      <c r="DL195">
        <v>44373.4</v>
      </c>
      <c r="DM195">
        <v>42552.1</v>
      </c>
      <c r="DN195">
        <v>1.4495</v>
      </c>
      <c r="DO195">
        <v>2.0438200000000002</v>
      </c>
      <c r="DP195">
        <v>9.1075900000000001E-2</v>
      </c>
      <c r="DQ195">
        <v>0.187222</v>
      </c>
      <c r="DR195">
        <v>25.508900000000001</v>
      </c>
      <c r="DS195">
        <v>25.499199999999998</v>
      </c>
      <c r="DT195">
        <v>26.9</v>
      </c>
      <c r="DU195">
        <v>27.6</v>
      </c>
      <c r="DV195">
        <v>10.109500000000001</v>
      </c>
      <c r="DW195">
        <v>61.228400000000001</v>
      </c>
      <c r="DX195">
        <v>37.075299999999999</v>
      </c>
      <c r="DY195">
        <v>1</v>
      </c>
      <c r="DZ195">
        <v>-0.132774</v>
      </c>
      <c r="EA195">
        <v>-0.49607800000000002</v>
      </c>
      <c r="EB195">
        <v>20.189299999999999</v>
      </c>
      <c r="EC195">
        <v>5.2413999999999996</v>
      </c>
      <c r="ED195">
        <v>12.039899999999999</v>
      </c>
      <c r="EE195">
        <v>5.0171000000000001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1.86887</v>
      </c>
      <c r="EL195">
        <v>1.8645499999999999</v>
      </c>
      <c r="EM195">
        <v>1.86917</v>
      </c>
      <c r="EN195">
        <v>1.86721</v>
      </c>
      <c r="EO195">
        <v>1.86328</v>
      </c>
      <c r="EP195">
        <v>1.86435</v>
      </c>
      <c r="EQ195">
        <v>1.8701300000000001</v>
      </c>
      <c r="ER195">
        <v>1.8693599999999999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-0.40500000000000003</v>
      </c>
      <c r="FG195">
        <v>0.21110000000000001</v>
      </c>
      <c r="FH195">
        <v>-0.150361779349652</v>
      </c>
      <c r="FI195">
        <v>-6.1462078757559423E-4</v>
      </c>
      <c r="FJ195">
        <v>-1.8861989874597051E-7</v>
      </c>
      <c r="FK195">
        <v>1.1980462299894961E-10</v>
      </c>
      <c r="FL195">
        <v>0.21114761904761539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38.9</v>
      </c>
      <c r="FU195">
        <v>39.1</v>
      </c>
      <c r="FV195">
        <v>1.7663599999999999</v>
      </c>
      <c r="FW195">
        <v>2.5744600000000002</v>
      </c>
      <c r="FX195">
        <v>1.5490699999999999</v>
      </c>
      <c r="FY195">
        <v>2.33765</v>
      </c>
      <c r="FZ195">
        <v>1.50146</v>
      </c>
      <c r="GA195">
        <v>2.2900399999999999</v>
      </c>
      <c r="GB195">
        <v>32.421199999999999</v>
      </c>
      <c r="GC195">
        <v>23.982399999999998</v>
      </c>
      <c r="GD195">
        <v>19</v>
      </c>
      <c r="GE195">
        <v>269.59100000000001</v>
      </c>
      <c r="GF195">
        <v>583.42600000000004</v>
      </c>
      <c r="GG195">
        <v>25.851299999999998</v>
      </c>
      <c r="GH195">
        <v>25.759499999999999</v>
      </c>
      <c r="GI195">
        <v>30.0002</v>
      </c>
      <c r="GJ195">
        <v>25.857700000000001</v>
      </c>
      <c r="GK195">
        <v>25.820900000000002</v>
      </c>
      <c r="GL195">
        <v>35.309800000000003</v>
      </c>
      <c r="GM195">
        <v>100</v>
      </c>
      <c r="GN195">
        <v>7.2455600000000002</v>
      </c>
      <c r="GO195">
        <v>25.855899999999998</v>
      </c>
      <c r="GP195">
        <v>800</v>
      </c>
      <c r="GQ195">
        <v>0</v>
      </c>
      <c r="GR195">
        <v>99.766099999999994</v>
      </c>
      <c r="GS195">
        <v>99.555300000000003</v>
      </c>
    </row>
    <row r="196" spans="1:201" x14ac:dyDescent="0.25">
      <c r="A196">
        <v>180</v>
      </c>
      <c r="B196">
        <v>1690378556.0999999</v>
      </c>
      <c r="C196">
        <v>1839.599999904633</v>
      </c>
      <c r="D196" t="s">
        <v>693</v>
      </c>
      <c r="E196" t="s">
        <v>694</v>
      </c>
      <c r="F196" t="s">
        <v>330</v>
      </c>
      <c r="H196">
        <v>1690378556.0999999</v>
      </c>
      <c r="I196">
        <f t="shared" si="60"/>
        <v>2.4381262780416922E-3</v>
      </c>
      <c r="J196">
        <f t="shared" si="61"/>
        <v>2.4381262780416924</v>
      </c>
      <c r="K196">
        <f t="shared" si="62"/>
        <v>35.602907542046658</v>
      </c>
      <c r="L196">
        <f t="shared" si="63"/>
        <v>380.04</v>
      </c>
      <c r="M196">
        <f t="shared" si="64"/>
        <v>85.073544069604935</v>
      </c>
      <c r="N196">
        <f t="shared" si="65"/>
        <v>8.4006700558586065</v>
      </c>
      <c r="O196">
        <f t="shared" si="66"/>
        <v>37.527420339000003</v>
      </c>
      <c r="P196">
        <f t="shared" si="67"/>
        <v>0.20572102931943639</v>
      </c>
      <c r="Q196">
        <f t="shared" si="68"/>
        <v>2.0086231056788519</v>
      </c>
      <c r="R196">
        <f t="shared" si="69"/>
        <v>0.19469143284027726</v>
      </c>
      <c r="S196">
        <f t="shared" si="70"/>
        <v>0.12262380888359889</v>
      </c>
      <c r="T196">
        <f t="shared" si="71"/>
        <v>276.11579878200001</v>
      </c>
      <c r="U196">
        <f t="shared" si="72"/>
        <v>28.491530079600352</v>
      </c>
      <c r="V196">
        <f t="shared" si="73"/>
        <v>28.491530079600352</v>
      </c>
      <c r="W196">
        <f t="shared" si="74"/>
        <v>3.9049477819776715</v>
      </c>
      <c r="X196">
        <f t="shared" si="75"/>
        <v>75.32915656645126</v>
      </c>
      <c r="Y196">
        <f t="shared" si="76"/>
        <v>2.7097672967550004</v>
      </c>
      <c r="Z196">
        <f t="shared" si="77"/>
        <v>3.5972356790754612</v>
      </c>
      <c r="AA196">
        <f t="shared" si="78"/>
        <v>1.1951804852226711</v>
      </c>
      <c r="AB196">
        <f t="shared" si="79"/>
        <v>-107.52136886163862</v>
      </c>
      <c r="AC196">
        <f t="shared" si="80"/>
        <v>-152.22494837577972</v>
      </c>
      <c r="AD196">
        <f t="shared" si="81"/>
        <v>-16.484863641381882</v>
      </c>
      <c r="AE196">
        <f t="shared" si="82"/>
        <v>-0.11538209680020373</v>
      </c>
      <c r="AF196">
        <v>8</v>
      </c>
      <c r="AG196">
        <v>3</v>
      </c>
      <c r="AH196">
        <f t="shared" si="83"/>
        <v>1</v>
      </c>
      <c r="AI196">
        <f t="shared" si="84"/>
        <v>0</v>
      </c>
      <c r="AJ196">
        <f t="shared" si="85"/>
        <v>52211.807709529676</v>
      </c>
      <c r="AK196">
        <f t="shared" si="86"/>
        <v>1800</v>
      </c>
      <c r="AL196">
        <f t="shared" si="87"/>
        <v>1499.1110532</v>
      </c>
      <c r="AM196">
        <f t="shared" si="88"/>
        <v>0.83283947400000002</v>
      </c>
      <c r="AN196">
        <f t="shared" si="89"/>
        <v>0.15339766599000002</v>
      </c>
      <c r="AO196">
        <v>34.5</v>
      </c>
      <c r="AP196">
        <v>0.5</v>
      </c>
      <c r="AQ196" t="s">
        <v>331</v>
      </c>
      <c r="AR196">
        <v>2</v>
      </c>
      <c r="AS196">
        <v>1690378556.0999999</v>
      </c>
      <c r="AT196">
        <v>380.04</v>
      </c>
      <c r="AU196">
        <v>799.96400000000006</v>
      </c>
      <c r="AV196">
        <v>27.441800000000001</v>
      </c>
      <c r="AW196">
        <v>0.18349499999999999</v>
      </c>
      <c r="AX196">
        <v>380.44499999999999</v>
      </c>
      <c r="AY196">
        <v>27.230699999999999</v>
      </c>
      <c r="AZ196">
        <v>300.11799999999999</v>
      </c>
      <c r="BA196">
        <v>98.646000000000001</v>
      </c>
      <c r="BB196">
        <v>9.9974999999999994E-2</v>
      </c>
      <c r="BC196">
        <v>27.085799999999999</v>
      </c>
      <c r="BD196">
        <v>26.9892</v>
      </c>
      <c r="BE196">
        <v>28.558900000000001</v>
      </c>
      <c r="BF196">
        <v>0</v>
      </c>
      <c r="BG196">
        <v>0</v>
      </c>
      <c r="BH196">
        <v>10013.1</v>
      </c>
      <c r="BI196">
        <v>1082.01</v>
      </c>
      <c r="BJ196">
        <v>1.3736200000000001</v>
      </c>
      <c r="BK196">
        <v>-419.92399999999998</v>
      </c>
      <c r="BL196">
        <v>390.76299999999998</v>
      </c>
      <c r="BM196">
        <v>800.11099999999999</v>
      </c>
      <c r="BN196">
        <v>27.258299999999998</v>
      </c>
      <c r="BO196">
        <v>799.96400000000006</v>
      </c>
      <c r="BP196">
        <v>0.18349499999999999</v>
      </c>
      <c r="BQ196">
        <v>2.70703</v>
      </c>
      <c r="BR196">
        <v>1.8100999999999999E-2</v>
      </c>
      <c r="BS196">
        <v>22.3278</v>
      </c>
      <c r="BT196">
        <v>-40.381900000000002</v>
      </c>
      <c r="BU196">
        <v>1800</v>
      </c>
      <c r="BV196">
        <v>0.90999200000000002</v>
      </c>
      <c r="BW196">
        <v>3.4004100000000002E-2</v>
      </c>
      <c r="BX196">
        <v>2.20027E-2</v>
      </c>
      <c r="BY196">
        <v>3.4001299999999998E-2</v>
      </c>
      <c r="BZ196">
        <v>26</v>
      </c>
      <c r="CA196">
        <v>33528.199999999997</v>
      </c>
      <c r="CB196">
        <v>1690376213.5999999</v>
      </c>
      <c r="CC196" t="s">
        <v>332</v>
      </c>
      <c r="CD196">
        <v>1690376213.5999999</v>
      </c>
      <c r="CE196">
        <v>1690376198.0999999</v>
      </c>
      <c r="CF196">
        <v>2</v>
      </c>
      <c r="CG196">
        <v>0.66900000000000004</v>
      </c>
      <c r="CH196">
        <v>-2.1000000000000001E-2</v>
      </c>
      <c r="CI196">
        <v>-0.70099999999999996</v>
      </c>
      <c r="CJ196">
        <v>0.21099999999999999</v>
      </c>
      <c r="CK196">
        <v>799</v>
      </c>
      <c r="CL196">
        <v>21</v>
      </c>
      <c r="CM196">
        <v>0.11</v>
      </c>
      <c r="CN196">
        <v>0.17</v>
      </c>
      <c r="CO196">
        <v>-419.35237500000011</v>
      </c>
      <c r="CP196">
        <v>-2.9630431519702292</v>
      </c>
      <c r="CQ196">
        <v>0.29597801333038481</v>
      </c>
      <c r="CR196">
        <v>-1</v>
      </c>
      <c r="CS196">
        <v>27.232972499999999</v>
      </c>
      <c r="CT196">
        <v>0.142695309568488</v>
      </c>
      <c r="CU196">
        <v>1.3749963409042391E-2</v>
      </c>
      <c r="CV196">
        <v>-1</v>
      </c>
      <c r="CW196">
        <v>0</v>
      </c>
      <c r="CX196">
        <v>0</v>
      </c>
      <c r="CY196" t="s">
        <v>333</v>
      </c>
      <c r="CZ196">
        <v>2.3649900000000001</v>
      </c>
      <c r="DA196">
        <v>2.7137799999999999</v>
      </c>
      <c r="DB196">
        <v>8.5846900000000004E-2</v>
      </c>
      <c r="DC196">
        <v>0.145513</v>
      </c>
      <c r="DD196">
        <v>0.124654</v>
      </c>
      <c r="DE196">
        <v>1.53834E-3</v>
      </c>
      <c r="DF196">
        <v>33391</v>
      </c>
      <c r="DG196">
        <v>27540.2</v>
      </c>
      <c r="DH196">
        <v>31181.1</v>
      </c>
      <c r="DI196">
        <v>28083.1</v>
      </c>
      <c r="DJ196">
        <v>37042.699999999997</v>
      </c>
      <c r="DK196">
        <v>39869.1</v>
      </c>
      <c r="DL196">
        <v>44373.2</v>
      </c>
      <c r="DM196">
        <v>42552.4</v>
      </c>
      <c r="DN196">
        <v>1.44923</v>
      </c>
      <c r="DO196">
        <v>2.0438999999999998</v>
      </c>
      <c r="DP196">
        <v>9.0207899999999994E-2</v>
      </c>
      <c r="DQ196">
        <v>0.18693499999999999</v>
      </c>
      <c r="DR196">
        <v>25.5122</v>
      </c>
      <c r="DS196">
        <v>25.501899999999999</v>
      </c>
      <c r="DT196">
        <v>26.7</v>
      </c>
      <c r="DU196">
        <v>27.6</v>
      </c>
      <c r="DV196">
        <v>10.0341</v>
      </c>
      <c r="DW196">
        <v>60.5884</v>
      </c>
      <c r="DX196">
        <v>37.347799999999999</v>
      </c>
      <c r="DY196">
        <v>1</v>
      </c>
      <c r="DZ196">
        <v>-0.132856</v>
      </c>
      <c r="EA196">
        <v>-0.52406299999999995</v>
      </c>
      <c r="EB196">
        <v>20.1892</v>
      </c>
      <c r="EC196">
        <v>5.2421499999999996</v>
      </c>
      <c r="ED196">
        <v>12.039899999999999</v>
      </c>
      <c r="EE196">
        <v>5.0170500000000002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1.8688499999999999</v>
      </c>
      <c r="EL196">
        <v>1.86453</v>
      </c>
      <c r="EM196">
        <v>1.86917</v>
      </c>
      <c r="EN196">
        <v>1.86721</v>
      </c>
      <c r="EO196">
        <v>1.86328</v>
      </c>
      <c r="EP196">
        <v>1.86435</v>
      </c>
      <c r="EQ196">
        <v>1.87012</v>
      </c>
      <c r="ER196">
        <v>1.8693500000000001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-0.40500000000000003</v>
      </c>
      <c r="FG196">
        <v>0.21110000000000001</v>
      </c>
      <c r="FH196">
        <v>-0.150361779349652</v>
      </c>
      <c r="FI196">
        <v>-6.1462078757559423E-4</v>
      </c>
      <c r="FJ196">
        <v>-1.8861989874597051E-7</v>
      </c>
      <c r="FK196">
        <v>1.1980462299894961E-10</v>
      </c>
      <c r="FL196">
        <v>0.21114761904761539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39</v>
      </c>
      <c r="FU196">
        <v>39.299999999999997</v>
      </c>
      <c r="FV196">
        <v>1.7663599999999999</v>
      </c>
      <c r="FW196">
        <v>2.5744600000000002</v>
      </c>
      <c r="FX196">
        <v>1.5490699999999999</v>
      </c>
      <c r="FY196">
        <v>2.33765</v>
      </c>
      <c r="FZ196">
        <v>1.50146</v>
      </c>
      <c r="GA196">
        <v>2.3046899999999999</v>
      </c>
      <c r="GB196">
        <v>32.421199999999999</v>
      </c>
      <c r="GC196">
        <v>23.982399999999998</v>
      </c>
      <c r="GD196">
        <v>19</v>
      </c>
      <c r="GE196">
        <v>269.48200000000003</v>
      </c>
      <c r="GF196">
        <v>583.51199999999994</v>
      </c>
      <c r="GG196">
        <v>25.8569</v>
      </c>
      <c r="GH196">
        <v>25.7606</v>
      </c>
      <c r="GI196">
        <v>30</v>
      </c>
      <c r="GJ196">
        <v>25.8584</v>
      </c>
      <c r="GK196">
        <v>25.823</v>
      </c>
      <c r="GL196">
        <v>35.311399999999999</v>
      </c>
      <c r="GM196">
        <v>100</v>
      </c>
      <c r="GN196">
        <v>6.8666299999999998</v>
      </c>
      <c r="GO196">
        <v>25.8657</v>
      </c>
      <c r="GP196">
        <v>800</v>
      </c>
      <c r="GQ196">
        <v>0</v>
      </c>
      <c r="GR196">
        <v>99.765699999999995</v>
      </c>
      <c r="GS196">
        <v>99.555800000000005</v>
      </c>
    </row>
    <row r="197" spans="1:201" x14ac:dyDescent="0.25">
      <c r="A197">
        <v>181</v>
      </c>
      <c r="B197">
        <v>1690378566.0999999</v>
      </c>
      <c r="C197">
        <v>1849.599999904633</v>
      </c>
      <c r="D197" t="s">
        <v>695</v>
      </c>
      <c r="E197" t="s">
        <v>696</v>
      </c>
      <c r="F197" t="s">
        <v>330</v>
      </c>
      <c r="H197">
        <v>1690378566.0999999</v>
      </c>
      <c r="I197">
        <f t="shared" si="60"/>
        <v>2.4403557508976799E-3</v>
      </c>
      <c r="J197">
        <f t="shared" si="61"/>
        <v>2.4403557508976799</v>
      </c>
      <c r="K197">
        <f t="shared" si="62"/>
        <v>35.6441723037956</v>
      </c>
      <c r="L197">
        <f t="shared" si="63"/>
        <v>379.68099999999998</v>
      </c>
      <c r="M197">
        <f t="shared" si="64"/>
        <v>84.973874178118223</v>
      </c>
      <c r="N197">
        <f t="shared" si="65"/>
        <v>8.3911251239097346</v>
      </c>
      <c r="O197">
        <f t="shared" si="66"/>
        <v>37.493297898751003</v>
      </c>
      <c r="P197">
        <f t="shared" si="67"/>
        <v>0.20617788348273969</v>
      </c>
      <c r="Q197">
        <f t="shared" si="68"/>
        <v>2.0044067472541514</v>
      </c>
      <c r="R197">
        <f t="shared" si="69"/>
        <v>0.19507870654286674</v>
      </c>
      <c r="S197">
        <f t="shared" si="70"/>
        <v>0.12287159260232099</v>
      </c>
      <c r="T197">
        <f t="shared" si="71"/>
        <v>276.11579766599999</v>
      </c>
      <c r="U197">
        <f t="shared" si="72"/>
        <v>28.494476586023083</v>
      </c>
      <c r="V197">
        <f t="shared" si="73"/>
        <v>28.494476586023083</v>
      </c>
      <c r="W197">
        <f t="shared" si="74"/>
        <v>3.9056161445963244</v>
      </c>
      <c r="X197">
        <f t="shared" si="75"/>
        <v>75.377741916608699</v>
      </c>
      <c r="Y197">
        <f t="shared" si="76"/>
        <v>2.7116900985012999</v>
      </c>
      <c r="Z197">
        <f t="shared" si="77"/>
        <v>3.5974679388794577</v>
      </c>
      <c r="AA197">
        <f t="shared" si="78"/>
        <v>1.1939260460950245</v>
      </c>
      <c r="AB197">
        <f t="shared" si="79"/>
        <v>-107.61968861458769</v>
      </c>
      <c r="AC197">
        <f t="shared" si="80"/>
        <v>-152.10494501173355</v>
      </c>
      <c r="AD197">
        <f t="shared" si="81"/>
        <v>-16.506850778446605</v>
      </c>
      <c r="AE197">
        <f t="shared" si="82"/>
        <v>-0.11568673876786306</v>
      </c>
      <c r="AF197">
        <v>8</v>
      </c>
      <c r="AG197">
        <v>3</v>
      </c>
      <c r="AH197">
        <f t="shared" si="83"/>
        <v>1</v>
      </c>
      <c r="AI197">
        <f t="shared" si="84"/>
        <v>0</v>
      </c>
      <c r="AJ197">
        <f t="shared" si="85"/>
        <v>52010.306268967557</v>
      </c>
      <c r="AK197">
        <f t="shared" si="86"/>
        <v>1800</v>
      </c>
      <c r="AL197">
        <f t="shared" si="87"/>
        <v>1499.1120395999999</v>
      </c>
      <c r="AM197">
        <f t="shared" si="88"/>
        <v>0.83284002199999996</v>
      </c>
      <c r="AN197">
        <f t="shared" si="89"/>
        <v>0.15339766536999999</v>
      </c>
      <c r="AO197">
        <v>34.5</v>
      </c>
      <c r="AP197">
        <v>0.5</v>
      </c>
      <c r="AQ197" t="s">
        <v>331</v>
      </c>
      <c r="AR197">
        <v>2</v>
      </c>
      <c r="AS197">
        <v>1690378566.0999999</v>
      </c>
      <c r="AT197">
        <v>379.68099999999998</v>
      </c>
      <c r="AU197">
        <v>800.00900000000001</v>
      </c>
      <c r="AV197">
        <v>27.4603</v>
      </c>
      <c r="AW197">
        <v>0.18213299999999999</v>
      </c>
      <c r="AX197">
        <v>380.08600000000001</v>
      </c>
      <c r="AY197">
        <v>27.249199999999998</v>
      </c>
      <c r="AZ197">
        <v>300.16800000000001</v>
      </c>
      <c r="BA197">
        <v>98.6494</v>
      </c>
      <c r="BB197">
        <v>0.10007099999999999</v>
      </c>
      <c r="BC197">
        <v>27.0869</v>
      </c>
      <c r="BD197">
        <v>27.000900000000001</v>
      </c>
      <c r="BE197">
        <v>28.579000000000001</v>
      </c>
      <c r="BF197">
        <v>0</v>
      </c>
      <c r="BG197">
        <v>0</v>
      </c>
      <c r="BH197">
        <v>9972.5</v>
      </c>
      <c r="BI197">
        <v>1081.92</v>
      </c>
      <c r="BJ197">
        <v>1.4016500000000001</v>
      </c>
      <c r="BK197">
        <v>-420.32799999999997</v>
      </c>
      <c r="BL197">
        <v>390.40199999999999</v>
      </c>
      <c r="BM197">
        <v>800.154</v>
      </c>
      <c r="BN197">
        <v>27.278199999999998</v>
      </c>
      <c r="BO197">
        <v>800.00900000000001</v>
      </c>
      <c r="BP197">
        <v>0.18213299999999999</v>
      </c>
      <c r="BQ197">
        <v>2.7089400000000001</v>
      </c>
      <c r="BR197">
        <v>1.7967299999999999E-2</v>
      </c>
      <c r="BS197">
        <v>22.339500000000001</v>
      </c>
      <c r="BT197">
        <v>-40.452599999999997</v>
      </c>
      <c r="BU197">
        <v>1800</v>
      </c>
      <c r="BV197">
        <v>0.909995</v>
      </c>
      <c r="BW197">
        <v>3.4003100000000001E-2</v>
      </c>
      <c r="BX197">
        <v>2.20021E-2</v>
      </c>
      <c r="BY197">
        <v>3.4000299999999997E-2</v>
      </c>
      <c r="BZ197">
        <v>26</v>
      </c>
      <c r="CA197">
        <v>33528.300000000003</v>
      </c>
      <c r="CB197">
        <v>1690376213.5999999</v>
      </c>
      <c r="CC197" t="s">
        <v>332</v>
      </c>
      <c r="CD197">
        <v>1690376213.5999999</v>
      </c>
      <c r="CE197">
        <v>1690376198.0999999</v>
      </c>
      <c r="CF197">
        <v>2</v>
      </c>
      <c r="CG197">
        <v>0.66900000000000004</v>
      </c>
      <c r="CH197">
        <v>-2.1000000000000001E-2</v>
      </c>
      <c r="CI197">
        <v>-0.70099999999999996</v>
      </c>
      <c r="CJ197">
        <v>0.21099999999999999</v>
      </c>
      <c r="CK197">
        <v>799</v>
      </c>
      <c r="CL197">
        <v>21</v>
      </c>
      <c r="CM197">
        <v>0.11</v>
      </c>
      <c r="CN197">
        <v>0.17</v>
      </c>
      <c r="CO197">
        <v>-419.81992682926841</v>
      </c>
      <c r="CP197">
        <v>-2.732320557491581</v>
      </c>
      <c r="CQ197">
        <v>0.27661158734912189</v>
      </c>
      <c r="CR197">
        <v>-1</v>
      </c>
      <c r="CS197">
        <v>27.254702439024388</v>
      </c>
      <c r="CT197">
        <v>0.13685644599312249</v>
      </c>
      <c r="CU197">
        <v>1.351357921941693E-2</v>
      </c>
      <c r="CV197">
        <v>-1</v>
      </c>
      <c r="CW197">
        <v>0</v>
      </c>
      <c r="CX197">
        <v>0</v>
      </c>
      <c r="CY197" t="s">
        <v>333</v>
      </c>
      <c r="CZ197">
        <v>2.3651499999999999</v>
      </c>
      <c r="DA197">
        <v>2.7138399999999998</v>
      </c>
      <c r="DB197">
        <v>8.5786699999999994E-2</v>
      </c>
      <c r="DC197">
        <v>0.14552200000000001</v>
      </c>
      <c r="DD197">
        <v>0.12471599999999999</v>
      </c>
      <c r="DE197">
        <v>1.5271E-3</v>
      </c>
      <c r="DF197">
        <v>33393</v>
      </c>
      <c r="DG197">
        <v>27540.1</v>
      </c>
      <c r="DH197">
        <v>31181</v>
      </c>
      <c r="DI197">
        <v>28083.200000000001</v>
      </c>
      <c r="DJ197">
        <v>37039.699999999997</v>
      </c>
      <c r="DK197">
        <v>39869.599999999999</v>
      </c>
      <c r="DL197">
        <v>44372.9</v>
      </c>
      <c r="DM197">
        <v>42552.4</v>
      </c>
      <c r="DN197">
        <v>1.44937</v>
      </c>
      <c r="DO197">
        <v>2.0436999999999999</v>
      </c>
      <c r="DP197">
        <v>9.0729400000000002E-2</v>
      </c>
      <c r="DQ197">
        <v>0.188004</v>
      </c>
      <c r="DR197">
        <v>25.5153</v>
      </c>
      <c r="DS197">
        <v>25.5046</v>
      </c>
      <c r="DT197">
        <v>26.6</v>
      </c>
      <c r="DU197">
        <v>27.6</v>
      </c>
      <c r="DV197">
        <v>9.9971099999999993</v>
      </c>
      <c r="DW197">
        <v>61.2684</v>
      </c>
      <c r="DX197">
        <v>37.255600000000001</v>
      </c>
      <c r="DY197">
        <v>1</v>
      </c>
      <c r="DZ197">
        <v>-0.13286300000000001</v>
      </c>
      <c r="EA197">
        <v>-0.50539500000000004</v>
      </c>
      <c r="EB197">
        <v>20.1892</v>
      </c>
      <c r="EC197">
        <v>5.2413999999999996</v>
      </c>
      <c r="ED197">
        <v>12.039899999999999</v>
      </c>
      <c r="EE197">
        <v>5.0170000000000003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1.8688400000000001</v>
      </c>
      <c r="EL197">
        <v>1.8645499999999999</v>
      </c>
      <c r="EM197">
        <v>1.8691899999999999</v>
      </c>
      <c r="EN197">
        <v>1.86721</v>
      </c>
      <c r="EO197">
        <v>1.86327</v>
      </c>
      <c r="EP197">
        <v>1.8643400000000001</v>
      </c>
      <c r="EQ197">
        <v>1.87012</v>
      </c>
      <c r="ER197">
        <v>1.8693500000000001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-0.40500000000000003</v>
      </c>
      <c r="FG197">
        <v>0.21110000000000001</v>
      </c>
      <c r="FH197">
        <v>-0.150361779349652</v>
      </c>
      <c r="FI197">
        <v>-6.1462078757559423E-4</v>
      </c>
      <c r="FJ197">
        <v>-1.8861989874597051E-7</v>
      </c>
      <c r="FK197">
        <v>1.1980462299894961E-10</v>
      </c>
      <c r="FL197">
        <v>0.21114761904761539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39.200000000000003</v>
      </c>
      <c r="FU197">
        <v>39.5</v>
      </c>
      <c r="FV197">
        <v>1.7663599999999999</v>
      </c>
      <c r="FW197">
        <v>2.5732400000000002</v>
      </c>
      <c r="FX197">
        <v>1.5490699999999999</v>
      </c>
      <c r="FY197">
        <v>2.33765</v>
      </c>
      <c r="FZ197">
        <v>1.50146</v>
      </c>
      <c r="GA197">
        <v>2.2900399999999999</v>
      </c>
      <c r="GB197">
        <v>32.421199999999999</v>
      </c>
      <c r="GC197">
        <v>23.982399999999998</v>
      </c>
      <c r="GD197">
        <v>19</v>
      </c>
      <c r="GE197">
        <v>269.54899999999998</v>
      </c>
      <c r="GF197">
        <v>583.37199999999996</v>
      </c>
      <c r="GG197">
        <v>25.863099999999999</v>
      </c>
      <c r="GH197">
        <v>25.7621</v>
      </c>
      <c r="GI197">
        <v>30</v>
      </c>
      <c r="GJ197">
        <v>25.8599</v>
      </c>
      <c r="GK197">
        <v>25.825099999999999</v>
      </c>
      <c r="GL197">
        <v>35.310200000000002</v>
      </c>
      <c r="GM197">
        <v>100</v>
      </c>
      <c r="GN197">
        <v>6.1168800000000001</v>
      </c>
      <c r="GO197">
        <v>25.852900000000002</v>
      </c>
      <c r="GP197">
        <v>800</v>
      </c>
      <c r="GQ197">
        <v>0</v>
      </c>
      <c r="GR197">
        <v>99.765100000000004</v>
      </c>
      <c r="GS197">
        <v>99.556100000000001</v>
      </c>
    </row>
    <row r="198" spans="1:201" x14ac:dyDescent="0.25">
      <c r="A198">
        <v>182</v>
      </c>
      <c r="B198">
        <v>1690378576.0999999</v>
      </c>
      <c r="C198">
        <v>1859.599999904633</v>
      </c>
      <c r="D198" t="s">
        <v>697</v>
      </c>
      <c r="E198" t="s">
        <v>698</v>
      </c>
      <c r="F198" t="s">
        <v>330</v>
      </c>
      <c r="H198">
        <v>1690378576.0999999</v>
      </c>
      <c r="I198">
        <f t="shared" si="60"/>
        <v>2.4415307133000357E-3</v>
      </c>
      <c r="J198">
        <f t="shared" si="61"/>
        <v>2.4415307133000357</v>
      </c>
      <c r="K198">
        <f t="shared" si="62"/>
        <v>35.66788730696301</v>
      </c>
      <c r="L198">
        <f t="shared" si="63"/>
        <v>379.25200000000001</v>
      </c>
      <c r="M198">
        <f t="shared" si="64"/>
        <v>85.001067494363653</v>
      </c>
      <c r="N198">
        <f t="shared" si="65"/>
        <v>8.3937575193389762</v>
      </c>
      <c r="O198">
        <f t="shared" si="66"/>
        <v>37.450698215471597</v>
      </c>
      <c r="P198">
        <f t="shared" si="67"/>
        <v>0.20662514784270369</v>
      </c>
      <c r="Q198">
        <f t="shared" si="68"/>
        <v>2.0100952975606101</v>
      </c>
      <c r="R198">
        <f t="shared" si="69"/>
        <v>0.19550888199562169</v>
      </c>
      <c r="S198">
        <f t="shared" si="70"/>
        <v>0.12314194235487957</v>
      </c>
      <c r="T198">
        <f t="shared" si="71"/>
        <v>276.11558283599999</v>
      </c>
      <c r="U198">
        <f t="shared" si="72"/>
        <v>28.49384150202037</v>
      </c>
      <c r="V198">
        <f t="shared" si="73"/>
        <v>28.49384150202037</v>
      </c>
      <c r="W198">
        <f t="shared" si="74"/>
        <v>3.9054720786419574</v>
      </c>
      <c r="X198">
        <f t="shared" si="75"/>
        <v>75.41629073513549</v>
      </c>
      <c r="Y198">
        <f t="shared" si="76"/>
        <v>2.713618351284</v>
      </c>
      <c r="Z198">
        <f t="shared" si="77"/>
        <v>3.5981859155793239</v>
      </c>
      <c r="AA198">
        <f t="shared" si="78"/>
        <v>1.1918537273579575</v>
      </c>
      <c r="AB198">
        <f t="shared" si="79"/>
        <v>-107.67150445653158</v>
      </c>
      <c r="AC198">
        <f t="shared" si="80"/>
        <v>-152.09934715844784</v>
      </c>
      <c r="AD198">
        <f t="shared" si="81"/>
        <v>-16.459757206837747</v>
      </c>
      <c r="AE198">
        <f t="shared" si="82"/>
        <v>-0.11502598581719781</v>
      </c>
      <c r="AF198">
        <v>8</v>
      </c>
      <c r="AG198">
        <v>3</v>
      </c>
      <c r="AH198">
        <f t="shared" si="83"/>
        <v>1</v>
      </c>
      <c r="AI198">
        <f t="shared" si="84"/>
        <v>0</v>
      </c>
      <c r="AJ198">
        <f t="shared" si="85"/>
        <v>52281.541002890714</v>
      </c>
      <c r="AK198">
        <f t="shared" si="86"/>
        <v>1800</v>
      </c>
      <c r="AL198">
        <f t="shared" si="87"/>
        <v>1499.1107886</v>
      </c>
      <c r="AM198">
        <f t="shared" si="88"/>
        <v>0.83283932699999996</v>
      </c>
      <c r="AN198">
        <f t="shared" si="89"/>
        <v>0.15339754602</v>
      </c>
      <c r="AO198">
        <v>34.5</v>
      </c>
      <c r="AP198">
        <v>0.5</v>
      </c>
      <c r="AQ198" t="s">
        <v>331</v>
      </c>
      <c r="AR198">
        <v>2</v>
      </c>
      <c r="AS198">
        <v>1690378576.0999999</v>
      </c>
      <c r="AT198">
        <v>379.25200000000001</v>
      </c>
      <c r="AU198">
        <v>799.96900000000005</v>
      </c>
      <c r="AV198">
        <v>27.48</v>
      </c>
      <c r="AW198">
        <v>0.18124899999999999</v>
      </c>
      <c r="AX198">
        <v>379.65600000000001</v>
      </c>
      <c r="AY198">
        <v>27.268899999999999</v>
      </c>
      <c r="AZ198">
        <v>300.08</v>
      </c>
      <c r="BA198">
        <v>98.648899999999998</v>
      </c>
      <c r="BB198">
        <v>9.9948300000000004E-2</v>
      </c>
      <c r="BC198">
        <v>27.090299999999999</v>
      </c>
      <c r="BD198">
        <v>27.002199999999998</v>
      </c>
      <c r="BE198">
        <v>28.558499999999999</v>
      </c>
      <c r="BF198">
        <v>0</v>
      </c>
      <c r="BG198">
        <v>0</v>
      </c>
      <c r="BH198">
        <v>10026.9</v>
      </c>
      <c r="BI198">
        <v>1081.95</v>
      </c>
      <c r="BJ198">
        <v>1.4016500000000001</v>
      </c>
      <c r="BK198">
        <v>-420.71800000000002</v>
      </c>
      <c r="BL198">
        <v>389.96800000000002</v>
      </c>
      <c r="BM198">
        <v>800.11400000000003</v>
      </c>
      <c r="BN198">
        <v>27.2988</v>
      </c>
      <c r="BO198">
        <v>799.96900000000005</v>
      </c>
      <c r="BP198">
        <v>0.18124899999999999</v>
      </c>
      <c r="BQ198">
        <v>2.7108699999999999</v>
      </c>
      <c r="BR198">
        <v>1.788E-2</v>
      </c>
      <c r="BS198">
        <v>22.351199999999999</v>
      </c>
      <c r="BT198">
        <v>-40.499000000000002</v>
      </c>
      <c r="BU198">
        <v>1800</v>
      </c>
      <c r="BV198">
        <v>0.90999399999999997</v>
      </c>
      <c r="BW198">
        <v>3.4003199999999997E-2</v>
      </c>
      <c r="BX198">
        <v>2.20021E-2</v>
      </c>
      <c r="BY198">
        <v>3.40004E-2</v>
      </c>
      <c r="BZ198">
        <v>26</v>
      </c>
      <c r="CA198">
        <v>33528.400000000001</v>
      </c>
      <c r="CB198">
        <v>1690376213.5999999</v>
      </c>
      <c r="CC198" t="s">
        <v>332</v>
      </c>
      <c r="CD198">
        <v>1690376213.5999999</v>
      </c>
      <c r="CE198">
        <v>1690376198.0999999</v>
      </c>
      <c r="CF198">
        <v>2</v>
      </c>
      <c r="CG198">
        <v>0.66900000000000004</v>
      </c>
      <c r="CH198">
        <v>-2.1000000000000001E-2</v>
      </c>
      <c r="CI198">
        <v>-0.70099999999999996</v>
      </c>
      <c r="CJ198">
        <v>0.21099999999999999</v>
      </c>
      <c r="CK198">
        <v>799</v>
      </c>
      <c r="CL198">
        <v>21</v>
      </c>
      <c r="CM198">
        <v>0.11</v>
      </c>
      <c r="CN198">
        <v>0.17</v>
      </c>
      <c r="CO198">
        <v>-420.32127500000001</v>
      </c>
      <c r="CP198">
        <v>-2.7938949343332289</v>
      </c>
      <c r="CQ198">
        <v>0.27063185210724711</v>
      </c>
      <c r="CR198">
        <v>-1</v>
      </c>
      <c r="CS198">
        <v>27.27741</v>
      </c>
      <c r="CT198">
        <v>0.11899362101304831</v>
      </c>
      <c r="CU198">
        <v>1.1470588476621449E-2</v>
      </c>
      <c r="CV198">
        <v>-1</v>
      </c>
      <c r="CW198">
        <v>0</v>
      </c>
      <c r="CX198">
        <v>0</v>
      </c>
      <c r="CY198" t="s">
        <v>333</v>
      </c>
      <c r="CZ198">
        <v>2.3648899999999999</v>
      </c>
      <c r="DA198">
        <v>2.7137600000000002</v>
      </c>
      <c r="DB198">
        <v>8.5710999999999996E-2</v>
      </c>
      <c r="DC198">
        <v>0.14551600000000001</v>
      </c>
      <c r="DD198">
        <v>0.124777</v>
      </c>
      <c r="DE198">
        <v>1.5197500000000001E-3</v>
      </c>
      <c r="DF198">
        <v>33395.800000000003</v>
      </c>
      <c r="DG198">
        <v>27540.400000000001</v>
      </c>
      <c r="DH198">
        <v>31181</v>
      </c>
      <c r="DI198">
        <v>28083.4</v>
      </c>
      <c r="DJ198">
        <v>37037.1</v>
      </c>
      <c r="DK198">
        <v>39870.300000000003</v>
      </c>
      <c r="DL198">
        <v>44372.9</v>
      </c>
      <c r="DM198">
        <v>42552.800000000003</v>
      </c>
      <c r="DN198">
        <v>1.4488300000000001</v>
      </c>
      <c r="DO198">
        <v>2.04392</v>
      </c>
      <c r="DP198">
        <v>9.0610200000000002E-2</v>
      </c>
      <c r="DQ198">
        <v>0.18657699999999999</v>
      </c>
      <c r="DR198">
        <v>25.518599999999999</v>
      </c>
      <c r="DS198">
        <v>25.507300000000001</v>
      </c>
      <c r="DT198">
        <v>26.4</v>
      </c>
      <c r="DU198">
        <v>27.6</v>
      </c>
      <c r="DV198">
        <v>9.92103</v>
      </c>
      <c r="DW198">
        <v>61.138399999999997</v>
      </c>
      <c r="DX198">
        <v>37.3157</v>
      </c>
      <c r="DY198">
        <v>1</v>
      </c>
      <c r="DZ198">
        <v>-0.13264500000000001</v>
      </c>
      <c r="EA198">
        <v>-0.49767699999999998</v>
      </c>
      <c r="EB198">
        <v>20.189299999999999</v>
      </c>
      <c r="EC198">
        <v>5.2416999999999998</v>
      </c>
      <c r="ED198">
        <v>12.039899999999999</v>
      </c>
      <c r="EE198">
        <v>5.01715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1.8688800000000001</v>
      </c>
      <c r="EL198">
        <v>1.86456</v>
      </c>
      <c r="EM198">
        <v>1.86917</v>
      </c>
      <c r="EN198">
        <v>1.86721</v>
      </c>
      <c r="EO198">
        <v>1.8632899999999999</v>
      </c>
      <c r="EP198">
        <v>1.86433</v>
      </c>
      <c r="EQ198">
        <v>1.87012</v>
      </c>
      <c r="ER198">
        <v>1.8693500000000001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-0.40400000000000003</v>
      </c>
      <c r="FG198">
        <v>0.21110000000000001</v>
      </c>
      <c r="FH198">
        <v>-0.150361779349652</v>
      </c>
      <c r="FI198">
        <v>-6.1462078757559423E-4</v>
      </c>
      <c r="FJ198">
        <v>-1.8861989874597051E-7</v>
      </c>
      <c r="FK198">
        <v>1.1980462299894961E-10</v>
      </c>
      <c r="FL198">
        <v>0.21114761904761539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39.4</v>
      </c>
      <c r="FU198">
        <v>39.6</v>
      </c>
      <c r="FV198">
        <v>1.7663599999999999</v>
      </c>
      <c r="FW198">
        <v>2.5744600000000002</v>
      </c>
      <c r="FX198">
        <v>1.5490699999999999</v>
      </c>
      <c r="FY198">
        <v>2.33765</v>
      </c>
      <c r="FZ198">
        <v>1.50146</v>
      </c>
      <c r="GA198">
        <v>2.31934</v>
      </c>
      <c r="GB198">
        <v>32.421199999999999</v>
      </c>
      <c r="GC198">
        <v>23.982399999999998</v>
      </c>
      <c r="GD198">
        <v>19</v>
      </c>
      <c r="GE198">
        <v>269.33300000000003</v>
      </c>
      <c r="GF198">
        <v>583.58199999999999</v>
      </c>
      <c r="GG198">
        <v>25.851900000000001</v>
      </c>
      <c r="GH198">
        <v>25.764299999999999</v>
      </c>
      <c r="GI198">
        <v>30.0002</v>
      </c>
      <c r="GJ198">
        <v>25.862100000000002</v>
      </c>
      <c r="GK198">
        <v>25.827300000000001</v>
      </c>
      <c r="GL198">
        <v>35.309899999999999</v>
      </c>
      <c r="GM198">
        <v>100</v>
      </c>
      <c r="GN198">
        <v>5.7449300000000001</v>
      </c>
      <c r="GO198">
        <v>25.849</v>
      </c>
      <c r="GP198">
        <v>800</v>
      </c>
      <c r="GQ198">
        <v>0</v>
      </c>
      <c r="GR198">
        <v>99.765100000000004</v>
      </c>
      <c r="GS198">
        <v>99.557000000000002</v>
      </c>
    </row>
    <row r="199" spans="1:201" x14ac:dyDescent="0.25">
      <c r="A199">
        <v>183</v>
      </c>
      <c r="B199">
        <v>1690378586.0999999</v>
      </c>
      <c r="C199">
        <v>1869.599999904633</v>
      </c>
      <c r="D199" t="s">
        <v>699</v>
      </c>
      <c r="E199" t="s">
        <v>700</v>
      </c>
      <c r="F199" t="s">
        <v>330</v>
      </c>
      <c r="H199">
        <v>1690378586.0999999</v>
      </c>
      <c r="I199">
        <f t="shared" si="60"/>
        <v>2.443629552780571E-3</v>
      </c>
      <c r="J199">
        <f t="shared" si="61"/>
        <v>2.4436295527805711</v>
      </c>
      <c r="K199">
        <f t="shared" si="62"/>
        <v>35.720444760728299</v>
      </c>
      <c r="L199">
        <f t="shared" si="63"/>
        <v>378.64699999999999</v>
      </c>
      <c r="M199">
        <f t="shared" si="64"/>
        <v>84.924629298898722</v>
      </c>
      <c r="N199">
        <f t="shared" si="65"/>
        <v>8.3862034078315606</v>
      </c>
      <c r="O199">
        <f t="shared" si="66"/>
        <v>37.390928732689503</v>
      </c>
      <c r="P199">
        <f t="shared" si="67"/>
        <v>0.20733312345663416</v>
      </c>
      <c r="Q199">
        <f t="shared" si="68"/>
        <v>2.009050989074757</v>
      </c>
      <c r="R199">
        <f t="shared" si="69"/>
        <v>0.19613728559523619</v>
      </c>
      <c r="S199">
        <f t="shared" si="70"/>
        <v>0.12354129969980174</v>
      </c>
      <c r="T199">
        <f t="shared" si="71"/>
        <v>276.11560157399998</v>
      </c>
      <c r="U199">
        <f t="shared" si="72"/>
        <v>28.491032475777594</v>
      </c>
      <c r="V199">
        <f t="shared" si="73"/>
        <v>28.491032475777594</v>
      </c>
      <c r="W199">
        <f t="shared" si="74"/>
        <v>3.9048349192404612</v>
      </c>
      <c r="X199">
        <f t="shared" si="75"/>
        <v>75.488576240489706</v>
      </c>
      <c r="Y199">
        <f t="shared" si="76"/>
        <v>2.7157889063069995</v>
      </c>
      <c r="Z199">
        <f t="shared" si="77"/>
        <v>3.5976157473881929</v>
      </c>
      <c r="AA199">
        <f t="shared" si="78"/>
        <v>1.1890460129334617</v>
      </c>
      <c r="AB199">
        <f t="shared" si="79"/>
        <v>-107.76406327762318</v>
      </c>
      <c r="AC199">
        <f t="shared" si="80"/>
        <v>-152.00851786075978</v>
      </c>
      <c r="AD199">
        <f t="shared" si="81"/>
        <v>-16.458026457708996</v>
      </c>
      <c r="AE199">
        <f t="shared" si="82"/>
        <v>-0.11500602209193289</v>
      </c>
      <c r="AF199">
        <v>8</v>
      </c>
      <c r="AG199">
        <v>3</v>
      </c>
      <c r="AH199">
        <f t="shared" si="83"/>
        <v>1</v>
      </c>
      <c r="AI199">
        <f t="shared" si="84"/>
        <v>0</v>
      </c>
      <c r="AJ199">
        <f t="shared" si="85"/>
        <v>52232.02724857632</v>
      </c>
      <c r="AK199">
        <f t="shared" si="86"/>
        <v>1800</v>
      </c>
      <c r="AL199">
        <f t="shared" si="87"/>
        <v>1499.1112043999999</v>
      </c>
      <c r="AM199">
        <f t="shared" si="88"/>
        <v>0.83283955799999998</v>
      </c>
      <c r="AN199">
        <f t="shared" si="89"/>
        <v>0.15339755643</v>
      </c>
      <c r="AO199">
        <v>34.5</v>
      </c>
      <c r="AP199">
        <v>0.5</v>
      </c>
      <c r="AQ199" t="s">
        <v>331</v>
      </c>
      <c r="AR199">
        <v>2</v>
      </c>
      <c r="AS199">
        <v>1690378586.0999999</v>
      </c>
      <c r="AT199">
        <v>378.64699999999999</v>
      </c>
      <c r="AU199">
        <v>799.95899999999995</v>
      </c>
      <c r="AV199">
        <v>27.501999999999999</v>
      </c>
      <c r="AW199">
        <v>0.18049100000000001</v>
      </c>
      <c r="AX199">
        <v>379.05099999999999</v>
      </c>
      <c r="AY199">
        <v>27.290900000000001</v>
      </c>
      <c r="AZ199">
        <v>300.08100000000002</v>
      </c>
      <c r="BA199">
        <v>98.648899999999998</v>
      </c>
      <c r="BB199">
        <v>9.9878499999999995E-2</v>
      </c>
      <c r="BC199">
        <v>27.087599999999998</v>
      </c>
      <c r="BD199">
        <v>27.008199999999999</v>
      </c>
      <c r="BE199">
        <v>28.5671</v>
      </c>
      <c r="BF199">
        <v>0</v>
      </c>
      <c r="BG199">
        <v>0</v>
      </c>
      <c r="BH199">
        <v>10016.9</v>
      </c>
      <c r="BI199">
        <v>1082</v>
      </c>
      <c r="BJ199">
        <v>1.4016500000000001</v>
      </c>
      <c r="BK199">
        <v>-421.31200000000001</v>
      </c>
      <c r="BL199">
        <v>389.35500000000002</v>
      </c>
      <c r="BM199">
        <v>800.10299999999995</v>
      </c>
      <c r="BN199">
        <v>27.3215</v>
      </c>
      <c r="BO199">
        <v>799.95899999999995</v>
      </c>
      <c r="BP199">
        <v>0.18049100000000001</v>
      </c>
      <c r="BQ199">
        <v>2.7130399999999999</v>
      </c>
      <c r="BR199">
        <v>1.78052E-2</v>
      </c>
      <c r="BS199">
        <v>22.3643</v>
      </c>
      <c r="BT199">
        <v>-40.538899999999998</v>
      </c>
      <c r="BU199">
        <v>1800</v>
      </c>
      <c r="BV199">
        <v>0.909995</v>
      </c>
      <c r="BW199">
        <v>3.4002900000000003E-2</v>
      </c>
      <c r="BX199">
        <v>2.2001900000000001E-2</v>
      </c>
      <c r="BY199">
        <v>3.4000099999999998E-2</v>
      </c>
      <c r="BZ199">
        <v>26</v>
      </c>
      <c r="CA199">
        <v>33528.300000000003</v>
      </c>
      <c r="CB199">
        <v>1690376213.5999999</v>
      </c>
      <c r="CC199" t="s">
        <v>332</v>
      </c>
      <c r="CD199">
        <v>1690376213.5999999</v>
      </c>
      <c r="CE199">
        <v>1690376198.0999999</v>
      </c>
      <c r="CF199">
        <v>2</v>
      </c>
      <c r="CG199">
        <v>0.66900000000000004</v>
      </c>
      <c r="CH199">
        <v>-2.1000000000000001E-2</v>
      </c>
      <c r="CI199">
        <v>-0.70099999999999996</v>
      </c>
      <c r="CJ199">
        <v>0.21099999999999999</v>
      </c>
      <c r="CK199">
        <v>799</v>
      </c>
      <c r="CL199">
        <v>21</v>
      </c>
      <c r="CM199">
        <v>0.11</v>
      </c>
      <c r="CN199">
        <v>0.17</v>
      </c>
      <c r="CO199">
        <v>-420.81079999999997</v>
      </c>
      <c r="CP199">
        <v>-3.2217410881785749</v>
      </c>
      <c r="CQ199">
        <v>0.31387013237961853</v>
      </c>
      <c r="CR199">
        <v>-1</v>
      </c>
      <c r="CS199">
        <v>27.297920000000001</v>
      </c>
      <c r="CT199">
        <v>0.13229943714815731</v>
      </c>
      <c r="CU199">
        <v>1.275082742413205E-2</v>
      </c>
      <c r="CV199">
        <v>-1</v>
      </c>
      <c r="CW199">
        <v>0</v>
      </c>
      <c r="CX199">
        <v>0</v>
      </c>
      <c r="CY199" t="s">
        <v>333</v>
      </c>
      <c r="CZ199">
        <v>2.3648799999999999</v>
      </c>
      <c r="DA199">
        <v>2.7136800000000001</v>
      </c>
      <c r="DB199">
        <v>8.5605100000000003E-2</v>
      </c>
      <c r="DC199">
        <v>0.14551500000000001</v>
      </c>
      <c r="DD199">
        <v>0.124846</v>
      </c>
      <c r="DE199">
        <v>1.5134599999999999E-3</v>
      </c>
      <c r="DF199">
        <v>33399.5</v>
      </c>
      <c r="DG199">
        <v>27540.3</v>
      </c>
      <c r="DH199">
        <v>31180.799999999999</v>
      </c>
      <c r="DI199">
        <v>28083.3</v>
      </c>
      <c r="DJ199">
        <v>37034</v>
      </c>
      <c r="DK199">
        <v>39870.5</v>
      </c>
      <c r="DL199">
        <v>44372.7</v>
      </c>
      <c r="DM199">
        <v>42552.800000000003</v>
      </c>
      <c r="DN199">
        <v>1.44913</v>
      </c>
      <c r="DO199">
        <v>2.0438200000000002</v>
      </c>
      <c r="DP199">
        <v>9.0807700000000005E-2</v>
      </c>
      <c r="DQ199">
        <v>0.18701000000000001</v>
      </c>
      <c r="DR199">
        <v>25.5213</v>
      </c>
      <c r="DS199">
        <v>25.508900000000001</v>
      </c>
      <c r="DT199">
        <v>26.3</v>
      </c>
      <c r="DU199">
        <v>27.6</v>
      </c>
      <c r="DV199">
        <v>9.8824799999999993</v>
      </c>
      <c r="DW199">
        <v>61.128399999999999</v>
      </c>
      <c r="DX199">
        <v>37.600200000000001</v>
      </c>
      <c r="DY199">
        <v>1</v>
      </c>
      <c r="DZ199">
        <v>-0.132551</v>
      </c>
      <c r="EA199">
        <v>-0.48480699999999999</v>
      </c>
      <c r="EB199">
        <v>20.189299999999999</v>
      </c>
      <c r="EC199">
        <v>5.2411000000000003</v>
      </c>
      <c r="ED199">
        <v>12.039899999999999</v>
      </c>
      <c r="EE199">
        <v>5.0172499999999998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1.8688499999999999</v>
      </c>
      <c r="EL199">
        <v>1.8645499999999999</v>
      </c>
      <c r="EM199">
        <v>1.8691899999999999</v>
      </c>
      <c r="EN199">
        <v>1.8672200000000001</v>
      </c>
      <c r="EO199">
        <v>1.86328</v>
      </c>
      <c r="EP199">
        <v>1.86433</v>
      </c>
      <c r="EQ199">
        <v>1.87012</v>
      </c>
      <c r="ER199">
        <v>1.8693500000000001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-0.40400000000000003</v>
      </c>
      <c r="FG199">
        <v>0.21110000000000001</v>
      </c>
      <c r="FH199">
        <v>-0.150361779349652</v>
      </c>
      <c r="FI199">
        <v>-6.1462078757559423E-4</v>
      </c>
      <c r="FJ199">
        <v>-1.8861989874597051E-7</v>
      </c>
      <c r="FK199">
        <v>1.1980462299894961E-10</v>
      </c>
      <c r="FL199">
        <v>0.21114761904761539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39.5</v>
      </c>
      <c r="FU199">
        <v>39.799999999999997</v>
      </c>
      <c r="FV199">
        <v>1.7663599999999999</v>
      </c>
      <c r="FW199">
        <v>2.5720200000000002</v>
      </c>
      <c r="FX199">
        <v>1.5490699999999999</v>
      </c>
      <c r="FY199">
        <v>2.33765</v>
      </c>
      <c r="FZ199">
        <v>1.50146</v>
      </c>
      <c r="GA199">
        <v>2.33887</v>
      </c>
      <c r="GB199">
        <v>32.421199999999999</v>
      </c>
      <c r="GC199">
        <v>23.982399999999998</v>
      </c>
      <c r="GD199">
        <v>19</v>
      </c>
      <c r="GE199">
        <v>269.46499999999997</v>
      </c>
      <c r="GF199">
        <v>583.49900000000002</v>
      </c>
      <c r="GG199">
        <v>25.8447</v>
      </c>
      <c r="GH199">
        <v>25.766400000000001</v>
      </c>
      <c r="GI199">
        <v>30.0002</v>
      </c>
      <c r="GJ199">
        <v>25.8642</v>
      </c>
      <c r="GK199">
        <v>25.827300000000001</v>
      </c>
      <c r="GL199">
        <v>35.307200000000002</v>
      </c>
      <c r="GM199">
        <v>100</v>
      </c>
      <c r="GN199">
        <v>5.3483299999999998</v>
      </c>
      <c r="GO199">
        <v>25.8521</v>
      </c>
      <c r="GP199">
        <v>800</v>
      </c>
      <c r="GQ199">
        <v>0</v>
      </c>
      <c r="GR199">
        <v>99.764600000000002</v>
      </c>
      <c r="GS199">
        <v>99.556700000000006</v>
      </c>
    </row>
    <row r="200" spans="1:201" x14ac:dyDescent="0.25">
      <c r="A200">
        <v>184</v>
      </c>
      <c r="B200">
        <v>1690378596.0999999</v>
      </c>
      <c r="C200">
        <v>1879.599999904633</v>
      </c>
      <c r="D200" t="s">
        <v>701</v>
      </c>
      <c r="E200" t="s">
        <v>702</v>
      </c>
      <c r="F200" t="s">
        <v>330</v>
      </c>
      <c r="H200">
        <v>1690378596.0999999</v>
      </c>
      <c r="I200">
        <f t="shared" si="60"/>
        <v>2.4461654492640718E-3</v>
      </c>
      <c r="J200">
        <f t="shared" si="61"/>
        <v>2.4461654492640719</v>
      </c>
      <c r="K200">
        <f t="shared" si="62"/>
        <v>35.766907525144447</v>
      </c>
      <c r="L200">
        <f t="shared" si="63"/>
        <v>378.25799999999998</v>
      </c>
      <c r="M200">
        <f t="shared" si="64"/>
        <v>84.618887696107421</v>
      </c>
      <c r="N200">
        <f t="shared" si="65"/>
        <v>8.35597883896253</v>
      </c>
      <c r="O200">
        <f t="shared" si="66"/>
        <v>37.352368126362002</v>
      </c>
      <c r="P200">
        <f t="shared" si="67"/>
        <v>0.20769360118399013</v>
      </c>
      <c r="Q200">
        <f t="shared" si="68"/>
        <v>2.004722484618402</v>
      </c>
      <c r="R200">
        <f t="shared" si="69"/>
        <v>0.19643708722228437</v>
      </c>
      <c r="S200">
        <f t="shared" si="70"/>
        <v>0.12373366737505752</v>
      </c>
      <c r="T200">
        <f t="shared" si="71"/>
        <v>276.11562031199998</v>
      </c>
      <c r="U200">
        <f t="shared" si="72"/>
        <v>28.497827195730949</v>
      </c>
      <c r="V200">
        <f t="shared" si="73"/>
        <v>28.497827195730949</v>
      </c>
      <c r="W200">
        <f t="shared" si="74"/>
        <v>3.9063762921038441</v>
      </c>
      <c r="X200">
        <f t="shared" si="75"/>
        <v>75.526222679729912</v>
      </c>
      <c r="Y200">
        <f t="shared" si="76"/>
        <v>2.7179407839971002</v>
      </c>
      <c r="Z200">
        <f t="shared" si="77"/>
        <v>3.5986716766209388</v>
      </c>
      <c r="AA200">
        <f t="shared" si="78"/>
        <v>1.1884355081067439</v>
      </c>
      <c r="AB200">
        <f t="shared" si="79"/>
        <v>-107.87589631254556</v>
      </c>
      <c r="AC200">
        <f t="shared" si="80"/>
        <v>-151.87498601620661</v>
      </c>
      <c r="AD200">
        <f t="shared" si="81"/>
        <v>-16.480042630171589</v>
      </c>
      <c r="AE200">
        <f t="shared" si="82"/>
        <v>-0.11530464692376086</v>
      </c>
      <c r="AF200">
        <v>8</v>
      </c>
      <c r="AG200">
        <v>3</v>
      </c>
      <c r="AH200">
        <f t="shared" si="83"/>
        <v>1</v>
      </c>
      <c r="AI200">
        <f t="shared" si="84"/>
        <v>0</v>
      </c>
      <c r="AJ200">
        <f t="shared" si="85"/>
        <v>52024.354937248514</v>
      </c>
      <c r="AK200">
        <f t="shared" si="86"/>
        <v>1800</v>
      </c>
      <c r="AL200">
        <f t="shared" si="87"/>
        <v>1499.1116201999998</v>
      </c>
      <c r="AM200">
        <f t="shared" si="88"/>
        <v>0.83283978899999989</v>
      </c>
      <c r="AN200">
        <f t="shared" si="89"/>
        <v>0.15339756684</v>
      </c>
      <c r="AO200">
        <v>34.5</v>
      </c>
      <c r="AP200">
        <v>0.5</v>
      </c>
      <c r="AQ200" t="s">
        <v>331</v>
      </c>
      <c r="AR200">
        <v>2</v>
      </c>
      <c r="AS200">
        <v>1690378596.0999999</v>
      </c>
      <c r="AT200">
        <v>378.25799999999998</v>
      </c>
      <c r="AU200">
        <v>800.03399999999999</v>
      </c>
      <c r="AV200">
        <v>27.523900000000001</v>
      </c>
      <c r="AW200">
        <v>0.17921000000000001</v>
      </c>
      <c r="AX200">
        <v>378.661</v>
      </c>
      <c r="AY200">
        <v>27.312799999999999</v>
      </c>
      <c r="AZ200">
        <v>300.13099999999997</v>
      </c>
      <c r="BA200">
        <v>98.648300000000006</v>
      </c>
      <c r="BB200">
        <v>0.100089</v>
      </c>
      <c r="BC200">
        <v>27.092600000000001</v>
      </c>
      <c r="BD200">
        <v>27.009899999999998</v>
      </c>
      <c r="BE200">
        <v>28.5794</v>
      </c>
      <c r="BF200">
        <v>0</v>
      </c>
      <c r="BG200">
        <v>0</v>
      </c>
      <c r="BH200">
        <v>9975.6200000000008</v>
      </c>
      <c r="BI200">
        <v>1081.94</v>
      </c>
      <c r="BJ200">
        <v>1.4016500000000001</v>
      </c>
      <c r="BK200">
        <v>-421.77699999999999</v>
      </c>
      <c r="BL200">
        <v>388.96300000000002</v>
      </c>
      <c r="BM200">
        <v>800.178</v>
      </c>
      <c r="BN200">
        <v>27.3447</v>
      </c>
      <c r="BO200">
        <v>800.03399999999999</v>
      </c>
      <c r="BP200">
        <v>0.17921000000000001</v>
      </c>
      <c r="BQ200">
        <v>2.7151900000000002</v>
      </c>
      <c r="BR200">
        <v>1.7678699999999999E-2</v>
      </c>
      <c r="BS200">
        <v>22.377300000000002</v>
      </c>
      <c r="BT200">
        <v>-40.6068</v>
      </c>
      <c r="BU200">
        <v>1800</v>
      </c>
      <c r="BV200">
        <v>0.90999600000000003</v>
      </c>
      <c r="BW200">
        <v>3.4002600000000001E-2</v>
      </c>
      <c r="BX200">
        <v>2.2001699999999999E-2</v>
      </c>
      <c r="BY200">
        <v>3.3999799999999997E-2</v>
      </c>
      <c r="BZ200">
        <v>26</v>
      </c>
      <c r="CA200">
        <v>33528.300000000003</v>
      </c>
      <c r="CB200">
        <v>1690376213.5999999</v>
      </c>
      <c r="CC200" t="s">
        <v>332</v>
      </c>
      <c r="CD200">
        <v>1690376213.5999999</v>
      </c>
      <c r="CE200">
        <v>1690376198.0999999</v>
      </c>
      <c r="CF200">
        <v>2</v>
      </c>
      <c r="CG200">
        <v>0.66900000000000004</v>
      </c>
      <c r="CH200">
        <v>-2.1000000000000001E-2</v>
      </c>
      <c r="CI200">
        <v>-0.70099999999999996</v>
      </c>
      <c r="CJ200">
        <v>0.21099999999999999</v>
      </c>
      <c r="CK200">
        <v>799</v>
      </c>
      <c r="CL200">
        <v>21</v>
      </c>
      <c r="CM200">
        <v>0.11</v>
      </c>
      <c r="CN200">
        <v>0.17</v>
      </c>
      <c r="CO200">
        <v>-421.32156097560983</v>
      </c>
      <c r="CP200">
        <v>-3.028390243902825</v>
      </c>
      <c r="CQ200">
        <v>0.30275499623522062</v>
      </c>
      <c r="CR200">
        <v>-1</v>
      </c>
      <c r="CS200">
        <v>27.320399999999999</v>
      </c>
      <c r="CT200">
        <v>0.13591777003489819</v>
      </c>
      <c r="CU200">
        <v>1.342138810021499E-2</v>
      </c>
      <c r="CV200">
        <v>-1</v>
      </c>
      <c r="CW200">
        <v>0</v>
      </c>
      <c r="CX200">
        <v>0</v>
      </c>
      <c r="CY200" t="s">
        <v>333</v>
      </c>
      <c r="CZ200">
        <v>2.3650500000000001</v>
      </c>
      <c r="DA200">
        <v>2.7138599999999999</v>
      </c>
      <c r="DB200">
        <v>8.5536399999999999E-2</v>
      </c>
      <c r="DC200">
        <v>0.14552200000000001</v>
      </c>
      <c r="DD200">
        <v>0.124914</v>
      </c>
      <c r="DE200">
        <v>1.50282E-3</v>
      </c>
      <c r="DF200">
        <v>33402.1</v>
      </c>
      <c r="DG200">
        <v>27540</v>
      </c>
      <c r="DH200">
        <v>31181</v>
      </c>
      <c r="DI200">
        <v>28083.3</v>
      </c>
      <c r="DJ200">
        <v>37031</v>
      </c>
      <c r="DK200">
        <v>39870.699999999997</v>
      </c>
      <c r="DL200">
        <v>44372.6</v>
      </c>
      <c r="DM200">
        <v>42552.5</v>
      </c>
      <c r="DN200">
        <v>1.4495199999999999</v>
      </c>
      <c r="DO200">
        <v>2.04365</v>
      </c>
      <c r="DP200">
        <v>9.0882199999999996E-2</v>
      </c>
      <c r="DQ200">
        <v>0.18776200000000001</v>
      </c>
      <c r="DR200">
        <v>25.521899999999999</v>
      </c>
      <c r="DS200">
        <v>25.508900000000001</v>
      </c>
      <c r="DT200">
        <v>26.2</v>
      </c>
      <c r="DU200">
        <v>27.6</v>
      </c>
      <c r="DV200">
        <v>9.8463999999999992</v>
      </c>
      <c r="DW200">
        <v>60.968400000000003</v>
      </c>
      <c r="DX200">
        <v>37.724400000000003</v>
      </c>
      <c r="DY200">
        <v>1</v>
      </c>
      <c r="DZ200">
        <v>-0.13253799999999999</v>
      </c>
      <c r="EA200">
        <v>-0.50905800000000001</v>
      </c>
      <c r="EB200">
        <v>20.189299999999999</v>
      </c>
      <c r="EC200">
        <v>5.2418500000000003</v>
      </c>
      <c r="ED200">
        <v>12.039899999999999</v>
      </c>
      <c r="EE200">
        <v>5.0174500000000002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1.86883</v>
      </c>
      <c r="EL200">
        <v>1.8645499999999999</v>
      </c>
      <c r="EM200">
        <v>1.8691800000000001</v>
      </c>
      <c r="EN200">
        <v>1.8672200000000001</v>
      </c>
      <c r="EO200">
        <v>1.86327</v>
      </c>
      <c r="EP200">
        <v>1.86432</v>
      </c>
      <c r="EQ200">
        <v>1.8701300000000001</v>
      </c>
      <c r="ER200">
        <v>1.8693500000000001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-0.40300000000000002</v>
      </c>
      <c r="FG200">
        <v>0.21110000000000001</v>
      </c>
      <c r="FH200">
        <v>-0.150361779349652</v>
      </c>
      <c r="FI200">
        <v>-6.1462078757559423E-4</v>
      </c>
      <c r="FJ200">
        <v>-1.8861989874597051E-7</v>
      </c>
      <c r="FK200">
        <v>1.1980462299894961E-10</v>
      </c>
      <c r="FL200">
        <v>0.21114761904761539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39.700000000000003</v>
      </c>
      <c r="FU200">
        <v>40</v>
      </c>
      <c r="FV200">
        <v>1.7663599999999999</v>
      </c>
      <c r="FW200">
        <v>2.5720200000000002</v>
      </c>
      <c r="FX200">
        <v>1.5490699999999999</v>
      </c>
      <c r="FY200">
        <v>2.33765</v>
      </c>
      <c r="FZ200">
        <v>1.50146</v>
      </c>
      <c r="GA200">
        <v>2.3327599999999999</v>
      </c>
      <c r="GB200">
        <v>32.421199999999999</v>
      </c>
      <c r="GC200">
        <v>23.982399999999998</v>
      </c>
      <c r="GD200">
        <v>19</v>
      </c>
      <c r="GE200">
        <v>269.63</v>
      </c>
      <c r="GF200">
        <v>583.37900000000002</v>
      </c>
      <c r="GG200">
        <v>25.8504</v>
      </c>
      <c r="GH200">
        <v>25.7682</v>
      </c>
      <c r="GI200">
        <v>30</v>
      </c>
      <c r="GJ200">
        <v>25.8644</v>
      </c>
      <c r="GK200">
        <v>25.8294</v>
      </c>
      <c r="GL200">
        <v>35.305399999999999</v>
      </c>
      <c r="GM200">
        <v>100</v>
      </c>
      <c r="GN200">
        <v>4.5621</v>
      </c>
      <c r="GO200">
        <v>25.8368</v>
      </c>
      <c r="GP200">
        <v>800</v>
      </c>
      <c r="GQ200">
        <v>0</v>
      </c>
      <c r="GR200">
        <v>99.764600000000002</v>
      </c>
      <c r="GS200">
        <v>99.556299999999993</v>
      </c>
    </row>
    <row r="201" spans="1:201" x14ac:dyDescent="0.25">
      <c r="A201">
        <v>185</v>
      </c>
      <c r="B201">
        <v>1690378606.0999999</v>
      </c>
      <c r="C201">
        <v>1889.599999904633</v>
      </c>
      <c r="D201" t="s">
        <v>703</v>
      </c>
      <c r="E201" t="s">
        <v>704</v>
      </c>
      <c r="F201" t="s">
        <v>330</v>
      </c>
      <c r="H201">
        <v>1690378606.0999999</v>
      </c>
      <c r="I201">
        <f t="shared" si="60"/>
        <v>2.448158691107977E-3</v>
      </c>
      <c r="J201">
        <f t="shared" si="61"/>
        <v>2.4481586911079769</v>
      </c>
      <c r="K201">
        <f t="shared" si="62"/>
        <v>35.786551672259954</v>
      </c>
      <c r="L201">
        <f t="shared" si="63"/>
        <v>377.88900000000001</v>
      </c>
      <c r="M201">
        <f t="shared" si="64"/>
        <v>85.244191419379717</v>
      </c>
      <c r="N201">
        <f t="shared" si="65"/>
        <v>8.4179679176261182</v>
      </c>
      <c r="O201">
        <f t="shared" si="66"/>
        <v>37.316999850157799</v>
      </c>
      <c r="P201">
        <f t="shared" si="67"/>
        <v>0.20854258793516303</v>
      </c>
      <c r="Q201">
        <f t="shared" si="68"/>
        <v>2.0075079992411844</v>
      </c>
      <c r="R201">
        <f t="shared" si="69"/>
        <v>0.1972113833317734</v>
      </c>
      <c r="S201">
        <f t="shared" si="70"/>
        <v>0.1242238453586029</v>
      </c>
      <c r="T201">
        <f t="shared" si="71"/>
        <v>276.11538562800001</v>
      </c>
      <c r="U201">
        <f t="shared" si="72"/>
        <v>28.495131827838442</v>
      </c>
      <c r="V201">
        <f t="shared" si="73"/>
        <v>28.495131827838442</v>
      </c>
      <c r="W201">
        <f t="shared" si="74"/>
        <v>3.9057647881182223</v>
      </c>
      <c r="X201">
        <f t="shared" si="75"/>
        <v>75.612421932957432</v>
      </c>
      <c r="Y201">
        <f t="shared" si="76"/>
        <v>2.7210108716348405</v>
      </c>
      <c r="Z201">
        <f t="shared" si="77"/>
        <v>3.5986294342581093</v>
      </c>
      <c r="AA201">
        <f t="shared" si="78"/>
        <v>1.1847539164833818</v>
      </c>
      <c r="AB201">
        <f t="shared" si="79"/>
        <v>-107.96379827786178</v>
      </c>
      <c r="AC201">
        <f t="shared" si="80"/>
        <v>-151.81594212736192</v>
      </c>
      <c r="AD201">
        <f t="shared" si="81"/>
        <v>-16.450539933650496</v>
      </c>
      <c r="AE201">
        <f t="shared" si="82"/>
        <v>-0.11489471087415382</v>
      </c>
      <c r="AF201">
        <v>8</v>
      </c>
      <c r="AG201">
        <v>3</v>
      </c>
      <c r="AH201">
        <f t="shared" si="83"/>
        <v>1</v>
      </c>
      <c r="AI201">
        <f t="shared" si="84"/>
        <v>0</v>
      </c>
      <c r="AJ201">
        <f t="shared" si="85"/>
        <v>52157.458302124338</v>
      </c>
      <c r="AK201">
        <f t="shared" si="86"/>
        <v>1800</v>
      </c>
      <c r="AL201">
        <f t="shared" si="87"/>
        <v>1499.1109397999999</v>
      </c>
      <c r="AM201">
        <f t="shared" si="88"/>
        <v>0.83283941099999992</v>
      </c>
      <c r="AN201">
        <f t="shared" si="89"/>
        <v>0.15339743646000001</v>
      </c>
      <c r="AO201">
        <v>34.5</v>
      </c>
      <c r="AP201">
        <v>0.5</v>
      </c>
      <c r="AQ201" t="s">
        <v>331</v>
      </c>
      <c r="AR201">
        <v>2</v>
      </c>
      <c r="AS201">
        <v>1690378606.0999999</v>
      </c>
      <c r="AT201">
        <v>377.88900000000001</v>
      </c>
      <c r="AU201">
        <v>800.04100000000005</v>
      </c>
      <c r="AV201">
        <v>27.554200000000002</v>
      </c>
      <c r="AW201">
        <v>0.17823</v>
      </c>
      <c r="AX201">
        <v>378.29300000000001</v>
      </c>
      <c r="AY201">
        <v>27.343</v>
      </c>
      <c r="AZ201">
        <v>300.02300000000002</v>
      </c>
      <c r="BA201">
        <v>98.651300000000006</v>
      </c>
      <c r="BB201">
        <v>9.9920200000000001E-2</v>
      </c>
      <c r="BC201">
        <v>27.092400000000001</v>
      </c>
      <c r="BD201">
        <v>27.007200000000001</v>
      </c>
      <c r="BE201">
        <v>28.587499999999999</v>
      </c>
      <c r="BF201">
        <v>0</v>
      </c>
      <c r="BG201">
        <v>0</v>
      </c>
      <c r="BH201">
        <v>10001.9</v>
      </c>
      <c r="BI201">
        <v>1081.8399999999999</v>
      </c>
      <c r="BJ201">
        <v>1.4016500000000001</v>
      </c>
      <c r="BK201">
        <v>-422.15100000000001</v>
      </c>
      <c r="BL201">
        <v>388.59699999999998</v>
      </c>
      <c r="BM201">
        <v>800.18299999999999</v>
      </c>
      <c r="BN201">
        <v>27.375900000000001</v>
      </c>
      <c r="BO201">
        <v>800.04100000000005</v>
      </c>
      <c r="BP201">
        <v>0.17823</v>
      </c>
      <c r="BQ201">
        <v>2.7182499999999998</v>
      </c>
      <c r="BR201">
        <v>1.75826E-2</v>
      </c>
      <c r="BS201">
        <v>22.395900000000001</v>
      </c>
      <c r="BT201">
        <v>-40.658700000000003</v>
      </c>
      <c r="BU201">
        <v>1800</v>
      </c>
      <c r="BV201">
        <v>0.90999699999999994</v>
      </c>
      <c r="BW201">
        <v>3.4001999999999998E-2</v>
      </c>
      <c r="BX201">
        <v>2.2001300000000001E-2</v>
      </c>
      <c r="BY201">
        <v>3.39992E-2</v>
      </c>
      <c r="BZ201">
        <v>26</v>
      </c>
      <c r="CA201">
        <v>33528.300000000003</v>
      </c>
      <c r="CB201">
        <v>1690376213.5999999</v>
      </c>
      <c r="CC201" t="s">
        <v>332</v>
      </c>
      <c r="CD201">
        <v>1690376213.5999999</v>
      </c>
      <c r="CE201">
        <v>1690376198.0999999</v>
      </c>
      <c r="CF201">
        <v>2</v>
      </c>
      <c r="CG201">
        <v>0.66900000000000004</v>
      </c>
      <c r="CH201">
        <v>-2.1000000000000001E-2</v>
      </c>
      <c r="CI201">
        <v>-0.70099999999999996</v>
      </c>
      <c r="CJ201">
        <v>0.21099999999999999</v>
      </c>
      <c r="CK201">
        <v>799</v>
      </c>
      <c r="CL201">
        <v>21</v>
      </c>
      <c r="CM201">
        <v>0.11</v>
      </c>
      <c r="CN201">
        <v>0.17</v>
      </c>
      <c r="CO201">
        <v>-421.73785365853649</v>
      </c>
      <c r="CP201">
        <v>-2.3217282229965481</v>
      </c>
      <c r="CQ201">
        <v>0.23310466203451499</v>
      </c>
      <c r="CR201">
        <v>-1</v>
      </c>
      <c r="CS201">
        <v>27.345146341463408</v>
      </c>
      <c r="CT201">
        <v>0.1648013937281638</v>
      </c>
      <c r="CU201">
        <v>1.6334821365846939E-2</v>
      </c>
      <c r="CV201">
        <v>-1</v>
      </c>
      <c r="CW201">
        <v>0</v>
      </c>
      <c r="CX201">
        <v>0</v>
      </c>
      <c r="CY201" t="s">
        <v>333</v>
      </c>
      <c r="CZ201">
        <v>2.3646600000000002</v>
      </c>
      <c r="DA201">
        <v>2.7137099999999998</v>
      </c>
      <c r="DB201">
        <v>8.5474300000000003E-2</v>
      </c>
      <c r="DC201">
        <v>0.14552699999999999</v>
      </c>
      <c r="DD201">
        <v>0.12501300000000001</v>
      </c>
      <c r="DE201">
        <v>1.4947300000000001E-3</v>
      </c>
      <c r="DF201">
        <v>33404.400000000001</v>
      </c>
      <c r="DG201">
        <v>27540.5</v>
      </c>
      <c r="DH201">
        <v>31181</v>
      </c>
      <c r="DI201">
        <v>28083.8</v>
      </c>
      <c r="DJ201">
        <v>37027.1</v>
      </c>
      <c r="DK201">
        <v>39871.599999999999</v>
      </c>
      <c r="DL201">
        <v>44373</v>
      </c>
      <c r="DM201">
        <v>42553.2</v>
      </c>
      <c r="DN201">
        <v>1.4488300000000001</v>
      </c>
      <c r="DO201">
        <v>2.04373</v>
      </c>
      <c r="DP201">
        <v>9.0461200000000005E-2</v>
      </c>
      <c r="DQ201">
        <v>0.18813099999999999</v>
      </c>
      <c r="DR201">
        <v>25.5261</v>
      </c>
      <c r="DS201">
        <v>25.510999999999999</v>
      </c>
      <c r="DT201">
        <v>26.1</v>
      </c>
      <c r="DU201">
        <v>27.6</v>
      </c>
      <c r="DV201">
        <v>9.8080200000000008</v>
      </c>
      <c r="DW201">
        <v>60.568399999999997</v>
      </c>
      <c r="DX201">
        <v>37.916699999999999</v>
      </c>
      <c r="DY201">
        <v>1</v>
      </c>
      <c r="DZ201">
        <v>-0.13217699999999999</v>
      </c>
      <c r="EA201">
        <v>-0.46340100000000001</v>
      </c>
      <c r="EB201">
        <v>20.189299999999999</v>
      </c>
      <c r="EC201">
        <v>5.2415500000000002</v>
      </c>
      <c r="ED201">
        <v>12.039899999999999</v>
      </c>
      <c r="EE201">
        <v>5.0173500000000004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1.8688499999999999</v>
      </c>
      <c r="EL201">
        <v>1.86459</v>
      </c>
      <c r="EM201">
        <v>1.8691899999999999</v>
      </c>
      <c r="EN201">
        <v>1.8672200000000001</v>
      </c>
      <c r="EO201">
        <v>1.86328</v>
      </c>
      <c r="EP201">
        <v>1.8643400000000001</v>
      </c>
      <c r="EQ201">
        <v>1.8701300000000001</v>
      </c>
      <c r="ER201">
        <v>1.86937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-0.40400000000000003</v>
      </c>
      <c r="FG201">
        <v>0.2112</v>
      </c>
      <c r="FH201">
        <v>-0.150361779349652</v>
      </c>
      <c r="FI201">
        <v>-6.1462078757559423E-4</v>
      </c>
      <c r="FJ201">
        <v>-1.8861989874597051E-7</v>
      </c>
      <c r="FK201">
        <v>1.1980462299894961E-10</v>
      </c>
      <c r="FL201">
        <v>0.21114761904761539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39.9</v>
      </c>
      <c r="FU201">
        <v>40.1</v>
      </c>
      <c r="FV201">
        <v>1.7663599999999999</v>
      </c>
      <c r="FW201">
        <v>2.5744600000000002</v>
      </c>
      <c r="FX201">
        <v>1.5490699999999999</v>
      </c>
      <c r="FY201">
        <v>2.33765</v>
      </c>
      <c r="FZ201">
        <v>1.50024</v>
      </c>
      <c r="GA201">
        <v>2.2936999999999999</v>
      </c>
      <c r="GB201">
        <v>32.443300000000001</v>
      </c>
      <c r="GC201">
        <v>23.982399999999998</v>
      </c>
      <c r="GD201">
        <v>19</v>
      </c>
      <c r="GE201">
        <v>269.351</v>
      </c>
      <c r="GF201">
        <v>583.46600000000001</v>
      </c>
      <c r="GG201">
        <v>25.8322</v>
      </c>
      <c r="GH201">
        <v>25.768599999999999</v>
      </c>
      <c r="GI201">
        <v>30.0001</v>
      </c>
      <c r="GJ201">
        <v>25.866399999999999</v>
      </c>
      <c r="GK201">
        <v>25.831600000000002</v>
      </c>
      <c r="GL201">
        <v>35.305599999999998</v>
      </c>
      <c r="GM201">
        <v>100</v>
      </c>
      <c r="GN201">
        <v>4.1725500000000002</v>
      </c>
      <c r="GO201">
        <v>25.822399999999998</v>
      </c>
      <c r="GP201">
        <v>800</v>
      </c>
      <c r="GQ201">
        <v>0</v>
      </c>
      <c r="GR201">
        <v>99.765299999999996</v>
      </c>
      <c r="GS201">
        <v>99.558000000000007</v>
      </c>
    </row>
    <row r="202" spans="1:201" x14ac:dyDescent="0.25">
      <c r="A202">
        <v>186</v>
      </c>
      <c r="B202">
        <v>1690378616.0999999</v>
      </c>
      <c r="C202">
        <v>1899.599999904633</v>
      </c>
      <c r="D202" t="s">
        <v>705</v>
      </c>
      <c r="E202" t="s">
        <v>706</v>
      </c>
      <c r="F202" t="s">
        <v>330</v>
      </c>
      <c r="H202">
        <v>1690378616.0999999</v>
      </c>
      <c r="I202">
        <f t="shared" si="60"/>
        <v>2.4502518033299404E-3</v>
      </c>
      <c r="J202">
        <f t="shared" si="61"/>
        <v>2.4502518033299405</v>
      </c>
      <c r="K202">
        <f t="shared" si="62"/>
        <v>35.82338036951063</v>
      </c>
      <c r="L202">
        <f t="shared" si="63"/>
        <v>377.44799999999998</v>
      </c>
      <c r="M202">
        <f t="shared" si="64"/>
        <v>85.284292388811807</v>
      </c>
      <c r="N202">
        <f t="shared" si="65"/>
        <v>8.4218347897845902</v>
      </c>
      <c r="O202">
        <f t="shared" si="66"/>
        <v>37.273038313343996</v>
      </c>
      <c r="P202">
        <f t="shared" si="67"/>
        <v>0.20913736702016317</v>
      </c>
      <c r="Q202">
        <f t="shared" si="68"/>
        <v>2.0050699364067022</v>
      </c>
      <c r="R202">
        <f t="shared" si="69"/>
        <v>0.1977302880848936</v>
      </c>
      <c r="S202">
        <f t="shared" si="70"/>
        <v>0.12455443553886306</v>
      </c>
      <c r="T202">
        <f t="shared" si="71"/>
        <v>276.11546382</v>
      </c>
      <c r="U202">
        <f t="shared" si="72"/>
        <v>28.494603152006924</v>
      </c>
      <c r="V202">
        <f t="shared" si="73"/>
        <v>28.494603152006924</v>
      </c>
      <c r="W202">
        <f t="shared" si="74"/>
        <v>3.9056448560753738</v>
      </c>
      <c r="X202">
        <f t="shared" si="75"/>
        <v>75.673887883962706</v>
      </c>
      <c r="Y202">
        <f t="shared" si="76"/>
        <v>2.7230150295743996</v>
      </c>
      <c r="Z202">
        <f t="shared" si="77"/>
        <v>3.5983548694495955</v>
      </c>
      <c r="AA202">
        <f t="shared" si="78"/>
        <v>1.1826298265009743</v>
      </c>
      <c r="AB202">
        <f t="shared" si="79"/>
        <v>-108.05610452685038</v>
      </c>
      <c r="AC202">
        <f t="shared" si="80"/>
        <v>-151.71494395615568</v>
      </c>
      <c r="AD202">
        <f t="shared" si="81"/>
        <v>-16.459435639522621</v>
      </c>
      <c r="AE202">
        <f t="shared" si="82"/>
        <v>-0.11502030252867712</v>
      </c>
      <c r="AF202">
        <v>8</v>
      </c>
      <c r="AG202">
        <v>3</v>
      </c>
      <c r="AH202">
        <f t="shared" si="83"/>
        <v>1</v>
      </c>
      <c r="AI202">
        <f t="shared" si="84"/>
        <v>0</v>
      </c>
      <c r="AJ202">
        <f t="shared" si="85"/>
        <v>52041.229736164758</v>
      </c>
      <c r="AK202">
        <f t="shared" si="86"/>
        <v>1800</v>
      </c>
      <c r="AL202">
        <f t="shared" si="87"/>
        <v>1499.1119279999998</v>
      </c>
      <c r="AM202">
        <f t="shared" si="88"/>
        <v>0.83283995999999993</v>
      </c>
      <c r="AN202">
        <f t="shared" si="89"/>
        <v>0.15339747989999999</v>
      </c>
      <c r="AO202">
        <v>34.5</v>
      </c>
      <c r="AP202">
        <v>0.5</v>
      </c>
      <c r="AQ202" t="s">
        <v>331</v>
      </c>
      <c r="AR202">
        <v>2</v>
      </c>
      <c r="AS202">
        <v>1690378616.0999999</v>
      </c>
      <c r="AT202">
        <v>377.44799999999998</v>
      </c>
      <c r="AU202">
        <v>799.99199999999996</v>
      </c>
      <c r="AV202">
        <v>27.5748</v>
      </c>
      <c r="AW202">
        <v>0.17783099999999999</v>
      </c>
      <c r="AX202">
        <v>377.851</v>
      </c>
      <c r="AY202">
        <v>27.363600000000002</v>
      </c>
      <c r="AZ202">
        <v>300.04300000000001</v>
      </c>
      <c r="BA202">
        <v>98.650099999999995</v>
      </c>
      <c r="BB202">
        <v>0.10002800000000001</v>
      </c>
      <c r="BC202">
        <v>27.091100000000001</v>
      </c>
      <c r="BD202">
        <v>27.008199999999999</v>
      </c>
      <c r="BE202">
        <v>28.571400000000001</v>
      </c>
      <c r="BF202">
        <v>0</v>
      </c>
      <c r="BG202">
        <v>0</v>
      </c>
      <c r="BH202">
        <v>9978.75</v>
      </c>
      <c r="BI202">
        <v>1081.75</v>
      </c>
      <c r="BJ202">
        <v>1.4016500000000001</v>
      </c>
      <c r="BK202">
        <v>-422.54500000000002</v>
      </c>
      <c r="BL202">
        <v>388.15100000000001</v>
      </c>
      <c r="BM202">
        <v>800.13400000000001</v>
      </c>
      <c r="BN202">
        <v>27.396999999999998</v>
      </c>
      <c r="BO202">
        <v>799.99199999999996</v>
      </c>
      <c r="BP202">
        <v>0.17783099999999999</v>
      </c>
      <c r="BQ202">
        <v>2.7202600000000001</v>
      </c>
      <c r="BR202">
        <v>1.7543E-2</v>
      </c>
      <c r="BS202">
        <v>22.408000000000001</v>
      </c>
      <c r="BT202">
        <v>-40.680199999999999</v>
      </c>
      <c r="BU202">
        <v>1800</v>
      </c>
      <c r="BV202">
        <v>0.909999</v>
      </c>
      <c r="BW202">
        <v>3.4001400000000001E-2</v>
      </c>
      <c r="BX202">
        <v>2.2001E-2</v>
      </c>
      <c r="BY202">
        <v>3.3998599999999997E-2</v>
      </c>
      <c r="BZ202">
        <v>26</v>
      </c>
      <c r="CA202">
        <v>33528.400000000001</v>
      </c>
      <c r="CB202">
        <v>1690376213.5999999</v>
      </c>
      <c r="CC202" t="s">
        <v>332</v>
      </c>
      <c r="CD202">
        <v>1690376213.5999999</v>
      </c>
      <c r="CE202">
        <v>1690376198.0999999</v>
      </c>
      <c r="CF202">
        <v>2</v>
      </c>
      <c r="CG202">
        <v>0.66900000000000004</v>
      </c>
      <c r="CH202">
        <v>-2.1000000000000001E-2</v>
      </c>
      <c r="CI202">
        <v>-0.70099999999999996</v>
      </c>
      <c r="CJ202">
        <v>0.21099999999999999</v>
      </c>
      <c r="CK202">
        <v>799</v>
      </c>
      <c r="CL202">
        <v>21</v>
      </c>
      <c r="CM202">
        <v>0.11</v>
      </c>
      <c r="CN202">
        <v>0.17</v>
      </c>
      <c r="CO202">
        <v>-422.13285365853659</v>
      </c>
      <c r="CP202">
        <v>-2.6479651567959812</v>
      </c>
      <c r="CQ202">
        <v>0.2649971523984721</v>
      </c>
      <c r="CR202">
        <v>-1</v>
      </c>
      <c r="CS202">
        <v>27.372275609756102</v>
      </c>
      <c r="CT202">
        <v>0.1655749128920696</v>
      </c>
      <c r="CU202">
        <v>1.6402450448813069E-2</v>
      </c>
      <c r="CV202">
        <v>-1</v>
      </c>
      <c r="CW202">
        <v>0</v>
      </c>
      <c r="CX202">
        <v>0</v>
      </c>
      <c r="CY202" t="s">
        <v>333</v>
      </c>
      <c r="CZ202">
        <v>2.3647200000000002</v>
      </c>
      <c r="DA202">
        <v>2.7138</v>
      </c>
      <c r="DB202">
        <v>8.5395499999999999E-2</v>
      </c>
      <c r="DC202">
        <v>0.14551900000000001</v>
      </c>
      <c r="DD202">
        <v>0.12507499999999999</v>
      </c>
      <c r="DE202">
        <v>1.49139E-3</v>
      </c>
      <c r="DF202">
        <v>33407.1</v>
      </c>
      <c r="DG202">
        <v>27540.400000000001</v>
      </c>
      <c r="DH202">
        <v>31180.799999999999</v>
      </c>
      <c r="DI202">
        <v>28083.5</v>
      </c>
      <c r="DJ202">
        <v>37024</v>
      </c>
      <c r="DK202">
        <v>39871.4</v>
      </c>
      <c r="DL202">
        <v>44372.5</v>
      </c>
      <c r="DM202">
        <v>42552.800000000003</v>
      </c>
      <c r="DN202">
        <v>1.4492</v>
      </c>
      <c r="DO202">
        <v>2.0436700000000001</v>
      </c>
      <c r="DP202">
        <v>9.0416499999999997E-2</v>
      </c>
      <c r="DQ202">
        <v>0.18701000000000001</v>
      </c>
      <c r="DR202">
        <v>25.527799999999999</v>
      </c>
      <c r="DS202">
        <v>25.513200000000001</v>
      </c>
      <c r="DT202">
        <v>25.9</v>
      </c>
      <c r="DU202">
        <v>27.6</v>
      </c>
      <c r="DV202">
        <v>9.7337799999999994</v>
      </c>
      <c r="DW202">
        <v>60.948399999999999</v>
      </c>
      <c r="DX202">
        <v>37.908700000000003</v>
      </c>
      <c r="DY202">
        <v>1</v>
      </c>
      <c r="DZ202">
        <v>-0.13217699999999999</v>
      </c>
      <c r="EA202">
        <v>-0.52738799999999997</v>
      </c>
      <c r="EB202">
        <v>20.1891</v>
      </c>
      <c r="EC202">
        <v>5.242</v>
      </c>
      <c r="ED202">
        <v>12.039899999999999</v>
      </c>
      <c r="EE202">
        <v>5.0172999999999996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1.8688800000000001</v>
      </c>
      <c r="EL202">
        <v>1.8645799999999999</v>
      </c>
      <c r="EM202">
        <v>1.8691899999999999</v>
      </c>
      <c r="EN202">
        <v>1.8672200000000001</v>
      </c>
      <c r="EO202">
        <v>1.8633</v>
      </c>
      <c r="EP202">
        <v>1.86433</v>
      </c>
      <c r="EQ202">
        <v>1.87012</v>
      </c>
      <c r="ER202">
        <v>1.8693500000000001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-0.40300000000000002</v>
      </c>
      <c r="FG202">
        <v>0.2112</v>
      </c>
      <c r="FH202">
        <v>-0.150361779349652</v>
      </c>
      <c r="FI202">
        <v>-6.1462078757559423E-4</v>
      </c>
      <c r="FJ202">
        <v>-1.8861989874597051E-7</v>
      </c>
      <c r="FK202">
        <v>1.1980462299894961E-10</v>
      </c>
      <c r="FL202">
        <v>0.21114761904761539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40</v>
      </c>
      <c r="FU202">
        <v>40.299999999999997</v>
      </c>
      <c r="FV202">
        <v>1.7663599999999999</v>
      </c>
      <c r="FW202">
        <v>2.5720200000000002</v>
      </c>
      <c r="FX202">
        <v>1.5490699999999999</v>
      </c>
      <c r="FY202">
        <v>2.33765</v>
      </c>
      <c r="FZ202">
        <v>1.50146</v>
      </c>
      <c r="GA202">
        <v>2.36206</v>
      </c>
      <c r="GB202">
        <v>32.443300000000001</v>
      </c>
      <c r="GC202">
        <v>23.982399999999998</v>
      </c>
      <c r="GD202">
        <v>19</v>
      </c>
      <c r="GE202">
        <v>269.51400000000001</v>
      </c>
      <c r="GF202">
        <v>583.43100000000004</v>
      </c>
      <c r="GG202">
        <v>25.828900000000001</v>
      </c>
      <c r="GH202">
        <v>25.770800000000001</v>
      </c>
      <c r="GI202">
        <v>30.0001</v>
      </c>
      <c r="GJ202">
        <v>25.868500000000001</v>
      </c>
      <c r="GK202">
        <v>25.8322</v>
      </c>
      <c r="GL202">
        <v>35.306899999999999</v>
      </c>
      <c r="GM202">
        <v>100</v>
      </c>
      <c r="GN202">
        <v>3.7841800000000001</v>
      </c>
      <c r="GO202">
        <v>25.832799999999999</v>
      </c>
      <c r="GP202">
        <v>800</v>
      </c>
      <c r="GQ202">
        <v>0</v>
      </c>
      <c r="GR202">
        <v>99.764300000000006</v>
      </c>
      <c r="GS202">
        <v>99.557000000000002</v>
      </c>
    </row>
    <row r="203" spans="1:201" x14ac:dyDescent="0.25">
      <c r="A203">
        <v>187</v>
      </c>
      <c r="B203">
        <v>1690378626.0999999</v>
      </c>
      <c r="C203">
        <v>1909.599999904633</v>
      </c>
      <c r="D203" t="s">
        <v>707</v>
      </c>
      <c r="E203" t="s">
        <v>708</v>
      </c>
      <c r="F203" t="s">
        <v>330</v>
      </c>
      <c r="H203">
        <v>1690378626.0999999</v>
      </c>
      <c r="I203">
        <f t="shared" si="60"/>
        <v>2.4516893374613136E-3</v>
      </c>
      <c r="J203">
        <f t="shared" si="61"/>
        <v>2.4516893374613136</v>
      </c>
      <c r="K203">
        <f t="shared" si="62"/>
        <v>35.872487486919418</v>
      </c>
      <c r="L203">
        <f t="shared" si="63"/>
        <v>376.995</v>
      </c>
      <c r="M203">
        <f t="shared" si="64"/>
        <v>85.000583837475745</v>
      </c>
      <c r="N203">
        <f t="shared" si="65"/>
        <v>8.3939775276175297</v>
      </c>
      <c r="O203">
        <f t="shared" si="66"/>
        <v>37.229009674507502</v>
      </c>
      <c r="P203">
        <f t="shared" si="67"/>
        <v>0.20953483353593833</v>
      </c>
      <c r="Q203">
        <f t="shared" si="68"/>
        <v>2.0094714561812479</v>
      </c>
      <c r="R203">
        <f t="shared" si="69"/>
        <v>0.19810923921021426</v>
      </c>
      <c r="S203">
        <f t="shared" si="70"/>
        <v>0.12479287374475623</v>
      </c>
      <c r="T203">
        <f t="shared" si="71"/>
        <v>276.115482558</v>
      </c>
      <c r="U203">
        <f t="shared" si="72"/>
        <v>28.492996789959133</v>
      </c>
      <c r="V203">
        <f t="shared" si="73"/>
        <v>28.492996789959133</v>
      </c>
      <c r="W203">
        <f t="shared" si="74"/>
        <v>3.9052804666862864</v>
      </c>
      <c r="X203">
        <f t="shared" si="75"/>
        <v>75.699328071684732</v>
      </c>
      <c r="Y203">
        <f t="shared" si="76"/>
        <v>2.7242022562205501</v>
      </c>
      <c r="Z203">
        <f t="shared" si="77"/>
        <v>3.5987139194165918</v>
      </c>
      <c r="AA203">
        <f t="shared" si="78"/>
        <v>1.1810782104657362</v>
      </c>
      <c r="AB203">
        <f t="shared" si="79"/>
        <v>-108.11949978204393</v>
      </c>
      <c r="AC203">
        <f t="shared" si="80"/>
        <v>-151.68979437035583</v>
      </c>
      <c r="AD203">
        <f t="shared" si="81"/>
        <v>-16.420667873353249</v>
      </c>
      <c r="AE203">
        <f t="shared" si="82"/>
        <v>-0.11447946775300011</v>
      </c>
      <c r="AF203">
        <v>8</v>
      </c>
      <c r="AG203">
        <v>3</v>
      </c>
      <c r="AH203">
        <f t="shared" si="83"/>
        <v>1</v>
      </c>
      <c r="AI203">
        <f t="shared" si="84"/>
        <v>0</v>
      </c>
      <c r="AJ203">
        <f t="shared" si="85"/>
        <v>52251.312576175689</v>
      </c>
      <c r="AK203">
        <f t="shared" si="86"/>
        <v>1800</v>
      </c>
      <c r="AL203">
        <f t="shared" si="87"/>
        <v>1499.1123438000002</v>
      </c>
      <c r="AM203">
        <f t="shared" si="88"/>
        <v>0.83284019100000006</v>
      </c>
      <c r="AN203">
        <f t="shared" si="89"/>
        <v>0.15339749031</v>
      </c>
      <c r="AO203">
        <v>34.5</v>
      </c>
      <c r="AP203">
        <v>0.5</v>
      </c>
      <c r="AQ203" t="s">
        <v>331</v>
      </c>
      <c r="AR203">
        <v>2</v>
      </c>
      <c r="AS203">
        <v>1690378626.0999999</v>
      </c>
      <c r="AT203">
        <v>376.995</v>
      </c>
      <c r="AU203">
        <v>800.05200000000002</v>
      </c>
      <c r="AV203">
        <v>27.586300000000001</v>
      </c>
      <c r="AW203">
        <v>0.176505</v>
      </c>
      <c r="AX203">
        <v>377.39800000000002</v>
      </c>
      <c r="AY203">
        <v>27.3751</v>
      </c>
      <c r="AZ203">
        <v>300.07499999999999</v>
      </c>
      <c r="BA203">
        <v>98.652100000000004</v>
      </c>
      <c r="BB203">
        <v>9.9898500000000001E-2</v>
      </c>
      <c r="BC203">
        <v>27.0928</v>
      </c>
      <c r="BD203">
        <v>26.998999999999999</v>
      </c>
      <c r="BE203">
        <v>28.579599999999999</v>
      </c>
      <c r="BF203">
        <v>0</v>
      </c>
      <c r="BG203">
        <v>0</v>
      </c>
      <c r="BH203">
        <v>10020.6</v>
      </c>
      <c r="BI203">
        <v>1081.76</v>
      </c>
      <c r="BJ203">
        <v>1.4016500000000001</v>
      </c>
      <c r="BK203">
        <v>-423.05700000000002</v>
      </c>
      <c r="BL203">
        <v>387.69</v>
      </c>
      <c r="BM203">
        <v>800.19299999999998</v>
      </c>
      <c r="BN203">
        <v>27.409800000000001</v>
      </c>
      <c r="BO203">
        <v>800.05200000000002</v>
      </c>
      <c r="BP203">
        <v>0.176505</v>
      </c>
      <c r="BQ203">
        <v>2.7214399999999999</v>
      </c>
      <c r="BR203">
        <v>1.74126E-2</v>
      </c>
      <c r="BS203">
        <v>22.415199999999999</v>
      </c>
      <c r="BT203">
        <v>-40.751100000000001</v>
      </c>
      <c r="BU203">
        <v>1800</v>
      </c>
      <c r="BV203">
        <v>0.91</v>
      </c>
      <c r="BW203">
        <v>3.4001099999999999E-2</v>
      </c>
      <c r="BX203">
        <v>2.2000800000000001E-2</v>
      </c>
      <c r="BY203">
        <v>3.3998300000000002E-2</v>
      </c>
      <c r="BZ203">
        <v>26</v>
      </c>
      <c r="CA203">
        <v>33528.300000000003</v>
      </c>
      <c r="CB203">
        <v>1690376213.5999999</v>
      </c>
      <c r="CC203" t="s">
        <v>332</v>
      </c>
      <c r="CD203">
        <v>1690376213.5999999</v>
      </c>
      <c r="CE203">
        <v>1690376198.0999999</v>
      </c>
      <c r="CF203">
        <v>2</v>
      </c>
      <c r="CG203">
        <v>0.66900000000000004</v>
      </c>
      <c r="CH203">
        <v>-2.1000000000000001E-2</v>
      </c>
      <c r="CI203">
        <v>-0.70099999999999996</v>
      </c>
      <c r="CJ203">
        <v>0.21099999999999999</v>
      </c>
      <c r="CK203">
        <v>799</v>
      </c>
      <c r="CL203">
        <v>21</v>
      </c>
      <c r="CM203">
        <v>0.11</v>
      </c>
      <c r="CN203">
        <v>0.17</v>
      </c>
      <c r="CO203">
        <v>-422.5325499999999</v>
      </c>
      <c r="CP203">
        <v>-2.5133583489674778</v>
      </c>
      <c r="CQ203">
        <v>0.2485810682654607</v>
      </c>
      <c r="CR203">
        <v>-1</v>
      </c>
      <c r="CS203">
        <v>27.392969999999998</v>
      </c>
      <c r="CT203">
        <v>9.4475797373271955E-2</v>
      </c>
      <c r="CU203">
        <v>9.3502459860690685E-3</v>
      </c>
      <c r="CV203">
        <v>-1</v>
      </c>
      <c r="CW203">
        <v>0</v>
      </c>
      <c r="CX203">
        <v>0</v>
      </c>
      <c r="CY203" t="s">
        <v>333</v>
      </c>
      <c r="CZ203">
        <v>2.3648400000000001</v>
      </c>
      <c r="DA203">
        <v>2.7137099999999998</v>
      </c>
      <c r="DB203">
        <v>8.5318099999999994E-2</v>
      </c>
      <c r="DC203">
        <v>0.14552799999999999</v>
      </c>
      <c r="DD203">
        <v>0.125114</v>
      </c>
      <c r="DE203">
        <v>1.4804200000000001E-3</v>
      </c>
      <c r="DF203">
        <v>33410.1</v>
      </c>
      <c r="DG203">
        <v>27540</v>
      </c>
      <c r="DH203">
        <v>31180.9</v>
      </c>
      <c r="DI203">
        <v>28083.5</v>
      </c>
      <c r="DJ203">
        <v>37022.5</v>
      </c>
      <c r="DK203">
        <v>39871.800000000003</v>
      </c>
      <c r="DL203">
        <v>44372.7</v>
      </c>
      <c r="DM203">
        <v>42552.800000000003</v>
      </c>
      <c r="DN203">
        <v>1.4491499999999999</v>
      </c>
      <c r="DO203">
        <v>2.04345</v>
      </c>
      <c r="DP203">
        <v>8.9824200000000007E-2</v>
      </c>
      <c r="DQ203">
        <v>0.18751599999999999</v>
      </c>
      <c r="DR203">
        <v>25.528300000000002</v>
      </c>
      <c r="DS203">
        <v>25.513200000000001</v>
      </c>
      <c r="DT203">
        <v>25.9</v>
      </c>
      <c r="DU203">
        <v>27.6</v>
      </c>
      <c r="DV203">
        <v>9.73306</v>
      </c>
      <c r="DW203">
        <v>60.998399999999997</v>
      </c>
      <c r="DX203">
        <v>37.724400000000003</v>
      </c>
      <c r="DY203">
        <v>1</v>
      </c>
      <c r="DZ203">
        <v>-0.13191600000000001</v>
      </c>
      <c r="EA203">
        <v>-0.46403899999999998</v>
      </c>
      <c r="EB203">
        <v>20.189399999999999</v>
      </c>
      <c r="EC203">
        <v>5.242</v>
      </c>
      <c r="ED203">
        <v>12.039899999999999</v>
      </c>
      <c r="EE203">
        <v>5.0171999999999999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1.8688800000000001</v>
      </c>
      <c r="EL203">
        <v>1.86459</v>
      </c>
      <c r="EM203">
        <v>1.8692</v>
      </c>
      <c r="EN203">
        <v>1.8672200000000001</v>
      </c>
      <c r="EO203">
        <v>1.86328</v>
      </c>
      <c r="EP203">
        <v>1.8643400000000001</v>
      </c>
      <c r="EQ203">
        <v>1.87012</v>
      </c>
      <c r="ER203">
        <v>1.8693599999999999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-0.40300000000000002</v>
      </c>
      <c r="FG203">
        <v>0.2112</v>
      </c>
      <c r="FH203">
        <v>-0.150361779349652</v>
      </c>
      <c r="FI203">
        <v>-6.1462078757559423E-4</v>
      </c>
      <c r="FJ203">
        <v>-1.8861989874597051E-7</v>
      </c>
      <c r="FK203">
        <v>1.1980462299894961E-10</v>
      </c>
      <c r="FL203">
        <v>0.21114761904761539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40.200000000000003</v>
      </c>
      <c r="FU203">
        <v>40.5</v>
      </c>
      <c r="FV203">
        <v>1.7663599999999999</v>
      </c>
      <c r="FW203">
        <v>2.5708000000000002</v>
      </c>
      <c r="FX203">
        <v>1.5490699999999999</v>
      </c>
      <c r="FY203">
        <v>2.33765</v>
      </c>
      <c r="FZ203">
        <v>1.50146</v>
      </c>
      <c r="GA203">
        <v>2.3962400000000001</v>
      </c>
      <c r="GB203">
        <v>32.443300000000001</v>
      </c>
      <c r="GC203">
        <v>23.991199999999999</v>
      </c>
      <c r="GD203">
        <v>19</v>
      </c>
      <c r="GE203">
        <v>269.49400000000003</v>
      </c>
      <c r="GF203">
        <v>583.26400000000001</v>
      </c>
      <c r="GG203">
        <v>25.827100000000002</v>
      </c>
      <c r="GH203">
        <v>25.7729</v>
      </c>
      <c r="GI203">
        <v>30.000299999999999</v>
      </c>
      <c r="GJ203">
        <v>25.8687</v>
      </c>
      <c r="GK203">
        <v>25.8337</v>
      </c>
      <c r="GL203">
        <v>35.305</v>
      </c>
      <c r="GM203">
        <v>100</v>
      </c>
      <c r="GN203">
        <v>3.0069499999999998</v>
      </c>
      <c r="GO203">
        <v>25.819199999999999</v>
      </c>
      <c r="GP203">
        <v>800</v>
      </c>
      <c r="GQ203">
        <v>0</v>
      </c>
      <c r="GR203">
        <v>99.764700000000005</v>
      </c>
      <c r="GS203">
        <v>99.557000000000002</v>
      </c>
    </row>
    <row r="204" spans="1:201" x14ac:dyDescent="0.25">
      <c r="A204">
        <v>188</v>
      </c>
      <c r="B204">
        <v>1690378636.0999999</v>
      </c>
      <c r="C204">
        <v>1919.599999904633</v>
      </c>
      <c r="D204" t="s">
        <v>709</v>
      </c>
      <c r="E204" t="s">
        <v>710</v>
      </c>
      <c r="F204" t="s">
        <v>330</v>
      </c>
      <c r="H204">
        <v>1690378636.0999999</v>
      </c>
      <c r="I204">
        <f t="shared" si="60"/>
        <v>2.4533577025478187E-3</v>
      </c>
      <c r="J204">
        <f t="shared" si="61"/>
        <v>2.4533577025478186</v>
      </c>
      <c r="K204">
        <f t="shared" si="62"/>
        <v>35.906130002551251</v>
      </c>
      <c r="L204">
        <f t="shared" si="63"/>
        <v>376.61200000000002</v>
      </c>
      <c r="M204">
        <f t="shared" si="64"/>
        <v>85.27302517400048</v>
      </c>
      <c r="N204">
        <f t="shared" si="65"/>
        <v>8.4206676187801719</v>
      </c>
      <c r="O204">
        <f t="shared" si="66"/>
        <v>37.190242362962003</v>
      </c>
      <c r="P204">
        <f t="shared" si="67"/>
        <v>0.21024780937974302</v>
      </c>
      <c r="Q204">
        <f t="shared" si="68"/>
        <v>2.006897499259904</v>
      </c>
      <c r="R204">
        <f t="shared" si="69"/>
        <v>0.19873273570442004</v>
      </c>
      <c r="S204">
        <f t="shared" si="70"/>
        <v>0.12518995996479848</v>
      </c>
      <c r="T204">
        <f t="shared" si="71"/>
        <v>276.11540324999999</v>
      </c>
      <c r="U204">
        <f t="shared" si="72"/>
        <v>28.486713449060655</v>
      </c>
      <c r="V204">
        <f t="shared" si="73"/>
        <v>28.486713449060655</v>
      </c>
      <c r="W204">
        <f t="shared" si="74"/>
        <v>3.9038554297665278</v>
      </c>
      <c r="X204">
        <f t="shared" si="75"/>
        <v>75.773767573161791</v>
      </c>
      <c r="Y204">
        <f t="shared" si="76"/>
        <v>2.72571300642355</v>
      </c>
      <c r="Z204">
        <f t="shared" si="77"/>
        <v>3.5971723377642459</v>
      </c>
      <c r="AA204">
        <f t="shared" si="78"/>
        <v>1.1781424233429778</v>
      </c>
      <c r="AB204">
        <f t="shared" si="79"/>
        <v>-108.19307468235881</v>
      </c>
      <c r="AC204">
        <f t="shared" si="80"/>
        <v>-151.60549133437272</v>
      </c>
      <c r="AD204">
        <f t="shared" si="81"/>
        <v>-16.431477694325221</v>
      </c>
      <c r="AE204">
        <f t="shared" si="82"/>
        <v>-0.11464046105677994</v>
      </c>
      <c r="AF204">
        <v>8</v>
      </c>
      <c r="AG204">
        <v>3</v>
      </c>
      <c r="AH204">
        <f t="shared" si="83"/>
        <v>1</v>
      </c>
      <c r="AI204">
        <f t="shared" si="84"/>
        <v>0</v>
      </c>
      <c r="AJ204">
        <f t="shared" si="85"/>
        <v>52129.445655709555</v>
      </c>
      <c r="AK204">
        <f t="shared" si="86"/>
        <v>1800</v>
      </c>
      <c r="AL204">
        <f t="shared" si="87"/>
        <v>1499.1123419999997</v>
      </c>
      <c r="AM204">
        <f t="shared" si="88"/>
        <v>0.83284018999999987</v>
      </c>
      <c r="AN204">
        <f t="shared" si="89"/>
        <v>0.15339744624999999</v>
      </c>
      <c r="AO204">
        <v>34.5</v>
      </c>
      <c r="AP204">
        <v>0.5</v>
      </c>
      <c r="AQ204" t="s">
        <v>331</v>
      </c>
      <c r="AR204">
        <v>2</v>
      </c>
      <c r="AS204">
        <v>1690378636.0999999</v>
      </c>
      <c r="AT204">
        <v>376.61200000000002</v>
      </c>
      <c r="AU204">
        <v>800.024</v>
      </c>
      <c r="AV204">
        <v>27.6023</v>
      </c>
      <c r="AW204">
        <v>0.17613200000000001</v>
      </c>
      <c r="AX204">
        <v>377.01400000000001</v>
      </c>
      <c r="AY204">
        <v>27.391100000000002</v>
      </c>
      <c r="AZ204">
        <v>300.09500000000003</v>
      </c>
      <c r="BA204">
        <v>98.649500000000003</v>
      </c>
      <c r="BB204">
        <v>9.9988499999999994E-2</v>
      </c>
      <c r="BC204">
        <v>27.0855</v>
      </c>
      <c r="BD204">
        <v>26.999500000000001</v>
      </c>
      <c r="BE204">
        <v>28.5913</v>
      </c>
      <c r="BF204">
        <v>0</v>
      </c>
      <c r="BG204">
        <v>0</v>
      </c>
      <c r="BH204">
        <v>9996.25</v>
      </c>
      <c r="BI204">
        <v>1081.73</v>
      </c>
      <c r="BJ204">
        <v>1.4170700000000001</v>
      </c>
      <c r="BK204">
        <v>-423.41199999999998</v>
      </c>
      <c r="BL204">
        <v>387.30200000000002</v>
      </c>
      <c r="BM204">
        <v>800.16499999999996</v>
      </c>
      <c r="BN204">
        <v>27.426200000000001</v>
      </c>
      <c r="BO204">
        <v>800.024</v>
      </c>
      <c r="BP204">
        <v>0.17613200000000001</v>
      </c>
      <c r="BQ204">
        <v>2.72295</v>
      </c>
      <c r="BR204">
        <v>1.7375399999999999E-2</v>
      </c>
      <c r="BS204">
        <v>22.424299999999999</v>
      </c>
      <c r="BT204">
        <v>-40.771500000000003</v>
      </c>
      <c r="BU204">
        <v>1800</v>
      </c>
      <c r="BV204">
        <v>0.91000099999999995</v>
      </c>
      <c r="BW204">
        <v>3.4000700000000002E-2</v>
      </c>
      <c r="BX204">
        <v>2.2000499999999999E-2</v>
      </c>
      <c r="BY204">
        <v>3.3997899999999998E-2</v>
      </c>
      <c r="BZ204">
        <v>26</v>
      </c>
      <c r="CA204">
        <v>33528.300000000003</v>
      </c>
      <c r="CB204">
        <v>1690376213.5999999</v>
      </c>
      <c r="CC204" t="s">
        <v>332</v>
      </c>
      <c r="CD204">
        <v>1690376213.5999999</v>
      </c>
      <c r="CE204">
        <v>1690376198.0999999</v>
      </c>
      <c r="CF204">
        <v>2</v>
      </c>
      <c r="CG204">
        <v>0.66900000000000004</v>
      </c>
      <c r="CH204">
        <v>-2.1000000000000001E-2</v>
      </c>
      <c r="CI204">
        <v>-0.70099999999999996</v>
      </c>
      <c r="CJ204">
        <v>0.21099999999999999</v>
      </c>
      <c r="CK204">
        <v>799</v>
      </c>
      <c r="CL204">
        <v>21</v>
      </c>
      <c r="CM204">
        <v>0.11</v>
      </c>
      <c r="CN204">
        <v>0.17</v>
      </c>
      <c r="CO204">
        <v>-422.94656097560983</v>
      </c>
      <c r="CP204">
        <v>-2.9243623693384149</v>
      </c>
      <c r="CQ204">
        <v>0.29239866276932941</v>
      </c>
      <c r="CR204">
        <v>-1</v>
      </c>
      <c r="CS204">
        <v>27.407760975609762</v>
      </c>
      <c r="CT204">
        <v>9.2253658536605151E-2</v>
      </c>
      <c r="CU204">
        <v>9.2153074680724686E-3</v>
      </c>
      <c r="CV204">
        <v>-1</v>
      </c>
      <c r="CW204">
        <v>0</v>
      </c>
      <c r="CX204">
        <v>0</v>
      </c>
      <c r="CY204" t="s">
        <v>333</v>
      </c>
      <c r="CZ204">
        <v>2.3648899999999999</v>
      </c>
      <c r="DA204">
        <v>2.7137799999999999</v>
      </c>
      <c r="DB204">
        <v>8.5248299999999999E-2</v>
      </c>
      <c r="DC204">
        <v>0.14552000000000001</v>
      </c>
      <c r="DD204">
        <v>0.12516099999999999</v>
      </c>
      <c r="DE204">
        <v>1.4772800000000001E-3</v>
      </c>
      <c r="DF204">
        <v>33412.300000000003</v>
      </c>
      <c r="DG204">
        <v>27540.2</v>
      </c>
      <c r="DH204">
        <v>31180.6</v>
      </c>
      <c r="DI204">
        <v>28083.3</v>
      </c>
      <c r="DJ204">
        <v>37020.199999999997</v>
      </c>
      <c r="DK204">
        <v>39871.9</v>
      </c>
      <c r="DL204">
        <v>44372.4</v>
      </c>
      <c r="DM204">
        <v>42552.7</v>
      </c>
      <c r="DN204">
        <v>1.4494</v>
      </c>
      <c r="DO204">
        <v>2.0432199999999998</v>
      </c>
      <c r="DP204">
        <v>8.9857699999999999E-2</v>
      </c>
      <c r="DQ204">
        <v>0.18806800000000001</v>
      </c>
      <c r="DR204">
        <v>25.528300000000002</v>
      </c>
      <c r="DS204">
        <v>25.515899999999998</v>
      </c>
      <c r="DT204">
        <v>25.7</v>
      </c>
      <c r="DU204">
        <v>27.6</v>
      </c>
      <c r="DV204">
        <v>9.6591000000000005</v>
      </c>
      <c r="DW204">
        <v>60.628399999999999</v>
      </c>
      <c r="DX204">
        <v>37.680300000000003</v>
      </c>
      <c r="DY204">
        <v>1</v>
      </c>
      <c r="DZ204">
        <v>-0.13184999999999999</v>
      </c>
      <c r="EA204">
        <v>-0.478987</v>
      </c>
      <c r="EB204">
        <v>20.189399999999999</v>
      </c>
      <c r="EC204">
        <v>5.2418500000000003</v>
      </c>
      <c r="ED204">
        <v>12.039899999999999</v>
      </c>
      <c r="EE204">
        <v>5.0173500000000004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1.86883</v>
      </c>
      <c r="EL204">
        <v>1.8645700000000001</v>
      </c>
      <c r="EM204">
        <v>1.8692</v>
      </c>
      <c r="EN204">
        <v>1.8672</v>
      </c>
      <c r="EO204">
        <v>1.86328</v>
      </c>
      <c r="EP204">
        <v>1.8643400000000001</v>
      </c>
      <c r="EQ204">
        <v>1.87012</v>
      </c>
      <c r="ER204">
        <v>1.8693599999999999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-0.40200000000000002</v>
      </c>
      <c r="FG204">
        <v>0.2112</v>
      </c>
      <c r="FH204">
        <v>-0.150361779349652</v>
      </c>
      <c r="FI204">
        <v>-6.1462078757559423E-4</v>
      </c>
      <c r="FJ204">
        <v>-1.8861989874597051E-7</v>
      </c>
      <c r="FK204">
        <v>1.1980462299894961E-10</v>
      </c>
      <c r="FL204">
        <v>0.21114761904761539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40.4</v>
      </c>
      <c r="FU204">
        <v>40.6</v>
      </c>
      <c r="FV204">
        <v>1.7663599999999999</v>
      </c>
      <c r="FW204">
        <v>2.5659200000000002</v>
      </c>
      <c r="FX204">
        <v>1.5490699999999999</v>
      </c>
      <c r="FY204">
        <v>2.33765</v>
      </c>
      <c r="FZ204">
        <v>1.50146</v>
      </c>
      <c r="GA204">
        <v>2.4060100000000002</v>
      </c>
      <c r="GB204">
        <v>32.465400000000002</v>
      </c>
      <c r="GC204">
        <v>23.991199999999999</v>
      </c>
      <c r="GD204">
        <v>19</v>
      </c>
      <c r="GE204">
        <v>269.60500000000002</v>
      </c>
      <c r="GF204">
        <v>583.10400000000004</v>
      </c>
      <c r="GG204">
        <v>25.817599999999999</v>
      </c>
      <c r="GH204">
        <v>25.774799999999999</v>
      </c>
      <c r="GI204">
        <v>30.000299999999999</v>
      </c>
      <c r="GJ204">
        <v>25.870699999999999</v>
      </c>
      <c r="GK204">
        <v>25.835899999999999</v>
      </c>
      <c r="GL204">
        <v>35.305900000000001</v>
      </c>
      <c r="GM204">
        <v>100</v>
      </c>
      <c r="GN204">
        <v>2.6243400000000001</v>
      </c>
      <c r="GO204">
        <v>25.825199999999999</v>
      </c>
      <c r="GP204">
        <v>800</v>
      </c>
      <c r="GQ204">
        <v>0</v>
      </c>
      <c r="GR204">
        <v>99.763800000000003</v>
      </c>
      <c r="GS204">
        <v>99.556600000000003</v>
      </c>
    </row>
    <row r="205" spans="1:201" x14ac:dyDescent="0.25">
      <c r="A205">
        <v>189</v>
      </c>
      <c r="B205">
        <v>1690378646.0999999</v>
      </c>
      <c r="C205">
        <v>1929.599999904633</v>
      </c>
      <c r="D205" t="s">
        <v>711</v>
      </c>
      <c r="E205" t="s">
        <v>712</v>
      </c>
      <c r="F205" t="s">
        <v>330</v>
      </c>
      <c r="H205">
        <v>1690378646.0999999</v>
      </c>
      <c r="I205">
        <f t="shared" si="60"/>
        <v>2.4547786068700905E-3</v>
      </c>
      <c r="J205">
        <f t="shared" si="61"/>
        <v>2.4547786068700908</v>
      </c>
      <c r="K205">
        <f t="shared" si="62"/>
        <v>35.928264344725264</v>
      </c>
      <c r="L205">
        <f t="shared" si="63"/>
        <v>376.22699999999998</v>
      </c>
      <c r="M205">
        <f t="shared" si="64"/>
        <v>85.228871271575613</v>
      </c>
      <c r="N205">
        <f t="shared" si="65"/>
        <v>8.4164818643854939</v>
      </c>
      <c r="O205">
        <f t="shared" si="66"/>
        <v>37.152993758445</v>
      </c>
      <c r="P205">
        <f t="shared" si="67"/>
        <v>0.2106564413864796</v>
      </c>
      <c r="Q205">
        <f t="shared" si="68"/>
        <v>2.0035764425258282</v>
      </c>
      <c r="R205">
        <f t="shared" si="69"/>
        <v>0.19907985588766769</v>
      </c>
      <c r="S205">
        <f t="shared" si="70"/>
        <v>0.12541197603091853</v>
      </c>
      <c r="T205">
        <f t="shared" si="71"/>
        <v>276.11516856600002</v>
      </c>
      <c r="U205">
        <f t="shared" si="72"/>
        <v>28.489482770044383</v>
      </c>
      <c r="V205">
        <f t="shared" si="73"/>
        <v>28.489482770044383</v>
      </c>
      <c r="W205">
        <f t="shared" si="74"/>
        <v>3.9044834449298387</v>
      </c>
      <c r="X205">
        <f t="shared" si="75"/>
        <v>75.823804169343887</v>
      </c>
      <c r="Y205">
        <f t="shared" si="76"/>
        <v>2.7277050246164998</v>
      </c>
      <c r="Z205">
        <f t="shared" si="77"/>
        <v>3.5974257088505861</v>
      </c>
      <c r="AA205">
        <f t="shared" si="78"/>
        <v>1.1767784203133389</v>
      </c>
      <c r="AB205">
        <f t="shared" si="79"/>
        <v>-108.25573656297099</v>
      </c>
      <c r="AC205">
        <f t="shared" si="80"/>
        <v>-151.52412438921104</v>
      </c>
      <c r="AD205">
        <f t="shared" si="81"/>
        <v>-16.45020632483233</v>
      </c>
      <c r="AE205">
        <f t="shared" si="82"/>
        <v>-0.11489871101431959</v>
      </c>
      <c r="AF205">
        <v>8</v>
      </c>
      <c r="AG205">
        <v>3</v>
      </c>
      <c r="AH205">
        <f t="shared" si="83"/>
        <v>1</v>
      </c>
      <c r="AI205">
        <f t="shared" si="84"/>
        <v>0</v>
      </c>
      <c r="AJ205">
        <f t="shared" si="85"/>
        <v>51970.79638670275</v>
      </c>
      <c r="AK205">
        <f t="shared" si="86"/>
        <v>1800</v>
      </c>
      <c r="AL205">
        <f t="shared" si="87"/>
        <v>1499.1116615999999</v>
      </c>
      <c r="AM205">
        <f t="shared" si="88"/>
        <v>0.8328398119999999</v>
      </c>
      <c r="AN205">
        <f t="shared" si="89"/>
        <v>0.15339731587000002</v>
      </c>
      <c r="AO205">
        <v>34.5</v>
      </c>
      <c r="AP205">
        <v>0.5</v>
      </c>
      <c r="AQ205" t="s">
        <v>331</v>
      </c>
      <c r="AR205">
        <v>2</v>
      </c>
      <c r="AS205">
        <v>1690378646.0999999</v>
      </c>
      <c r="AT205">
        <v>376.22699999999998</v>
      </c>
      <c r="AU205">
        <v>799.96500000000003</v>
      </c>
      <c r="AV205">
        <v>27.6219</v>
      </c>
      <c r="AW205">
        <v>0.17546200000000001</v>
      </c>
      <c r="AX205">
        <v>376.62900000000002</v>
      </c>
      <c r="AY205">
        <v>27.410699999999999</v>
      </c>
      <c r="AZ205">
        <v>300.041</v>
      </c>
      <c r="BA205">
        <v>98.651499999999999</v>
      </c>
      <c r="BB205">
        <v>0.100035</v>
      </c>
      <c r="BC205">
        <v>27.0867</v>
      </c>
      <c r="BD205">
        <v>27.0014</v>
      </c>
      <c r="BE205">
        <v>28.5581</v>
      </c>
      <c r="BF205">
        <v>0</v>
      </c>
      <c r="BG205">
        <v>0</v>
      </c>
      <c r="BH205">
        <v>9964.3799999999992</v>
      </c>
      <c r="BI205">
        <v>1081.6300000000001</v>
      </c>
      <c r="BJ205">
        <v>1.4577199999999999</v>
      </c>
      <c r="BK205">
        <v>-423.73700000000002</v>
      </c>
      <c r="BL205">
        <v>386.91500000000002</v>
      </c>
      <c r="BM205">
        <v>800.10500000000002</v>
      </c>
      <c r="BN205">
        <v>27.446400000000001</v>
      </c>
      <c r="BO205">
        <v>799.96500000000003</v>
      </c>
      <c r="BP205">
        <v>0.17546200000000001</v>
      </c>
      <c r="BQ205">
        <v>2.7249400000000001</v>
      </c>
      <c r="BR205">
        <v>1.7309600000000001E-2</v>
      </c>
      <c r="BS205">
        <v>22.436299999999999</v>
      </c>
      <c r="BT205">
        <v>-40.807499999999997</v>
      </c>
      <c r="BU205">
        <v>1800</v>
      </c>
      <c r="BV205">
        <v>0.91000199999999998</v>
      </c>
      <c r="BW205">
        <v>3.4000099999999998E-2</v>
      </c>
      <c r="BX205">
        <v>2.2000100000000002E-2</v>
      </c>
      <c r="BY205">
        <v>3.3997300000000001E-2</v>
      </c>
      <c r="BZ205">
        <v>26</v>
      </c>
      <c r="CA205">
        <v>33528.5</v>
      </c>
      <c r="CB205">
        <v>1690376213.5999999</v>
      </c>
      <c r="CC205" t="s">
        <v>332</v>
      </c>
      <c r="CD205">
        <v>1690376213.5999999</v>
      </c>
      <c r="CE205">
        <v>1690376198.0999999</v>
      </c>
      <c r="CF205">
        <v>2</v>
      </c>
      <c r="CG205">
        <v>0.66900000000000004</v>
      </c>
      <c r="CH205">
        <v>-2.1000000000000001E-2</v>
      </c>
      <c r="CI205">
        <v>-0.70099999999999996</v>
      </c>
      <c r="CJ205">
        <v>0.21099999999999999</v>
      </c>
      <c r="CK205">
        <v>799</v>
      </c>
      <c r="CL205">
        <v>21</v>
      </c>
      <c r="CM205">
        <v>0.11</v>
      </c>
      <c r="CN205">
        <v>0.17</v>
      </c>
      <c r="CO205">
        <v>-423.40634146341461</v>
      </c>
      <c r="CP205">
        <v>-2.210655052264987</v>
      </c>
      <c r="CQ205">
        <v>0.22537357710342831</v>
      </c>
      <c r="CR205">
        <v>-1</v>
      </c>
      <c r="CS205">
        <v>27.425329268292678</v>
      </c>
      <c r="CT205">
        <v>9.987804878058805E-2</v>
      </c>
      <c r="CU205">
        <v>1.0005199718937499E-2</v>
      </c>
      <c r="CV205">
        <v>-1</v>
      </c>
      <c r="CW205">
        <v>0</v>
      </c>
      <c r="CX205">
        <v>0</v>
      </c>
      <c r="CY205" t="s">
        <v>333</v>
      </c>
      <c r="CZ205">
        <v>2.3647399999999998</v>
      </c>
      <c r="DA205">
        <v>2.7137899999999999</v>
      </c>
      <c r="DB205">
        <v>8.5182400000000005E-2</v>
      </c>
      <c r="DC205">
        <v>0.14551600000000001</v>
      </c>
      <c r="DD205">
        <v>0.125225</v>
      </c>
      <c r="DE205">
        <v>1.47174E-3</v>
      </c>
      <c r="DF205">
        <v>33414.699999999997</v>
      </c>
      <c r="DG205">
        <v>27540.1</v>
      </c>
      <c r="DH205">
        <v>31180.6</v>
      </c>
      <c r="DI205">
        <v>28083.200000000001</v>
      </c>
      <c r="DJ205">
        <v>37017.4</v>
      </c>
      <c r="DK205">
        <v>39871.800000000003</v>
      </c>
      <c r="DL205">
        <v>44372.3</v>
      </c>
      <c r="DM205">
        <v>42552.4</v>
      </c>
      <c r="DN205">
        <v>1.4495800000000001</v>
      </c>
      <c r="DO205">
        <v>2.04365</v>
      </c>
      <c r="DP205">
        <v>8.9973200000000003E-2</v>
      </c>
      <c r="DQ205">
        <v>0.18593699999999999</v>
      </c>
      <c r="DR205">
        <v>25.528300000000002</v>
      </c>
      <c r="DS205">
        <v>25.517499999999998</v>
      </c>
      <c r="DT205">
        <v>25.6</v>
      </c>
      <c r="DU205">
        <v>27.7</v>
      </c>
      <c r="DV205">
        <v>9.6773799999999994</v>
      </c>
      <c r="DW205">
        <v>60.7684</v>
      </c>
      <c r="DX205">
        <v>37.608199999999997</v>
      </c>
      <c r="DY205">
        <v>1</v>
      </c>
      <c r="DZ205">
        <v>-0.131629</v>
      </c>
      <c r="EA205">
        <v>-0.48980699999999999</v>
      </c>
      <c r="EB205">
        <v>20.189399999999999</v>
      </c>
      <c r="EC205">
        <v>5.2424499999999998</v>
      </c>
      <c r="ED205">
        <v>12.039899999999999</v>
      </c>
      <c r="EE205">
        <v>5.0172999999999996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1.86886</v>
      </c>
      <c r="EL205">
        <v>1.86459</v>
      </c>
      <c r="EM205">
        <v>1.8692</v>
      </c>
      <c r="EN205">
        <v>1.86721</v>
      </c>
      <c r="EO205">
        <v>1.8633200000000001</v>
      </c>
      <c r="EP205">
        <v>1.8643700000000001</v>
      </c>
      <c r="EQ205">
        <v>1.8701300000000001</v>
      </c>
      <c r="ER205">
        <v>1.8693500000000001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-0.40200000000000002</v>
      </c>
      <c r="FG205">
        <v>0.2112</v>
      </c>
      <c r="FH205">
        <v>-0.150361779349652</v>
      </c>
      <c r="FI205">
        <v>-6.1462078757559423E-4</v>
      </c>
      <c r="FJ205">
        <v>-1.8861989874597051E-7</v>
      </c>
      <c r="FK205">
        <v>1.1980462299894961E-10</v>
      </c>
      <c r="FL205">
        <v>0.21114761904761539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40.5</v>
      </c>
      <c r="FU205">
        <v>40.799999999999997</v>
      </c>
      <c r="FV205">
        <v>1.7663599999999999</v>
      </c>
      <c r="FW205">
        <v>2.5695800000000002</v>
      </c>
      <c r="FX205">
        <v>1.5490699999999999</v>
      </c>
      <c r="FY205">
        <v>2.33765</v>
      </c>
      <c r="FZ205">
        <v>1.50146</v>
      </c>
      <c r="GA205">
        <v>2.34497</v>
      </c>
      <c r="GB205">
        <v>32.443300000000001</v>
      </c>
      <c r="GC205">
        <v>23.991199999999999</v>
      </c>
      <c r="GD205">
        <v>19</v>
      </c>
      <c r="GE205">
        <v>269.68599999999998</v>
      </c>
      <c r="GF205">
        <v>583.47199999999998</v>
      </c>
      <c r="GG205">
        <v>25.823899999999998</v>
      </c>
      <c r="GH205">
        <v>25.775300000000001</v>
      </c>
      <c r="GI205">
        <v>30</v>
      </c>
      <c r="GJ205">
        <v>25.872900000000001</v>
      </c>
      <c r="GK205">
        <v>25.837599999999998</v>
      </c>
      <c r="GL205">
        <v>35.306800000000003</v>
      </c>
      <c r="GM205">
        <v>100</v>
      </c>
      <c r="GN205">
        <v>2.23027</v>
      </c>
      <c r="GO205">
        <v>25.819400000000002</v>
      </c>
      <c r="GP205">
        <v>800</v>
      </c>
      <c r="GQ205">
        <v>0</v>
      </c>
      <c r="GR205">
        <v>99.7637</v>
      </c>
      <c r="GS205">
        <v>99.555999999999997</v>
      </c>
    </row>
    <row r="206" spans="1:201" x14ac:dyDescent="0.25">
      <c r="A206">
        <v>190</v>
      </c>
      <c r="B206">
        <v>1690378656.0999999</v>
      </c>
      <c r="C206">
        <v>1939.599999904633</v>
      </c>
      <c r="D206" t="s">
        <v>713</v>
      </c>
      <c r="E206" t="s">
        <v>714</v>
      </c>
      <c r="F206" t="s">
        <v>330</v>
      </c>
      <c r="H206">
        <v>1690378656.0999999</v>
      </c>
      <c r="I206">
        <f t="shared" si="60"/>
        <v>2.4566095682713013E-3</v>
      </c>
      <c r="J206">
        <f t="shared" si="61"/>
        <v>2.4566095682713014</v>
      </c>
      <c r="K206">
        <f t="shared" si="62"/>
        <v>35.976448251147438</v>
      </c>
      <c r="L206">
        <f t="shared" si="63"/>
        <v>375.79399999999998</v>
      </c>
      <c r="M206">
        <f t="shared" si="64"/>
        <v>85.410738386290603</v>
      </c>
      <c r="N206">
        <f t="shared" si="65"/>
        <v>8.434485712645662</v>
      </c>
      <c r="O206">
        <f t="shared" si="66"/>
        <v>37.110428779605598</v>
      </c>
      <c r="P206">
        <f t="shared" si="67"/>
        <v>0.21138438880909458</v>
      </c>
      <c r="Q206">
        <f t="shared" si="68"/>
        <v>2.0099935464280518</v>
      </c>
      <c r="R206">
        <f t="shared" si="69"/>
        <v>0.19976504467022163</v>
      </c>
      <c r="S206">
        <f t="shared" si="70"/>
        <v>0.12584385213768157</v>
      </c>
      <c r="T206">
        <f t="shared" si="71"/>
        <v>276.11515832400005</v>
      </c>
      <c r="U206">
        <f t="shared" si="72"/>
        <v>28.482469018494601</v>
      </c>
      <c r="V206">
        <f t="shared" si="73"/>
        <v>28.482469018494601</v>
      </c>
      <c r="W206">
        <f t="shared" si="74"/>
        <v>3.9028930663503192</v>
      </c>
      <c r="X206">
        <f t="shared" si="75"/>
        <v>75.877541788732813</v>
      </c>
      <c r="Y206">
        <f t="shared" si="76"/>
        <v>2.7292697234102401</v>
      </c>
      <c r="Z206">
        <f t="shared" si="77"/>
        <v>3.59694009461903</v>
      </c>
      <c r="AA206">
        <f t="shared" si="78"/>
        <v>1.1736233429400791</v>
      </c>
      <c r="AB206">
        <f t="shared" si="79"/>
        <v>-108.33648196076439</v>
      </c>
      <c r="AC206">
        <f t="shared" si="80"/>
        <v>-151.49863439629033</v>
      </c>
      <c r="AD206">
        <f t="shared" si="81"/>
        <v>-16.394166849318733</v>
      </c>
      <c r="AE206">
        <f t="shared" si="82"/>
        <v>-0.1141248823733747</v>
      </c>
      <c r="AF206">
        <v>8</v>
      </c>
      <c r="AG206">
        <v>3</v>
      </c>
      <c r="AH206">
        <f t="shared" si="83"/>
        <v>1</v>
      </c>
      <c r="AI206">
        <f t="shared" si="84"/>
        <v>0</v>
      </c>
      <c r="AJ206">
        <f t="shared" si="85"/>
        <v>52277.767478778209</v>
      </c>
      <c r="AK206">
        <f t="shared" si="86"/>
        <v>1800</v>
      </c>
      <c r="AL206">
        <f t="shared" si="87"/>
        <v>1499.1119513999997</v>
      </c>
      <c r="AM206">
        <f t="shared" si="88"/>
        <v>0.8328399729999999</v>
      </c>
      <c r="AN206">
        <f t="shared" si="89"/>
        <v>0.15339731018000002</v>
      </c>
      <c r="AO206">
        <v>34.5</v>
      </c>
      <c r="AP206">
        <v>0.5</v>
      </c>
      <c r="AQ206" t="s">
        <v>331</v>
      </c>
      <c r="AR206">
        <v>2</v>
      </c>
      <c r="AS206">
        <v>1690378656.0999999</v>
      </c>
      <c r="AT206">
        <v>375.79399999999998</v>
      </c>
      <c r="AU206">
        <v>800.02800000000002</v>
      </c>
      <c r="AV206">
        <v>27.637599999999999</v>
      </c>
      <c r="AW206">
        <v>0.17461199999999999</v>
      </c>
      <c r="AX206">
        <v>376.19600000000003</v>
      </c>
      <c r="AY206">
        <v>27.426500000000001</v>
      </c>
      <c r="AZ206">
        <v>300.07900000000001</v>
      </c>
      <c r="BA206">
        <v>98.652100000000004</v>
      </c>
      <c r="BB206">
        <v>9.9952399999999997E-2</v>
      </c>
      <c r="BC206">
        <v>27.084399999999999</v>
      </c>
      <c r="BD206">
        <v>27.0016</v>
      </c>
      <c r="BE206">
        <v>28.567</v>
      </c>
      <c r="BF206">
        <v>0</v>
      </c>
      <c r="BG206">
        <v>0</v>
      </c>
      <c r="BH206">
        <v>10025.6</v>
      </c>
      <c r="BI206">
        <v>1081.74</v>
      </c>
      <c r="BJ206">
        <v>1.4577199999999999</v>
      </c>
      <c r="BK206">
        <v>-424.23399999999998</v>
      </c>
      <c r="BL206">
        <v>386.47500000000002</v>
      </c>
      <c r="BM206">
        <v>800.16700000000003</v>
      </c>
      <c r="BN206">
        <v>27.463000000000001</v>
      </c>
      <c r="BO206">
        <v>800.02800000000002</v>
      </c>
      <c r="BP206">
        <v>0.17461199999999999</v>
      </c>
      <c r="BQ206">
        <v>2.7265100000000002</v>
      </c>
      <c r="BR206">
        <v>1.7225899999999999E-2</v>
      </c>
      <c r="BS206">
        <v>22.445799999999998</v>
      </c>
      <c r="BT206">
        <v>-40.853499999999997</v>
      </c>
      <c r="BU206">
        <v>1800</v>
      </c>
      <c r="BV206">
        <v>0.91000300000000001</v>
      </c>
      <c r="BW206">
        <v>3.3999700000000001E-2</v>
      </c>
      <c r="BX206">
        <v>2.1999899999999999E-2</v>
      </c>
      <c r="BY206">
        <v>3.3996999999999999E-2</v>
      </c>
      <c r="BZ206">
        <v>26</v>
      </c>
      <c r="CA206">
        <v>33528.400000000001</v>
      </c>
      <c r="CB206">
        <v>1690376213.5999999</v>
      </c>
      <c r="CC206" t="s">
        <v>332</v>
      </c>
      <c r="CD206">
        <v>1690376213.5999999</v>
      </c>
      <c r="CE206">
        <v>1690376198.0999999</v>
      </c>
      <c r="CF206">
        <v>2</v>
      </c>
      <c r="CG206">
        <v>0.66900000000000004</v>
      </c>
      <c r="CH206">
        <v>-2.1000000000000001E-2</v>
      </c>
      <c r="CI206">
        <v>-0.70099999999999996</v>
      </c>
      <c r="CJ206">
        <v>0.21099999999999999</v>
      </c>
      <c r="CK206">
        <v>799</v>
      </c>
      <c r="CL206">
        <v>21</v>
      </c>
      <c r="CM206">
        <v>0.11</v>
      </c>
      <c r="CN206">
        <v>0.17</v>
      </c>
      <c r="CO206">
        <v>-423.72597560975612</v>
      </c>
      <c r="CP206">
        <v>-2.2121811846689772</v>
      </c>
      <c r="CQ206">
        <v>0.22462016587410741</v>
      </c>
      <c r="CR206">
        <v>-1</v>
      </c>
      <c r="CS206">
        <v>27.442636585365861</v>
      </c>
      <c r="CT206">
        <v>0.13059303135892561</v>
      </c>
      <c r="CU206">
        <v>1.3008285466551559E-2</v>
      </c>
      <c r="CV206">
        <v>-1</v>
      </c>
      <c r="CW206">
        <v>0</v>
      </c>
      <c r="CX206">
        <v>0</v>
      </c>
      <c r="CY206" t="s">
        <v>333</v>
      </c>
      <c r="CZ206">
        <v>2.3648600000000002</v>
      </c>
      <c r="DA206">
        <v>2.7137699999999998</v>
      </c>
      <c r="DB206">
        <v>8.5106399999999999E-2</v>
      </c>
      <c r="DC206">
        <v>0.14552399999999999</v>
      </c>
      <c r="DD206">
        <v>0.125274</v>
      </c>
      <c r="DE206">
        <v>1.46469E-3</v>
      </c>
      <c r="DF206">
        <v>33417.4</v>
      </c>
      <c r="DG206">
        <v>27539.9</v>
      </c>
      <c r="DH206">
        <v>31180.6</v>
      </c>
      <c r="DI206">
        <v>28083.200000000001</v>
      </c>
      <c r="DJ206">
        <v>37015.4</v>
      </c>
      <c r="DK206">
        <v>39872.300000000003</v>
      </c>
      <c r="DL206">
        <v>44372.4</v>
      </c>
      <c r="DM206">
        <v>42552.6</v>
      </c>
      <c r="DN206">
        <v>1.4492</v>
      </c>
      <c r="DO206">
        <v>2.0433500000000002</v>
      </c>
      <c r="DP206">
        <v>9.0084999999999998E-2</v>
      </c>
      <c r="DQ206">
        <v>0.18648100000000001</v>
      </c>
      <c r="DR206">
        <v>25.526599999999998</v>
      </c>
      <c r="DS206">
        <v>25.517499999999998</v>
      </c>
      <c r="DT206">
        <v>25.6</v>
      </c>
      <c r="DU206">
        <v>27.7</v>
      </c>
      <c r="DV206">
        <v>9.6776999999999997</v>
      </c>
      <c r="DW206">
        <v>60.938400000000001</v>
      </c>
      <c r="DX206">
        <v>37.395800000000001</v>
      </c>
      <c r="DY206">
        <v>1</v>
      </c>
      <c r="DZ206">
        <v>-0.13140199999999999</v>
      </c>
      <c r="EA206">
        <v>-0.47097499999999998</v>
      </c>
      <c r="EB206">
        <v>20.189299999999999</v>
      </c>
      <c r="EC206">
        <v>5.2416999999999998</v>
      </c>
      <c r="ED206">
        <v>12.039899999999999</v>
      </c>
      <c r="EE206">
        <v>5.0174000000000003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1.8688499999999999</v>
      </c>
      <c r="EL206">
        <v>1.8645799999999999</v>
      </c>
      <c r="EM206">
        <v>1.8691899999999999</v>
      </c>
      <c r="EN206">
        <v>1.8672200000000001</v>
      </c>
      <c r="EO206">
        <v>1.86328</v>
      </c>
      <c r="EP206">
        <v>1.8643400000000001</v>
      </c>
      <c r="EQ206">
        <v>1.87012</v>
      </c>
      <c r="ER206">
        <v>1.8693500000000001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-0.40200000000000002</v>
      </c>
      <c r="FG206">
        <v>0.21110000000000001</v>
      </c>
      <c r="FH206">
        <v>-0.150361779349652</v>
      </c>
      <c r="FI206">
        <v>-6.1462078757559423E-4</v>
      </c>
      <c r="FJ206">
        <v>-1.8861989874597051E-7</v>
      </c>
      <c r="FK206">
        <v>1.1980462299894961E-10</v>
      </c>
      <c r="FL206">
        <v>0.21114761904761539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40.700000000000003</v>
      </c>
      <c r="FU206">
        <v>41</v>
      </c>
      <c r="FV206">
        <v>1.7663599999999999</v>
      </c>
      <c r="FW206">
        <v>2.5695800000000002</v>
      </c>
      <c r="FX206">
        <v>1.5490699999999999</v>
      </c>
      <c r="FY206">
        <v>2.33765</v>
      </c>
      <c r="FZ206">
        <v>1.50146</v>
      </c>
      <c r="GA206">
        <v>2.3779300000000001</v>
      </c>
      <c r="GB206">
        <v>32.443300000000001</v>
      </c>
      <c r="GC206">
        <v>23.991199999999999</v>
      </c>
      <c r="GD206">
        <v>19</v>
      </c>
      <c r="GE206">
        <v>269.53899999999999</v>
      </c>
      <c r="GF206">
        <v>583.23099999999999</v>
      </c>
      <c r="GG206">
        <v>25.8172</v>
      </c>
      <c r="GH206">
        <v>25.7773</v>
      </c>
      <c r="GI206">
        <v>30.000299999999999</v>
      </c>
      <c r="GJ206">
        <v>25.874700000000001</v>
      </c>
      <c r="GK206">
        <v>25.838100000000001</v>
      </c>
      <c r="GL206">
        <v>35.306699999999999</v>
      </c>
      <c r="GM206">
        <v>100</v>
      </c>
      <c r="GN206">
        <v>1.45963</v>
      </c>
      <c r="GO206">
        <v>25.812999999999999</v>
      </c>
      <c r="GP206">
        <v>800</v>
      </c>
      <c r="GQ206">
        <v>0</v>
      </c>
      <c r="GR206">
        <v>99.763900000000007</v>
      </c>
      <c r="GS206">
        <v>99.556399999999996</v>
      </c>
    </row>
    <row r="207" spans="1:201" x14ac:dyDescent="0.25">
      <c r="A207">
        <v>191</v>
      </c>
      <c r="B207">
        <v>1690378666.0999999</v>
      </c>
      <c r="C207">
        <v>1949.599999904633</v>
      </c>
      <c r="D207" t="s">
        <v>715</v>
      </c>
      <c r="E207" t="s">
        <v>716</v>
      </c>
      <c r="F207" t="s">
        <v>330</v>
      </c>
      <c r="H207">
        <v>1690378666.0999999</v>
      </c>
      <c r="I207">
        <f t="shared" si="60"/>
        <v>2.458778535568351E-3</v>
      </c>
      <c r="J207">
        <f t="shared" si="61"/>
        <v>2.4587785355683511</v>
      </c>
      <c r="K207">
        <f t="shared" si="62"/>
        <v>36.015837643921742</v>
      </c>
      <c r="L207">
        <f t="shared" si="63"/>
        <v>375.33600000000001</v>
      </c>
      <c r="M207">
        <f t="shared" si="64"/>
        <v>85.27958060982651</v>
      </c>
      <c r="N207">
        <f t="shared" si="65"/>
        <v>8.4213975835725794</v>
      </c>
      <c r="O207">
        <f t="shared" si="66"/>
        <v>37.064601641152798</v>
      </c>
      <c r="P207">
        <f t="shared" si="67"/>
        <v>0.21185722134603846</v>
      </c>
      <c r="Q207">
        <f t="shared" si="68"/>
        <v>2.0129161936532269</v>
      </c>
      <c r="R207">
        <f t="shared" si="69"/>
        <v>0.20020332172739089</v>
      </c>
      <c r="S207">
        <f t="shared" si="70"/>
        <v>0.12612068221834005</v>
      </c>
      <c r="T207">
        <f t="shared" si="71"/>
        <v>276.11375137619251</v>
      </c>
      <c r="U207">
        <f t="shared" si="72"/>
        <v>28.484022420125289</v>
      </c>
      <c r="V207">
        <f t="shared" si="73"/>
        <v>28.484022420125289</v>
      </c>
      <c r="W207">
        <f t="shared" si="74"/>
        <v>3.903245253756308</v>
      </c>
      <c r="X207">
        <f t="shared" si="75"/>
        <v>75.912233686722487</v>
      </c>
      <c r="Y207">
        <f t="shared" si="76"/>
        <v>2.7311907727747498</v>
      </c>
      <c r="Z207">
        <f t="shared" si="77"/>
        <v>3.5978269115962687</v>
      </c>
      <c r="AA207">
        <f t="shared" si="78"/>
        <v>1.1720544809815583</v>
      </c>
      <c r="AB207">
        <f t="shared" si="79"/>
        <v>-108.43213341856428</v>
      </c>
      <c r="AC207">
        <f t="shared" si="80"/>
        <v>-151.43171245066821</v>
      </c>
      <c r="AD207">
        <f t="shared" si="81"/>
        <v>-16.36360122236762</v>
      </c>
      <c r="AE207">
        <f t="shared" si="82"/>
        <v>-0.11369571540757306</v>
      </c>
      <c r="AF207">
        <v>8</v>
      </c>
      <c r="AG207">
        <v>3</v>
      </c>
      <c r="AH207">
        <f t="shared" si="83"/>
        <v>1</v>
      </c>
      <c r="AI207">
        <f t="shared" si="84"/>
        <v>0</v>
      </c>
      <c r="AJ207">
        <f t="shared" si="85"/>
        <v>52417.071882301403</v>
      </c>
      <c r="AK207">
        <f t="shared" si="86"/>
        <v>1799.99</v>
      </c>
      <c r="AL207">
        <f t="shared" si="87"/>
        <v>1499.10416659725</v>
      </c>
      <c r="AM207">
        <f t="shared" si="88"/>
        <v>0.83284027500000002</v>
      </c>
      <c r="AN207">
        <f t="shared" si="89"/>
        <v>0.15339738075000001</v>
      </c>
      <c r="AO207">
        <v>34.5</v>
      </c>
      <c r="AP207">
        <v>0.5</v>
      </c>
      <c r="AQ207" t="s">
        <v>331</v>
      </c>
      <c r="AR207">
        <v>2</v>
      </c>
      <c r="AS207">
        <v>1690378666.0999999</v>
      </c>
      <c r="AT207">
        <v>375.33600000000001</v>
      </c>
      <c r="AU207">
        <v>799.97400000000005</v>
      </c>
      <c r="AV207">
        <v>27.657499999999999</v>
      </c>
      <c r="AW207">
        <v>0.173758</v>
      </c>
      <c r="AX207">
        <v>375.738</v>
      </c>
      <c r="AY207">
        <v>27.446300000000001</v>
      </c>
      <c r="AZ207">
        <v>300.11099999999999</v>
      </c>
      <c r="BA207">
        <v>98.650499999999994</v>
      </c>
      <c r="BB207">
        <v>9.9957299999999999E-2</v>
      </c>
      <c r="BC207">
        <v>27.0886</v>
      </c>
      <c r="BD207">
        <v>27.0032</v>
      </c>
      <c r="BE207">
        <v>28.5533</v>
      </c>
      <c r="BF207">
        <v>0</v>
      </c>
      <c r="BG207">
        <v>0</v>
      </c>
      <c r="BH207">
        <v>10053.799999999999</v>
      </c>
      <c r="BI207">
        <v>1081.74</v>
      </c>
      <c r="BJ207">
        <v>1.4577199999999999</v>
      </c>
      <c r="BK207">
        <v>-424.637</v>
      </c>
      <c r="BL207">
        <v>386.012</v>
      </c>
      <c r="BM207">
        <v>800.11300000000006</v>
      </c>
      <c r="BN207">
        <v>27.483699999999999</v>
      </c>
      <c r="BO207">
        <v>799.97400000000005</v>
      </c>
      <c r="BP207">
        <v>0.173758</v>
      </c>
      <c r="BQ207">
        <v>2.7284199999999998</v>
      </c>
      <c r="BR207">
        <v>1.7141300000000002E-2</v>
      </c>
      <c r="BS207">
        <v>22.4573</v>
      </c>
      <c r="BT207">
        <v>-40.900300000000001</v>
      </c>
      <c r="BU207">
        <v>1799.99</v>
      </c>
      <c r="BV207">
        <v>0.91000300000000001</v>
      </c>
      <c r="BW207">
        <v>3.39999E-2</v>
      </c>
      <c r="BX207">
        <v>2.1999999999999999E-2</v>
      </c>
      <c r="BY207">
        <v>3.3997100000000002E-2</v>
      </c>
      <c r="BZ207">
        <v>26</v>
      </c>
      <c r="CA207">
        <v>33528.300000000003</v>
      </c>
      <c r="CB207">
        <v>1690376213.5999999</v>
      </c>
      <c r="CC207" t="s">
        <v>332</v>
      </c>
      <c r="CD207">
        <v>1690376213.5999999</v>
      </c>
      <c r="CE207">
        <v>1690376198.0999999</v>
      </c>
      <c r="CF207">
        <v>2</v>
      </c>
      <c r="CG207">
        <v>0.66900000000000004</v>
      </c>
      <c r="CH207">
        <v>-2.1000000000000001E-2</v>
      </c>
      <c r="CI207">
        <v>-0.70099999999999996</v>
      </c>
      <c r="CJ207">
        <v>0.21099999999999999</v>
      </c>
      <c r="CK207">
        <v>799</v>
      </c>
      <c r="CL207">
        <v>21</v>
      </c>
      <c r="CM207">
        <v>0.11</v>
      </c>
      <c r="CN207">
        <v>0.17</v>
      </c>
      <c r="CO207">
        <v>-424.140175</v>
      </c>
      <c r="CP207">
        <v>-2.260874296434717</v>
      </c>
      <c r="CQ207">
        <v>0.2252748196647831</v>
      </c>
      <c r="CR207">
        <v>-1</v>
      </c>
      <c r="CS207">
        <v>27.463112500000001</v>
      </c>
      <c r="CT207">
        <v>9.5206378986781234E-2</v>
      </c>
      <c r="CU207">
        <v>9.2167561403129431E-3</v>
      </c>
      <c r="CV207">
        <v>-1</v>
      </c>
      <c r="CW207">
        <v>0</v>
      </c>
      <c r="CX207">
        <v>0</v>
      </c>
      <c r="CY207" t="s">
        <v>333</v>
      </c>
      <c r="CZ207">
        <v>2.3649499999999999</v>
      </c>
      <c r="DA207">
        <v>2.7138</v>
      </c>
      <c r="DB207">
        <v>8.5024699999999995E-2</v>
      </c>
      <c r="DC207">
        <v>0.145514</v>
      </c>
      <c r="DD207">
        <v>0.125335</v>
      </c>
      <c r="DE207">
        <v>1.45757E-3</v>
      </c>
      <c r="DF207">
        <v>33420.800000000003</v>
      </c>
      <c r="DG207">
        <v>27540.400000000001</v>
      </c>
      <c r="DH207">
        <v>31180.9</v>
      </c>
      <c r="DI207">
        <v>28083.4</v>
      </c>
      <c r="DJ207">
        <v>37013.199999999997</v>
      </c>
      <c r="DK207">
        <v>39872.800000000003</v>
      </c>
      <c r="DL207">
        <v>44373</v>
      </c>
      <c r="DM207">
        <v>42552.9</v>
      </c>
      <c r="DN207">
        <v>1.4494499999999999</v>
      </c>
      <c r="DO207">
        <v>2.0434299999999999</v>
      </c>
      <c r="DP207">
        <v>9.0211600000000003E-2</v>
      </c>
      <c r="DQ207">
        <v>0.18550800000000001</v>
      </c>
      <c r="DR207">
        <v>25.5261</v>
      </c>
      <c r="DS207">
        <v>25.5197</v>
      </c>
      <c r="DT207">
        <v>25.5</v>
      </c>
      <c r="DU207">
        <v>27.7</v>
      </c>
      <c r="DV207">
        <v>9.63889</v>
      </c>
      <c r="DW207">
        <v>60.568399999999997</v>
      </c>
      <c r="DX207">
        <v>37.3598</v>
      </c>
      <c r="DY207">
        <v>1</v>
      </c>
      <c r="DZ207">
        <v>-0.13151199999999999</v>
      </c>
      <c r="EA207">
        <v>-0.496114</v>
      </c>
      <c r="EB207">
        <v>20.1891</v>
      </c>
      <c r="EC207">
        <v>5.2424499999999998</v>
      </c>
      <c r="ED207">
        <v>12.039899999999999</v>
      </c>
      <c r="EE207">
        <v>5.0174000000000003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1.8688499999999999</v>
      </c>
      <c r="EL207">
        <v>1.86459</v>
      </c>
      <c r="EM207">
        <v>1.8692</v>
      </c>
      <c r="EN207">
        <v>1.8672200000000001</v>
      </c>
      <c r="EO207">
        <v>1.8632899999999999</v>
      </c>
      <c r="EP207">
        <v>1.8643400000000001</v>
      </c>
      <c r="EQ207">
        <v>1.8701300000000001</v>
      </c>
      <c r="ER207">
        <v>1.8693500000000001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-0.40200000000000002</v>
      </c>
      <c r="FG207">
        <v>0.2112</v>
      </c>
      <c r="FH207">
        <v>-0.150361779349652</v>
      </c>
      <c r="FI207">
        <v>-6.1462078757559423E-4</v>
      </c>
      <c r="FJ207">
        <v>-1.8861989874597051E-7</v>
      </c>
      <c r="FK207">
        <v>1.1980462299894961E-10</v>
      </c>
      <c r="FL207">
        <v>0.21114761904761539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40.9</v>
      </c>
      <c r="FU207">
        <v>41.1</v>
      </c>
      <c r="FV207">
        <v>1.7663599999999999</v>
      </c>
      <c r="FW207">
        <v>2.5708000000000002</v>
      </c>
      <c r="FX207">
        <v>1.5490699999999999</v>
      </c>
      <c r="FY207">
        <v>2.33887</v>
      </c>
      <c r="FZ207">
        <v>1.50146</v>
      </c>
      <c r="GA207">
        <v>2.3571800000000001</v>
      </c>
      <c r="GB207">
        <v>32.443300000000001</v>
      </c>
      <c r="GC207">
        <v>23.991199999999999</v>
      </c>
      <c r="GD207">
        <v>19</v>
      </c>
      <c r="GE207">
        <v>269.64400000000001</v>
      </c>
      <c r="GF207">
        <v>583.31799999999998</v>
      </c>
      <c r="GG207">
        <v>25.8154</v>
      </c>
      <c r="GH207">
        <v>25.779399999999999</v>
      </c>
      <c r="GI207">
        <v>30.0001</v>
      </c>
      <c r="GJ207">
        <v>25.8751</v>
      </c>
      <c r="GK207">
        <v>25.840199999999999</v>
      </c>
      <c r="GL207">
        <v>35.307600000000001</v>
      </c>
      <c r="GM207">
        <v>100</v>
      </c>
      <c r="GN207">
        <v>1.0805</v>
      </c>
      <c r="GO207">
        <v>25.8169</v>
      </c>
      <c r="GP207">
        <v>800</v>
      </c>
      <c r="GQ207">
        <v>0</v>
      </c>
      <c r="GR207">
        <v>99.765100000000004</v>
      </c>
      <c r="GS207">
        <v>99.557100000000005</v>
      </c>
    </row>
    <row r="208" spans="1:201" x14ac:dyDescent="0.25">
      <c r="A208">
        <v>192</v>
      </c>
      <c r="B208">
        <v>1690378676.0999999</v>
      </c>
      <c r="C208">
        <v>1959.599999904633</v>
      </c>
      <c r="D208" t="s">
        <v>717</v>
      </c>
      <c r="E208" t="s">
        <v>718</v>
      </c>
      <c r="F208" t="s">
        <v>330</v>
      </c>
      <c r="H208">
        <v>1690378676.0999999</v>
      </c>
      <c r="I208">
        <f t="shared" si="60"/>
        <v>2.4602780160682472E-3</v>
      </c>
      <c r="J208">
        <f t="shared" si="61"/>
        <v>2.4602780160682474</v>
      </c>
      <c r="K208">
        <f t="shared" si="62"/>
        <v>36.021206846045835</v>
      </c>
      <c r="L208">
        <f t="shared" si="63"/>
        <v>375.12599999999998</v>
      </c>
      <c r="M208">
        <f t="shared" si="64"/>
        <v>85.541345867759674</v>
      </c>
      <c r="N208">
        <f t="shared" si="65"/>
        <v>8.4474632881293559</v>
      </c>
      <c r="O208">
        <f t="shared" si="66"/>
        <v>37.044812438672999</v>
      </c>
      <c r="P208">
        <f t="shared" si="67"/>
        <v>0.21228932955293817</v>
      </c>
      <c r="Q208">
        <f t="shared" si="68"/>
        <v>2.0063449862282949</v>
      </c>
      <c r="R208">
        <f t="shared" si="69"/>
        <v>0.20055320604745452</v>
      </c>
      <c r="S208">
        <f t="shared" si="70"/>
        <v>0.12634610016737027</v>
      </c>
      <c r="T208">
        <f t="shared" si="71"/>
        <v>276.11515832400005</v>
      </c>
      <c r="U208">
        <f t="shared" si="72"/>
        <v>28.488307375393543</v>
      </c>
      <c r="V208">
        <f t="shared" si="73"/>
        <v>28.488307375393543</v>
      </c>
      <c r="W208">
        <f t="shared" si="74"/>
        <v>3.9042168830279294</v>
      </c>
      <c r="X208">
        <f t="shared" si="75"/>
        <v>75.972813638319323</v>
      </c>
      <c r="Y208">
        <f t="shared" si="76"/>
        <v>2.73348263864</v>
      </c>
      <c r="Z208">
        <f t="shared" si="77"/>
        <v>3.5979747329790617</v>
      </c>
      <c r="AA208">
        <f t="shared" si="78"/>
        <v>1.1707342443879294</v>
      </c>
      <c r="AB208">
        <f t="shared" si="79"/>
        <v>-108.4982605086097</v>
      </c>
      <c r="AC208">
        <f t="shared" si="80"/>
        <v>-151.32513095299893</v>
      </c>
      <c r="AD208">
        <f t="shared" si="81"/>
        <v>-16.406048957330373</v>
      </c>
      <c r="AE208">
        <f t="shared" si="82"/>
        <v>-0.11428209493894315</v>
      </c>
      <c r="AF208">
        <v>8</v>
      </c>
      <c r="AG208">
        <v>3</v>
      </c>
      <c r="AH208">
        <f t="shared" si="83"/>
        <v>1</v>
      </c>
      <c r="AI208">
        <f t="shared" si="84"/>
        <v>0</v>
      </c>
      <c r="AJ208">
        <f t="shared" si="85"/>
        <v>52102.469552551913</v>
      </c>
      <c r="AK208">
        <f t="shared" si="86"/>
        <v>1800</v>
      </c>
      <c r="AL208">
        <f t="shared" si="87"/>
        <v>1499.1119513999997</v>
      </c>
      <c r="AM208">
        <f t="shared" si="88"/>
        <v>0.8328399729999999</v>
      </c>
      <c r="AN208">
        <f t="shared" si="89"/>
        <v>0.15339731018000002</v>
      </c>
      <c r="AO208">
        <v>34.5</v>
      </c>
      <c r="AP208">
        <v>0.5</v>
      </c>
      <c r="AQ208" t="s">
        <v>331</v>
      </c>
      <c r="AR208">
        <v>2</v>
      </c>
      <c r="AS208">
        <v>1690378676.0999999</v>
      </c>
      <c r="AT208">
        <v>375.12599999999998</v>
      </c>
      <c r="AU208">
        <v>799.93100000000004</v>
      </c>
      <c r="AV208">
        <v>27.68</v>
      </c>
      <c r="AW208">
        <v>0.17335100000000001</v>
      </c>
      <c r="AX208">
        <v>375.52699999999999</v>
      </c>
      <c r="AY208">
        <v>27.468800000000002</v>
      </c>
      <c r="AZ208">
        <v>300.03699999999998</v>
      </c>
      <c r="BA208">
        <v>98.653000000000006</v>
      </c>
      <c r="BB208">
        <v>9.9985500000000005E-2</v>
      </c>
      <c r="BC208">
        <v>27.089300000000001</v>
      </c>
      <c r="BD208">
        <v>27.005199999999999</v>
      </c>
      <c r="BE208">
        <v>28.5593</v>
      </c>
      <c r="BF208">
        <v>0</v>
      </c>
      <c r="BG208">
        <v>0</v>
      </c>
      <c r="BH208">
        <v>9990.6200000000008</v>
      </c>
      <c r="BI208">
        <v>1081.76</v>
      </c>
      <c r="BJ208">
        <v>1.4577199999999999</v>
      </c>
      <c r="BK208">
        <v>-424.80500000000001</v>
      </c>
      <c r="BL208">
        <v>385.80500000000001</v>
      </c>
      <c r="BM208">
        <v>800.06899999999996</v>
      </c>
      <c r="BN208">
        <v>27.506599999999999</v>
      </c>
      <c r="BO208">
        <v>799.93100000000004</v>
      </c>
      <c r="BP208">
        <v>0.17335100000000001</v>
      </c>
      <c r="BQ208">
        <v>2.7307100000000002</v>
      </c>
      <c r="BR208">
        <v>1.7101600000000002E-2</v>
      </c>
      <c r="BS208">
        <v>22.4711</v>
      </c>
      <c r="BT208">
        <v>-40.922199999999997</v>
      </c>
      <c r="BU208">
        <v>1800</v>
      </c>
      <c r="BV208">
        <v>0.91000300000000001</v>
      </c>
      <c r="BW208">
        <v>3.3999700000000001E-2</v>
      </c>
      <c r="BX208">
        <v>2.1999899999999999E-2</v>
      </c>
      <c r="BY208">
        <v>3.3996999999999999E-2</v>
      </c>
      <c r="BZ208">
        <v>26</v>
      </c>
      <c r="CA208">
        <v>33528.300000000003</v>
      </c>
      <c r="CB208">
        <v>1690376213.5999999</v>
      </c>
      <c r="CC208" t="s">
        <v>332</v>
      </c>
      <c r="CD208">
        <v>1690376213.5999999</v>
      </c>
      <c r="CE208">
        <v>1690376198.0999999</v>
      </c>
      <c r="CF208">
        <v>2</v>
      </c>
      <c r="CG208">
        <v>0.66900000000000004</v>
      </c>
      <c r="CH208">
        <v>-2.1000000000000001E-2</v>
      </c>
      <c r="CI208">
        <v>-0.70099999999999996</v>
      </c>
      <c r="CJ208">
        <v>0.21099999999999999</v>
      </c>
      <c r="CK208">
        <v>799</v>
      </c>
      <c r="CL208">
        <v>21</v>
      </c>
      <c r="CM208">
        <v>0.11</v>
      </c>
      <c r="CN208">
        <v>0.17</v>
      </c>
      <c r="CO208">
        <v>-424.54750000000001</v>
      </c>
      <c r="CP208">
        <v>-2.0922776735448219</v>
      </c>
      <c r="CQ208">
        <v>0.21419955648880609</v>
      </c>
      <c r="CR208">
        <v>-1</v>
      </c>
      <c r="CS208">
        <v>27.482514999999999</v>
      </c>
      <c r="CT208">
        <v>0.13667617260787701</v>
      </c>
      <c r="CU208">
        <v>1.321980616348088E-2</v>
      </c>
      <c r="CV208">
        <v>-1</v>
      </c>
      <c r="CW208">
        <v>0</v>
      </c>
      <c r="CX208">
        <v>0</v>
      </c>
      <c r="CY208" t="s">
        <v>333</v>
      </c>
      <c r="CZ208">
        <v>2.3647100000000001</v>
      </c>
      <c r="DA208">
        <v>2.7137699999999998</v>
      </c>
      <c r="DB208">
        <v>8.4989599999999998E-2</v>
      </c>
      <c r="DC208">
        <v>0.145512</v>
      </c>
      <c r="DD208">
        <v>0.12540799999999999</v>
      </c>
      <c r="DE208">
        <v>1.45422E-3</v>
      </c>
      <c r="DF208">
        <v>33421.9</v>
      </c>
      <c r="DG208">
        <v>27540.7</v>
      </c>
      <c r="DH208">
        <v>31180.799999999999</v>
      </c>
      <c r="DI208">
        <v>28083.599999999999</v>
      </c>
      <c r="DJ208">
        <v>37009.800000000003</v>
      </c>
      <c r="DK208">
        <v>39873.4</v>
      </c>
      <c r="DL208">
        <v>44372.6</v>
      </c>
      <c r="DM208">
        <v>42553.3</v>
      </c>
      <c r="DN208">
        <v>1.4494199999999999</v>
      </c>
      <c r="DO208">
        <v>2.0434700000000001</v>
      </c>
      <c r="DP208">
        <v>9.0204199999999998E-2</v>
      </c>
      <c r="DQ208">
        <v>0.18574299999999999</v>
      </c>
      <c r="DR208">
        <v>25.528300000000002</v>
      </c>
      <c r="DS208">
        <v>25.521799999999999</v>
      </c>
      <c r="DT208">
        <v>25.4</v>
      </c>
      <c r="DU208">
        <v>27.7</v>
      </c>
      <c r="DV208">
        <v>9.6020699999999994</v>
      </c>
      <c r="DW208">
        <v>60.708399999999997</v>
      </c>
      <c r="DX208">
        <v>37.407899999999998</v>
      </c>
      <c r="DY208">
        <v>1</v>
      </c>
      <c r="DZ208">
        <v>-0.131408</v>
      </c>
      <c r="EA208">
        <v>-0.48217900000000002</v>
      </c>
      <c r="EB208">
        <v>20.189</v>
      </c>
      <c r="EC208">
        <v>5.2411000000000003</v>
      </c>
      <c r="ED208">
        <v>12.039899999999999</v>
      </c>
      <c r="EE208">
        <v>5.0172499999999998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1.8688499999999999</v>
      </c>
      <c r="EL208">
        <v>1.8645700000000001</v>
      </c>
      <c r="EM208">
        <v>1.8691899999999999</v>
      </c>
      <c r="EN208">
        <v>1.86721</v>
      </c>
      <c r="EO208">
        <v>1.8633200000000001</v>
      </c>
      <c r="EP208">
        <v>1.8643400000000001</v>
      </c>
      <c r="EQ208">
        <v>1.87012</v>
      </c>
      <c r="ER208">
        <v>1.8693500000000001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-0.40100000000000002</v>
      </c>
      <c r="FG208">
        <v>0.2112</v>
      </c>
      <c r="FH208">
        <v>-0.150361779349652</v>
      </c>
      <c r="FI208">
        <v>-6.1462078757559423E-4</v>
      </c>
      <c r="FJ208">
        <v>-1.8861989874597051E-7</v>
      </c>
      <c r="FK208">
        <v>1.1980462299894961E-10</v>
      </c>
      <c r="FL208">
        <v>0.21114761904761539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41</v>
      </c>
      <c r="FU208">
        <v>41.3</v>
      </c>
      <c r="FV208">
        <v>1.7663599999999999</v>
      </c>
      <c r="FW208">
        <v>2.5683600000000002</v>
      </c>
      <c r="FX208">
        <v>1.5490699999999999</v>
      </c>
      <c r="FY208">
        <v>2.33765</v>
      </c>
      <c r="FZ208">
        <v>1.50146</v>
      </c>
      <c r="GA208">
        <v>2.3999000000000001</v>
      </c>
      <c r="GB208">
        <v>32.465400000000002</v>
      </c>
      <c r="GC208">
        <v>23.991199999999999</v>
      </c>
      <c r="GD208">
        <v>19</v>
      </c>
      <c r="GE208">
        <v>269.64299999999997</v>
      </c>
      <c r="GF208">
        <v>583.38400000000001</v>
      </c>
      <c r="GG208">
        <v>25.817</v>
      </c>
      <c r="GH208">
        <v>25.781600000000001</v>
      </c>
      <c r="GI208">
        <v>30.0001</v>
      </c>
      <c r="GJ208">
        <v>25.877199999999998</v>
      </c>
      <c r="GK208">
        <v>25.842400000000001</v>
      </c>
      <c r="GL208">
        <v>35.308700000000002</v>
      </c>
      <c r="GM208">
        <v>100</v>
      </c>
      <c r="GN208">
        <v>0.70231200000000005</v>
      </c>
      <c r="GO208">
        <v>25.8139</v>
      </c>
      <c r="GP208">
        <v>800</v>
      </c>
      <c r="GQ208">
        <v>0</v>
      </c>
      <c r="GR208">
        <v>99.764399999999995</v>
      </c>
      <c r="GS208">
        <v>99.557900000000004</v>
      </c>
    </row>
    <row r="209" spans="1:201" x14ac:dyDescent="0.25">
      <c r="A209">
        <v>193</v>
      </c>
      <c r="B209">
        <v>1690378686.0999999</v>
      </c>
      <c r="C209">
        <v>1969.599999904633</v>
      </c>
      <c r="D209" t="s">
        <v>719</v>
      </c>
      <c r="E209" t="s">
        <v>720</v>
      </c>
      <c r="F209" t="s">
        <v>330</v>
      </c>
      <c r="H209">
        <v>1690378686.0999999</v>
      </c>
      <c r="I209">
        <f t="shared" ref="I209:I272" si="90">(J209)/1000</f>
        <v>2.462360592214257E-3</v>
      </c>
      <c r="J209">
        <f t="shared" ref="J209:J235" si="91">1000*AZ209*AH209*(AV209-AW209)/(100*AO209*(1000-AH209*AV209))</f>
        <v>2.4623605922142571</v>
      </c>
      <c r="K209">
        <f t="shared" ref="K209:K235" si="92">AZ209*AH209*(AU209-AT209*(1000-AH209*AW209)/(1000-AH209*AV209))/(100*AO209)</f>
        <v>36.080196642247259</v>
      </c>
      <c r="L209">
        <f t="shared" ref="L209:L272" si="93">AT209 - IF(AH209&gt;1, K209*AO209*100/(AJ209*BH209), 0)</f>
        <v>374.577</v>
      </c>
      <c r="M209">
        <f t="shared" ref="M209:M272" si="94">((S209-I209/2)*L209-K209)/(S209+I209/2)</f>
        <v>85.400011709467307</v>
      </c>
      <c r="N209">
        <f t="shared" ref="N209:N272" si="95">M209*(BA209+BB209)/1000</f>
        <v>8.4334248513937133</v>
      </c>
      <c r="O209">
        <f t="shared" ref="O209:O235" si="96">(AT209 - IF(AH209&gt;1, K209*AO209*100/(AJ209*BH209), 0))*(BA209+BB209)/1000</f>
        <v>36.990240602160299</v>
      </c>
      <c r="P209">
        <f t="shared" ref="P209:P272" si="97">2/((1/R209-1/Q209)+SIGN(R209)*SQRT((1/R209-1/Q209)*(1/R209-1/Q209) + 4*AP209/((AP209+1)*(AP209+1))*(2*1/R209*1/Q209-1/Q209*1/Q209)))</f>
        <v>0.21294255958020594</v>
      </c>
      <c r="Q209">
        <f t="shared" ref="Q209:Q235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2.0098682689680727</v>
      </c>
      <c r="R209">
        <f t="shared" ref="R209:R235" si="99">I209*(1000-(1000*0.61365*EXP(17.502*V209/(240.97+V209))/(BA209+BB209)+AV209)/2)/(1000*0.61365*EXP(17.502*V209/(240.97+V209))/(BA209+BB209)-AV209)</f>
        <v>0.20115572179363631</v>
      </c>
      <c r="S209">
        <f t="shared" ref="S209:S235" si="100">1/((AP209+1)/(P209/1.6)+1/(Q209/1.37)) + AP209/((AP209+1)/(P209/1.6) + AP209/(Q209/1.37))</f>
        <v>0.12672692765894594</v>
      </c>
      <c r="T209">
        <f t="shared" ref="T209:T235" si="101">(AK209*AN209)</f>
        <v>276.11500883400004</v>
      </c>
      <c r="U209">
        <f t="shared" ref="U209:U272" si="102">(BC209+(T209+2*0.95*0.0000000567*(((BC209+$B$7)+273)^4-(BC209+273)^4)-44100*I209)/(1.84*29.3*Q209+8*0.95*0.0000000567*(BC209+273)^3))</f>
        <v>28.484028094952954</v>
      </c>
      <c r="V209">
        <f t="shared" ref="V209:V272" si="103">($C$7*BD209+$D$7*BE209+$E$7*U209)</f>
        <v>28.484028094952954</v>
      </c>
      <c r="W209">
        <f t="shared" ref="W209:W272" si="104">0.61365*EXP(17.502*V209/(240.97+V209))</f>
        <v>3.9032465404047398</v>
      </c>
      <c r="X209">
        <f t="shared" ref="X209:X272" si="105">(Y209/Z209*100)</f>
        <v>76.022070909286938</v>
      </c>
      <c r="Y209">
        <f t="shared" ref="Y209:Y235" si="106">AV209*(BA209+BB209)/1000</f>
        <v>2.73504620609779</v>
      </c>
      <c r="Z209">
        <f t="shared" ref="Z209:Z235" si="107">0.61365*EXP(17.502*BC209/(240.97+BC209))</f>
        <v>3.5977002117732018</v>
      </c>
      <c r="AA209">
        <f t="shared" ref="AA209:AA235" si="108">(W209-AV209*(BA209+BB209)/1000)</f>
        <v>1.1682003343069498</v>
      </c>
      <c r="AB209">
        <f t="shared" ref="AB209:AB235" si="109">(-I209*44100)</f>
        <v>-108.59010211664874</v>
      </c>
      <c r="AC209">
        <f t="shared" ref="AC209:AC235" si="110">2*29.3*Q209*0.92*(BC209-V209)</f>
        <v>-151.26804554801419</v>
      </c>
      <c r="AD209">
        <f t="shared" ref="AD209:AD235" si="111">2*0.95*0.0000000567*(((BC209+$B$7)+273)^4-(V209+273)^4)</f>
        <v>-16.370655302724945</v>
      </c>
      <c r="AE209">
        <f t="shared" ref="AE209:AE272" si="112">T209+AD209+AB209+AC209</f>
        <v>-0.11379413338784161</v>
      </c>
      <c r="AF209">
        <v>8</v>
      </c>
      <c r="AG209">
        <v>3</v>
      </c>
      <c r="AH209">
        <f t="shared" ref="AH209:AH235" si="113">IF(AF209*$H$13&gt;=AJ209,1,(AJ209/(AJ209-AF209*$H$13)))</f>
        <v>1</v>
      </c>
      <c r="AI209">
        <f t="shared" ref="AI209:AI272" si="114">(AH209-1)*100</f>
        <v>0</v>
      </c>
      <c r="AJ209">
        <f t="shared" ref="AJ209:AJ235" si="115">MAX(0,($B$13+$C$13*BH209)/(1+$D$13*BH209)*BA209/(BC209+273)*$E$13)</f>
        <v>52271.142587483031</v>
      </c>
      <c r="AK209">
        <f t="shared" ref="AK209:AK235" si="116">$B$11*BI209+$C$11*BJ209+$D$11*BU209</f>
        <v>1800</v>
      </c>
      <c r="AL209">
        <f t="shared" ref="AL209:AL272" si="117">AK209*AM209</f>
        <v>1499.1126443999999</v>
      </c>
      <c r="AM209">
        <f t="shared" ref="AM209:AM235" si="118">($B$11*$D$9+$C$11*$D$9+$D$11*(BV209*$E$9+BW209*$F$9+BX209*$G$9+BY209*$H$9))/($B$11+$C$11+$D$11)</f>
        <v>0.832840358</v>
      </c>
      <c r="AN209">
        <f t="shared" ref="AN209:AN235" si="119">($B$11*$K$9+$C$11*$K$9+$D$11*(BV209*$L$9+BW209*$M$9+BX209*$N$9+BY209*$O$9))/($B$11+$C$11+$D$11)</f>
        <v>0.15339722713000001</v>
      </c>
      <c r="AO209">
        <v>34.5</v>
      </c>
      <c r="AP209">
        <v>0.5</v>
      </c>
      <c r="AQ209" t="s">
        <v>331</v>
      </c>
      <c r="AR209">
        <v>2</v>
      </c>
      <c r="AS209">
        <v>1690378686.0999999</v>
      </c>
      <c r="AT209">
        <v>374.577</v>
      </c>
      <c r="AU209">
        <v>799.96299999999997</v>
      </c>
      <c r="AV209">
        <v>27.696100000000001</v>
      </c>
      <c r="AW209">
        <v>0.17249400000000001</v>
      </c>
      <c r="AX209">
        <v>374.97800000000001</v>
      </c>
      <c r="AY209">
        <v>27.4849</v>
      </c>
      <c r="AZ209">
        <v>300.101</v>
      </c>
      <c r="BA209">
        <v>98.652100000000004</v>
      </c>
      <c r="BB209">
        <v>9.9933900000000006E-2</v>
      </c>
      <c r="BC209">
        <v>27.088000000000001</v>
      </c>
      <c r="BD209">
        <v>26.996600000000001</v>
      </c>
      <c r="BE209">
        <v>28.569099999999999</v>
      </c>
      <c r="BF209">
        <v>0</v>
      </c>
      <c r="BG209">
        <v>0</v>
      </c>
      <c r="BH209">
        <v>10024.4</v>
      </c>
      <c r="BI209">
        <v>1081.74</v>
      </c>
      <c r="BJ209">
        <v>1.4577199999999999</v>
      </c>
      <c r="BK209">
        <v>-425.38499999999999</v>
      </c>
      <c r="BL209">
        <v>385.24700000000001</v>
      </c>
      <c r="BM209">
        <v>800.101</v>
      </c>
      <c r="BN209">
        <v>27.523599999999998</v>
      </c>
      <c r="BO209">
        <v>799.96299999999997</v>
      </c>
      <c r="BP209">
        <v>0.17249400000000001</v>
      </c>
      <c r="BQ209">
        <v>2.7322799999999998</v>
      </c>
      <c r="BR209">
        <v>1.7016900000000001E-2</v>
      </c>
      <c r="BS209">
        <v>22.480499999999999</v>
      </c>
      <c r="BT209">
        <v>-40.9694</v>
      </c>
      <c r="BU209">
        <v>1800</v>
      </c>
      <c r="BV209">
        <v>0.91000700000000001</v>
      </c>
      <c r="BW209">
        <v>3.3998300000000002E-2</v>
      </c>
      <c r="BX209">
        <v>2.1998899999999998E-2</v>
      </c>
      <c r="BY209">
        <v>3.3995499999999998E-2</v>
      </c>
      <c r="BZ209">
        <v>26</v>
      </c>
      <c r="CA209">
        <v>33528.5</v>
      </c>
      <c r="CB209">
        <v>1690376213.5999999</v>
      </c>
      <c r="CC209" t="s">
        <v>332</v>
      </c>
      <c r="CD209">
        <v>1690376213.5999999</v>
      </c>
      <c r="CE209">
        <v>1690376198.0999999</v>
      </c>
      <c r="CF209">
        <v>2</v>
      </c>
      <c r="CG209">
        <v>0.66900000000000004</v>
      </c>
      <c r="CH209">
        <v>-2.1000000000000001E-2</v>
      </c>
      <c r="CI209">
        <v>-0.70099999999999996</v>
      </c>
      <c r="CJ209">
        <v>0.21099999999999999</v>
      </c>
      <c r="CK209">
        <v>799</v>
      </c>
      <c r="CL209">
        <v>21</v>
      </c>
      <c r="CM209">
        <v>0.11</v>
      </c>
      <c r="CN209">
        <v>0.17</v>
      </c>
      <c r="CO209">
        <v>-424.91963414634142</v>
      </c>
      <c r="CP209">
        <v>-1.9269198606267119</v>
      </c>
      <c r="CQ209">
        <v>0.2021227296926684</v>
      </c>
      <c r="CR209">
        <v>-1</v>
      </c>
      <c r="CS209">
        <v>27.505302439024391</v>
      </c>
      <c r="CT209">
        <v>0.1246933797909761</v>
      </c>
      <c r="CU209">
        <v>1.236585558281578E-2</v>
      </c>
      <c r="CV209">
        <v>-1</v>
      </c>
      <c r="CW209">
        <v>0</v>
      </c>
      <c r="CX209">
        <v>0</v>
      </c>
      <c r="CY209" t="s">
        <v>333</v>
      </c>
      <c r="CZ209">
        <v>2.3649300000000002</v>
      </c>
      <c r="DA209">
        <v>2.7137500000000001</v>
      </c>
      <c r="DB209">
        <v>8.4892099999999998E-2</v>
      </c>
      <c r="DC209">
        <v>0.14551500000000001</v>
      </c>
      <c r="DD209">
        <v>0.12545700000000001</v>
      </c>
      <c r="DE209">
        <v>1.4470900000000001E-3</v>
      </c>
      <c r="DF209">
        <v>33425.5</v>
      </c>
      <c r="DG209">
        <v>27540.5</v>
      </c>
      <c r="DH209">
        <v>31180.799999999999</v>
      </c>
      <c r="DI209">
        <v>28083.599999999999</v>
      </c>
      <c r="DJ209">
        <v>37007.800000000003</v>
      </c>
      <c r="DK209">
        <v>39873.599999999999</v>
      </c>
      <c r="DL209">
        <v>44372.7</v>
      </c>
      <c r="DM209">
        <v>42553.3</v>
      </c>
      <c r="DN209">
        <v>1.4495199999999999</v>
      </c>
      <c r="DO209">
        <v>2.0434700000000001</v>
      </c>
      <c r="DP209">
        <v>8.9548500000000003E-2</v>
      </c>
      <c r="DQ209">
        <v>0.186339</v>
      </c>
      <c r="DR209">
        <v>25.5304</v>
      </c>
      <c r="DS209">
        <v>25.521899999999999</v>
      </c>
      <c r="DT209">
        <v>25.3</v>
      </c>
      <c r="DU209">
        <v>27.7</v>
      </c>
      <c r="DV209">
        <v>9.5630299999999995</v>
      </c>
      <c r="DW209">
        <v>60.728400000000001</v>
      </c>
      <c r="DX209">
        <v>37.395800000000001</v>
      </c>
      <c r="DY209">
        <v>1</v>
      </c>
      <c r="DZ209">
        <v>-0.131357</v>
      </c>
      <c r="EA209">
        <v>-0.484398</v>
      </c>
      <c r="EB209">
        <v>20.1892</v>
      </c>
      <c r="EC209">
        <v>5.2411000000000003</v>
      </c>
      <c r="ED209">
        <v>12.039899999999999</v>
      </c>
      <c r="EE209">
        <v>5.0174000000000003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1.86886</v>
      </c>
      <c r="EL209">
        <v>1.8646</v>
      </c>
      <c r="EM209">
        <v>1.8691899999999999</v>
      </c>
      <c r="EN209">
        <v>1.8672200000000001</v>
      </c>
      <c r="EO209">
        <v>1.86331</v>
      </c>
      <c r="EP209">
        <v>1.8643400000000001</v>
      </c>
      <c r="EQ209">
        <v>1.87012</v>
      </c>
      <c r="ER209">
        <v>1.8693500000000001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-0.40100000000000002</v>
      </c>
      <c r="FG209">
        <v>0.2112</v>
      </c>
      <c r="FH209">
        <v>-0.150361779349652</v>
      </c>
      <c r="FI209">
        <v>-6.1462078757559423E-4</v>
      </c>
      <c r="FJ209">
        <v>-1.8861989874597051E-7</v>
      </c>
      <c r="FK209">
        <v>1.1980462299894961E-10</v>
      </c>
      <c r="FL209">
        <v>0.21114761904761539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41.2</v>
      </c>
      <c r="FU209">
        <v>41.5</v>
      </c>
      <c r="FV209">
        <v>1.7663599999999999</v>
      </c>
      <c r="FW209">
        <v>2.5671400000000002</v>
      </c>
      <c r="FX209">
        <v>1.5490699999999999</v>
      </c>
      <c r="FY209">
        <v>2.33887</v>
      </c>
      <c r="FZ209">
        <v>1.50146</v>
      </c>
      <c r="GA209">
        <v>2.3779300000000001</v>
      </c>
      <c r="GB209">
        <v>32.465400000000002</v>
      </c>
      <c r="GC209">
        <v>23.991199999999999</v>
      </c>
      <c r="GD209">
        <v>19</v>
      </c>
      <c r="GE209">
        <v>269.69299999999998</v>
      </c>
      <c r="GF209">
        <v>583.39</v>
      </c>
      <c r="GG209">
        <v>25.815100000000001</v>
      </c>
      <c r="GH209">
        <v>25.782299999999999</v>
      </c>
      <c r="GI209">
        <v>30.0001</v>
      </c>
      <c r="GJ209">
        <v>25.8794</v>
      </c>
      <c r="GK209">
        <v>25.843</v>
      </c>
      <c r="GL209">
        <v>35.310200000000002</v>
      </c>
      <c r="GM209">
        <v>100</v>
      </c>
      <c r="GN209">
        <v>0</v>
      </c>
      <c r="GO209">
        <v>25.8155</v>
      </c>
      <c r="GP209">
        <v>800</v>
      </c>
      <c r="GQ209">
        <v>0</v>
      </c>
      <c r="GR209">
        <v>99.764600000000002</v>
      </c>
      <c r="GS209">
        <v>99.5578</v>
      </c>
    </row>
    <row r="210" spans="1:201" x14ac:dyDescent="0.25">
      <c r="A210">
        <v>194</v>
      </c>
      <c r="B210">
        <v>1690378696.0999999</v>
      </c>
      <c r="C210">
        <v>1979.599999904633</v>
      </c>
      <c r="D210" t="s">
        <v>721</v>
      </c>
      <c r="E210" t="s">
        <v>722</v>
      </c>
      <c r="F210" t="s">
        <v>330</v>
      </c>
      <c r="H210">
        <v>1690378696.0999999</v>
      </c>
      <c r="I210">
        <f t="shared" si="90"/>
        <v>2.4631962649105778E-3</v>
      </c>
      <c r="J210">
        <f t="shared" si="91"/>
        <v>2.4631962649105779</v>
      </c>
      <c r="K210">
        <f t="shared" si="92"/>
        <v>36.102556028925783</v>
      </c>
      <c r="L210">
        <f t="shared" si="93"/>
        <v>374.28</v>
      </c>
      <c r="M210">
        <f t="shared" si="94"/>
        <v>85.112329423778277</v>
      </c>
      <c r="N210">
        <f t="shared" si="95"/>
        <v>8.4049230894179043</v>
      </c>
      <c r="O210">
        <f t="shared" si="96"/>
        <v>36.960504256019995</v>
      </c>
      <c r="P210">
        <f t="shared" si="97"/>
        <v>0.213094136110175</v>
      </c>
      <c r="Q210">
        <f t="shared" si="98"/>
        <v>2.0077663909460024</v>
      </c>
      <c r="R210">
        <f t="shared" si="99"/>
        <v>0.20127939059425407</v>
      </c>
      <c r="S210">
        <f t="shared" si="100"/>
        <v>0.12680650880106942</v>
      </c>
      <c r="T210">
        <f t="shared" si="101"/>
        <v>276.11495150400003</v>
      </c>
      <c r="U210">
        <f t="shared" si="102"/>
        <v>28.487935793904185</v>
      </c>
      <c r="V210">
        <f t="shared" si="103"/>
        <v>28.487935793904185</v>
      </c>
      <c r="W210">
        <f t="shared" si="104"/>
        <v>3.9041326172138624</v>
      </c>
      <c r="X210">
        <f t="shared" si="105"/>
        <v>76.043423198076752</v>
      </c>
      <c r="Y210">
        <f t="shared" si="106"/>
        <v>2.7362801014738496</v>
      </c>
      <c r="Z210">
        <f t="shared" si="107"/>
        <v>3.598312630332841</v>
      </c>
      <c r="AA210">
        <f t="shared" si="108"/>
        <v>1.1678525157400128</v>
      </c>
      <c r="AB210">
        <f t="shared" si="109"/>
        <v>-108.62695528255648</v>
      </c>
      <c r="AC210">
        <f t="shared" si="110"/>
        <v>-151.21892866003935</v>
      </c>
      <c r="AD210">
        <f t="shared" si="111"/>
        <v>-16.383028488842271</v>
      </c>
      <c r="AE210">
        <f t="shared" si="112"/>
        <v>-0.11396092743808595</v>
      </c>
      <c r="AF210">
        <v>8</v>
      </c>
      <c r="AG210">
        <v>3</v>
      </c>
      <c r="AH210">
        <f t="shared" si="113"/>
        <v>1</v>
      </c>
      <c r="AI210">
        <f t="shared" si="114"/>
        <v>0</v>
      </c>
      <c r="AJ210">
        <f t="shared" si="115"/>
        <v>52170.063404512279</v>
      </c>
      <c r="AK210">
        <f t="shared" si="116"/>
        <v>1800</v>
      </c>
      <c r="AL210">
        <f t="shared" si="117"/>
        <v>1499.1123834</v>
      </c>
      <c r="AM210">
        <f t="shared" si="118"/>
        <v>0.832840213</v>
      </c>
      <c r="AN210">
        <f t="shared" si="119"/>
        <v>0.15339719528000001</v>
      </c>
      <c r="AO210">
        <v>34.5</v>
      </c>
      <c r="AP210">
        <v>0.5</v>
      </c>
      <c r="AQ210" t="s">
        <v>331</v>
      </c>
      <c r="AR210">
        <v>2</v>
      </c>
      <c r="AS210">
        <v>1690378696.0999999</v>
      </c>
      <c r="AT210">
        <v>374.28</v>
      </c>
      <c r="AU210">
        <v>799.99199999999996</v>
      </c>
      <c r="AV210">
        <v>27.7089</v>
      </c>
      <c r="AW210">
        <v>0.171544</v>
      </c>
      <c r="AX210">
        <v>374.68099999999998</v>
      </c>
      <c r="AY210">
        <v>27.497800000000002</v>
      </c>
      <c r="AZ210">
        <v>300.04899999999998</v>
      </c>
      <c r="BA210">
        <v>98.650999999999996</v>
      </c>
      <c r="BB210">
        <v>9.9946499999999994E-2</v>
      </c>
      <c r="BC210">
        <v>27.090900000000001</v>
      </c>
      <c r="BD210">
        <v>27.000599999999999</v>
      </c>
      <c r="BE210">
        <v>28.5688</v>
      </c>
      <c r="BF210">
        <v>0</v>
      </c>
      <c r="BG210">
        <v>0</v>
      </c>
      <c r="BH210">
        <v>10004.4</v>
      </c>
      <c r="BI210">
        <v>1081.73</v>
      </c>
      <c r="BJ210">
        <v>1.3189599999999999</v>
      </c>
      <c r="BK210">
        <v>-425.71199999999999</v>
      </c>
      <c r="BL210">
        <v>384.94600000000003</v>
      </c>
      <c r="BM210">
        <v>800.12900000000002</v>
      </c>
      <c r="BN210">
        <v>27.537400000000002</v>
      </c>
      <c r="BO210">
        <v>799.99199999999996</v>
      </c>
      <c r="BP210">
        <v>0.171544</v>
      </c>
      <c r="BQ210">
        <v>2.7335099999999999</v>
      </c>
      <c r="BR210">
        <v>1.6923000000000001E-2</v>
      </c>
      <c r="BS210">
        <v>22.488</v>
      </c>
      <c r="BT210">
        <v>-41.021900000000002</v>
      </c>
      <c r="BU210">
        <v>1800</v>
      </c>
      <c r="BV210">
        <v>0.91000700000000001</v>
      </c>
      <c r="BW210">
        <v>3.3998199999999999E-2</v>
      </c>
      <c r="BX210">
        <v>2.1998899999999998E-2</v>
      </c>
      <c r="BY210">
        <v>3.3995400000000002E-2</v>
      </c>
      <c r="BZ210">
        <v>26</v>
      </c>
      <c r="CA210">
        <v>33528.300000000003</v>
      </c>
      <c r="CB210">
        <v>1690376213.5999999</v>
      </c>
      <c r="CC210" t="s">
        <v>332</v>
      </c>
      <c r="CD210">
        <v>1690376213.5999999</v>
      </c>
      <c r="CE210">
        <v>1690376198.0999999</v>
      </c>
      <c r="CF210">
        <v>2</v>
      </c>
      <c r="CG210">
        <v>0.66900000000000004</v>
      </c>
      <c r="CH210">
        <v>-2.1000000000000001E-2</v>
      </c>
      <c r="CI210">
        <v>-0.70099999999999996</v>
      </c>
      <c r="CJ210">
        <v>0.21099999999999999</v>
      </c>
      <c r="CK210">
        <v>799</v>
      </c>
      <c r="CL210">
        <v>21</v>
      </c>
      <c r="CM210">
        <v>0.11</v>
      </c>
      <c r="CN210">
        <v>0.17</v>
      </c>
      <c r="CO210">
        <v>-425.30058536585358</v>
      </c>
      <c r="CP210">
        <v>-2.401108013936847</v>
      </c>
      <c r="CQ210">
        <v>0.249991704799917</v>
      </c>
      <c r="CR210">
        <v>-1</v>
      </c>
      <c r="CS210">
        <v>27.522878048780491</v>
      </c>
      <c r="CT210">
        <v>8.6575609756192745E-2</v>
      </c>
      <c r="CU210">
        <v>8.591956311918534E-3</v>
      </c>
      <c r="CV210">
        <v>-1</v>
      </c>
      <c r="CW210">
        <v>0</v>
      </c>
      <c r="CX210">
        <v>0</v>
      </c>
      <c r="CY210" t="s">
        <v>333</v>
      </c>
      <c r="CZ210">
        <v>2.36476</v>
      </c>
      <c r="DA210">
        <v>2.71374</v>
      </c>
      <c r="DB210">
        <v>8.4838999999999998E-2</v>
      </c>
      <c r="DC210">
        <v>0.14551600000000001</v>
      </c>
      <c r="DD210">
        <v>0.125496</v>
      </c>
      <c r="DE210">
        <v>1.43918E-3</v>
      </c>
      <c r="DF210">
        <v>33427.300000000003</v>
      </c>
      <c r="DG210">
        <v>27540.5</v>
      </c>
      <c r="DH210">
        <v>31180.7</v>
      </c>
      <c r="DI210">
        <v>28083.5</v>
      </c>
      <c r="DJ210">
        <v>37005.9</v>
      </c>
      <c r="DK210">
        <v>39873.699999999997</v>
      </c>
      <c r="DL210">
        <v>44372.5</v>
      </c>
      <c r="DM210">
        <v>42553.1</v>
      </c>
      <c r="DN210">
        <v>1.4491499999999999</v>
      </c>
      <c r="DO210">
        <v>2.04338</v>
      </c>
      <c r="DP210">
        <v>8.9723600000000001E-2</v>
      </c>
      <c r="DQ210">
        <v>0.186194</v>
      </c>
      <c r="DR210">
        <v>25.531500000000001</v>
      </c>
      <c r="DS210">
        <v>25.524000000000001</v>
      </c>
      <c r="DT210">
        <v>25.3</v>
      </c>
      <c r="DU210">
        <v>27.7</v>
      </c>
      <c r="DV210">
        <v>9.5640999999999998</v>
      </c>
      <c r="DW210">
        <v>60.988399999999999</v>
      </c>
      <c r="DX210">
        <v>37.395800000000001</v>
      </c>
      <c r="DY210">
        <v>1</v>
      </c>
      <c r="DZ210">
        <v>-0.13118099999999999</v>
      </c>
      <c r="EA210">
        <v>-0.48080099999999998</v>
      </c>
      <c r="EB210">
        <v>20.189299999999999</v>
      </c>
      <c r="EC210">
        <v>5.24125</v>
      </c>
      <c r="ED210">
        <v>12.039899999999999</v>
      </c>
      <c r="EE210">
        <v>5.0174500000000002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1.86886</v>
      </c>
      <c r="EL210">
        <v>1.8645700000000001</v>
      </c>
      <c r="EM210">
        <v>1.8691599999999999</v>
      </c>
      <c r="EN210">
        <v>1.8672</v>
      </c>
      <c r="EO210">
        <v>1.86328</v>
      </c>
      <c r="EP210">
        <v>1.8643400000000001</v>
      </c>
      <c r="EQ210">
        <v>1.87012</v>
      </c>
      <c r="ER210">
        <v>1.8693500000000001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-0.40100000000000002</v>
      </c>
      <c r="FG210">
        <v>0.21110000000000001</v>
      </c>
      <c r="FH210">
        <v>-0.150361779349652</v>
      </c>
      <c r="FI210">
        <v>-6.1462078757559423E-4</v>
      </c>
      <c r="FJ210">
        <v>-1.8861989874597051E-7</v>
      </c>
      <c r="FK210">
        <v>1.1980462299894961E-10</v>
      </c>
      <c r="FL210">
        <v>0.21114761904761539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41.4</v>
      </c>
      <c r="FU210">
        <v>41.6</v>
      </c>
      <c r="FV210">
        <v>1.7663599999999999</v>
      </c>
      <c r="FW210">
        <v>2.5708000000000002</v>
      </c>
      <c r="FX210">
        <v>1.5490699999999999</v>
      </c>
      <c r="FY210">
        <v>2.33887</v>
      </c>
      <c r="FZ210">
        <v>1.50146</v>
      </c>
      <c r="GA210">
        <v>2.3645</v>
      </c>
      <c r="GB210">
        <v>32.465400000000002</v>
      </c>
      <c r="GC210">
        <v>23.991199999999999</v>
      </c>
      <c r="GD210">
        <v>19</v>
      </c>
      <c r="GE210">
        <v>269.53899999999999</v>
      </c>
      <c r="GF210">
        <v>583.32500000000005</v>
      </c>
      <c r="GG210">
        <v>25.8156</v>
      </c>
      <c r="GH210">
        <v>25.783799999999999</v>
      </c>
      <c r="GI210">
        <v>30.0001</v>
      </c>
      <c r="GJ210">
        <v>25.8794</v>
      </c>
      <c r="GK210">
        <v>25.8445</v>
      </c>
      <c r="GL210">
        <v>35.307099999999998</v>
      </c>
      <c r="GM210">
        <v>100</v>
      </c>
      <c r="GN210">
        <v>0</v>
      </c>
      <c r="GO210">
        <v>25.8156</v>
      </c>
      <c r="GP210">
        <v>800</v>
      </c>
      <c r="GQ210">
        <v>0</v>
      </c>
      <c r="GR210">
        <v>99.764200000000002</v>
      </c>
      <c r="GS210">
        <v>99.557400000000001</v>
      </c>
    </row>
    <row r="211" spans="1:201" x14ac:dyDescent="0.25">
      <c r="A211">
        <v>195</v>
      </c>
      <c r="B211">
        <v>1690378706.0999999</v>
      </c>
      <c r="C211">
        <v>1989.599999904633</v>
      </c>
      <c r="D211" t="s">
        <v>723</v>
      </c>
      <c r="E211" t="s">
        <v>724</v>
      </c>
      <c r="F211" t="s">
        <v>330</v>
      </c>
      <c r="H211">
        <v>1690378706.0999999</v>
      </c>
      <c r="I211">
        <f t="shared" si="90"/>
        <v>2.4652965086921124E-3</v>
      </c>
      <c r="J211">
        <f t="shared" si="91"/>
        <v>2.4652965086921124</v>
      </c>
      <c r="K211">
        <f t="shared" si="92"/>
        <v>36.140020747598371</v>
      </c>
      <c r="L211">
        <f t="shared" si="93"/>
        <v>373.92899999999997</v>
      </c>
      <c r="M211">
        <f t="shared" si="94"/>
        <v>85.077515027842836</v>
      </c>
      <c r="N211">
        <f t="shared" si="95"/>
        <v>8.4018339101403114</v>
      </c>
      <c r="O211">
        <f t="shared" si="96"/>
        <v>36.927375595734006</v>
      </c>
      <c r="P211">
        <f t="shared" si="97"/>
        <v>0.21357482823461577</v>
      </c>
      <c r="Q211">
        <f t="shared" si="98"/>
        <v>2.0064981973604716</v>
      </c>
      <c r="R211">
        <f t="shared" si="99"/>
        <v>0.20170126069802669</v>
      </c>
      <c r="S211">
        <f t="shared" si="100"/>
        <v>0.12707504110847495</v>
      </c>
      <c r="T211">
        <f t="shared" si="101"/>
        <v>276.11361038297576</v>
      </c>
      <c r="U211">
        <f t="shared" si="102"/>
        <v>28.490645103870886</v>
      </c>
      <c r="V211">
        <f t="shared" si="103"/>
        <v>28.490645103870886</v>
      </c>
      <c r="W211">
        <f t="shared" si="104"/>
        <v>3.9047470604426828</v>
      </c>
      <c r="X211">
        <f t="shared" si="105"/>
        <v>76.087764507740047</v>
      </c>
      <c r="Y211">
        <f t="shared" si="106"/>
        <v>2.7383095420018004</v>
      </c>
      <c r="Z211">
        <f t="shared" si="107"/>
        <v>3.5988828949275344</v>
      </c>
      <c r="AA211">
        <f t="shared" si="108"/>
        <v>1.1664375184408824</v>
      </c>
      <c r="AB211">
        <f t="shared" si="109"/>
        <v>-108.71957603332216</v>
      </c>
      <c r="AC211">
        <f t="shared" si="110"/>
        <v>-151.124419231139</v>
      </c>
      <c r="AD211">
        <f t="shared" si="111"/>
        <v>-16.383579614735844</v>
      </c>
      <c r="AE211">
        <f t="shared" si="112"/>
        <v>-0.11396449622120031</v>
      </c>
      <c r="AF211">
        <v>8</v>
      </c>
      <c r="AG211">
        <v>3</v>
      </c>
      <c r="AH211">
        <f t="shared" si="113"/>
        <v>1</v>
      </c>
      <c r="AI211">
        <f t="shared" si="114"/>
        <v>0</v>
      </c>
      <c r="AJ211">
        <f t="shared" si="115"/>
        <v>52109.083149321807</v>
      </c>
      <c r="AK211">
        <f t="shared" si="116"/>
        <v>1799.99</v>
      </c>
      <c r="AL211">
        <f t="shared" si="117"/>
        <v>1499.1055651894799</v>
      </c>
      <c r="AM211">
        <f t="shared" si="118"/>
        <v>0.83284105199999992</v>
      </c>
      <c r="AN211">
        <f t="shared" si="119"/>
        <v>0.15339730241999999</v>
      </c>
      <c r="AO211">
        <v>34.5</v>
      </c>
      <c r="AP211">
        <v>0.5</v>
      </c>
      <c r="AQ211" t="s">
        <v>331</v>
      </c>
      <c r="AR211">
        <v>2</v>
      </c>
      <c r="AS211">
        <v>1690378706.0999999</v>
      </c>
      <c r="AT211">
        <v>373.92899999999997</v>
      </c>
      <c r="AU211">
        <v>800.024</v>
      </c>
      <c r="AV211">
        <v>27.728300000000001</v>
      </c>
      <c r="AW211">
        <v>0.171045</v>
      </c>
      <c r="AX211">
        <v>374.32900000000001</v>
      </c>
      <c r="AY211">
        <v>27.517199999999999</v>
      </c>
      <c r="AZ211">
        <v>300.08199999999999</v>
      </c>
      <c r="BA211">
        <v>98.655000000000001</v>
      </c>
      <c r="BB211">
        <v>0.100046</v>
      </c>
      <c r="BC211">
        <v>27.093599999999999</v>
      </c>
      <c r="BD211">
        <v>27.001899999999999</v>
      </c>
      <c r="BE211">
        <v>28.569500000000001</v>
      </c>
      <c r="BF211">
        <v>0</v>
      </c>
      <c r="BG211">
        <v>0</v>
      </c>
      <c r="BH211">
        <v>9991.8799999999992</v>
      </c>
      <c r="BI211">
        <v>1081.7</v>
      </c>
      <c r="BJ211">
        <v>1.46052</v>
      </c>
      <c r="BK211">
        <v>-426.09500000000003</v>
      </c>
      <c r="BL211">
        <v>384.59300000000002</v>
      </c>
      <c r="BM211">
        <v>800.16099999999994</v>
      </c>
      <c r="BN211">
        <v>27.557300000000001</v>
      </c>
      <c r="BO211">
        <v>800.024</v>
      </c>
      <c r="BP211">
        <v>0.171045</v>
      </c>
      <c r="BQ211">
        <v>2.7355399999999999</v>
      </c>
      <c r="BR211">
        <v>1.6874400000000001E-2</v>
      </c>
      <c r="BS211">
        <v>22.5002</v>
      </c>
      <c r="BT211">
        <v>-41.049100000000003</v>
      </c>
      <c r="BU211">
        <v>1799.99</v>
      </c>
      <c r="BV211">
        <v>0.91000899999999996</v>
      </c>
      <c r="BW211">
        <v>3.3997800000000002E-2</v>
      </c>
      <c r="BX211">
        <v>2.19986E-2</v>
      </c>
      <c r="BY211">
        <v>3.3994999999999997E-2</v>
      </c>
      <c r="BZ211">
        <v>26</v>
      </c>
      <c r="CA211">
        <v>33528.300000000003</v>
      </c>
      <c r="CB211">
        <v>1690376213.5999999</v>
      </c>
      <c r="CC211" t="s">
        <v>332</v>
      </c>
      <c r="CD211">
        <v>1690376213.5999999</v>
      </c>
      <c r="CE211">
        <v>1690376198.0999999</v>
      </c>
      <c r="CF211">
        <v>2</v>
      </c>
      <c r="CG211">
        <v>0.66900000000000004</v>
      </c>
      <c r="CH211">
        <v>-2.1000000000000001E-2</v>
      </c>
      <c r="CI211">
        <v>-0.70099999999999996</v>
      </c>
      <c r="CJ211">
        <v>0.21099999999999999</v>
      </c>
      <c r="CK211">
        <v>799</v>
      </c>
      <c r="CL211">
        <v>21</v>
      </c>
      <c r="CM211">
        <v>0.11</v>
      </c>
      <c r="CN211">
        <v>0.17</v>
      </c>
      <c r="CO211">
        <v>-425.70172500000001</v>
      </c>
      <c r="CP211">
        <v>-2.1182026266412621</v>
      </c>
      <c r="CQ211">
        <v>0.2148850841147425</v>
      </c>
      <c r="CR211">
        <v>-1</v>
      </c>
      <c r="CS211">
        <v>27.537447499999999</v>
      </c>
      <c r="CT211">
        <v>9.3918574108743491E-2</v>
      </c>
      <c r="CU211">
        <v>9.0724304213369179E-3</v>
      </c>
      <c r="CV211">
        <v>-1</v>
      </c>
      <c r="CW211">
        <v>0</v>
      </c>
      <c r="CX211">
        <v>0</v>
      </c>
      <c r="CY211" t="s">
        <v>333</v>
      </c>
      <c r="CZ211">
        <v>2.3648699999999998</v>
      </c>
      <c r="DA211">
        <v>2.7138300000000002</v>
      </c>
      <c r="DB211">
        <v>8.47802E-2</v>
      </c>
      <c r="DC211">
        <v>0.14552499999999999</v>
      </c>
      <c r="DD211">
        <v>0.12556100000000001</v>
      </c>
      <c r="DE211">
        <v>1.43508E-3</v>
      </c>
      <c r="DF211">
        <v>33429</v>
      </c>
      <c r="DG211">
        <v>27540.1</v>
      </c>
      <c r="DH211">
        <v>31180.3</v>
      </c>
      <c r="DI211">
        <v>28083.5</v>
      </c>
      <c r="DJ211">
        <v>37002.6</v>
      </c>
      <c r="DK211">
        <v>39874</v>
      </c>
      <c r="DL211">
        <v>44371.9</v>
      </c>
      <c r="DM211">
        <v>42553.2</v>
      </c>
      <c r="DN211">
        <v>1.4494800000000001</v>
      </c>
      <c r="DO211">
        <v>2.0432999999999999</v>
      </c>
      <c r="DP211">
        <v>8.9608099999999996E-2</v>
      </c>
      <c r="DQ211">
        <v>0.186108</v>
      </c>
      <c r="DR211">
        <v>25.534700000000001</v>
      </c>
      <c r="DS211">
        <v>25.5261</v>
      </c>
      <c r="DT211">
        <v>25.2</v>
      </c>
      <c r="DU211">
        <v>27.7</v>
      </c>
      <c r="DV211">
        <v>9.5252599999999994</v>
      </c>
      <c r="DW211">
        <v>61.398400000000002</v>
      </c>
      <c r="DX211">
        <v>37.600200000000001</v>
      </c>
      <c r="DY211">
        <v>1</v>
      </c>
      <c r="DZ211">
        <v>-0.131075</v>
      </c>
      <c r="EA211">
        <v>-0.48066399999999998</v>
      </c>
      <c r="EB211">
        <v>20.1891</v>
      </c>
      <c r="EC211">
        <v>5.2409499999999998</v>
      </c>
      <c r="ED211">
        <v>12.039899999999999</v>
      </c>
      <c r="EE211">
        <v>5.0174000000000003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1.8688800000000001</v>
      </c>
      <c r="EL211">
        <v>1.86456</v>
      </c>
      <c r="EM211">
        <v>1.8692</v>
      </c>
      <c r="EN211">
        <v>1.8672200000000001</v>
      </c>
      <c r="EO211">
        <v>1.8633200000000001</v>
      </c>
      <c r="EP211">
        <v>1.86433</v>
      </c>
      <c r="EQ211">
        <v>1.87012</v>
      </c>
      <c r="ER211">
        <v>1.8693500000000001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-0.4</v>
      </c>
      <c r="FG211">
        <v>0.21110000000000001</v>
      </c>
      <c r="FH211">
        <v>-0.150361779349652</v>
      </c>
      <c r="FI211">
        <v>-6.1462078757559423E-4</v>
      </c>
      <c r="FJ211">
        <v>-1.8861989874597051E-7</v>
      </c>
      <c r="FK211">
        <v>1.1980462299894961E-10</v>
      </c>
      <c r="FL211">
        <v>0.21114761904761539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41.5</v>
      </c>
      <c r="FU211">
        <v>41.8</v>
      </c>
      <c r="FV211">
        <v>1.7663599999999999</v>
      </c>
      <c r="FW211">
        <v>2.5683600000000002</v>
      </c>
      <c r="FX211">
        <v>1.5490699999999999</v>
      </c>
      <c r="FY211">
        <v>2.33887</v>
      </c>
      <c r="FZ211">
        <v>1.50146</v>
      </c>
      <c r="GA211">
        <v>2.3767100000000001</v>
      </c>
      <c r="GB211">
        <v>32.465400000000002</v>
      </c>
      <c r="GC211">
        <v>23.991199999999999</v>
      </c>
      <c r="GD211">
        <v>19</v>
      </c>
      <c r="GE211">
        <v>269.68099999999998</v>
      </c>
      <c r="GF211">
        <v>583.28800000000001</v>
      </c>
      <c r="GG211">
        <v>25.8156</v>
      </c>
      <c r="GH211">
        <v>25.785900000000002</v>
      </c>
      <c r="GI211">
        <v>30.0001</v>
      </c>
      <c r="GJ211">
        <v>25.881499999999999</v>
      </c>
      <c r="GK211">
        <v>25.846699999999998</v>
      </c>
      <c r="GL211">
        <v>35.307000000000002</v>
      </c>
      <c r="GM211">
        <v>100</v>
      </c>
      <c r="GN211">
        <v>0</v>
      </c>
      <c r="GO211">
        <v>25.812999999999999</v>
      </c>
      <c r="GP211">
        <v>800</v>
      </c>
      <c r="GQ211">
        <v>0</v>
      </c>
      <c r="GR211">
        <v>99.762799999999999</v>
      </c>
      <c r="GS211">
        <v>99.557599999999994</v>
      </c>
    </row>
    <row r="212" spans="1:201" x14ac:dyDescent="0.25">
      <c r="A212">
        <v>196</v>
      </c>
      <c r="B212">
        <v>1690378716.0999999</v>
      </c>
      <c r="C212">
        <v>1999.599999904633</v>
      </c>
      <c r="D212" t="s">
        <v>725</v>
      </c>
      <c r="E212" t="s">
        <v>726</v>
      </c>
      <c r="F212" t="s">
        <v>330</v>
      </c>
      <c r="H212">
        <v>1690378716.0999999</v>
      </c>
      <c r="I212">
        <f t="shared" si="90"/>
        <v>2.4659674372311735E-3</v>
      </c>
      <c r="J212">
        <f t="shared" si="91"/>
        <v>2.4659674372311735</v>
      </c>
      <c r="K212">
        <f t="shared" si="92"/>
        <v>36.168503895185985</v>
      </c>
      <c r="L212">
        <f t="shared" si="93"/>
        <v>373.59899999999999</v>
      </c>
      <c r="M212">
        <f t="shared" si="94"/>
        <v>84.922756948013117</v>
      </c>
      <c r="N212">
        <f t="shared" si="95"/>
        <v>8.3860546501017641</v>
      </c>
      <c r="O212">
        <f t="shared" si="96"/>
        <v>36.892603865195994</v>
      </c>
      <c r="P212">
        <f t="shared" si="97"/>
        <v>0.21389405254570459</v>
      </c>
      <c r="Q212">
        <f t="shared" si="98"/>
        <v>2.0043395510425341</v>
      </c>
      <c r="R212">
        <f t="shared" si="99"/>
        <v>0.20197396915373275</v>
      </c>
      <c r="S212">
        <f t="shared" si="100"/>
        <v>0.12724931351388899</v>
      </c>
      <c r="T212">
        <f t="shared" si="101"/>
        <v>276.11498898000002</v>
      </c>
      <c r="U212">
        <f t="shared" si="102"/>
        <v>28.488372286501686</v>
      </c>
      <c r="V212">
        <f t="shared" si="103"/>
        <v>28.488372286501686</v>
      </c>
      <c r="W212">
        <f t="shared" si="104"/>
        <v>3.9042316034809295</v>
      </c>
      <c r="X212">
        <f t="shared" si="105"/>
        <v>76.125617503793492</v>
      </c>
      <c r="Y212">
        <f t="shared" si="106"/>
        <v>2.7391251703927995</v>
      </c>
      <c r="Z212">
        <f t="shared" si="107"/>
        <v>3.5981647968324242</v>
      </c>
      <c r="AA212">
        <f t="shared" si="108"/>
        <v>1.16510643308813</v>
      </c>
      <c r="AB212">
        <f t="shared" si="109"/>
        <v>-108.74916398189475</v>
      </c>
      <c r="AC212">
        <f t="shared" si="110"/>
        <v>-151.08363644522825</v>
      </c>
      <c r="AD212">
        <f t="shared" si="111"/>
        <v>-16.396334727084998</v>
      </c>
      <c r="AE212">
        <f t="shared" si="112"/>
        <v>-0.11414617420797413</v>
      </c>
      <c r="AF212">
        <v>8</v>
      </c>
      <c r="AG212">
        <v>3</v>
      </c>
      <c r="AH212">
        <f t="shared" si="113"/>
        <v>1</v>
      </c>
      <c r="AI212">
        <f t="shared" si="114"/>
        <v>0</v>
      </c>
      <c r="AJ212">
        <f t="shared" si="115"/>
        <v>52006.525383659624</v>
      </c>
      <c r="AK212">
        <f t="shared" si="116"/>
        <v>1800</v>
      </c>
      <c r="AL212">
        <f t="shared" si="117"/>
        <v>1499.1132150000001</v>
      </c>
      <c r="AM212">
        <f t="shared" si="118"/>
        <v>0.83284067500000003</v>
      </c>
      <c r="AN212">
        <f t="shared" si="119"/>
        <v>0.15339721610000001</v>
      </c>
      <c r="AO212">
        <v>34.5</v>
      </c>
      <c r="AP212">
        <v>0.5</v>
      </c>
      <c r="AQ212" t="s">
        <v>331</v>
      </c>
      <c r="AR212">
        <v>2</v>
      </c>
      <c r="AS212">
        <v>1690378716.0999999</v>
      </c>
      <c r="AT212">
        <v>373.59899999999999</v>
      </c>
      <c r="AU212">
        <v>800.06899999999996</v>
      </c>
      <c r="AV212">
        <v>27.738199999999999</v>
      </c>
      <c r="AW212">
        <v>0.170235</v>
      </c>
      <c r="AX212">
        <v>373.99900000000002</v>
      </c>
      <c r="AY212">
        <v>27.527000000000001</v>
      </c>
      <c r="AZ212">
        <v>300.04399999999998</v>
      </c>
      <c r="BA212">
        <v>98.649199999999993</v>
      </c>
      <c r="BB212">
        <v>0.100004</v>
      </c>
      <c r="BC212">
        <v>27.090199999999999</v>
      </c>
      <c r="BD212">
        <v>26.9971</v>
      </c>
      <c r="BE212">
        <v>28.586600000000001</v>
      </c>
      <c r="BF212">
        <v>0</v>
      </c>
      <c r="BG212">
        <v>0</v>
      </c>
      <c r="BH212">
        <v>9971.8799999999992</v>
      </c>
      <c r="BI212">
        <v>1081.6500000000001</v>
      </c>
      <c r="BJ212">
        <v>1.56985</v>
      </c>
      <c r="BK212">
        <v>-426.47</v>
      </c>
      <c r="BL212">
        <v>384.25700000000001</v>
      </c>
      <c r="BM212">
        <v>800.20500000000004</v>
      </c>
      <c r="BN212">
        <v>27.567900000000002</v>
      </c>
      <c r="BO212">
        <v>800.06899999999996</v>
      </c>
      <c r="BP212">
        <v>0.170235</v>
      </c>
      <c r="BQ212">
        <v>2.7363499999999998</v>
      </c>
      <c r="BR212">
        <v>1.6793599999999999E-2</v>
      </c>
      <c r="BS212">
        <v>22.504999999999999</v>
      </c>
      <c r="BT212">
        <v>-41.0946</v>
      </c>
      <c r="BU212">
        <v>1800</v>
      </c>
      <c r="BV212">
        <v>0.91000899999999996</v>
      </c>
      <c r="BW212">
        <v>3.3997600000000003E-2</v>
      </c>
      <c r="BX212">
        <v>2.1998500000000001E-2</v>
      </c>
      <c r="BY212">
        <v>3.3994799999999999E-2</v>
      </c>
      <c r="BZ212">
        <v>26</v>
      </c>
      <c r="CA212">
        <v>33528.400000000001</v>
      </c>
      <c r="CB212">
        <v>1690376213.5999999</v>
      </c>
      <c r="CC212" t="s">
        <v>332</v>
      </c>
      <c r="CD212">
        <v>1690376213.5999999</v>
      </c>
      <c r="CE212">
        <v>1690376198.0999999</v>
      </c>
      <c r="CF212">
        <v>2</v>
      </c>
      <c r="CG212">
        <v>0.66900000000000004</v>
      </c>
      <c r="CH212">
        <v>-2.1000000000000001E-2</v>
      </c>
      <c r="CI212">
        <v>-0.70099999999999996</v>
      </c>
      <c r="CJ212">
        <v>0.21099999999999999</v>
      </c>
      <c r="CK212">
        <v>799</v>
      </c>
      <c r="CL212">
        <v>21</v>
      </c>
      <c r="CM212">
        <v>0.11</v>
      </c>
      <c r="CN212">
        <v>0.17</v>
      </c>
      <c r="CO212">
        <v>-426.01841463414632</v>
      </c>
      <c r="CP212">
        <v>-2.0921184668994681</v>
      </c>
      <c r="CQ212">
        <v>0.2111284403447943</v>
      </c>
      <c r="CR212">
        <v>-1</v>
      </c>
      <c r="CS212">
        <v>27.553714634146338</v>
      </c>
      <c r="CT212">
        <v>0.1125993031359173</v>
      </c>
      <c r="CU212">
        <v>1.123792709328344E-2</v>
      </c>
      <c r="CV212">
        <v>-1</v>
      </c>
      <c r="CW212">
        <v>0</v>
      </c>
      <c r="CX212">
        <v>0</v>
      </c>
      <c r="CY212" t="s">
        <v>333</v>
      </c>
      <c r="CZ212">
        <v>2.3647300000000002</v>
      </c>
      <c r="DA212">
        <v>2.7137699999999998</v>
      </c>
      <c r="DB212">
        <v>8.4717000000000001E-2</v>
      </c>
      <c r="DC212">
        <v>0.14552100000000001</v>
      </c>
      <c r="DD212">
        <v>0.125585</v>
      </c>
      <c r="DE212">
        <v>1.4282699999999999E-3</v>
      </c>
      <c r="DF212">
        <v>33431.5</v>
      </c>
      <c r="DG212">
        <v>27539.9</v>
      </c>
      <c r="DH212">
        <v>31180.5</v>
      </c>
      <c r="DI212">
        <v>28083.1</v>
      </c>
      <c r="DJ212">
        <v>37001.699999999997</v>
      </c>
      <c r="DK212">
        <v>39873.699999999997</v>
      </c>
      <c r="DL212">
        <v>44372</v>
      </c>
      <c r="DM212">
        <v>42552.6</v>
      </c>
      <c r="DN212">
        <v>1.4491499999999999</v>
      </c>
      <c r="DO212">
        <v>2.0430799999999998</v>
      </c>
      <c r="DP212">
        <v>8.9183399999999996E-2</v>
      </c>
      <c r="DQ212">
        <v>0.187024</v>
      </c>
      <c r="DR212">
        <v>25.536899999999999</v>
      </c>
      <c r="DS212">
        <v>25.528300000000002</v>
      </c>
      <c r="DT212">
        <v>25.1</v>
      </c>
      <c r="DU212">
        <v>27.7</v>
      </c>
      <c r="DV212">
        <v>9.4868299999999994</v>
      </c>
      <c r="DW212">
        <v>61.058399999999999</v>
      </c>
      <c r="DX212">
        <v>37.472000000000001</v>
      </c>
      <c r="DY212">
        <v>1</v>
      </c>
      <c r="DZ212">
        <v>-0.13082099999999999</v>
      </c>
      <c r="EA212">
        <v>-0.46959699999999999</v>
      </c>
      <c r="EB212">
        <v>20.1892</v>
      </c>
      <c r="EC212">
        <v>5.2411000000000003</v>
      </c>
      <c r="ED212">
        <v>12.039899999999999</v>
      </c>
      <c r="EE212">
        <v>5.0174000000000003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1.8688499999999999</v>
      </c>
      <c r="EL212">
        <v>1.8645499999999999</v>
      </c>
      <c r="EM212">
        <v>1.8691800000000001</v>
      </c>
      <c r="EN212">
        <v>1.86721</v>
      </c>
      <c r="EO212">
        <v>1.86328</v>
      </c>
      <c r="EP212">
        <v>1.86435</v>
      </c>
      <c r="EQ212">
        <v>1.87012</v>
      </c>
      <c r="ER212">
        <v>1.8693500000000001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-0.4</v>
      </c>
      <c r="FG212">
        <v>0.2112</v>
      </c>
      <c r="FH212">
        <v>-0.150361779349652</v>
      </c>
      <c r="FI212">
        <v>-6.1462078757559423E-4</v>
      </c>
      <c r="FJ212">
        <v>-1.8861989874597051E-7</v>
      </c>
      <c r="FK212">
        <v>1.1980462299894961E-10</v>
      </c>
      <c r="FL212">
        <v>0.21114761904761539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41.7</v>
      </c>
      <c r="FU212">
        <v>42</v>
      </c>
      <c r="FV212">
        <v>1.7663599999999999</v>
      </c>
      <c r="FW212">
        <v>2.5683600000000002</v>
      </c>
      <c r="FX212">
        <v>1.5490699999999999</v>
      </c>
      <c r="FY212">
        <v>2.33765</v>
      </c>
      <c r="FZ212">
        <v>1.50146</v>
      </c>
      <c r="GA212">
        <v>2.3779300000000001</v>
      </c>
      <c r="GB212">
        <v>32.487499999999997</v>
      </c>
      <c r="GC212">
        <v>23.991199999999999</v>
      </c>
      <c r="GD212">
        <v>19</v>
      </c>
      <c r="GE212">
        <v>269.55700000000002</v>
      </c>
      <c r="GF212">
        <v>583.12800000000004</v>
      </c>
      <c r="GG212">
        <v>25.811499999999999</v>
      </c>
      <c r="GH212">
        <v>25.7881</v>
      </c>
      <c r="GI212">
        <v>30.0002</v>
      </c>
      <c r="GJ212">
        <v>25.883700000000001</v>
      </c>
      <c r="GK212">
        <v>25.848800000000001</v>
      </c>
      <c r="GL212">
        <v>35.303699999999999</v>
      </c>
      <c r="GM212">
        <v>100</v>
      </c>
      <c r="GN212">
        <v>0</v>
      </c>
      <c r="GO212">
        <v>25.8093</v>
      </c>
      <c r="GP212">
        <v>800</v>
      </c>
      <c r="GQ212">
        <v>0</v>
      </c>
      <c r="GR212">
        <v>99.763199999999998</v>
      </c>
      <c r="GS212">
        <v>99.556200000000004</v>
      </c>
    </row>
    <row r="213" spans="1:201" x14ac:dyDescent="0.25">
      <c r="A213">
        <v>197</v>
      </c>
      <c r="B213">
        <v>1690378726.0999999</v>
      </c>
      <c r="C213">
        <v>2009.599999904633</v>
      </c>
      <c r="D213" t="s">
        <v>727</v>
      </c>
      <c r="E213" t="s">
        <v>728</v>
      </c>
      <c r="F213" t="s">
        <v>330</v>
      </c>
      <c r="H213">
        <v>1690378726.0999999</v>
      </c>
      <c r="I213">
        <f t="shared" si="90"/>
        <v>2.4664961339569275E-3</v>
      </c>
      <c r="J213">
        <f t="shared" si="91"/>
        <v>2.4664961339569276</v>
      </c>
      <c r="K213">
        <f t="shared" si="92"/>
        <v>36.188746737575507</v>
      </c>
      <c r="L213">
        <f t="shared" si="93"/>
        <v>373.29</v>
      </c>
      <c r="M213">
        <f t="shared" si="94"/>
        <v>84.621401417383723</v>
      </c>
      <c r="N213">
        <f t="shared" si="95"/>
        <v>8.3565288755792562</v>
      </c>
      <c r="O213">
        <f t="shared" si="96"/>
        <v>36.863117505924002</v>
      </c>
      <c r="P213">
        <f t="shared" si="97"/>
        <v>0.21400922999900651</v>
      </c>
      <c r="Q213">
        <f t="shared" si="98"/>
        <v>2.006334376815464</v>
      </c>
      <c r="R213">
        <f t="shared" si="99"/>
        <v>0.20208784472520658</v>
      </c>
      <c r="S213">
        <f t="shared" si="100"/>
        <v>0.12732062049243689</v>
      </c>
      <c r="T213">
        <f t="shared" si="101"/>
        <v>276.114987864</v>
      </c>
      <c r="U213">
        <f t="shared" si="102"/>
        <v>28.48921952027117</v>
      </c>
      <c r="V213">
        <f t="shared" si="103"/>
        <v>28.48921952027117</v>
      </c>
      <c r="W213">
        <f t="shared" si="104"/>
        <v>3.9044237424447354</v>
      </c>
      <c r="X213">
        <f t="shared" si="105"/>
        <v>76.131183409901666</v>
      </c>
      <c r="Y213">
        <f t="shared" si="106"/>
        <v>2.7396952546019202</v>
      </c>
      <c r="Z213">
        <f t="shared" si="107"/>
        <v>3.5986505553854213</v>
      </c>
      <c r="AA213">
        <f t="shared" si="108"/>
        <v>1.1647284878428152</v>
      </c>
      <c r="AB213">
        <f t="shared" si="109"/>
        <v>-108.77247950750051</v>
      </c>
      <c r="AC213">
        <f t="shared" si="110"/>
        <v>-151.0768637654501</v>
      </c>
      <c r="AD213">
        <f t="shared" si="111"/>
        <v>-16.379555058123607</v>
      </c>
      <c r="AE213">
        <f t="shared" si="112"/>
        <v>-0.11391046707424834</v>
      </c>
      <c r="AF213">
        <v>8</v>
      </c>
      <c r="AG213">
        <v>3</v>
      </c>
      <c r="AH213">
        <f t="shared" si="113"/>
        <v>1</v>
      </c>
      <c r="AI213">
        <f t="shared" si="114"/>
        <v>0</v>
      </c>
      <c r="AJ213">
        <f t="shared" si="115"/>
        <v>52101.385831090694</v>
      </c>
      <c r="AK213">
        <f t="shared" si="116"/>
        <v>1800</v>
      </c>
      <c r="AL213">
        <f t="shared" si="117"/>
        <v>1499.1142014</v>
      </c>
      <c r="AM213">
        <f t="shared" si="118"/>
        <v>0.83284122299999996</v>
      </c>
      <c r="AN213">
        <f t="shared" si="119"/>
        <v>0.15339721548000002</v>
      </c>
      <c r="AO213">
        <v>34.5</v>
      </c>
      <c r="AP213">
        <v>0.5</v>
      </c>
      <c r="AQ213" t="s">
        <v>331</v>
      </c>
      <c r="AR213">
        <v>2</v>
      </c>
      <c r="AS213">
        <v>1690378726.0999999</v>
      </c>
      <c r="AT213">
        <v>373.29</v>
      </c>
      <c r="AU213">
        <v>799.98199999999997</v>
      </c>
      <c r="AV213">
        <v>27.743200000000002</v>
      </c>
      <c r="AW213">
        <v>0.169742</v>
      </c>
      <c r="AX213">
        <v>373.69</v>
      </c>
      <c r="AY213">
        <v>27.532</v>
      </c>
      <c r="AZ213">
        <v>300.04700000000003</v>
      </c>
      <c r="BA213">
        <v>98.652000000000001</v>
      </c>
      <c r="BB213">
        <v>9.9955600000000006E-2</v>
      </c>
      <c r="BC213">
        <v>27.092500000000001</v>
      </c>
      <c r="BD213">
        <v>27.005800000000001</v>
      </c>
      <c r="BE213">
        <v>28.569099999999999</v>
      </c>
      <c r="BF213">
        <v>0</v>
      </c>
      <c r="BG213">
        <v>0</v>
      </c>
      <c r="BH213">
        <v>9990.6200000000008</v>
      </c>
      <c r="BI213">
        <v>1081.68</v>
      </c>
      <c r="BJ213">
        <v>1.68198</v>
      </c>
      <c r="BK213">
        <v>-426.69200000000001</v>
      </c>
      <c r="BL213">
        <v>383.94200000000001</v>
      </c>
      <c r="BM213">
        <v>800.11800000000005</v>
      </c>
      <c r="BN213">
        <v>27.573399999999999</v>
      </c>
      <c r="BO213">
        <v>799.98199999999997</v>
      </c>
      <c r="BP213">
        <v>0.169742</v>
      </c>
      <c r="BQ213">
        <v>2.73692</v>
      </c>
      <c r="BR213">
        <v>1.6745300000000001E-2</v>
      </c>
      <c r="BS213">
        <v>22.508500000000002</v>
      </c>
      <c r="BT213">
        <v>-41.1218</v>
      </c>
      <c r="BU213">
        <v>1800</v>
      </c>
      <c r="BV213">
        <v>0.91001200000000004</v>
      </c>
      <c r="BW213">
        <v>3.3996600000000002E-2</v>
      </c>
      <c r="BX213">
        <v>2.1997900000000001E-2</v>
      </c>
      <c r="BY213">
        <v>3.3993799999999998E-2</v>
      </c>
      <c r="BZ213">
        <v>26</v>
      </c>
      <c r="CA213">
        <v>33528.5</v>
      </c>
      <c r="CB213">
        <v>1690376213.5999999</v>
      </c>
      <c r="CC213" t="s">
        <v>332</v>
      </c>
      <c r="CD213">
        <v>1690376213.5999999</v>
      </c>
      <c r="CE213">
        <v>1690376198.0999999</v>
      </c>
      <c r="CF213">
        <v>2</v>
      </c>
      <c r="CG213">
        <v>0.66900000000000004</v>
      </c>
      <c r="CH213">
        <v>-2.1000000000000001E-2</v>
      </c>
      <c r="CI213">
        <v>-0.70099999999999996</v>
      </c>
      <c r="CJ213">
        <v>0.21099999999999999</v>
      </c>
      <c r="CK213">
        <v>799</v>
      </c>
      <c r="CL213">
        <v>21</v>
      </c>
      <c r="CM213">
        <v>0.11</v>
      </c>
      <c r="CN213">
        <v>0.17</v>
      </c>
      <c r="CO213">
        <v>-426.36395121951222</v>
      </c>
      <c r="CP213">
        <v>-2.0142229965162022</v>
      </c>
      <c r="CQ213">
        <v>0.20171036361871561</v>
      </c>
      <c r="CR213">
        <v>-1</v>
      </c>
      <c r="CS213">
        <v>27.566046341463419</v>
      </c>
      <c r="CT213">
        <v>3.7609756097489129E-2</v>
      </c>
      <c r="CU213">
        <v>4.4534501594186166E-3</v>
      </c>
      <c r="CV213">
        <v>-1</v>
      </c>
      <c r="CW213">
        <v>0</v>
      </c>
      <c r="CX213">
        <v>0</v>
      </c>
      <c r="CY213" t="s">
        <v>333</v>
      </c>
      <c r="CZ213">
        <v>2.3647300000000002</v>
      </c>
      <c r="DA213">
        <v>2.71374</v>
      </c>
      <c r="DB213">
        <v>8.4664600000000007E-2</v>
      </c>
      <c r="DC213">
        <v>0.145514</v>
      </c>
      <c r="DD213">
        <v>0.12560299999999999</v>
      </c>
      <c r="DE213">
        <v>1.4242E-3</v>
      </c>
      <c r="DF213">
        <v>33433.1</v>
      </c>
      <c r="DG213">
        <v>27540.1</v>
      </c>
      <c r="DH213">
        <v>31180.2</v>
      </c>
      <c r="DI213">
        <v>28083.1</v>
      </c>
      <c r="DJ213">
        <v>37000.6</v>
      </c>
      <c r="DK213">
        <v>39873.9</v>
      </c>
      <c r="DL213">
        <v>44371.7</v>
      </c>
      <c r="DM213">
        <v>42552.6</v>
      </c>
      <c r="DN213">
        <v>1.4493199999999999</v>
      </c>
      <c r="DO213">
        <v>2.0432000000000001</v>
      </c>
      <c r="DP213">
        <v>8.9582099999999998E-2</v>
      </c>
      <c r="DQ213">
        <v>0.18582099999999999</v>
      </c>
      <c r="DR213">
        <v>25.539000000000001</v>
      </c>
      <c r="DS213">
        <v>25.5304</v>
      </c>
      <c r="DT213">
        <v>25.1</v>
      </c>
      <c r="DU213">
        <v>27.7</v>
      </c>
      <c r="DV213">
        <v>9.4870199999999993</v>
      </c>
      <c r="DW213">
        <v>60.748399999999997</v>
      </c>
      <c r="DX213">
        <v>37.580100000000002</v>
      </c>
      <c r="DY213">
        <v>1</v>
      </c>
      <c r="DZ213">
        <v>-0.130854</v>
      </c>
      <c r="EA213">
        <v>-0.46444400000000002</v>
      </c>
      <c r="EB213">
        <v>20.1891</v>
      </c>
      <c r="EC213">
        <v>5.2411000000000003</v>
      </c>
      <c r="ED213">
        <v>12.039899999999999</v>
      </c>
      <c r="EE213">
        <v>5.0171999999999999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1.8688800000000001</v>
      </c>
      <c r="EL213">
        <v>1.8645799999999999</v>
      </c>
      <c r="EM213">
        <v>1.8691899999999999</v>
      </c>
      <c r="EN213">
        <v>1.86721</v>
      </c>
      <c r="EO213">
        <v>1.86328</v>
      </c>
      <c r="EP213">
        <v>1.8643400000000001</v>
      </c>
      <c r="EQ213">
        <v>1.87012</v>
      </c>
      <c r="ER213">
        <v>1.8693500000000001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-0.4</v>
      </c>
      <c r="FG213">
        <v>0.2112</v>
      </c>
      <c r="FH213">
        <v>-0.150361779349652</v>
      </c>
      <c r="FI213">
        <v>-6.1462078757559423E-4</v>
      </c>
      <c r="FJ213">
        <v>-1.8861989874597051E-7</v>
      </c>
      <c r="FK213">
        <v>1.1980462299894961E-10</v>
      </c>
      <c r="FL213">
        <v>0.21114761904761539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41.9</v>
      </c>
      <c r="FU213">
        <v>42.1</v>
      </c>
      <c r="FV213">
        <v>1.7663599999999999</v>
      </c>
      <c r="FW213">
        <v>2.5708000000000002</v>
      </c>
      <c r="FX213">
        <v>1.5490699999999999</v>
      </c>
      <c r="FY213">
        <v>2.33765</v>
      </c>
      <c r="FZ213">
        <v>1.50146</v>
      </c>
      <c r="GA213">
        <v>2.3913600000000002</v>
      </c>
      <c r="GB213">
        <v>32.487499999999997</v>
      </c>
      <c r="GC213">
        <v>23.991199999999999</v>
      </c>
      <c r="GD213">
        <v>19</v>
      </c>
      <c r="GE213">
        <v>269.62900000000002</v>
      </c>
      <c r="GF213">
        <v>583.24300000000005</v>
      </c>
      <c r="GG213">
        <v>25.806000000000001</v>
      </c>
      <c r="GH213">
        <v>25.788900000000002</v>
      </c>
      <c r="GI213">
        <v>30.0001</v>
      </c>
      <c r="GJ213">
        <v>25.883800000000001</v>
      </c>
      <c r="GK213">
        <v>25.85</v>
      </c>
      <c r="GL213">
        <v>35.306800000000003</v>
      </c>
      <c r="GM213">
        <v>100</v>
      </c>
      <c r="GN213">
        <v>0</v>
      </c>
      <c r="GO213">
        <v>25.799199999999999</v>
      </c>
      <c r="GP213">
        <v>800</v>
      </c>
      <c r="GQ213">
        <v>0</v>
      </c>
      <c r="GR213">
        <v>99.762500000000003</v>
      </c>
      <c r="GS213">
        <v>99.556299999999993</v>
      </c>
    </row>
    <row r="214" spans="1:201" x14ac:dyDescent="0.25">
      <c r="A214">
        <v>198</v>
      </c>
      <c r="B214">
        <v>1690378736.0999999</v>
      </c>
      <c r="C214">
        <v>2019.599999904633</v>
      </c>
      <c r="D214" t="s">
        <v>729</v>
      </c>
      <c r="E214" t="s">
        <v>730</v>
      </c>
      <c r="F214" t="s">
        <v>330</v>
      </c>
      <c r="H214">
        <v>1690378736.0999999</v>
      </c>
      <c r="I214">
        <f t="shared" si="90"/>
        <v>2.4681589993306957E-3</v>
      </c>
      <c r="J214">
        <f t="shared" si="91"/>
        <v>2.4681589993306958</v>
      </c>
      <c r="K214">
        <f t="shared" si="92"/>
        <v>36.217337163044824</v>
      </c>
      <c r="L214">
        <f t="shared" si="93"/>
        <v>372.96100000000001</v>
      </c>
      <c r="M214">
        <f t="shared" si="94"/>
        <v>85.294897855950438</v>
      </c>
      <c r="N214">
        <f t="shared" si="95"/>
        <v>8.4230957532706512</v>
      </c>
      <c r="O214">
        <f t="shared" si="96"/>
        <v>36.830880793609104</v>
      </c>
      <c r="P214">
        <f t="shared" si="97"/>
        <v>0.21495761067208574</v>
      </c>
      <c r="Q214">
        <f t="shared" si="98"/>
        <v>2.0092166769466604</v>
      </c>
      <c r="R214">
        <f t="shared" si="99"/>
        <v>0.2029497333792819</v>
      </c>
      <c r="S214">
        <f t="shared" si="100"/>
        <v>0.12786651293995865</v>
      </c>
      <c r="T214">
        <f t="shared" si="101"/>
        <v>276.11487108</v>
      </c>
      <c r="U214">
        <f t="shared" si="102"/>
        <v>28.478309626975012</v>
      </c>
      <c r="V214">
        <f t="shared" si="103"/>
        <v>28.478309626975012</v>
      </c>
      <c r="W214">
        <f t="shared" si="104"/>
        <v>3.9019501850647456</v>
      </c>
      <c r="X214">
        <f t="shared" si="105"/>
        <v>76.215821951277178</v>
      </c>
      <c r="Y214">
        <f t="shared" si="106"/>
        <v>2.7413730948560002</v>
      </c>
      <c r="Z214">
        <f t="shared" si="107"/>
        <v>3.5968556458112988</v>
      </c>
      <c r="AA214">
        <f t="shared" si="108"/>
        <v>1.1605770902087453</v>
      </c>
      <c r="AB214">
        <f t="shared" si="109"/>
        <v>-108.84581187048369</v>
      </c>
      <c r="AC214">
        <f t="shared" si="110"/>
        <v>-151.03285901498506</v>
      </c>
      <c r="AD214">
        <f t="shared" si="111"/>
        <v>-16.349710891672693</v>
      </c>
      <c r="AE214">
        <f t="shared" si="112"/>
        <v>-0.11351069714146433</v>
      </c>
      <c r="AF214">
        <v>8</v>
      </c>
      <c r="AG214">
        <v>3</v>
      </c>
      <c r="AH214">
        <f t="shared" si="113"/>
        <v>1</v>
      </c>
      <c r="AI214">
        <f t="shared" si="114"/>
        <v>0</v>
      </c>
      <c r="AJ214">
        <f t="shared" si="115"/>
        <v>52240.66505412144</v>
      </c>
      <c r="AK214">
        <f t="shared" si="116"/>
        <v>1800</v>
      </c>
      <c r="AL214">
        <f t="shared" si="117"/>
        <v>1499.113368</v>
      </c>
      <c r="AM214">
        <f t="shared" si="118"/>
        <v>0.83284075999999996</v>
      </c>
      <c r="AN214">
        <f t="shared" si="119"/>
        <v>0.1533971506</v>
      </c>
      <c r="AO214">
        <v>34.5</v>
      </c>
      <c r="AP214">
        <v>0.5</v>
      </c>
      <c r="AQ214" t="s">
        <v>331</v>
      </c>
      <c r="AR214">
        <v>2</v>
      </c>
      <c r="AS214">
        <v>1690378736.0999999</v>
      </c>
      <c r="AT214">
        <v>372.96100000000001</v>
      </c>
      <c r="AU214">
        <v>799.971</v>
      </c>
      <c r="AV214">
        <v>27.76</v>
      </c>
      <c r="AW214">
        <v>0.16898099999999999</v>
      </c>
      <c r="AX214">
        <v>373.36099999999999</v>
      </c>
      <c r="AY214">
        <v>27.5489</v>
      </c>
      <c r="AZ214">
        <v>300.053</v>
      </c>
      <c r="BA214">
        <v>98.652699999999996</v>
      </c>
      <c r="BB214">
        <v>9.9933099999999997E-2</v>
      </c>
      <c r="BC214">
        <v>27.084</v>
      </c>
      <c r="BD214">
        <v>27.008900000000001</v>
      </c>
      <c r="BE214">
        <v>28.5745</v>
      </c>
      <c r="BF214">
        <v>0</v>
      </c>
      <c r="BG214">
        <v>0</v>
      </c>
      <c r="BH214">
        <v>10018.1</v>
      </c>
      <c r="BI214">
        <v>1081.78</v>
      </c>
      <c r="BJ214">
        <v>1.68058</v>
      </c>
      <c r="BK214">
        <v>-427.01</v>
      </c>
      <c r="BL214">
        <v>383.61</v>
      </c>
      <c r="BM214">
        <v>800.10599999999999</v>
      </c>
      <c r="BN214">
        <v>27.591000000000001</v>
      </c>
      <c r="BO214">
        <v>799.971</v>
      </c>
      <c r="BP214">
        <v>0.16898099999999999</v>
      </c>
      <c r="BQ214">
        <v>2.7385999999999999</v>
      </c>
      <c r="BR214">
        <v>1.6670399999999998E-2</v>
      </c>
      <c r="BS214">
        <v>22.518599999999999</v>
      </c>
      <c r="BT214">
        <v>-41.164299999999997</v>
      </c>
      <c r="BU214">
        <v>1800</v>
      </c>
      <c r="BV214">
        <v>0.91001100000000001</v>
      </c>
      <c r="BW214">
        <v>3.3996800000000001E-2</v>
      </c>
      <c r="BX214">
        <v>2.1998E-2</v>
      </c>
      <c r="BY214">
        <v>3.3994000000000003E-2</v>
      </c>
      <c r="BZ214">
        <v>26</v>
      </c>
      <c r="CA214">
        <v>33528.5</v>
      </c>
      <c r="CB214">
        <v>1690376213.5999999</v>
      </c>
      <c r="CC214" t="s">
        <v>332</v>
      </c>
      <c r="CD214">
        <v>1690376213.5999999</v>
      </c>
      <c r="CE214">
        <v>1690376198.0999999</v>
      </c>
      <c r="CF214">
        <v>2</v>
      </c>
      <c r="CG214">
        <v>0.66900000000000004</v>
      </c>
      <c r="CH214">
        <v>-2.1000000000000001E-2</v>
      </c>
      <c r="CI214">
        <v>-0.70099999999999996</v>
      </c>
      <c r="CJ214">
        <v>0.21099999999999999</v>
      </c>
      <c r="CK214">
        <v>799</v>
      </c>
      <c r="CL214">
        <v>21</v>
      </c>
      <c r="CM214">
        <v>0.11</v>
      </c>
      <c r="CN214">
        <v>0.17</v>
      </c>
      <c r="CO214">
        <v>-426.73950000000002</v>
      </c>
      <c r="CP214">
        <v>-2.0753921200734262</v>
      </c>
      <c r="CQ214">
        <v>0.20682492596396651</v>
      </c>
      <c r="CR214">
        <v>-1</v>
      </c>
      <c r="CS214">
        <v>27.574707499999999</v>
      </c>
      <c r="CT214">
        <v>6.9191369605980116E-2</v>
      </c>
      <c r="CU214">
        <v>6.9022962664605711E-3</v>
      </c>
      <c r="CV214">
        <v>-1</v>
      </c>
      <c r="CW214">
        <v>0</v>
      </c>
      <c r="CX214">
        <v>0</v>
      </c>
      <c r="CY214" t="s">
        <v>333</v>
      </c>
      <c r="CZ214">
        <v>2.3647499999999999</v>
      </c>
      <c r="DA214">
        <v>2.71374</v>
      </c>
      <c r="DB214">
        <v>8.4607299999999996E-2</v>
      </c>
      <c r="DC214">
        <v>0.145514</v>
      </c>
      <c r="DD214">
        <v>0.12565699999999999</v>
      </c>
      <c r="DE214">
        <v>1.41789E-3</v>
      </c>
      <c r="DF214">
        <v>33435.199999999997</v>
      </c>
      <c r="DG214">
        <v>27539.9</v>
      </c>
      <c r="DH214">
        <v>31180.2</v>
      </c>
      <c r="DI214">
        <v>28082.9</v>
      </c>
      <c r="DJ214">
        <v>36998.300000000003</v>
      </c>
      <c r="DK214">
        <v>39873.800000000003</v>
      </c>
      <c r="DL214">
        <v>44371.7</v>
      </c>
      <c r="DM214">
        <v>42552.3</v>
      </c>
      <c r="DN214">
        <v>1.4491499999999999</v>
      </c>
      <c r="DO214">
        <v>2.0430299999999999</v>
      </c>
      <c r="DP214">
        <v>8.9772000000000005E-2</v>
      </c>
      <c r="DQ214">
        <v>0.18618599999999999</v>
      </c>
      <c r="DR214">
        <v>25.539000000000001</v>
      </c>
      <c r="DS214">
        <v>25.529800000000002</v>
      </c>
      <c r="DT214">
        <v>25</v>
      </c>
      <c r="DU214">
        <v>27.7</v>
      </c>
      <c r="DV214">
        <v>9.4494900000000008</v>
      </c>
      <c r="DW214">
        <v>60.648400000000002</v>
      </c>
      <c r="DX214">
        <v>37.572099999999999</v>
      </c>
      <c r="DY214">
        <v>1</v>
      </c>
      <c r="DZ214">
        <v>-0.130694</v>
      </c>
      <c r="EA214">
        <v>-0.44777499999999998</v>
      </c>
      <c r="EB214">
        <v>20.1892</v>
      </c>
      <c r="EC214">
        <v>5.2409499999999998</v>
      </c>
      <c r="ED214">
        <v>12.039899999999999</v>
      </c>
      <c r="EE214">
        <v>5.0172499999999998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1.86887</v>
      </c>
      <c r="EL214">
        <v>1.8645700000000001</v>
      </c>
      <c r="EM214">
        <v>1.8691899999999999</v>
      </c>
      <c r="EN214">
        <v>1.86721</v>
      </c>
      <c r="EO214">
        <v>1.86328</v>
      </c>
      <c r="EP214">
        <v>1.86432</v>
      </c>
      <c r="EQ214">
        <v>1.87012</v>
      </c>
      <c r="ER214">
        <v>1.86934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-0.4</v>
      </c>
      <c r="FG214">
        <v>0.21110000000000001</v>
      </c>
      <c r="FH214">
        <v>-0.150361779349652</v>
      </c>
      <c r="FI214">
        <v>-6.1462078757559423E-4</v>
      </c>
      <c r="FJ214">
        <v>-1.8861989874597051E-7</v>
      </c>
      <c r="FK214">
        <v>1.1980462299894961E-10</v>
      </c>
      <c r="FL214">
        <v>0.21114761904761539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42</v>
      </c>
      <c r="FU214">
        <v>42.3</v>
      </c>
      <c r="FV214">
        <v>1.7663599999999999</v>
      </c>
      <c r="FW214">
        <v>2.5720200000000002</v>
      </c>
      <c r="FX214">
        <v>1.5490699999999999</v>
      </c>
      <c r="FY214">
        <v>2.33887</v>
      </c>
      <c r="FZ214">
        <v>1.50146</v>
      </c>
      <c r="GA214">
        <v>2.34863</v>
      </c>
      <c r="GB214">
        <v>32.487499999999997</v>
      </c>
      <c r="GC214">
        <v>23.991199999999999</v>
      </c>
      <c r="GD214">
        <v>19</v>
      </c>
      <c r="GE214">
        <v>269.56599999999997</v>
      </c>
      <c r="GF214">
        <v>583.11099999999999</v>
      </c>
      <c r="GG214">
        <v>25.795999999999999</v>
      </c>
      <c r="GH214">
        <v>25.790299999999998</v>
      </c>
      <c r="GI214">
        <v>30</v>
      </c>
      <c r="GJ214">
        <v>25.885899999999999</v>
      </c>
      <c r="GK214">
        <v>25.850999999999999</v>
      </c>
      <c r="GL214">
        <v>35.305799999999998</v>
      </c>
      <c r="GM214">
        <v>100</v>
      </c>
      <c r="GN214">
        <v>0</v>
      </c>
      <c r="GO214">
        <v>25.793600000000001</v>
      </c>
      <c r="GP214">
        <v>800</v>
      </c>
      <c r="GQ214">
        <v>0</v>
      </c>
      <c r="GR214">
        <v>99.7624</v>
      </c>
      <c r="GS214">
        <v>99.555400000000006</v>
      </c>
    </row>
    <row r="215" spans="1:201" x14ac:dyDescent="0.25">
      <c r="A215">
        <v>199</v>
      </c>
      <c r="B215">
        <v>1690378746.0999999</v>
      </c>
      <c r="C215">
        <v>2029.599999904633</v>
      </c>
      <c r="D215" t="s">
        <v>731</v>
      </c>
      <c r="E215" t="s">
        <v>732</v>
      </c>
      <c r="F215" t="s">
        <v>330</v>
      </c>
      <c r="H215">
        <v>1690378746.0999999</v>
      </c>
      <c r="I215">
        <f t="shared" si="90"/>
        <v>2.4690098027844946E-3</v>
      </c>
      <c r="J215">
        <f t="shared" si="91"/>
        <v>2.4690098027844947</v>
      </c>
      <c r="K215">
        <f t="shared" si="92"/>
        <v>36.259035759076703</v>
      </c>
      <c r="L215">
        <f t="shared" si="93"/>
        <v>372.6</v>
      </c>
      <c r="M215">
        <f t="shared" si="94"/>
        <v>84.790496261526883</v>
      </c>
      <c r="N215">
        <f t="shared" si="95"/>
        <v>8.3732694969131103</v>
      </c>
      <c r="O215">
        <f t="shared" si="96"/>
        <v>36.795163987800009</v>
      </c>
      <c r="P215">
        <f t="shared" si="97"/>
        <v>0.21510728954872838</v>
      </c>
      <c r="Q215">
        <f t="shared" si="98"/>
        <v>2.0070591373129125</v>
      </c>
      <c r="R215">
        <f t="shared" si="99"/>
        <v>0.20307103677677479</v>
      </c>
      <c r="S215">
        <f t="shared" si="100"/>
        <v>0.12794465120242432</v>
      </c>
      <c r="T215">
        <f t="shared" si="101"/>
        <v>276.1134351539493</v>
      </c>
      <c r="U215">
        <f t="shared" si="102"/>
        <v>28.480735904505195</v>
      </c>
      <c r="V215">
        <f t="shared" si="103"/>
        <v>28.480735904505195</v>
      </c>
      <c r="W215">
        <f t="shared" si="104"/>
        <v>3.9025001672493431</v>
      </c>
      <c r="X215">
        <f t="shared" si="105"/>
        <v>76.233304376109459</v>
      </c>
      <c r="Y215">
        <f t="shared" si="106"/>
        <v>2.7422272416210998</v>
      </c>
      <c r="Z215">
        <f t="shared" si="107"/>
        <v>3.5971512242101875</v>
      </c>
      <c r="AA215">
        <f t="shared" si="108"/>
        <v>1.1602729256282434</v>
      </c>
      <c r="AB215">
        <f t="shared" si="109"/>
        <v>-108.88333230279621</v>
      </c>
      <c r="AC215">
        <f t="shared" si="110"/>
        <v>-150.9817246373735</v>
      </c>
      <c r="AD215">
        <f t="shared" si="111"/>
        <v>-16.362057388891863</v>
      </c>
      <c r="AE215">
        <f t="shared" si="112"/>
        <v>-0.11367917511225301</v>
      </c>
      <c r="AF215">
        <v>8</v>
      </c>
      <c r="AG215">
        <v>3</v>
      </c>
      <c r="AH215">
        <f t="shared" si="113"/>
        <v>1</v>
      </c>
      <c r="AI215">
        <f t="shared" si="114"/>
        <v>0</v>
      </c>
      <c r="AJ215">
        <f t="shared" si="115"/>
        <v>52137.248329196787</v>
      </c>
      <c r="AK215">
        <f t="shared" si="116"/>
        <v>1799.99</v>
      </c>
      <c r="AL215">
        <f t="shared" si="117"/>
        <v>1499.1054571900802</v>
      </c>
      <c r="AM215">
        <f t="shared" si="118"/>
        <v>0.83284099200000006</v>
      </c>
      <c r="AN215">
        <f t="shared" si="119"/>
        <v>0.15339720506999999</v>
      </c>
      <c r="AO215">
        <v>34.5</v>
      </c>
      <c r="AP215">
        <v>0.5</v>
      </c>
      <c r="AQ215" t="s">
        <v>331</v>
      </c>
      <c r="AR215">
        <v>2</v>
      </c>
      <c r="AS215">
        <v>1690378746.0999999</v>
      </c>
      <c r="AT215">
        <v>372.6</v>
      </c>
      <c r="AU215">
        <v>800.08</v>
      </c>
      <c r="AV215">
        <v>27.768699999999999</v>
      </c>
      <c r="AW215">
        <v>0.168601</v>
      </c>
      <c r="AX215">
        <v>373</v>
      </c>
      <c r="AY215">
        <v>27.557600000000001</v>
      </c>
      <c r="AZ215">
        <v>300.05500000000001</v>
      </c>
      <c r="BA215">
        <v>98.6524</v>
      </c>
      <c r="BB215">
        <v>0.100053</v>
      </c>
      <c r="BC215">
        <v>27.0854</v>
      </c>
      <c r="BD215">
        <v>27.002600000000001</v>
      </c>
      <c r="BE215">
        <v>28.571300000000001</v>
      </c>
      <c r="BF215">
        <v>0</v>
      </c>
      <c r="BG215">
        <v>0</v>
      </c>
      <c r="BH215">
        <v>9997.5</v>
      </c>
      <c r="BI215">
        <v>1081.8499999999999</v>
      </c>
      <c r="BJ215">
        <v>1.5684499999999999</v>
      </c>
      <c r="BK215">
        <v>-427.48</v>
      </c>
      <c r="BL215">
        <v>383.24200000000002</v>
      </c>
      <c r="BM215">
        <v>800.21500000000003</v>
      </c>
      <c r="BN215">
        <v>27.600100000000001</v>
      </c>
      <c r="BO215">
        <v>800.08</v>
      </c>
      <c r="BP215">
        <v>0.168601</v>
      </c>
      <c r="BQ215">
        <v>2.7394500000000002</v>
      </c>
      <c r="BR215">
        <v>1.6632899999999999E-2</v>
      </c>
      <c r="BS215">
        <v>22.523700000000002</v>
      </c>
      <c r="BT215">
        <v>-41.185600000000001</v>
      </c>
      <c r="BU215">
        <v>1799.99</v>
      </c>
      <c r="BV215">
        <v>0.91001100000000001</v>
      </c>
      <c r="BW215">
        <v>3.3996899999999997E-2</v>
      </c>
      <c r="BX215">
        <v>2.19981E-2</v>
      </c>
      <c r="BY215">
        <v>3.3994099999999999E-2</v>
      </c>
      <c r="BZ215">
        <v>26</v>
      </c>
      <c r="CA215">
        <v>33528.300000000003</v>
      </c>
      <c r="CB215">
        <v>1690376213.5999999</v>
      </c>
      <c r="CC215" t="s">
        <v>332</v>
      </c>
      <c r="CD215">
        <v>1690376213.5999999</v>
      </c>
      <c r="CE215">
        <v>1690376198.0999999</v>
      </c>
      <c r="CF215">
        <v>2</v>
      </c>
      <c r="CG215">
        <v>0.66900000000000004</v>
      </c>
      <c r="CH215">
        <v>-2.1000000000000001E-2</v>
      </c>
      <c r="CI215">
        <v>-0.70099999999999996</v>
      </c>
      <c r="CJ215">
        <v>0.21099999999999999</v>
      </c>
      <c r="CK215">
        <v>799</v>
      </c>
      <c r="CL215">
        <v>21</v>
      </c>
      <c r="CM215">
        <v>0.11</v>
      </c>
      <c r="CN215">
        <v>0.17</v>
      </c>
      <c r="CO215">
        <v>-427.07659999999998</v>
      </c>
      <c r="CP215">
        <v>-2.085073170730626</v>
      </c>
      <c r="CQ215">
        <v>0.209995928531958</v>
      </c>
      <c r="CR215">
        <v>-1</v>
      </c>
      <c r="CS215">
        <v>27.587399999999999</v>
      </c>
      <c r="CT215">
        <v>8.1305065665954107E-2</v>
      </c>
      <c r="CU215">
        <v>7.9389860813584932E-3</v>
      </c>
      <c r="CV215">
        <v>-1</v>
      </c>
      <c r="CW215">
        <v>0</v>
      </c>
      <c r="CX215">
        <v>0</v>
      </c>
      <c r="CY215" t="s">
        <v>333</v>
      </c>
      <c r="CZ215">
        <v>2.3647300000000002</v>
      </c>
      <c r="DA215">
        <v>2.7138399999999998</v>
      </c>
      <c r="DB215">
        <v>8.4543199999999999E-2</v>
      </c>
      <c r="DC215">
        <v>0.14552599999999999</v>
      </c>
      <c r="DD215">
        <v>0.12568399999999999</v>
      </c>
      <c r="DE215">
        <v>1.4147299999999999E-3</v>
      </c>
      <c r="DF215">
        <v>33437.300000000003</v>
      </c>
      <c r="DG215">
        <v>27539.3</v>
      </c>
      <c r="DH215">
        <v>31180</v>
      </c>
      <c r="DI215">
        <v>28082.7</v>
      </c>
      <c r="DJ215">
        <v>36996.9</v>
      </c>
      <c r="DK215">
        <v>39873.800000000003</v>
      </c>
      <c r="DL215">
        <v>44371.3</v>
      </c>
      <c r="DM215">
        <v>42552.1</v>
      </c>
      <c r="DN215">
        <v>1.4493499999999999</v>
      </c>
      <c r="DO215">
        <v>2.0430999999999999</v>
      </c>
      <c r="DP215">
        <v>8.95262E-2</v>
      </c>
      <c r="DQ215">
        <v>0.18609300000000001</v>
      </c>
      <c r="DR215">
        <v>25.536799999999999</v>
      </c>
      <c r="DS215">
        <v>25.528199999999998</v>
      </c>
      <c r="DT215">
        <v>25</v>
      </c>
      <c r="DU215">
        <v>27.7</v>
      </c>
      <c r="DV215">
        <v>9.4507600000000007</v>
      </c>
      <c r="DW215">
        <v>60.428400000000003</v>
      </c>
      <c r="DX215">
        <v>37.391800000000003</v>
      </c>
      <c r="DY215">
        <v>1</v>
      </c>
      <c r="DZ215">
        <v>-0.130297</v>
      </c>
      <c r="EA215">
        <v>-0.462198</v>
      </c>
      <c r="EB215">
        <v>20.1892</v>
      </c>
      <c r="EC215">
        <v>5.2411000000000003</v>
      </c>
      <c r="ED215">
        <v>12.039899999999999</v>
      </c>
      <c r="EE215">
        <v>5.0172999999999996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1.8688499999999999</v>
      </c>
      <c r="EL215">
        <v>1.8645700000000001</v>
      </c>
      <c r="EM215">
        <v>1.8691899999999999</v>
      </c>
      <c r="EN215">
        <v>1.8672200000000001</v>
      </c>
      <c r="EO215">
        <v>1.86328</v>
      </c>
      <c r="EP215">
        <v>1.86436</v>
      </c>
      <c r="EQ215">
        <v>1.87012</v>
      </c>
      <c r="ER215">
        <v>1.8693500000000001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-0.4</v>
      </c>
      <c r="FG215">
        <v>0.21110000000000001</v>
      </c>
      <c r="FH215">
        <v>-0.150361779349652</v>
      </c>
      <c r="FI215">
        <v>-6.1462078757559423E-4</v>
      </c>
      <c r="FJ215">
        <v>-1.8861989874597051E-7</v>
      </c>
      <c r="FK215">
        <v>1.1980462299894961E-10</v>
      </c>
      <c r="FL215">
        <v>0.21114761904761539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42.2</v>
      </c>
      <c r="FU215">
        <v>42.5</v>
      </c>
      <c r="FV215">
        <v>1.7651399999999999</v>
      </c>
      <c r="FW215">
        <v>2.5659200000000002</v>
      </c>
      <c r="FX215">
        <v>1.5490699999999999</v>
      </c>
      <c r="FY215">
        <v>2.33765</v>
      </c>
      <c r="FZ215">
        <v>1.50146</v>
      </c>
      <c r="GA215">
        <v>2.34619</v>
      </c>
      <c r="GB215">
        <v>32.487499999999997</v>
      </c>
      <c r="GC215">
        <v>23.991199999999999</v>
      </c>
      <c r="GD215">
        <v>19</v>
      </c>
      <c r="GE215">
        <v>269.65699999999998</v>
      </c>
      <c r="GF215">
        <v>583.197</v>
      </c>
      <c r="GG215">
        <v>25.790199999999999</v>
      </c>
      <c r="GH215">
        <v>25.7925</v>
      </c>
      <c r="GI215">
        <v>30.0002</v>
      </c>
      <c r="GJ215">
        <v>25.888100000000001</v>
      </c>
      <c r="GK215">
        <v>25.853100000000001</v>
      </c>
      <c r="GL215">
        <v>35.300199999999997</v>
      </c>
      <c r="GM215">
        <v>100</v>
      </c>
      <c r="GN215">
        <v>0</v>
      </c>
      <c r="GO215">
        <v>25.7912</v>
      </c>
      <c r="GP215">
        <v>800</v>
      </c>
      <c r="GQ215">
        <v>0</v>
      </c>
      <c r="GR215">
        <v>99.761700000000005</v>
      </c>
      <c r="GS215">
        <v>99.554900000000004</v>
      </c>
    </row>
    <row r="216" spans="1:201" x14ac:dyDescent="0.25">
      <c r="A216">
        <v>200</v>
      </c>
      <c r="B216">
        <v>1690378756.0999999</v>
      </c>
      <c r="C216">
        <v>2039.599999904633</v>
      </c>
      <c r="D216" t="s">
        <v>733</v>
      </c>
      <c r="E216" t="s">
        <v>734</v>
      </c>
      <c r="F216" t="s">
        <v>330</v>
      </c>
      <c r="H216">
        <v>1690378756.0999999</v>
      </c>
      <c r="I216">
        <f t="shared" si="90"/>
        <v>2.4700923159959223E-3</v>
      </c>
      <c r="J216">
        <f t="shared" si="91"/>
        <v>2.470092315995922</v>
      </c>
      <c r="K216">
        <f t="shared" si="92"/>
        <v>36.280474754811713</v>
      </c>
      <c r="L216">
        <f t="shared" si="93"/>
        <v>372.31099999999998</v>
      </c>
      <c r="M216">
        <f t="shared" si="94"/>
        <v>84.872631515559149</v>
      </c>
      <c r="N216">
        <f t="shared" si="95"/>
        <v>8.3813043475907367</v>
      </c>
      <c r="O216">
        <f t="shared" si="96"/>
        <v>36.766290230836098</v>
      </c>
      <c r="P216">
        <f t="shared" si="97"/>
        <v>0.21553478252629368</v>
      </c>
      <c r="Q216">
        <f t="shared" si="98"/>
        <v>2.0063301330198531</v>
      </c>
      <c r="R216">
        <f t="shared" si="99"/>
        <v>0.20344795824731765</v>
      </c>
      <c r="S216">
        <f t="shared" si="100"/>
        <v>0.12818440988475416</v>
      </c>
      <c r="T216">
        <f t="shared" si="101"/>
        <v>276.11488981800005</v>
      </c>
      <c r="U216">
        <f t="shared" si="102"/>
        <v>28.477511787131174</v>
      </c>
      <c r="V216">
        <f t="shared" si="103"/>
        <v>28.477511787131174</v>
      </c>
      <c r="W216">
        <f t="shared" si="104"/>
        <v>3.9017693476066038</v>
      </c>
      <c r="X216">
        <f t="shared" si="105"/>
        <v>76.273738326149243</v>
      </c>
      <c r="Y216">
        <f t="shared" si="106"/>
        <v>2.7431503230343299</v>
      </c>
      <c r="Z216">
        <f t="shared" si="107"/>
        <v>3.5964545376083716</v>
      </c>
      <c r="AA216">
        <f t="shared" si="108"/>
        <v>1.1586190245722738</v>
      </c>
      <c r="AB216">
        <f t="shared" si="109"/>
        <v>-108.93107113542017</v>
      </c>
      <c r="AC216">
        <f t="shared" si="110"/>
        <v>-150.93509289953604</v>
      </c>
      <c r="AD216">
        <f t="shared" si="111"/>
        <v>-16.362414845468304</v>
      </c>
      <c r="AE216">
        <f t="shared" si="112"/>
        <v>-0.11368906242446997</v>
      </c>
      <c r="AF216">
        <v>8</v>
      </c>
      <c r="AG216">
        <v>3</v>
      </c>
      <c r="AH216">
        <f t="shared" si="113"/>
        <v>1</v>
      </c>
      <c r="AI216">
        <f t="shared" si="114"/>
        <v>0</v>
      </c>
      <c r="AJ216">
        <f t="shared" si="115"/>
        <v>52102.980257751369</v>
      </c>
      <c r="AK216">
        <f t="shared" si="116"/>
        <v>1800</v>
      </c>
      <c r="AL216">
        <f t="shared" si="117"/>
        <v>1499.1137838</v>
      </c>
      <c r="AM216">
        <f t="shared" si="118"/>
        <v>0.83284099099999997</v>
      </c>
      <c r="AN216">
        <f t="shared" si="119"/>
        <v>0.15339716101000003</v>
      </c>
      <c r="AO216">
        <v>34.5</v>
      </c>
      <c r="AP216">
        <v>0.5</v>
      </c>
      <c r="AQ216" t="s">
        <v>331</v>
      </c>
      <c r="AR216">
        <v>2</v>
      </c>
      <c r="AS216">
        <v>1690378756.0999999</v>
      </c>
      <c r="AT216">
        <v>372.31099999999998</v>
      </c>
      <c r="AU216">
        <v>800.00400000000002</v>
      </c>
      <c r="AV216">
        <v>27.778300000000002</v>
      </c>
      <c r="AW216">
        <v>0.16830500000000001</v>
      </c>
      <c r="AX216">
        <v>372.71100000000001</v>
      </c>
      <c r="AY216">
        <v>27.5671</v>
      </c>
      <c r="AZ216">
        <v>300.07600000000002</v>
      </c>
      <c r="BA216">
        <v>98.651600000000002</v>
      </c>
      <c r="BB216">
        <v>9.9955100000000005E-2</v>
      </c>
      <c r="BC216">
        <v>27.082100000000001</v>
      </c>
      <c r="BD216">
        <v>26.995200000000001</v>
      </c>
      <c r="BE216">
        <v>28.557600000000001</v>
      </c>
      <c r="BF216">
        <v>0</v>
      </c>
      <c r="BG216">
        <v>0</v>
      </c>
      <c r="BH216">
        <v>9990.6200000000008</v>
      </c>
      <c r="BI216">
        <v>1081.82</v>
      </c>
      <c r="BJ216">
        <v>1.55724</v>
      </c>
      <c r="BK216">
        <v>-427.69200000000001</v>
      </c>
      <c r="BL216">
        <v>382.94900000000001</v>
      </c>
      <c r="BM216">
        <v>800.13800000000003</v>
      </c>
      <c r="BN216">
        <v>27.61</v>
      </c>
      <c r="BO216">
        <v>800.00400000000002</v>
      </c>
      <c r="BP216">
        <v>0.16830500000000001</v>
      </c>
      <c r="BQ216">
        <v>2.74037</v>
      </c>
      <c r="BR216">
        <v>1.66035E-2</v>
      </c>
      <c r="BS216">
        <v>22.529199999999999</v>
      </c>
      <c r="BT216">
        <v>-41.202300000000001</v>
      </c>
      <c r="BU216">
        <v>1800</v>
      </c>
      <c r="BV216">
        <v>0.91001200000000004</v>
      </c>
      <c r="BW216">
        <v>3.3996499999999999E-2</v>
      </c>
      <c r="BX216">
        <v>2.1997800000000001E-2</v>
      </c>
      <c r="BY216">
        <v>3.3993700000000002E-2</v>
      </c>
      <c r="BZ216">
        <v>26</v>
      </c>
      <c r="CA216">
        <v>33528.5</v>
      </c>
      <c r="CB216">
        <v>1690376213.5999999</v>
      </c>
      <c r="CC216" t="s">
        <v>332</v>
      </c>
      <c r="CD216">
        <v>1690376213.5999999</v>
      </c>
      <c r="CE216">
        <v>1690376198.0999999</v>
      </c>
      <c r="CF216">
        <v>2</v>
      </c>
      <c r="CG216">
        <v>0.66900000000000004</v>
      </c>
      <c r="CH216">
        <v>-2.1000000000000001E-2</v>
      </c>
      <c r="CI216">
        <v>-0.70099999999999996</v>
      </c>
      <c r="CJ216">
        <v>0.21099999999999999</v>
      </c>
      <c r="CK216">
        <v>799</v>
      </c>
      <c r="CL216">
        <v>21</v>
      </c>
      <c r="CM216">
        <v>0.11</v>
      </c>
      <c r="CN216">
        <v>0.17</v>
      </c>
      <c r="CO216">
        <v>-427.39677499999999</v>
      </c>
      <c r="CP216">
        <v>-2.069099437147873</v>
      </c>
      <c r="CQ216">
        <v>0.20483548124043741</v>
      </c>
      <c r="CR216">
        <v>-1</v>
      </c>
      <c r="CS216">
        <v>27.599329999999998</v>
      </c>
      <c r="CT216">
        <v>5.980187617260431E-2</v>
      </c>
      <c r="CU216">
        <v>5.7820065721165001E-3</v>
      </c>
      <c r="CV216">
        <v>-1</v>
      </c>
      <c r="CW216">
        <v>0</v>
      </c>
      <c r="CX216">
        <v>0</v>
      </c>
      <c r="CY216" t="s">
        <v>333</v>
      </c>
      <c r="CZ216">
        <v>2.3648099999999999</v>
      </c>
      <c r="DA216">
        <v>2.71374</v>
      </c>
      <c r="DB216">
        <v>8.4491399999999994E-2</v>
      </c>
      <c r="DC216">
        <v>0.14551500000000001</v>
      </c>
      <c r="DD216">
        <v>0.12571199999999999</v>
      </c>
      <c r="DE216">
        <v>1.4122500000000001E-3</v>
      </c>
      <c r="DF216">
        <v>33439.699999999997</v>
      </c>
      <c r="DG216">
        <v>27539.8</v>
      </c>
      <c r="DH216">
        <v>31180.5</v>
      </c>
      <c r="DI216">
        <v>28082.9</v>
      </c>
      <c r="DJ216">
        <v>36996.199999999997</v>
      </c>
      <c r="DK216">
        <v>39874.1</v>
      </c>
      <c r="DL216">
        <v>44372</v>
      </c>
      <c r="DM216">
        <v>42552.3</v>
      </c>
      <c r="DN216">
        <v>1.4494499999999999</v>
      </c>
      <c r="DO216">
        <v>2.0429499999999998</v>
      </c>
      <c r="DP216">
        <v>8.9269100000000004E-2</v>
      </c>
      <c r="DQ216">
        <v>0.18551599999999999</v>
      </c>
      <c r="DR216">
        <v>25.5336</v>
      </c>
      <c r="DS216">
        <v>25.523900000000001</v>
      </c>
      <c r="DT216">
        <v>25</v>
      </c>
      <c r="DU216">
        <v>27.7</v>
      </c>
      <c r="DV216">
        <v>9.4498499999999996</v>
      </c>
      <c r="DW216">
        <v>61.348399999999998</v>
      </c>
      <c r="DX216">
        <v>37.379800000000003</v>
      </c>
      <c r="DY216">
        <v>1</v>
      </c>
      <c r="DZ216">
        <v>-0.13005800000000001</v>
      </c>
      <c r="EA216">
        <v>-0.51732299999999998</v>
      </c>
      <c r="EB216">
        <v>20.188800000000001</v>
      </c>
      <c r="EC216">
        <v>5.2411000000000003</v>
      </c>
      <c r="ED216">
        <v>12.039899999999999</v>
      </c>
      <c r="EE216">
        <v>5.0171999999999999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1.8688499999999999</v>
      </c>
      <c r="EL216">
        <v>1.86452</v>
      </c>
      <c r="EM216">
        <v>1.8691899999999999</v>
      </c>
      <c r="EN216">
        <v>1.8672200000000001</v>
      </c>
      <c r="EO216">
        <v>1.8632899999999999</v>
      </c>
      <c r="EP216">
        <v>1.8643400000000001</v>
      </c>
      <c r="EQ216">
        <v>1.8701099999999999</v>
      </c>
      <c r="ER216">
        <v>1.8693500000000001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-0.4</v>
      </c>
      <c r="FG216">
        <v>0.2112</v>
      </c>
      <c r="FH216">
        <v>-0.150361779349652</v>
      </c>
      <c r="FI216">
        <v>-6.1462078757559423E-4</v>
      </c>
      <c r="FJ216">
        <v>-1.8861989874597051E-7</v>
      </c>
      <c r="FK216">
        <v>1.1980462299894961E-10</v>
      </c>
      <c r="FL216">
        <v>0.21114761904761539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42.4</v>
      </c>
      <c r="FU216">
        <v>42.6</v>
      </c>
      <c r="FV216">
        <v>1.7663599999999999</v>
      </c>
      <c r="FW216">
        <v>2.5732400000000002</v>
      </c>
      <c r="FX216">
        <v>1.5490699999999999</v>
      </c>
      <c r="FY216">
        <v>2.33765</v>
      </c>
      <c r="FZ216">
        <v>1.50146</v>
      </c>
      <c r="GA216">
        <v>2.3596200000000001</v>
      </c>
      <c r="GB216">
        <v>32.487499999999997</v>
      </c>
      <c r="GC216">
        <v>23.991199999999999</v>
      </c>
      <c r="GD216">
        <v>19</v>
      </c>
      <c r="GE216">
        <v>269.70100000000002</v>
      </c>
      <c r="GF216">
        <v>583.09199999999998</v>
      </c>
      <c r="GG216">
        <v>25.796900000000001</v>
      </c>
      <c r="GH216">
        <v>25.7943</v>
      </c>
      <c r="GI216">
        <v>30.0002</v>
      </c>
      <c r="GJ216">
        <v>25.8888</v>
      </c>
      <c r="GK216">
        <v>25.854800000000001</v>
      </c>
      <c r="GL216">
        <v>35.304699999999997</v>
      </c>
      <c r="GM216">
        <v>100</v>
      </c>
      <c r="GN216">
        <v>0</v>
      </c>
      <c r="GO216">
        <v>25.805800000000001</v>
      </c>
      <c r="GP216">
        <v>800</v>
      </c>
      <c r="GQ216">
        <v>0</v>
      </c>
      <c r="GR216">
        <v>99.763199999999998</v>
      </c>
      <c r="GS216">
        <v>99.555499999999995</v>
      </c>
    </row>
    <row r="217" spans="1:201" x14ac:dyDescent="0.25">
      <c r="A217">
        <v>201</v>
      </c>
      <c r="B217">
        <v>1690378766.0999999</v>
      </c>
      <c r="C217">
        <v>2049.599999904633</v>
      </c>
      <c r="D217" t="s">
        <v>735</v>
      </c>
      <c r="E217" t="s">
        <v>736</v>
      </c>
      <c r="F217" t="s">
        <v>330</v>
      </c>
      <c r="H217">
        <v>1690378766.0999999</v>
      </c>
      <c r="I217">
        <f t="shared" si="90"/>
        <v>2.4712663195194449E-3</v>
      </c>
      <c r="J217">
        <f t="shared" si="91"/>
        <v>2.4712663195194451</v>
      </c>
      <c r="K217">
        <f t="shared" si="92"/>
        <v>36.30235118014398</v>
      </c>
      <c r="L217">
        <f t="shared" si="93"/>
        <v>372.01499999999999</v>
      </c>
      <c r="M217">
        <f t="shared" si="94"/>
        <v>84.955851145701544</v>
      </c>
      <c r="N217">
        <f t="shared" si="95"/>
        <v>8.3896642832579733</v>
      </c>
      <c r="O217">
        <f t="shared" si="96"/>
        <v>36.737680998374998</v>
      </c>
      <c r="P217">
        <f t="shared" si="97"/>
        <v>0.2159482640644951</v>
      </c>
      <c r="Q217">
        <f t="shared" si="98"/>
        <v>2.010067849106782</v>
      </c>
      <c r="R217">
        <f t="shared" si="99"/>
        <v>0.20383762269781081</v>
      </c>
      <c r="S217">
        <f t="shared" si="100"/>
        <v>0.12842997571756781</v>
      </c>
      <c r="T217">
        <f t="shared" si="101"/>
        <v>276.11487108</v>
      </c>
      <c r="U217">
        <f t="shared" si="102"/>
        <v>28.475536143238287</v>
      </c>
      <c r="V217">
        <f t="shared" si="103"/>
        <v>28.475536143238287</v>
      </c>
      <c r="W217">
        <f t="shared" si="104"/>
        <v>3.9013215819044325</v>
      </c>
      <c r="X217">
        <f t="shared" si="105"/>
        <v>76.303571485892817</v>
      </c>
      <c r="Y217">
        <f t="shared" si="106"/>
        <v>2.7443521227500001</v>
      </c>
      <c r="Z217">
        <f t="shared" si="107"/>
        <v>3.5966234205136547</v>
      </c>
      <c r="AA217">
        <f t="shared" si="108"/>
        <v>1.1569694591544324</v>
      </c>
      <c r="AB217">
        <f t="shared" si="109"/>
        <v>-108.98284469080753</v>
      </c>
      <c r="AC217">
        <f t="shared" si="110"/>
        <v>-150.91549160341853</v>
      </c>
      <c r="AD217">
        <f t="shared" si="111"/>
        <v>-16.329771920361896</v>
      </c>
      <c r="AE217">
        <f t="shared" si="112"/>
        <v>-0.11323713458796192</v>
      </c>
      <c r="AF217">
        <v>8</v>
      </c>
      <c r="AG217">
        <v>3</v>
      </c>
      <c r="AH217">
        <f t="shared" si="113"/>
        <v>1</v>
      </c>
      <c r="AI217">
        <f t="shared" si="114"/>
        <v>0</v>
      </c>
      <c r="AJ217">
        <f t="shared" si="115"/>
        <v>52281.610587510455</v>
      </c>
      <c r="AK217">
        <f t="shared" si="116"/>
        <v>1800</v>
      </c>
      <c r="AL217">
        <f t="shared" si="117"/>
        <v>1499.113368</v>
      </c>
      <c r="AM217">
        <f t="shared" si="118"/>
        <v>0.83284075999999996</v>
      </c>
      <c r="AN217">
        <f t="shared" si="119"/>
        <v>0.1533971506</v>
      </c>
      <c r="AO217">
        <v>34.5</v>
      </c>
      <c r="AP217">
        <v>0.5</v>
      </c>
      <c r="AQ217" t="s">
        <v>331</v>
      </c>
      <c r="AR217">
        <v>2</v>
      </c>
      <c r="AS217">
        <v>1690378766.0999999</v>
      </c>
      <c r="AT217">
        <v>372.01499999999999</v>
      </c>
      <c r="AU217">
        <v>799.94899999999996</v>
      </c>
      <c r="AV217">
        <v>27.79</v>
      </c>
      <c r="AW217">
        <v>0.16767499999999999</v>
      </c>
      <c r="AX217">
        <v>372.41399999999999</v>
      </c>
      <c r="AY217">
        <v>27.578800000000001</v>
      </c>
      <c r="AZ217">
        <v>300.08100000000002</v>
      </c>
      <c r="BA217">
        <v>98.653199999999998</v>
      </c>
      <c r="BB217">
        <v>0.100025</v>
      </c>
      <c r="BC217">
        <v>27.082899999999999</v>
      </c>
      <c r="BD217">
        <v>27</v>
      </c>
      <c r="BE217">
        <v>28.566700000000001</v>
      </c>
      <c r="BF217">
        <v>0</v>
      </c>
      <c r="BG217">
        <v>0</v>
      </c>
      <c r="BH217">
        <v>10026.200000000001</v>
      </c>
      <c r="BI217">
        <v>1081.8499999999999</v>
      </c>
      <c r="BJ217">
        <v>1.5992900000000001</v>
      </c>
      <c r="BK217">
        <v>-427.93400000000003</v>
      </c>
      <c r="BL217">
        <v>382.649</v>
      </c>
      <c r="BM217">
        <v>800.08299999999997</v>
      </c>
      <c r="BN217">
        <v>27.622299999999999</v>
      </c>
      <c r="BO217">
        <v>799.94899999999996</v>
      </c>
      <c r="BP217">
        <v>0.16767499999999999</v>
      </c>
      <c r="BQ217">
        <v>2.7415699999999998</v>
      </c>
      <c r="BR217">
        <v>1.6541699999999999E-2</v>
      </c>
      <c r="BS217">
        <v>22.5364</v>
      </c>
      <c r="BT217">
        <v>-41.2376</v>
      </c>
      <c r="BU217">
        <v>1800</v>
      </c>
      <c r="BV217">
        <v>0.91001100000000001</v>
      </c>
      <c r="BW217">
        <v>3.3996800000000001E-2</v>
      </c>
      <c r="BX217">
        <v>2.1998E-2</v>
      </c>
      <c r="BY217">
        <v>3.3994000000000003E-2</v>
      </c>
      <c r="BZ217">
        <v>26</v>
      </c>
      <c r="CA217">
        <v>33528.5</v>
      </c>
      <c r="CB217">
        <v>1690376213.5999999</v>
      </c>
      <c r="CC217" t="s">
        <v>332</v>
      </c>
      <c r="CD217">
        <v>1690376213.5999999</v>
      </c>
      <c r="CE217">
        <v>1690376198.0999999</v>
      </c>
      <c r="CF217">
        <v>2</v>
      </c>
      <c r="CG217">
        <v>0.66900000000000004</v>
      </c>
      <c r="CH217">
        <v>-2.1000000000000001E-2</v>
      </c>
      <c r="CI217">
        <v>-0.70099999999999996</v>
      </c>
      <c r="CJ217">
        <v>0.21099999999999999</v>
      </c>
      <c r="CK217">
        <v>799</v>
      </c>
      <c r="CL217">
        <v>21</v>
      </c>
      <c r="CM217">
        <v>0.11</v>
      </c>
      <c r="CN217">
        <v>0.17</v>
      </c>
      <c r="CO217">
        <v>-427.70355000000001</v>
      </c>
      <c r="CP217">
        <v>-1.8577485928699411</v>
      </c>
      <c r="CQ217">
        <v>0.18406030940970969</v>
      </c>
      <c r="CR217">
        <v>-1</v>
      </c>
      <c r="CS217">
        <v>27.609762499999999</v>
      </c>
      <c r="CT217">
        <v>6.7122326454056011E-2</v>
      </c>
      <c r="CU217">
        <v>6.5065231690970508E-3</v>
      </c>
      <c r="CV217">
        <v>-1</v>
      </c>
      <c r="CW217">
        <v>0</v>
      </c>
      <c r="CX217">
        <v>0</v>
      </c>
      <c r="CY217" t="s">
        <v>333</v>
      </c>
      <c r="CZ217">
        <v>2.36483</v>
      </c>
      <c r="DA217">
        <v>2.7138399999999998</v>
      </c>
      <c r="DB217">
        <v>8.4440000000000001E-2</v>
      </c>
      <c r="DC217">
        <v>0.14551</v>
      </c>
      <c r="DD217">
        <v>0.12575</v>
      </c>
      <c r="DE217">
        <v>1.40704E-3</v>
      </c>
      <c r="DF217">
        <v>33441.5</v>
      </c>
      <c r="DG217">
        <v>27539.5</v>
      </c>
      <c r="DH217">
        <v>31180.400000000001</v>
      </c>
      <c r="DI217">
        <v>28082.400000000001</v>
      </c>
      <c r="DJ217">
        <v>36994.5</v>
      </c>
      <c r="DK217">
        <v>39873.699999999997</v>
      </c>
      <c r="DL217">
        <v>44371.8</v>
      </c>
      <c r="DM217">
        <v>42551.7</v>
      </c>
      <c r="DN217">
        <v>1.44957</v>
      </c>
      <c r="DO217">
        <v>2.0428999999999999</v>
      </c>
      <c r="DP217">
        <v>8.9757100000000006E-2</v>
      </c>
      <c r="DQ217">
        <v>0.186332</v>
      </c>
      <c r="DR217">
        <v>25.5304</v>
      </c>
      <c r="DS217">
        <v>25.5197</v>
      </c>
      <c r="DT217">
        <v>24.9</v>
      </c>
      <c r="DU217">
        <v>27.7</v>
      </c>
      <c r="DV217">
        <v>9.4115000000000002</v>
      </c>
      <c r="DW217">
        <v>60.648400000000002</v>
      </c>
      <c r="DX217">
        <v>37.263599999999997</v>
      </c>
      <c r="DY217">
        <v>1</v>
      </c>
      <c r="DZ217">
        <v>-0.130386</v>
      </c>
      <c r="EA217">
        <v>-0.51810999999999996</v>
      </c>
      <c r="EB217">
        <v>20.189</v>
      </c>
      <c r="EC217">
        <v>5.2411000000000003</v>
      </c>
      <c r="ED217">
        <v>12.039899999999999</v>
      </c>
      <c r="EE217">
        <v>5.0168999999999997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1.8688800000000001</v>
      </c>
      <c r="EL217">
        <v>1.86456</v>
      </c>
      <c r="EM217">
        <v>1.8692</v>
      </c>
      <c r="EN217">
        <v>1.8672200000000001</v>
      </c>
      <c r="EO217">
        <v>1.86331</v>
      </c>
      <c r="EP217">
        <v>1.86435</v>
      </c>
      <c r="EQ217">
        <v>1.87012</v>
      </c>
      <c r="ER217">
        <v>1.8693500000000001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-0.39900000000000002</v>
      </c>
      <c r="FG217">
        <v>0.2112</v>
      </c>
      <c r="FH217">
        <v>-0.150361779349652</v>
      </c>
      <c r="FI217">
        <v>-6.1462078757559423E-4</v>
      </c>
      <c r="FJ217">
        <v>-1.8861989874597051E-7</v>
      </c>
      <c r="FK217">
        <v>1.1980462299894961E-10</v>
      </c>
      <c r="FL217">
        <v>0.21114761904761539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42.5</v>
      </c>
      <c r="FU217">
        <v>42.8</v>
      </c>
      <c r="FV217">
        <v>1.7663599999999999</v>
      </c>
      <c r="FW217">
        <v>2.5683600000000002</v>
      </c>
      <c r="FX217">
        <v>1.5490699999999999</v>
      </c>
      <c r="FY217">
        <v>2.33765</v>
      </c>
      <c r="FZ217">
        <v>1.50146</v>
      </c>
      <c r="GA217">
        <v>2.3828100000000001</v>
      </c>
      <c r="GB217">
        <v>32.509700000000002</v>
      </c>
      <c r="GC217">
        <v>23.991199999999999</v>
      </c>
      <c r="GD217">
        <v>19</v>
      </c>
      <c r="GE217">
        <v>269.75900000000001</v>
      </c>
      <c r="GF217">
        <v>583.05700000000002</v>
      </c>
      <c r="GG217">
        <v>25.812200000000001</v>
      </c>
      <c r="GH217">
        <v>25.794699999999999</v>
      </c>
      <c r="GI217">
        <v>30</v>
      </c>
      <c r="GJ217">
        <v>25.8902</v>
      </c>
      <c r="GK217">
        <v>25.8553</v>
      </c>
      <c r="GL217">
        <v>35.305</v>
      </c>
      <c r="GM217">
        <v>100</v>
      </c>
      <c r="GN217">
        <v>0</v>
      </c>
      <c r="GO217">
        <v>25.819400000000002</v>
      </c>
      <c r="GP217">
        <v>800</v>
      </c>
      <c r="GQ217">
        <v>0</v>
      </c>
      <c r="GR217">
        <v>99.762900000000002</v>
      </c>
      <c r="GS217">
        <v>99.553799999999995</v>
      </c>
    </row>
    <row r="218" spans="1:201" x14ac:dyDescent="0.25">
      <c r="A218">
        <v>202</v>
      </c>
      <c r="B218">
        <v>1690378776.0999999</v>
      </c>
      <c r="C218">
        <v>2059.599999904633</v>
      </c>
      <c r="D218" t="s">
        <v>737</v>
      </c>
      <c r="E218" t="s">
        <v>738</v>
      </c>
      <c r="F218" t="s">
        <v>330</v>
      </c>
      <c r="H218">
        <v>1690378776.0999999</v>
      </c>
      <c r="I218">
        <f t="shared" si="90"/>
        <v>2.4728435456013611E-3</v>
      </c>
      <c r="J218">
        <f t="shared" si="91"/>
        <v>2.4728435456013611</v>
      </c>
      <c r="K218">
        <f t="shared" si="92"/>
        <v>36.331023542677933</v>
      </c>
      <c r="L218">
        <f t="shared" si="93"/>
        <v>371.76900000000001</v>
      </c>
      <c r="M218">
        <f t="shared" si="94"/>
        <v>84.745019657363073</v>
      </c>
      <c r="N218">
        <f t="shared" si="95"/>
        <v>8.3686046739174866</v>
      </c>
      <c r="O218">
        <f t="shared" si="96"/>
        <v>36.712337829369005</v>
      </c>
      <c r="P218">
        <f t="shared" si="97"/>
        <v>0.21617934934863081</v>
      </c>
      <c r="Q218">
        <f t="shared" si="98"/>
        <v>2.0049420000725622</v>
      </c>
      <c r="R218">
        <f t="shared" si="99"/>
        <v>0.20401440474004712</v>
      </c>
      <c r="S218">
        <f t="shared" si="100"/>
        <v>0.12854489500189784</v>
      </c>
      <c r="T218">
        <f t="shared" si="101"/>
        <v>276.11492841</v>
      </c>
      <c r="U218">
        <f t="shared" si="102"/>
        <v>28.480167159488516</v>
      </c>
      <c r="V218">
        <f t="shared" si="103"/>
        <v>28.480167159488516</v>
      </c>
      <c r="W218">
        <f t="shared" si="104"/>
        <v>3.9023712395637951</v>
      </c>
      <c r="X218">
        <f t="shared" si="105"/>
        <v>76.332514531482431</v>
      </c>
      <c r="Y218">
        <f t="shared" si="106"/>
        <v>2.7457153996446007</v>
      </c>
      <c r="Z218">
        <f t="shared" si="107"/>
        <v>3.5970456580624806</v>
      </c>
      <c r="AA218">
        <f t="shared" si="108"/>
        <v>1.1566558399191944</v>
      </c>
      <c r="AB218">
        <f t="shared" si="109"/>
        <v>-109.05240036102002</v>
      </c>
      <c r="AC218">
        <f t="shared" si="110"/>
        <v>-150.81503157035974</v>
      </c>
      <c r="AD218">
        <f t="shared" si="111"/>
        <v>-16.361164057036483</v>
      </c>
      <c r="AE218">
        <f t="shared" si="112"/>
        <v>-0.11366757841625486</v>
      </c>
      <c r="AF218">
        <v>8</v>
      </c>
      <c r="AG218">
        <v>3</v>
      </c>
      <c r="AH218">
        <f t="shared" si="113"/>
        <v>1</v>
      </c>
      <c r="AI218">
        <f t="shared" si="114"/>
        <v>0</v>
      </c>
      <c r="AJ218">
        <f t="shared" si="115"/>
        <v>52036.207054597187</v>
      </c>
      <c r="AK218">
        <f t="shared" si="116"/>
        <v>1800</v>
      </c>
      <c r="AL218">
        <f t="shared" si="117"/>
        <v>1499.1136289999999</v>
      </c>
      <c r="AM218">
        <f t="shared" si="118"/>
        <v>0.83284090499999996</v>
      </c>
      <c r="AN218">
        <f t="shared" si="119"/>
        <v>0.15339718245</v>
      </c>
      <c r="AO218">
        <v>34.5</v>
      </c>
      <c r="AP218">
        <v>0.5</v>
      </c>
      <c r="AQ218" t="s">
        <v>331</v>
      </c>
      <c r="AR218">
        <v>2</v>
      </c>
      <c r="AS218">
        <v>1690378776.0999999</v>
      </c>
      <c r="AT218">
        <v>371.76900000000001</v>
      </c>
      <c r="AU218">
        <v>800.00099999999998</v>
      </c>
      <c r="AV218">
        <v>27.804600000000001</v>
      </c>
      <c r="AW218">
        <v>0.16708700000000001</v>
      </c>
      <c r="AX218">
        <v>372.16800000000001</v>
      </c>
      <c r="AY218">
        <v>27.593499999999999</v>
      </c>
      <c r="AZ218">
        <v>300.10300000000001</v>
      </c>
      <c r="BA218">
        <v>98.650400000000005</v>
      </c>
      <c r="BB218">
        <v>0.10000100000000001</v>
      </c>
      <c r="BC218">
        <v>27.084900000000001</v>
      </c>
      <c r="BD218">
        <v>26.9923</v>
      </c>
      <c r="BE218">
        <v>28.562100000000001</v>
      </c>
      <c r="BF218">
        <v>0</v>
      </c>
      <c r="BG218">
        <v>0</v>
      </c>
      <c r="BH218">
        <v>9977.5</v>
      </c>
      <c r="BI218">
        <v>1081.98</v>
      </c>
      <c r="BJ218">
        <v>1.68198</v>
      </c>
      <c r="BK218">
        <v>-428.23200000000003</v>
      </c>
      <c r="BL218">
        <v>382.40100000000001</v>
      </c>
      <c r="BM218">
        <v>800.13499999999999</v>
      </c>
      <c r="BN218">
        <v>27.637499999999999</v>
      </c>
      <c r="BO218">
        <v>800.00099999999998</v>
      </c>
      <c r="BP218">
        <v>0.16708700000000001</v>
      </c>
      <c r="BQ218">
        <v>2.7429299999999999</v>
      </c>
      <c r="BR218">
        <v>1.64832E-2</v>
      </c>
      <c r="BS218">
        <v>22.544599999999999</v>
      </c>
      <c r="BT218">
        <v>-41.271099999999997</v>
      </c>
      <c r="BU218">
        <v>1800</v>
      </c>
      <c r="BV218">
        <v>0.91001100000000001</v>
      </c>
      <c r="BW218">
        <v>3.3996899999999997E-2</v>
      </c>
      <c r="BX218">
        <v>2.1998E-2</v>
      </c>
      <c r="BY218">
        <v>3.3994099999999999E-2</v>
      </c>
      <c r="BZ218">
        <v>26</v>
      </c>
      <c r="CA218">
        <v>33528.5</v>
      </c>
      <c r="CB218">
        <v>1690376213.5999999</v>
      </c>
      <c r="CC218" t="s">
        <v>332</v>
      </c>
      <c r="CD218">
        <v>1690376213.5999999</v>
      </c>
      <c r="CE218">
        <v>1690376198.0999999</v>
      </c>
      <c r="CF218">
        <v>2</v>
      </c>
      <c r="CG218">
        <v>0.66900000000000004</v>
      </c>
      <c r="CH218">
        <v>-2.1000000000000001E-2</v>
      </c>
      <c r="CI218">
        <v>-0.70099999999999996</v>
      </c>
      <c r="CJ218">
        <v>0.21099999999999999</v>
      </c>
      <c r="CK218">
        <v>799</v>
      </c>
      <c r="CL218">
        <v>21</v>
      </c>
      <c r="CM218">
        <v>0.11</v>
      </c>
      <c r="CN218">
        <v>0.17</v>
      </c>
      <c r="CO218">
        <v>-427.98407317073168</v>
      </c>
      <c r="CP218">
        <v>-1.9402160278736169</v>
      </c>
      <c r="CQ218">
        <v>0.20092571012069921</v>
      </c>
      <c r="CR218">
        <v>-1</v>
      </c>
      <c r="CS218">
        <v>27.621343902439019</v>
      </c>
      <c r="CT218">
        <v>8.5889895470447467E-2</v>
      </c>
      <c r="CU218">
        <v>8.5199636086616386E-3</v>
      </c>
      <c r="CV218">
        <v>-1</v>
      </c>
      <c r="CW218">
        <v>0</v>
      </c>
      <c r="CX218">
        <v>0</v>
      </c>
      <c r="CY218" t="s">
        <v>333</v>
      </c>
      <c r="CZ218">
        <v>2.3649200000000001</v>
      </c>
      <c r="DA218">
        <v>2.7137699999999998</v>
      </c>
      <c r="DB218">
        <v>8.4394200000000003E-2</v>
      </c>
      <c r="DC218">
        <v>0.145512</v>
      </c>
      <c r="DD218">
        <v>0.12579299999999999</v>
      </c>
      <c r="DE218">
        <v>1.40211E-3</v>
      </c>
      <c r="DF218">
        <v>33443.199999999997</v>
      </c>
      <c r="DG218">
        <v>27540</v>
      </c>
      <c r="DH218">
        <v>31180.400000000001</v>
      </c>
      <c r="DI218">
        <v>28083</v>
      </c>
      <c r="DJ218">
        <v>36992.9</v>
      </c>
      <c r="DK218">
        <v>39874.699999999997</v>
      </c>
      <c r="DL218">
        <v>44372.1</v>
      </c>
      <c r="DM218">
        <v>42552.6</v>
      </c>
      <c r="DN218">
        <v>1.4492</v>
      </c>
      <c r="DO218">
        <v>2.0429499999999998</v>
      </c>
      <c r="DP218">
        <v>8.91536E-2</v>
      </c>
      <c r="DQ218">
        <v>0.18604799999999999</v>
      </c>
      <c r="DR218">
        <v>25.532499999999999</v>
      </c>
      <c r="DS218">
        <v>25.5197</v>
      </c>
      <c r="DT218">
        <v>24.8</v>
      </c>
      <c r="DU218">
        <v>27.8</v>
      </c>
      <c r="DV218">
        <v>9.4303100000000004</v>
      </c>
      <c r="DW218">
        <v>61.358400000000003</v>
      </c>
      <c r="DX218">
        <v>37.167499999999997</v>
      </c>
      <c r="DY218">
        <v>1</v>
      </c>
      <c r="DZ218">
        <v>-0.130028</v>
      </c>
      <c r="EA218">
        <v>-0.47111399999999998</v>
      </c>
      <c r="EB218">
        <v>20.1892</v>
      </c>
      <c r="EC218">
        <v>5.2418500000000003</v>
      </c>
      <c r="ED218">
        <v>12.039899999999999</v>
      </c>
      <c r="EE218">
        <v>5.0171000000000001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1.8688400000000001</v>
      </c>
      <c r="EL218">
        <v>1.8645799999999999</v>
      </c>
      <c r="EM218">
        <v>1.8691899999999999</v>
      </c>
      <c r="EN218">
        <v>1.8672200000000001</v>
      </c>
      <c r="EO218">
        <v>1.8632899999999999</v>
      </c>
      <c r="EP218">
        <v>1.86436</v>
      </c>
      <c r="EQ218">
        <v>1.87012</v>
      </c>
      <c r="ER218">
        <v>1.8693599999999999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-0.39900000000000002</v>
      </c>
      <c r="FG218">
        <v>0.21110000000000001</v>
      </c>
      <c r="FH218">
        <v>-0.150361779349652</v>
      </c>
      <c r="FI218">
        <v>-6.1462078757559423E-4</v>
      </c>
      <c r="FJ218">
        <v>-1.8861989874597051E-7</v>
      </c>
      <c r="FK218">
        <v>1.1980462299894961E-10</v>
      </c>
      <c r="FL218">
        <v>0.21114761904761539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42.7</v>
      </c>
      <c r="FU218">
        <v>43</v>
      </c>
      <c r="FV218">
        <v>1.7663599999999999</v>
      </c>
      <c r="FW218">
        <v>2.5683600000000002</v>
      </c>
      <c r="FX218">
        <v>1.5490699999999999</v>
      </c>
      <c r="FY218">
        <v>2.33765</v>
      </c>
      <c r="FZ218">
        <v>1.50146</v>
      </c>
      <c r="GA218">
        <v>2.4133300000000002</v>
      </c>
      <c r="GB218">
        <v>32.509700000000002</v>
      </c>
      <c r="GC218">
        <v>23.991199999999999</v>
      </c>
      <c r="GD218">
        <v>19</v>
      </c>
      <c r="GE218">
        <v>269.61399999999998</v>
      </c>
      <c r="GF218">
        <v>583.12300000000005</v>
      </c>
      <c r="GG218">
        <v>25.816199999999998</v>
      </c>
      <c r="GH218">
        <v>25.796800000000001</v>
      </c>
      <c r="GI218">
        <v>30.0001</v>
      </c>
      <c r="GJ218">
        <v>25.892399999999999</v>
      </c>
      <c r="GK218">
        <v>25.857500000000002</v>
      </c>
      <c r="GL218">
        <v>35.304600000000001</v>
      </c>
      <c r="GM218">
        <v>100</v>
      </c>
      <c r="GN218">
        <v>0</v>
      </c>
      <c r="GO218">
        <v>25.813600000000001</v>
      </c>
      <c r="GP218">
        <v>800</v>
      </c>
      <c r="GQ218">
        <v>0</v>
      </c>
      <c r="GR218">
        <v>99.763300000000001</v>
      </c>
      <c r="GS218">
        <v>99.555899999999994</v>
      </c>
    </row>
    <row r="219" spans="1:201" x14ac:dyDescent="0.25">
      <c r="A219">
        <v>203</v>
      </c>
      <c r="B219">
        <v>1690378786.0999999</v>
      </c>
      <c r="C219">
        <v>2069.599999904633</v>
      </c>
      <c r="D219" t="s">
        <v>739</v>
      </c>
      <c r="E219" t="s">
        <v>740</v>
      </c>
      <c r="F219" t="s">
        <v>330</v>
      </c>
      <c r="H219">
        <v>1690378786.0999999</v>
      </c>
      <c r="I219">
        <f t="shared" si="90"/>
        <v>2.4740333497554859E-3</v>
      </c>
      <c r="J219">
        <f t="shared" si="91"/>
        <v>2.4740333497554858</v>
      </c>
      <c r="K219">
        <f t="shared" si="92"/>
        <v>36.374523764695354</v>
      </c>
      <c r="L219">
        <f t="shared" si="93"/>
        <v>371.291</v>
      </c>
      <c r="M219">
        <f t="shared" si="94"/>
        <v>84.548631802744111</v>
      </c>
      <c r="N219">
        <f t="shared" si="95"/>
        <v>8.3494303938467898</v>
      </c>
      <c r="O219">
        <f t="shared" si="96"/>
        <v>36.666097301188408</v>
      </c>
      <c r="P219">
        <f t="shared" si="97"/>
        <v>0.21665115576002267</v>
      </c>
      <c r="Q219">
        <f t="shared" si="98"/>
        <v>2.0078503774799317</v>
      </c>
      <c r="R219">
        <f t="shared" si="99"/>
        <v>0.2044512903473682</v>
      </c>
      <c r="S219">
        <f t="shared" si="100"/>
        <v>0.12882088274061684</v>
      </c>
      <c r="T219">
        <f t="shared" si="101"/>
        <v>276.115045194</v>
      </c>
      <c r="U219">
        <f t="shared" si="102"/>
        <v>28.476907088312323</v>
      </c>
      <c r="V219">
        <f t="shared" si="103"/>
        <v>28.476907088312323</v>
      </c>
      <c r="W219">
        <f t="shared" si="104"/>
        <v>3.9016322921401496</v>
      </c>
      <c r="X219">
        <f t="shared" si="105"/>
        <v>76.368924792858124</v>
      </c>
      <c r="Y219">
        <f t="shared" si="106"/>
        <v>2.7468638601022004</v>
      </c>
      <c r="Z219">
        <f t="shared" si="107"/>
        <v>3.5968345338797825</v>
      </c>
      <c r="AA219">
        <f t="shared" si="108"/>
        <v>1.1547684320379492</v>
      </c>
      <c r="AB219">
        <f t="shared" si="109"/>
        <v>-109.10487072421692</v>
      </c>
      <c r="AC219">
        <f t="shared" si="110"/>
        <v>-150.78915805429367</v>
      </c>
      <c r="AD219">
        <f t="shared" si="111"/>
        <v>-16.334314729444237</v>
      </c>
      <c r="AE219">
        <f t="shared" si="112"/>
        <v>-0.11329831395485712</v>
      </c>
      <c r="AF219">
        <v>8</v>
      </c>
      <c r="AG219">
        <v>3</v>
      </c>
      <c r="AH219">
        <f t="shared" si="113"/>
        <v>1</v>
      </c>
      <c r="AI219">
        <f t="shared" si="114"/>
        <v>0</v>
      </c>
      <c r="AJ219">
        <f t="shared" si="115"/>
        <v>52175.338776160934</v>
      </c>
      <c r="AK219">
        <f t="shared" si="116"/>
        <v>1800</v>
      </c>
      <c r="AL219">
        <f t="shared" si="117"/>
        <v>1499.1144623999999</v>
      </c>
      <c r="AM219">
        <f t="shared" si="118"/>
        <v>0.83284136799999997</v>
      </c>
      <c r="AN219">
        <f t="shared" si="119"/>
        <v>0.15339724733000001</v>
      </c>
      <c r="AO219">
        <v>34.5</v>
      </c>
      <c r="AP219">
        <v>0.5</v>
      </c>
      <c r="AQ219" t="s">
        <v>331</v>
      </c>
      <c r="AR219">
        <v>2</v>
      </c>
      <c r="AS219">
        <v>1690378786.0999999</v>
      </c>
      <c r="AT219">
        <v>371.291</v>
      </c>
      <c r="AU219">
        <v>799.99599999999998</v>
      </c>
      <c r="AV219">
        <v>27.8155</v>
      </c>
      <c r="AW219">
        <v>0.16619700000000001</v>
      </c>
      <c r="AX219">
        <v>371.68900000000002</v>
      </c>
      <c r="AY219">
        <v>27.604399999999998</v>
      </c>
      <c r="AZ219">
        <v>300.11599999999999</v>
      </c>
      <c r="BA219">
        <v>98.653000000000006</v>
      </c>
      <c r="BB219">
        <v>9.9992399999999995E-2</v>
      </c>
      <c r="BC219">
        <v>27.0839</v>
      </c>
      <c r="BD219">
        <v>26.995799999999999</v>
      </c>
      <c r="BE219">
        <v>28.576899999999998</v>
      </c>
      <c r="BF219">
        <v>0</v>
      </c>
      <c r="BG219">
        <v>0</v>
      </c>
      <c r="BH219">
        <v>10005</v>
      </c>
      <c r="BI219">
        <v>1082.0999999999999</v>
      </c>
      <c r="BJ219">
        <v>1.62452</v>
      </c>
      <c r="BK219">
        <v>-428.70600000000002</v>
      </c>
      <c r="BL219">
        <v>381.91399999999999</v>
      </c>
      <c r="BM219">
        <v>800.12900000000002</v>
      </c>
      <c r="BN219">
        <v>27.6493</v>
      </c>
      <c r="BO219">
        <v>799.99599999999998</v>
      </c>
      <c r="BP219">
        <v>0.16619700000000001</v>
      </c>
      <c r="BQ219">
        <v>2.7440799999999999</v>
      </c>
      <c r="BR219">
        <v>1.6395799999999999E-2</v>
      </c>
      <c r="BS219">
        <v>22.551500000000001</v>
      </c>
      <c r="BT219">
        <v>-41.321399999999997</v>
      </c>
      <c r="BU219">
        <v>1800</v>
      </c>
      <c r="BV219">
        <v>0.91001200000000004</v>
      </c>
      <c r="BW219">
        <v>3.3996699999999998E-2</v>
      </c>
      <c r="BX219">
        <v>2.1997900000000001E-2</v>
      </c>
      <c r="BY219">
        <v>3.3993900000000001E-2</v>
      </c>
      <c r="BZ219">
        <v>26</v>
      </c>
      <c r="CA219">
        <v>33528.400000000001</v>
      </c>
      <c r="CB219">
        <v>1690376213.5999999</v>
      </c>
      <c r="CC219" t="s">
        <v>332</v>
      </c>
      <c r="CD219">
        <v>1690376213.5999999</v>
      </c>
      <c r="CE219">
        <v>1690376198.0999999</v>
      </c>
      <c r="CF219">
        <v>2</v>
      </c>
      <c r="CG219">
        <v>0.66900000000000004</v>
      </c>
      <c r="CH219">
        <v>-2.1000000000000001E-2</v>
      </c>
      <c r="CI219">
        <v>-0.70099999999999996</v>
      </c>
      <c r="CJ219">
        <v>0.21099999999999999</v>
      </c>
      <c r="CK219">
        <v>799</v>
      </c>
      <c r="CL219">
        <v>21</v>
      </c>
      <c r="CM219">
        <v>0.11</v>
      </c>
      <c r="CN219">
        <v>0.17</v>
      </c>
      <c r="CO219">
        <v>-428.29258536585348</v>
      </c>
      <c r="CP219">
        <v>-1.9382926829272129</v>
      </c>
      <c r="CQ219">
        <v>0.2038479796569751</v>
      </c>
      <c r="CR219">
        <v>-1</v>
      </c>
      <c r="CS219">
        <v>27.634573170731709</v>
      </c>
      <c r="CT219">
        <v>7.50250871079855E-2</v>
      </c>
      <c r="CU219">
        <v>7.5268308489957244E-3</v>
      </c>
      <c r="CV219">
        <v>-1</v>
      </c>
      <c r="CW219">
        <v>0</v>
      </c>
      <c r="CX219">
        <v>0</v>
      </c>
      <c r="CY219" t="s">
        <v>333</v>
      </c>
      <c r="CZ219">
        <v>2.3649499999999999</v>
      </c>
      <c r="DA219">
        <v>2.7137899999999999</v>
      </c>
      <c r="DB219">
        <v>8.4311899999999995E-2</v>
      </c>
      <c r="DC219">
        <v>0.145514</v>
      </c>
      <c r="DD219">
        <v>0.12583</v>
      </c>
      <c r="DE219">
        <v>1.39474E-3</v>
      </c>
      <c r="DF219">
        <v>33446.400000000001</v>
      </c>
      <c r="DG219">
        <v>27539.9</v>
      </c>
      <c r="DH219">
        <v>31180.6</v>
      </c>
      <c r="DI219">
        <v>28082.9</v>
      </c>
      <c r="DJ219">
        <v>36991.5</v>
      </c>
      <c r="DK219">
        <v>39875</v>
      </c>
      <c r="DL219">
        <v>44372.4</v>
      </c>
      <c r="DM219">
        <v>42552.5</v>
      </c>
      <c r="DN219">
        <v>1.44937</v>
      </c>
      <c r="DO219">
        <v>2.0428000000000002</v>
      </c>
      <c r="DP219">
        <v>8.9265399999999995E-2</v>
      </c>
      <c r="DQ219">
        <v>0.18695400000000001</v>
      </c>
      <c r="DR219">
        <v>25.534199999999998</v>
      </c>
      <c r="DS219">
        <v>25.5197</v>
      </c>
      <c r="DT219">
        <v>24.8</v>
      </c>
      <c r="DU219">
        <v>27.8</v>
      </c>
      <c r="DV219">
        <v>9.4298300000000008</v>
      </c>
      <c r="DW219">
        <v>60.958399999999997</v>
      </c>
      <c r="DX219">
        <v>37.123399999999997</v>
      </c>
      <c r="DY219">
        <v>1</v>
      </c>
      <c r="DZ219">
        <v>-0.12993099999999999</v>
      </c>
      <c r="EA219">
        <v>-0.50394099999999997</v>
      </c>
      <c r="EB219">
        <v>20.1892</v>
      </c>
      <c r="EC219">
        <v>5.24125</v>
      </c>
      <c r="ED219">
        <v>12.039899999999999</v>
      </c>
      <c r="EE219">
        <v>5.0172499999999998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1.86887</v>
      </c>
      <c r="EL219">
        <v>1.8645400000000001</v>
      </c>
      <c r="EM219">
        <v>1.8691899999999999</v>
      </c>
      <c r="EN219">
        <v>1.8672200000000001</v>
      </c>
      <c r="EO219">
        <v>1.86327</v>
      </c>
      <c r="EP219">
        <v>1.86433</v>
      </c>
      <c r="EQ219">
        <v>1.87012</v>
      </c>
      <c r="ER219">
        <v>1.8693500000000001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-0.39800000000000002</v>
      </c>
      <c r="FG219">
        <v>0.21110000000000001</v>
      </c>
      <c r="FH219">
        <v>-0.150361779349652</v>
      </c>
      <c r="FI219">
        <v>-6.1462078757559423E-4</v>
      </c>
      <c r="FJ219">
        <v>-1.8861989874597051E-7</v>
      </c>
      <c r="FK219">
        <v>1.1980462299894961E-10</v>
      </c>
      <c r="FL219">
        <v>0.21114761904761539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42.9</v>
      </c>
      <c r="FU219">
        <v>43.1</v>
      </c>
      <c r="FV219">
        <v>1.7663599999999999</v>
      </c>
      <c r="FW219">
        <v>2.5683600000000002</v>
      </c>
      <c r="FX219">
        <v>1.5490699999999999</v>
      </c>
      <c r="FY219">
        <v>2.33765</v>
      </c>
      <c r="FZ219">
        <v>1.50146</v>
      </c>
      <c r="GA219">
        <v>2.3571800000000001</v>
      </c>
      <c r="GB219">
        <v>32.509700000000002</v>
      </c>
      <c r="GC219">
        <v>23.991199999999999</v>
      </c>
      <c r="GD219">
        <v>19</v>
      </c>
      <c r="GE219">
        <v>269.68900000000002</v>
      </c>
      <c r="GF219">
        <v>583.01800000000003</v>
      </c>
      <c r="GG219">
        <v>25.816199999999998</v>
      </c>
      <c r="GH219">
        <v>25.798100000000002</v>
      </c>
      <c r="GI219">
        <v>30</v>
      </c>
      <c r="GJ219">
        <v>25.8931</v>
      </c>
      <c r="GK219">
        <v>25.859100000000002</v>
      </c>
      <c r="GL219">
        <v>35.303400000000003</v>
      </c>
      <c r="GM219">
        <v>100</v>
      </c>
      <c r="GN219">
        <v>0</v>
      </c>
      <c r="GO219">
        <v>25.8248</v>
      </c>
      <c r="GP219">
        <v>800</v>
      </c>
      <c r="GQ219">
        <v>0</v>
      </c>
      <c r="GR219">
        <v>99.763900000000007</v>
      </c>
      <c r="GS219">
        <v>99.555899999999994</v>
      </c>
    </row>
    <row r="220" spans="1:201" x14ac:dyDescent="0.25">
      <c r="A220">
        <v>204</v>
      </c>
      <c r="B220">
        <v>1690378796.0999999</v>
      </c>
      <c r="C220">
        <v>2079.599999904633</v>
      </c>
      <c r="D220" t="s">
        <v>741</v>
      </c>
      <c r="E220" t="s">
        <v>742</v>
      </c>
      <c r="F220" t="s">
        <v>330</v>
      </c>
      <c r="H220">
        <v>1690378796.0999999</v>
      </c>
      <c r="I220">
        <f t="shared" si="90"/>
        <v>2.4746130422026304E-3</v>
      </c>
      <c r="J220">
        <f t="shared" si="91"/>
        <v>2.4746130422026305</v>
      </c>
      <c r="K220">
        <f t="shared" si="92"/>
        <v>36.411130066012348</v>
      </c>
      <c r="L220">
        <f t="shared" si="93"/>
        <v>370.96600000000001</v>
      </c>
      <c r="M220">
        <f t="shared" si="94"/>
        <v>83.875770338588922</v>
      </c>
      <c r="N220">
        <f t="shared" si="95"/>
        <v>8.2827504381020489</v>
      </c>
      <c r="O220">
        <f t="shared" si="96"/>
        <v>36.632972628655999</v>
      </c>
      <c r="P220">
        <f t="shared" si="97"/>
        <v>0.21660373035086952</v>
      </c>
      <c r="Q220">
        <f t="shared" si="98"/>
        <v>2.0060533394137519</v>
      </c>
      <c r="R220">
        <f t="shared" si="99"/>
        <v>0.2043987808338619</v>
      </c>
      <c r="S220">
        <f t="shared" si="100"/>
        <v>0.12878846068055991</v>
      </c>
      <c r="T220">
        <f t="shared" si="101"/>
        <v>276.11490967200001</v>
      </c>
      <c r="U220">
        <f t="shared" si="102"/>
        <v>28.480116008179177</v>
      </c>
      <c r="V220">
        <f t="shared" si="103"/>
        <v>28.480116008179177</v>
      </c>
      <c r="W220">
        <f t="shared" si="104"/>
        <v>3.9023596443565074</v>
      </c>
      <c r="X220">
        <f t="shared" si="105"/>
        <v>76.364155264151705</v>
      </c>
      <c r="Y220">
        <f t="shared" si="106"/>
        <v>2.7470631337527998</v>
      </c>
      <c r="Z220">
        <f t="shared" si="107"/>
        <v>3.5973201356715294</v>
      </c>
      <c r="AA220">
        <f t="shared" si="108"/>
        <v>1.1552965106037076</v>
      </c>
      <c r="AB220">
        <f t="shared" si="109"/>
        <v>-109.13043516113599</v>
      </c>
      <c r="AC220">
        <f t="shared" si="110"/>
        <v>-150.75250085783642</v>
      </c>
      <c r="AD220">
        <f t="shared" si="111"/>
        <v>-16.345421831951207</v>
      </c>
      <c r="AE220">
        <f t="shared" si="112"/>
        <v>-0.11344817892364745</v>
      </c>
      <c r="AF220">
        <v>8</v>
      </c>
      <c r="AG220">
        <v>3</v>
      </c>
      <c r="AH220">
        <f t="shared" si="113"/>
        <v>1</v>
      </c>
      <c r="AI220">
        <f t="shared" si="114"/>
        <v>0</v>
      </c>
      <c r="AJ220">
        <f t="shared" si="115"/>
        <v>52089.020854774462</v>
      </c>
      <c r="AK220">
        <f t="shared" si="116"/>
        <v>1800</v>
      </c>
      <c r="AL220">
        <f t="shared" si="117"/>
        <v>1499.1132132</v>
      </c>
      <c r="AM220">
        <f t="shared" si="118"/>
        <v>0.83284067399999995</v>
      </c>
      <c r="AN220">
        <f t="shared" si="119"/>
        <v>0.15339717204</v>
      </c>
      <c r="AO220">
        <v>34.5</v>
      </c>
      <c r="AP220">
        <v>0.5</v>
      </c>
      <c r="AQ220" t="s">
        <v>331</v>
      </c>
      <c r="AR220">
        <v>2</v>
      </c>
      <c r="AS220">
        <v>1690378796.0999999</v>
      </c>
      <c r="AT220">
        <v>370.96600000000001</v>
      </c>
      <c r="AU220">
        <v>800.03499999999997</v>
      </c>
      <c r="AV220">
        <v>27.818300000000001</v>
      </c>
      <c r="AW220">
        <v>0.165823</v>
      </c>
      <c r="AX220">
        <v>371.36500000000001</v>
      </c>
      <c r="AY220">
        <v>27.607099999999999</v>
      </c>
      <c r="AZ220">
        <v>300.15100000000001</v>
      </c>
      <c r="BA220">
        <v>98.650199999999998</v>
      </c>
      <c r="BB220">
        <v>0.10001599999999999</v>
      </c>
      <c r="BC220">
        <v>27.086200000000002</v>
      </c>
      <c r="BD220">
        <v>26.996700000000001</v>
      </c>
      <c r="BE220">
        <v>28.5931</v>
      </c>
      <c r="BF220">
        <v>0</v>
      </c>
      <c r="BG220">
        <v>0</v>
      </c>
      <c r="BH220">
        <v>9988.1200000000008</v>
      </c>
      <c r="BI220">
        <v>1082.26</v>
      </c>
      <c r="BJ220">
        <v>1.56985</v>
      </c>
      <c r="BK220">
        <v>-429.06799999999998</v>
      </c>
      <c r="BL220">
        <v>381.58100000000002</v>
      </c>
      <c r="BM220">
        <v>800.16700000000003</v>
      </c>
      <c r="BN220">
        <v>27.6525</v>
      </c>
      <c r="BO220">
        <v>800.03499999999997</v>
      </c>
      <c r="BP220">
        <v>0.165823</v>
      </c>
      <c r="BQ220">
        <v>2.7442799999999998</v>
      </c>
      <c r="BR220">
        <v>1.6358500000000002E-2</v>
      </c>
      <c r="BS220">
        <v>22.552700000000002</v>
      </c>
      <c r="BT220">
        <v>-41.3429</v>
      </c>
      <c r="BU220">
        <v>1800</v>
      </c>
      <c r="BV220">
        <v>0.91000999999999999</v>
      </c>
      <c r="BW220">
        <v>3.3997199999999998E-2</v>
      </c>
      <c r="BX220">
        <v>2.1998199999999999E-2</v>
      </c>
      <c r="BY220">
        <v>3.3994400000000001E-2</v>
      </c>
      <c r="BZ220">
        <v>26</v>
      </c>
      <c r="CA220">
        <v>33528.5</v>
      </c>
      <c r="CB220">
        <v>1690376213.5999999</v>
      </c>
      <c r="CC220" t="s">
        <v>332</v>
      </c>
      <c r="CD220">
        <v>1690376213.5999999</v>
      </c>
      <c r="CE220">
        <v>1690376198.0999999</v>
      </c>
      <c r="CF220">
        <v>2</v>
      </c>
      <c r="CG220">
        <v>0.66900000000000004</v>
      </c>
      <c r="CH220">
        <v>-2.1000000000000001E-2</v>
      </c>
      <c r="CI220">
        <v>-0.70099999999999996</v>
      </c>
      <c r="CJ220">
        <v>0.21099999999999999</v>
      </c>
      <c r="CK220">
        <v>799</v>
      </c>
      <c r="CL220">
        <v>21</v>
      </c>
      <c r="CM220">
        <v>0.11</v>
      </c>
      <c r="CN220">
        <v>0.17</v>
      </c>
      <c r="CO220">
        <v>-428.62641463414639</v>
      </c>
      <c r="CP220">
        <v>-2.0406480836236551</v>
      </c>
      <c r="CQ220">
        <v>0.21748349818080959</v>
      </c>
      <c r="CR220">
        <v>-1</v>
      </c>
      <c r="CS220">
        <v>27.64578292682927</v>
      </c>
      <c r="CT220">
        <v>5.502229965160324E-2</v>
      </c>
      <c r="CU220">
        <v>5.5824595697868433E-3</v>
      </c>
      <c r="CV220">
        <v>-1</v>
      </c>
      <c r="CW220">
        <v>0</v>
      </c>
      <c r="CX220">
        <v>0</v>
      </c>
      <c r="CY220" t="s">
        <v>333</v>
      </c>
      <c r="CZ220">
        <v>2.3650699999999998</v>
      </c>
      <c r="DA220">
        <v>2.7138</v>
      </c>
      <c r="DB220">
        <v>8.4251999999999994E-2</v>
      </c>
      <c r="DC220">
        <v>0.14551500000000001</v>
      </c>
      <c r="DD220">
        <v>0.125835</v>
      </c>
      <c r="DE220">
        <v>1.3916E-3</v>
      </c>
      <c r="DF220">
        <v>33448.300000000003</v>
      </c>
      <c r="DG220">
        <v>27539.9</v>
      </c>
      <c r="DH220">
        <v>31180.3</v>
      </c>
      <c r="DI220">
        <v>28083</v>
      </c>
      <c r="DJ220">
        <v>36990.9</v>
      </c>
      <c r="DK220">
        <v>39875.300000000003</v>
      </c>
      <c r="DL220">
        <v>44372</v>
      </c>
      <c r="DM220">
        <v>42552.7</v>
      </c>
      <c r="DN220">
        <v>1.4494800000000001</v>
      </c>
      <c r="DO220">
        <v>2.0427</v>
      </c>
      <c r="DP220">
        <v>8.9291499999999996E-2</v>
      </c>
      <c r="DQ220">
        <v>0.188053</v>
      </c>
      <c r="DR220">
        <v>25.534700000000001</v>
      </c>
      <c r="DS220">
        <v>25.518000000000001</v>
      </c>
      <c r="DT220">
        <v>24.7</v>
      </c>
      <c r="DU220">
        <v>27.8</v>
      </c>
      <c r="DV220">
        <v>9.3921200000000002</v>
      </c>
      <c r="DW220">
        <v>60.7684</v>
      </c>
      <c r="DX220">
        <v>37.055300000000003</v>
      </c>
      <c r="DY220">
        <v>1</v>
      </c>
      <c r="DZ220">
        <v>-0.129886</v>
      </c>
      <c r="EA220">
        <v>-0.52176199999999995</v>
      </c>
      <c r="EB220">
        <v>20.1889</v>
      </c>
      <c r="EC220">
        <v>5.2415500000000002</v>
      </c>
      <c r="ED220">
        <v>12.039899999999999</v>
      </c>
      <c r="EE220">
        <v>5.0168499999999998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1.86887</v>
      </c>
      <c r="EL220">
        <v>1.86456</v>
      </c>
      <c r="EM220">
        <v>1.8691800000000001</v>
      </c>
      <c r="EN220">
        <v>1.8672200000000001</v>
      </c>
      <c r="EO220">
        <v>1.8632899999999999</v>
      </c>
      <c r="EP220">
        <v>1.86433</v>
      </c>
      <c r="EQ220">
        <v>1.87012</v>
      </c>
      <c r="ER220">
        <v>1.8693599999999999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-0.39900000000000002</v>
      </c>
      <c r="FG220">
        <v>0.2112</v>
      </c>
      <c r="FH220">
        <v>-0.150361779349652</v>
      </c>
      <c r="FI220">
        <v>-6.1462078757559423E-4</v>
      </c>
      <c r="FJ220">
        <v>-1.8861989874597051E-7</v>
      </c>
      <c r="FK220">
        <v>1.1980462299894961E-10</v>
      </c>
      <c r="FL220">
        <v>0.21114761904761539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43</v>
      </c>
      <c r="FU220">
        <v>43.3</v>
      </c>
      <c r="FV220">
        <v>1.7651399999999999</v>
      </c>
      <c r="FW220">
        <v>2.5683600000000002</v>
      </c>
      <c r="FX220">
        <v>1.5490699999999999</v>
      </c>
      <c r="FY220">
        <v>2.33765</v>
      </c>
      <c r="FZ220">
        <v>1.50146</v>
      </c>
      <c r="GA220">
        <v>2.3962400000000001</v>
      </c>
      <c r="GB220">
        <v>32.509700000000002</v>
      </c>
      <c r="GC220">
        <v>23.991199999999999</v>
      </c>
      <c r="GD220">
        <v>19</v>
      </c>
      <c r="GE220">
        <v>269.73599999999999</v>
      </c>
      <c r="GF220">
        <v>582.94200000000001</v>
      </c>
      <c r="GG220">
        <v>25.828399999999998</v>
      </c>
      <c r="GH220">
        <v>25.798999999999999</v>
      </c>
      <c r="GI220">
        <v>30</v>
      </c>
      <c r="GJ220">
        <v>25.894600000000001</v>
      </c>
      <c r="GK220">
        <v>25.8596</v>
      </c>
      <c r="GL220">
        <v>35.303899999999999</v>
      </c>
      <c r="GM220">
        <v>100</v>
      </c>
      <c r="GN220">
        <v>0</v>
      </c>
      <c r="GO220">
        <v>25.8309</v>
      </c>
      <c r="GP220">
        <v>800</v>
      </c>
      <c r="GQ220">
        <v>0</v>
      </c>
      <c r="GR220">
        <v>99.763000000000005</v>
      </c>
      <c r="GS220">
        <v>99.556100000000001</v>
      </c>
    </row>
    <row r="221" spans="1:201" x14ac:dyDescent="0.25">
      <c r="A221">
        <v>205</v>
      </c>
      <c r="B221">
        <v>1690378806.0999999</v>
      </c>
      <c r="C221">
        <v>2089.599999904633</v>
      </c>
      <c r="D221" t="s">
        <v>743</v>
      </c>
      <c r="E221" t="s">
        <v>744</v>
      </c>
      <c r="F221" t="s">
        <v>330</v>
      </c>
      <c r="H221">
        <v>1690378806.0999999</v>
      </c>
      <c r="I221">
        <f t="shared" si="90"/>
        <v>2.4758544746375467E-3</v>
      </c>
      <c r="J221">
        <f t="shared" si="91"/>
        <v>2.4758544746375466</v>
      </c>
      <c r="K221">
        <f t="shared" si="92"/>
        <v>36.423485780345992</v>
      </c>
      <c r="L221">
        <f t="shared" si="93"/>
        <v>370.71199999999999</v>
      </c>
      <c r="M221">
        <f t="shared" si="94"/>
        <v>84.174567846994805</v>
      </c>
      <c r="N221">
        <f t="shared" si="95"/>
        <v>8.3124532537085738</v>
      </c>
      <c r="O221">
        <f t="shared" si="96"/>
        <v>36.608755463884805</v>
      </c>
      <c r="P221">
        <f t="shared" si="97"/>
        <v>0.21711425062201284</v>
      </c>
      <c r="Q221">
        <f t="shared" si="98"/>
        <v>2.007322950391182</v>
      </c>
      <c r="R221">
        <f t="shared" si="99"/>
        <v>0.20486073382093939</v>
      </c>
      <c r="S221">
        <f t="shared" si="100"/>
        <v>0.12908122326169288</v>
      </c>
      <c r="T221">
        <f t="shared" si="101"/>
        <v>276.11500771800002</v>
      </c>
      <c r="U221">
        <f t="shared" si="102"/>
        <v>28.478564501103282</v>
      </c>
      <c r="V221">
        <f t="shared" si="103"/>
        <v>28.478564501103282</v>
      </c>
      <c r="W221">
        <f t="shared" si="104"/>
        <v>3.9020079560811602</v>
      </c>
      <c r="X221">
        <f t="shared" si="105"/>
        <v>76.411503180841194</v>
      </c>
      <c r="Y221">
        <f t="shared" si="106"/>
        <v>2.7487179888537598</v>
      </c>
      <c r="Z221">
        <f t="shared" si="107"/>
        <v>3.5972567930622139</v>
      </c>
      <c r="AA221">
        <f t="shared" si="108"/>
        <v>1.1532899672274004</v>
      </c>
      <c r="AB221">
        <f t="shared" si="109"/>
        <v>-109.1851823315158</v>
      </c>
      <c r="AC221">
        <f t="shared" si="110"/>
        <v>-150.71247401148128</v>
      </c>
      <c r="AD221">
        <f t="shared" si="111"/>
        <v>-16.330595389120155</v>
      </c>
      <c r="AE221">
        <f t="shared" si="112"/>
        <v>-0.11324401411724239</v>
      </c>
      <c r="AF221">
        <v>8</v>
      </c>
      <c r="AG221">
        <v>3</v>
      </c>
      <c r="AH221">
        <f t="shared" si="113"/>
        <v>1</v>
      </c>
      <c r="AI221">
        <f t="shared" si="114"/>
        <v>0</v>
      </c>
      <c r="AJ221">
        <f t="shared" si="115"/>
        <v>52149.772180976484</v>
      </c>
      <c r="AK221">
        <f t="shared" si="116"/>
        <v>1800</v>
      </c>
      <c r="AL221">
        <f t="shared" si="117"/>
        <v>1499.1136307999998</v>
      </c>
      <c r="AM221">
        <f t="shared" si="118"/>
        <v>0.83284090599999994</v>
      </c>
      <c r="AN221">
        <f t="shared" si="119"/>
        <v>0.15339722651000001</v>
      </c>
      <c r="AO221">
        <v>34.5</v>
      </c>
      <c r="AP221">
        <v>0.5</v>
      </c>
      <c r="AQ221" t="s">
        <v>331</v>
      </c>
      <c r="AR221">
        <v>2</v>
      </c>
      <c r="AS221">
        <v>1690378806.0999999</v>
      </c>
      <c r="AT221">
        <v>370.71199999999999</v>
      </c>
      <c r="AU221">
        <v>799.97400000000005</v>
      </c>
      <c r="AV221">
        <v>27.834399999999999</v>
      </c>
      <c r="AW221">
        <v>0.16509799999999999</v>
      </c>
      <c r="AX221">
        <v>371.11099999999999</v>
      </c>
      <c r="AY221">
        <v>27.6233</v>
      </c>
      <c r="AZ221">
        <v>300.11399999999998</v>
      </c>
      <c r="BA221">
        <v>98.652600000000007</v>
      </c>
      <c r="BB221">
        <v>9.9950399999999995E-2</v>
      </c>
      <c r="BC221">
        <v>27.085899999999999</v>
      </c>
      <c r="BD221">
        <v>27.006499999999999</v>
      </c>
      <c r="BE221">
        <v>28.5641</v>
      </c>
      <c r="BF221">
        <v>0</v>
      </c>
      <c r="BG221">
        <v>0</v>
      </c>
      <c r="BH221">
        <v>10000</v>
      </c>
      <c r="BI221">
        <v>1082.33</v>
      </c>
      <c r="BJ221">
        <v>1.56985</v>
      </c>
      <c r="BK221">
        <v>-429.262</v>
      </c>
      <c r="BL221">
        <v>381.32600000000002</v>
      </c>
      <c r="BM221">
        <v>800.10699999999997</v>
      </c>
      <c r="BN221">
        <v>27.6693</v>
      </c>
      <c r="BO221">
        <v>799.97400000000005</v>
      </c>
      <c r="BP221">
        <v>0.16509799999999999</v>
      </c>
      <c r="BQ221">
        <v>2.74594</v>
      </c>
      <c r="BR221">
        <v>1.62874E-2</v>
      </c>
      <c r="BS221">
        <v>22.5626</v>
      </c>
      <c r="BT221">
        <v>-41.384099999999997</v>
      </c>
      <c r="BU221">
        <v>1800</v>
      </c>
      <c r="BV221">
        <v>0.91000999999999999</v>
      </c>
      <c r="BW221">
        <v>3.3997300000000001E-2</v>
      </c>
      <c r="BX221">
        <v>2.1998299999999998E-2</v>
      </c>
      <c r="BY221">
        <v>3.3994499999999997E-2</v>
      </c>
      <c r="BZ221">
        <v>26</v>
      </c>
      <c r="CA221">
        <v>33528.5</v>
      </c>
      <c r="CB221">
        <v>1690376213.5999999</v>
      </c>
      <c r="CC221" t="s">
        <v>332</v>
      </c>
      <c r="CD221">
        <v>1690376213.5999999</v>
      </c>
      <c r="CE221">
        <v>1690376198.0999999</v>
      </c>
      <c r="CF221">
        <v>2</v>
      </c>
      <c r="CG221">
        <v>0.66900000000000004</v>
      </c>
      <c r="CH221">
        <v>-2.1000000000000001E-2</v>
      </c>
      <c r="CI221">
        <v>-0.70099999999999996</v>
      </c>
      <c r="CJ221">
        <v>0.21099999999999999</v>
      </c>
      <c r="CK221">
        <v>799</v>
      </c>
      <c r="CL221">
        <v>21</v>
      </c>
      <c r="CM221">
        <v>0.11</v>
      </c>
      <c r="CN221">
        <v>0.17</v>
      </c>
      <c r="CO221">
        <v>-428.98395121951222</v>
      </c>
      <c r="CP221">
        <v>-1.9187038327534141</v>
      </c>
      <c r="CQ221">
        <v>0.20205564932796061</v>
      </c>
      <c r="CR221">
        <v>-1</v>
      </c>
      <c r="CS221">
        <v>27.65467073170732</v>
      </c>
      <c r="CT221">
        <v>5.1694076655078268E-2</v>
      </c>
      <c r="CU221">
        <v>5.6011864554311799E-3</v>
      </c>
      <c r="CV221">
        <v>-1</v>
      </c>
      <c r="CW221">
        <v>0</v>
      </c>
      <c r="CX221">
        <v>0</v>
      </c>
      <c r="CY221" t="s">
        <v>333</v>
      </c>
      <c r="CZ221">
        <v>2.3649300000000002</v>
      </c>
      <c r="DA221">
        <v>2.71374</v>
      </c>
      <c r="DB221">
        <v>8.42088E-2</v>
      </c>
      <c r="DC221">
        <v>0.14551</v>
      </c>
      <c r="DD221">
        <v>0.125888</v>
      </c>
      <c r="DE221">
        <v>1.3856000000000001E-3</v>
      </c>
      <c r="DF221">
        <v>33450.400000000001</v>
      </c>
      <c r="DG221">
        <v>27540.3</v>
      </c>
      <c r="DH221">
        <v>31180.799999999999</v>
      </c>
      <c r="DI221">
        <v>28083.3</v>
      </c>
      <c r="DJ221">
        <v>36989.1</v>
      </c>
      <c r="DK221">
        <v>39875.9</v>
      </c>
      <c r="DL221">
        <v>44372.5</v>
      </c>
      <c r="DM221">
        <v>42553.2</v>
      </c>
      <c r="DN221">
        <v>1.4492799999999999</v>
      </c>
      <c r="DO221">
        <v>2.04277</v>
      </c>
      <c r="DP221">
        <v>8.9887499999999995E-2</v>
      </c>
      <c r="DQ221">
        <v>0.186302</v>
      </c>
      <c r="DR221">
        <v>25.534700000000001</v>
      </c>
      <c r="DS221">
        <v>25.517499999999998</v>
      </c>
      <c r="DT221">
        <v>24.7</v>
      </c>
      <c r="DU221">
        <v>27.8</v>
      </c>
      <c r="DV221">
        <v>9.3909000000000002</v>
      </c>
      <c r="DW221">
        <v>61.148400000000002</v>
      </c>
      <c r="DX221">
        <v>36.927100000000003</v>
      </c>
      <c r="DY221">
        <v>1</v>
      </c>
      <c r="DZ221">
        <v>-0.129743</v>
      </c>
      <c r="EA221">
        <v>-0.52355700000000005</v>
      </c>
      <c r="EB221">
        <v>20.1891</v>
      </c>
      <c r="EC221">
        <v>5.2416999999999998</v>
      </c>
      <c r="ED221">
        <v>12.039899999999999</v>
      </c>
      <c r="EE221">
        <v>5.0175000000000001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1.86887</v>
      </c>
      <c r="EL221">
        <v>1.8645499999999999</v>
      </c>
      <c r="EM221">
        <v>1.8692</v>
      </c>
      <c r="EN221">
        <v>1.86721</v>
      </c>
      <c r="EO221">
        <v>1.86328</v>
      </c>
      <c r="EP221">
        <v>1.86436</v>
      </c>
      <c r="EQ221">
        <v>1.87012</v>
      </c>
      <c r="ER221">
        <v>1.8693500000000001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-0.39900000000000002</v>
      </c>
      <c r="FG221">
        <v>0.21110000000000001</v>
      </c>
      <c r="FH221">
        <v>-0.150361779349652</v>
      </c>
      <c r="FI221">
        <v>-6.1462078757559423E-4</v>
      </c>
      <c r="FJ221">
        <v>-1.8861989874597051E-7</v>
      </c>
      <c r="FK221">
        <v>1.1980462299894961E-10</v>
      </c>
      <c r="FL221">
        <v>0.21114761904761539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43.2</v>
      </c>
      <c r="FU221">
        <v>43.5</v>
      </c>
      <c r="FV221">
        <v>1.7651399999999999</v>
      </c>
      <c r="FW221">
        <v>2.5720200000000002</v>
      </c>
      <c r="FX221">
        <v>1.5490699999999999</v>
      </c>
      <c r="FY221">
        <v>2.33765</v>
      </c>
      <c r="FZ221">
        <v>1.50146</v>
      </c>
      <c r="GA221">
        <v>2.3986800000000001</v>
      </c>
      <c r="GB221">
        <v>32.509700000000002</v>
      </c>
      <c r="GC221">
        <v>23.991199999999999</v>
      </c>
      <c r="GD221">
        <v>19</v>
      </c>
      <c r="GE221">
        <v>269.66399999999999</v>
      </c>
      <c r="GF221">
        <v>583.02800000000002</v>
      </c>
      <c r="GG221">
        <v>25.8354</v>
      </c>
      <c r="GH221">
        <v>25.799199999999999</v>
      </c>
      <c r="GI221">
        <v>30.0001</v>
      </c>
      <c r="GJ221">
        <v>25.896799999999999</v>
      </c>
      <c r="GK221">
        <v>25.861799999999999</v>
      </c>
      <c r="GL221">
        <v>35.303100000000001</v>
      </c>
      <c r="GM221">
        <v>100</v>
      </c>
      <c r="GN221">
        <v>0</v>
      </c>
      <c r="GO221">
        <v>25.836500000000001</v>
      </c>
      <c r="GP221">
        <v>800</v>
      </c>
      <c r="GQ221">
        <v>0</v>
      </c>
      <c r="GR221">
        <v>99.764399999999995</v>
      </c>
      <c r="GS221">
        <v>99.557199999999995</v>
      </c>
    </row>
    <row r="222" spans="1:201" x14ac:dyDescent="0.25">
      <c r="A222">
        <v>206</v>
      </c>
      <c r="B222">
        <v>1690378816.0999999</v>
      </c>
      <c r="C222">
        <v>2099.599999904633</v>
      </c>
      <c r="D222" t="s">
        <v>745</v>
      </c>
      <c r="E222" t="s">
        <v>746</v>
      </c>
      <c r="F222" t="s">
        <v>330</v>
      </c>
      <c r="H222">
        <v>1690378816.0999999</v>
      </c>
      <c r="I222">
        <f t="shared" si="90"/>
        <v>2.4778707319794498E-3</v>
      </c>
      <c r="J222">
        <f t="shared" si="91"/>
        <v>2.4778707319794497</v>
      </c>
      <c r="K222">
        <f t="shared" si="92"/>
        <v>36.447752933826287</v>
      </c>
      <c r="L222">
        <f t="shared" si="93"/>
        <v>370.45400000000001</v>
      </c>
      <c r="M222">
        <f t="shared" si="94"/>
        <v>84.234171326554502</v>
      </c>
      <c r="N222">
        <f t="shared" si="95"/>
        <v>8.318231438011928</v>
      </c>
      <c r="O222">
        <f t="shared" si="96"/>
        <v>36.582803161807</v>
      </c>
      <c r="P222">
        <f t="shared" si="97"/>
        <v>0.21753550807275157</v>
      </c>
      <c r="Q222">
        <f t="shared" si="98"/>
        <v>2.0042957037800759</v>
      </c>
      <c r="R222">
        <f t="shared" si="99"/>
        <v>0.20521839305184006</v>
      </c>
      <c r="S222">
        <f t="shared" si="100"/>
        <v>0.12930998652789605</v>
      </c>
      <c r="T222">
        <f t="shared" si="101"/>
        <v>276.11489093400002</v>
      </c>
      <c r="U222">
        <f t="shared" si="102"/>
        <v>28.481816670874466</v>
      </c>
      <c r="V222">
        <f t="shared" si="103"/>
        <v>28.481816670874466</v>
      </c>
      <c r="W222">
        <f t="shared" si="104"/>
        <v>3.9027451742829289</v>
      </c>
      <c r="X222">
        <f t="shared" si="105"/>
        <v>76.453247236768235</v>
      </c>
      <c r="Y222">
        <f t="shared" si="106"/>
        <v>2.7505586377447004</v>
      </c>
      <c r="Z222">
        <f t="shared" si="107"/>
        <v>3.5977002117732018</v>
      </c>
      <c r="AA222">
        <f t="shared" si="108"/>
        <v>1.1521865365382284</v>
      </c>
      <c r="AB222">
        <f t="shared" si="109"/>
        <v>-109.27409928029374</v>
      </c>
      <c r="AC222">
        <f t="shared" si="110"/>
        <v>-150.60968269835425</v>
      </c>
      <c r="AD222">
        <f t="shared" si="111"/>
        <v>-16.344542298780617</v>
      </c>
      <c r="AE222">
        <f t="shared" si="112"/>
        <v>-0.11343334342856792</v>
      </c>
      <c r="AF222">
        <v>8</v>
      </c>
      <c r="AG222">
        <v>3</v>
      </c>
      <c r="AH222">
        <f t="shared" si="113"/>
        <v>1</v>
      </c>
      <c r="AI222">
        <f t="shared" si="114"/>
        <v>0</v>
      </c>
      <c r="AJ222">
        <f t="shared" si="115"/>
        <v>52004.860048168033</v>
      </c>
      <c r="AK222">
        <f t="shared" si="116"/>
        <v>1800</v>
      </c>
      <c r="AL222">
        <f t="shared" si="117"/>
        <v>1499.1127974000001</v>
      </c>
      <c r="AM222">
        <f t="shared" si="118"/>
        <v>0.83284044300000004</v>
      </c>
      <c r="AN222">
        <f t="shared" si="119"/>
        <v>0.15339716163</v>
      </c>
      <c r="AO222">
        <v>34.5</v>
      </c>
      <c r="AP222">
        <v>0.5</v>
      </c>
      <c r="AQ222" t="s">
        <v>331</v>
      </c>
      <c r="AR222">
        <v>2</v>
      </c>
      <c r="AS222">
        <v>1690378816.0999999</v>
      </c>
      <c r="AT222">
        <v>370.45400000000001</v>
      </c>
      <c r="AU222">
        <v>799.95899999999995</v>
      </c>
      <c r="AV222">
        <v>27.853400000000001</v>
      </c>
      <c r="AW222">
        <v>0.16450500000000001</v>
      </c>
      <c r="AX222">
        <v>370.85199999999998</v>
      </c>
      <c r="AY222">
        <v>27.642199999999999</v>
      </c>
      <c r="AZ222">
        <v>300.14</v>
      </c>
      <c r="BA222">
        <v>98.651300000000006</v>
      </c>
      <c r="BB222">
        <v>9.9970500000000004E-2</v>
      </c>
      <c r="BC222">
        <v>27.088000000000001</v>
      </c>
      <c r="BD222">
        <v>26.995899999999999</v>
      </c>
      <c r="BE222">
        <v>28.570900000000002</v>
      </c>
      <c r="BF222">
        <v>0</v>
      </c>
      <c r="BG222">
        <v>0</v>
      </c>
      <c r="BH222">
        <v>9971.25</v>
      </c>
      <c r="BI222">
        <v>1082.3699999999999</v>
      </c>
      <c r="BJ222">
        <v>1.56985</v>
      </c>
      <c r="BK222">
        <v>-429.505</v>
      </c>
      <c r="BL222">
        <v>381.06799999999998</v>
      </c>
      <c r="BM222">
        <v>800.09100000000001</v>
      </c>
      <c r="BN222">
        <v>27.688800000000001</v>
      </c>
      <c r="BO222">
        <v>799.95899999999995</v>
      </c>
      <c r="BP222">
        <v>0.16450500000000001</v>
      </c>
      <c r="BQ222">
        <v>2.74777</v>
      </c>
      <c r="BR222">
        <v>1.6228699999999999E-2</v>
      </c>
      <c r="BS222">
        <v>22.573599999999999</v>
      </c>
      <c r="BT222">
        <v>-41.418199999999999</v>
      </c>
      <c r="BU222">
        <v>1800</v>
      </c>
      <c r="BV222">
        <v>0.91000899999999996</v>
      </c>
      <c r="BW222">
        <v>3.39975E-2</v>
      </c>
      <c r="BX222">
        <v>2.1998400000000001E-2</v>
      </c>
      <c r="BY222">
        <v>3.3994700000000003E-2</v>
      </c>
      <c r="BZ222">
        <v>26</v>
      </c>
      <c r="CA222">
        <v>33528.5</v>
      </c>
      <c r="CB222">
        <v>1690376213.5999999</v>
      </c>
      <c r="CC222" t="s">
        <v>332</v>
      </c>
      <c r="CD222">
        <v>1690376213.5999999</v>
      </c>
      <c r="CE222">
        <v>1690376198.0999999</v>
      </c>
      <c r="CF222">
        <v>2</v>
      </c>
      <c r="CG222">
        <v>0.66900000000000004</v>
      </c>
      <c r="CH222">
        <v>-2.1000000000000001E-2</v>
      </c>
      <c r="CI222">
        <v>-0.70099999999999996</v>
      </c>
      <c r="CJ222">
        <v>0.21099999999999999</v>
      </c>
      <c r="CK222">
        <v>799</v>
      </c>
      <c r="CL222">
        <v>21</v>
      </c>
      <c r="CM222">
        <v>0.11</v>
      </c>
      <c r="CN222">
        <v>0.17</v>
      </c>
      <c r="CO222">
        <v>-429.26114634146347</v>
      </c>
      <c r="CP222">
        <v>-1.355310104529029</v>
      </c>
      <c r="CQ222">
        <v>0.1384320844270274</v>
      </c>
      <c r="CR222">
        <v>-1</v>
      </c>
      <c r="CS222">
        <v>27.667465853658531</v>
      </c>
      <c r="CT222">
        <v>0.1093379790940749</v>
      </c>
      <c r="CU222">
        <v>1.0826359200560369E-2</v>
      </c>
      <c r="CV222">
        <v>-1</v>
      </c>
      <c r="CW222">
        <v>0</v>
      </c>
      <c r="CX222">
        <v>0</v>
      </c>
      <c r="CY222" t="s">
        <v>333</v>
      </c>
      <c r="CZ222">
        <v>2.3650099999999998</v>
      </c>
      <c r="DA222">
        <v>2.71374</v>
      </c>
      <c r="DB222">
        <v>8.4162000000000001E-2</v>
      </c>
      <c r="DC222">
        <v>0.145506</v>
      </c>
      <c r="DD222">
        <v>0.125945</v>
      </c>
      <c r="DE222">
        <v>1.38065E-3</v>
      </c>
      <c r="DF222">
        <v>33451.599999999999</v>
      </c>
      <c r="DG222">
        <v>27540.3</v>
      </c>
      <c r="DH222">
        <v>31180.400000000001</v>
      </c>
      <c r="DI222">
        <v>28083.1</v>
      </c>
      <c r="DJ222">
        <v>36986.199999999997</v>
      </c>
      <c r="DK222">
        <v>39876</v>
      </c>
      <c r="DL222">
        <v>44372</v>
      </c>
      <c r="DM222">
        <v>42553.1</v>
      </c>
      <c r="DN222">
        <v>1.4494199999999999</v>
      </c>
      <c r="DO222">
        <v>2.0428500000000001</v>
      </c>
      <c r="DP222">
        <v>8.9373400000000006E-2</v>
      </c>
      <c r="DQ222">
        <v>0.18684899999999999</v>
      </c>
      <c r="DR222">
        <v>25.532499999999999</v>
      </c>
      <c r="DS222">
        <v>25.5153</v>
      </c>
      <c r="DT222">
        <v>24.6</v>
      </c>
      <c r="DU222">
        <v>27.8</v>
      </c>
      <c r="DV222">
        <v>9.3530700000000007</v>
      </c>
      <c r="DW222">
        <v>61.528399999999998</v>
      </c>
      <c r="DX222">
        <v>36.911099999999998</v>
      </c>
      <c r="DY222">
        <v>1</v>
      </c>
      <c r="DZ222">
        <v>-0.12975900000000001</v>
      </c>
      <c r="EA222">
        <v>-0.47089300000000001</v>
      </c>
      <c r="EB222">
        <v>20.1892</v>
      </c>
      <c r="EC222">
        <v>5.2418500000000003</v>
      </c>
      <c r="ED222">
        <v>12.039899999999999</v>
      </c>
      <c r="EE222">
        <v>5.0172499999999998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1.8688800000000001</v>
      </c>
      <c r="EL222">
        <v>1.8645499999999999</v>
      </c>
      <c r="EM222">
        <v>1.86917</v>
      </c>
      <c r="EN222">
        <v>1.8672200000000001</v>
      </c>
      <c r="EO222">
        <v>1.8632899999999999</v>
      </c>
      <c r="EP222">
        <v>1.8643799999999999</v>
      </c>
      <c r="EQ222">
        <v>1.87012</v>
      </c>
      <c r="ER222">
        <v>1.8693500000000001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-0.39800000000000002</v>
      </c>
      <c r="FG222">
        <v>0.2112</v>
      </c>
      <c r="FH222">
        <v>-0.150361779349652</v>
      </c>
      <c r="FI222">
        <v>-6.1462078757559423E-4</v>
      </c>
      <c r="FJ222">
        <v>-1.8861989874597051E-7</v>
      </c>
      <c r="FK222">
        <v>1.1980462299894961E-10</v>
      </c>
      <c r="FL222">
        <v>0.21114761904761539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43.4</v>
      </c>
      <c r="FU222">
        <v>43.6</v>
      </c>
      <c r="FV222">
        <v>1.7651399999999999</v>
      </c>
      <c r="FW222">
        <v>2.5695800000000002</v>
      </c>
      <c r="FX222">
        <v>1.5490699999999999</v>
      </c>
      <c r="FY222">
        <v>2.33765</v>
      </c>
      <c r="FZ222">
        <v>1.50146</v>
      </c>
      <c r="GA222">
        <v>2.3828100000000001</v>
      </c>
      <c r="GB222">
        <v>32.509700000000002</v>
      </c>
      <c r="GC222">
        <v>23.991199999999999</v>
      </c>
      <c r="GD222">
        <v>19</v>
      </c>
      <c r="GE222">
        <v>269.72500000000002</v>
      </c>
      <c r="GF222">
        <v>583.09</v>
      </c>
      <c r="GG222">
        <v>25.830300000000001</v>
      </c>
      <c r="GH222">
        <v>25.801200000000001</v>
      </c>
      <c r="GI222">
        <v>30.0001</v>
      </c>
      <c r="GJ222">
        <v>25.896899999999999</v>
      </c>
      <c r="GK222">
        <v>25.861799999999999</v>
      </c>
      <c r="GL222">
        <v>35.3033</v>
      </c>
      <c r="GM222">
        <v>100</v>
      </c>
      <c r="GN222">
        <v>0</v>
      </c>
      <c r="GO222">
        <v>25.827999999999999</v>
      </c>
      <c r="GP222">
        <v>800</v>
      </c>
      <c r="GQ222">
        <v>0</v>
      </c>
      <c r="GR222">
        <v>99.763099999999994</v>
      </c>
      <c r="GS222">
        <v>99.556899999999999</v>
      </c>
    </row>
    <row r="223" spans="1:201" x14ac:dyDescent="0.25">
      <c r="A223">
        <v>207</v>
      </c>
      <c r="B223">
        <v>1690378826.0999999</v>
      </c>
      <c r="C223">
        <v>2109.599999904633</v>
      </c>
      <c r="D223" t="s">
        <v>747</v>
      </c>
      <c r="E223" t="s">
        <v>748</v>
      </c>
      <c r="F223" t="s">
        <v>330</v>
      </c>
      <c r="H223">
        <v>1690378826.0999999</v>
      </c>
      <c r="I223">
        <f t="shared" si="90"/>
        <v>2.4789534565631578E-3</v>
      </c>
      <c r="J223">
        <f t="shared" si="91"/>
        <v>2.4789534565631577</v>
      </c>
      <c r="K223">
        <f t="shared" si="92"/>
        <v>36.47886582098235</v>
      </c>
      <c r="L223">
        <f t="shared" si="93"/>
        <v>370.16</v>
      </c>
      <c r="M223">
        <f t="shared" si="94"/>
        <v>84.145434895823811</v>
      </c>
      <c r="N223">
        <f t="shared" si="95"/>
        <v>8.3094649424112195</v>
      </c>
      <c r="O223">
        <f t="shared" si="96"/>
        <v>36.553754186319999</v>
      </c>
      <c r="P223">
        <f t="shared" si="97"/>
        <v>0.2178887860126712</v>
      </c>
      <c r="Q223">
        <f t="shared" si="98"/>
        <v>2.004623141837524</v>
      </c>
      <c r="R223">
        <f t="shared" si="99"/>
        <v>0.20553474752767661</v>
      </c>
      <c r="S223">
        <f t="shared" si="100"/>
        <v>0.1295107709692184</v>
      </c>
      <c r="T223">
        <f t="shared" si="101"/>
        <v>276.11512561800004</v>
      </c>
      <c r="U223">
        <f t="shared" si="102"/>
        <v>28.481014542042097</v>
      </c>
      <c r="V223">
        <f t="shared" si="103"/>
        <v>28.481014542042097</v>
      </c>
      <c r="W223">
        <f t="shared" si="104"/>
        <v>3.9025633323987003</v>
      </c>
      <c r="X223">
        <f t="shared" si="105"/>
        <v>76.484579149118829</v>
      </c>
      <c r="Y223">
        <f t="shared" si="106"/>
        <v>2.7516535647414999</v>
      </c>
      <c r="Z223">
        <f t="shared" si="107"/>
        <v>3.59765797936433</v>
      </c>
      <c r="AA223">
        <f t="shared" si="108"/>
        <v>1.1509097676572004</v>
      </c>
      <c r="AB223">
        <f t="shared" si="109"/>
        <v>-109.32184743443526</v>
      </c>
      <c r="AC223">
        <f t="shared" si="110"/>
        <v>-150.56921350629426</v>
      </c>
      <c r="AD223">
        <f t="shared" si="111"/>
        <v>-16.337399733131043</v>
      </c>
      <c r="AE223">
        <f t="shared" si="112"/>
        <v>-0.11333505586054571</v>
      </c>
      <c r="AF223">
        <v>8</v>
      </c>
      <c r="AG223">
        <v>3</v>
      </c>
      <c r="AH223">
        <f t="shared" si="113"/>
        <v>1</v>
      </c>
      <c r="AI223">
        <f t="shared" si="114"/>
        <v>0</v>
      </c>
      <c r="AJ223">
        <f t="shared" si="115"/>
        <v>52020.509819981795</v>
      </c>
      <c r="AK223">
        <f t="shared" si="116"/>
        <v>1800</v>
      </c>
      <c r="AL223">
        <f t="shared" si="117"/>
        <v>1499.1134778000001</v>
      </c>
      <c r="AM223">
        <f t="shared" si="118"/>
        <v>0.83284082100000001</v>
      </c>
      <c r="AN223">
        <f t="shared" si="119"/>
        <v>0.15339729201000002</v>
      </c>
      <c r="AO223">
        <v>34.5</v>
      </c>
      <c r="AP223">
        <v>0.5</v>
      </c>
      <c r="AQ223" t="s">
        <v>331</v>
      </c>
      <c r="AR223">
        <v>2</v>
      </c>
      <c r="AS223">
        <v>1690378826.0999999</v>
      </c>
      <c r="AT223">
        <v>370.16</v>
      </c>
      <c r="AU223">
        <v>800.01599999999996</v>
      </c>
      <c r="AV223">
        <v>27.8645</v>
      </c>
      <c r="AW223">
        <v>0.16400700000000001</v>
      </c>
      <c r="AX223">
        <v>370.55799999999999</v>
      </c>
      <c r="AY223">
        <v>27.653400000000001</v>
      </c>
      <c r="AZ223">
        <v>300.142</v>
      </c>
      <c r="BA223">
        <v>98.651200000000003</v>
      </c>
      <c r="BB223">
        <v>0.100027</v>
      </c>
      <c r="BC223">
        <v>27.087800000000001</v>
      </c>
      <c r="BD223">
        <v>27.006599999999999</v>
      </c>
      <c r="BE223">
        <v>28.565899999999999</v>
      </c>
      <c r="BF223">
        <v>0</v>
      </c>
      <c r="BG223">
        <v>0</v>
      </c>
      <c r="BH223">
        <v>9974.3799999999992</v>
      </c>
      <c r="BI223">
        <v>1082.56</v>
      </c>
      <c r="BJ223">
        <v>1.56985</v>
      </c>
      <c r="BK223">
        <v>-429.85599999999999</v>
      </c>
      <c r="BL223">
        <v>380.77</v>
      </c>
      <c r="BM223">
        <v>800.14700000000005</v>
      </c>
      <c r="BN223">
        <v>27.700500000000002</v>
      </c>
      <c r="BO223">
        <v>800.01599999999996</v>
      </c>
      <c r="BP223">
        <v>0.16400700000000001</v>
      </c>
      <c r="BQ223">
        <v>2.7488700000000001</v>
      </c>
      <c r="BR223">
        <v>1.6179499999999999E-2</v>
      </c>
      <c r="BS223">
        <v>22.580200000000001</v>
      </c>
      <c r="BT223">
        <v>-41.446800000000003</v>
      </c>
      <c r="BU223">
        <v>1800</v>
      </c>
      <c r="BV223">
        <v>0.91000800000000004</v>
      </c>
      <c r="BW223">
        <v>3.3998100000000003E-2</v>
      </c>
      <c r="BX223">
        <v>2.1998799999999999E-2</v>
      </c>
      <c r="BY223">
        <v>3.3995299999999999E-2</v>
      </c>
      <c r="BZ223">
        <v>26</v>
      </c>
      <c r="CA223">
        <v>33528.400000000001</v>
      </c>
      <c r="CB223">
        <v>1690376213.5999999</v>
      </c>
      <c r="CC223" t="s">
        <v>332</v>
      </c>
      <c r="CD223">
        <v>1690376213.5999999</v>
      </c>
      <c r="CE223">
        <v>1690376198.0999999</v>
      </c>
      <c r="CF223">
        <v>2</v>
      </c>
      <c r="CG223">
        <v>0.66900000000000004</v>
      </c>
      <c r="CH223">
        <v>-2.1000000000000001E-2</v>
      </c>
      <c r="CI223">
        <v>-0.70099999999999996</v>
      </c>
      <c r="CJ223">
        <v>0.21099999999999999</v>
      </c>
      <c r="CK223">
        <v>799</v>
      </c>
      <c r="CL223">
        <v>21</v>
      </c>
      <c r="CM223">
        <v>0.11</v>
      </c>
      <c r="CN223">
        <v>0.17</v>
      </c>
      <c r="CO223">
        <v>-429.50170000000003</v>
      </c>
      <c r="CP223">
        <v>-1.559617260787467</v>
      </c>
      <c r="CQ223">
        <v>0.1522378402369107</v>
      </c>
      <c r="CR223">
        <v>-1</v>
      </c>
      <c r="CS223">
        <v>27.686242499999999</v>
      </c>
      <c r="CT223">
        <v>9.9400750468905508E-2</v>
      </c>
      <c r="CU223">
        <v>9.6659683296604435E-3</v>
      </c>
      <c r="CV223">
        <v>-1</v>
      </c>
      <c r="CW223">
        <v>0</v>
      </c>
      <c r="CX223">
        <v>0</v>
      </c>
      <c r="CY223" t="s">
        <v>333</v>
      </c>
      <c r="CZ223">
        <v>2.36503</v>
      </c>
      <c r="DA223">
        <v>2.7138</v>
      </c>
      <c r="DB223">
        <v>8.4109600000000007E-2</v>
      </c>
      <c r="DC223">
        <v>0.145512</v>
      </c>
      <c r="DD223">
        <v>0.12597900000000001</v>
      </c>
      <c r="DE223">
        <v>1.3764999999999999E-3</v>
      </c>
      <c r="DF223">
        <v>33452.9</v>
      </c>
      <c r="DG223">
        <v>27539.9</v>
      </c>
      <c r="DH223">
        <v>31179.8</v>
      </c>
      <c r="DI223">
        <v>28082.9</v>
      </c>
      <c r="DJ223">
        <v>36984.1</v>
      </c>
      <c r="DK223">
        <v>39875.800000000003</v>
      </c>
      <c r="DL223">
        <v>44371.199999999997</v>
      </c>
      <c r="DM223">
        <v>42552.7</v>
      </c>
      <c r="DN223">
        <v>1.4494199999999999</v>
      </c>
      <c r="DO223">
        <v>2.0429300000000001</v>
      </c>
      <c r="DP223">
        <v>8.9924799999999999E-2</v>
      </c>
      <c r="DQ223">
        <v>0.18654799999999999</v>
      </c>
      <c r="DR223">
        <v>25.534199999999998</v>
      </c>
      <c r="DS223">
        <v>25.5153</v>
      </c>
      <c r="DT223">
        <v>24.6</v>
      </c>
      <c r="DU223">
        <v>27.8</v>
      </c>
      <c r="DV223">
        <v>9.3529800000000005</v>
      </c>
      <c r="DW223">
        <v>61.218400000000003</v>
      </c>
      <c r="DX223">
        <v>36.999200000000002</v>
      </c>
      <c r="DY223">
        <v>1</v>
      </c>
      <c r="DZ223">
        <v>-0.12911800000000001</v>
      </c>
      <c r="EA223">
        <v>-0.50095599999999996</v>
      </c>
      <c r="EB223">
        <v>20.189</v>
      </c>
      <c r="EC223">
        <v>5.2423000000000002</v>
      </c>
      <c r="ED223">
        <v>12.039899999999999</v>
      </c>
      <c r="EE223">
        <v>5.0170000000000003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1.8688800000000001</v>
      </c>
      <c r="EL223">
        <v>1.86452</v>
      </c>
      <c r="EM223">
        <v>1.8691899999999999</v>
      </c>
      <c r="EN223">
        <v>1.8672200000000001</v>
      </c>
      <c r="EO223">
        <v>1.86328</v>
      </c>
      <c r="EP223">
        <v>1.86435</v>
      </c>
      <c r="EQ223">
        <v>1.87012</v>
      </c>
      <c r="ER223">
        <v>1.8693500000000001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-0.39800000000000002</v>
      </c>
      <c r="FG223">
        <v>0.21110000000000001</v>
      </c>
      <c r="FH223">
        <v>-0.150361779349652</v>
      </c>
      <c r="FI223">
        <v>-6.1462078757559423E-4</v>
      </c>
      <c r="FJ223">
        <v>-1.8861989874597051E-7</v>
      </c>
      <c r="FK223">
        <v>1.1980462299894961E-10</v>
      </c>
      <c r="FL223">
        <v>0.21114761904761539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43.5</v>
      </c>
      <c r="FU223">
        <v>43.8</v>
      </c>
      <c r="FV223">
        <v>1.7651399999999999</v>
      </c>
      <c r="FW223">
        <v>2.5683600000000002</v>
      </c>
      <c r="FX223">
        <v>1.5490699999999999</v>
      </c>
      <c r="FY223">
        <v>2.33765</v>
      </c>
      <c r="FZ223">
        <v>1.50146</v>
      </c>
      <c r="GA223">
        <v>2.4108900000000002</v>
      </c>
      <c r="GB223">
        <v>32.531799999999997</v>
      </c>
      <c r="GC223">
        <v>23.991199999999999</v>
      </c>
      <c r="GD223">
        <v>19</v>
      </c>
      <c r="GE223">
        <v>269.73399999999998</v>
      </c>
      <c r="GF223">
        <v>583.17600000000004</v>
      </c>
      <c r="GG223">
        <v>25.827000000000002</v>
      </c>
      <c r="GH223">
        <v>25.801200000000001</v>
      </c>
      <c r="GI223">
        <v>30.0001</v>
      </c>
      <c r="GJ223">
        <v>25.898900000000001</v>
      </c>
      <c r="GK223">
        <v>25.863900000000001</v>
      </c>
      <c r="GL223">
        <v>35.3035</v>
      </c>
      <c r="GM223">
        <v>100</v>
      </c>
      <c r="GN223">
        <v>0</v>
      </c>
      <c r="GO223">
        <v>25.827500000000001</v>
      </c>
      <c r="GP223">
        <v>800</v>
      </c>
      <c r="GQ223">
        <v>0</v>
      </c>
      <c r="GR223">
        <v>99.761300000000006</v>
      </c>
      <c r="GS223">
        <v>99.555999999999997</v>
      </c>
    </row>
    <row r="224" spans="1:201" x14ac:dyDescent="0.25">
      <c r="A224">
        <v>208</v>
      </c>
      <c r="B224">
        <v>1690378836.0999999</v>
      </c>
      <c r="C224">
        <v>2119.599999904633</v>
      </c>
      <c r="D224" t="s">
        <v>749</v>
      </c>
      <c r="E224" t="s">
        <v>750</v>
      </c>
      <c r="F224" t="s">
        <v>330</v>
      </c>
      <c r="H224">
        <v>1690378836.0999999</v>
      </c>
      <c r="I224">
        <f t="shared" si="90"/>
        <v>2.4805571349014884E-3</v>
      </c>
      <c r="J224">
        <f t="shared" si="91"/>
        <v>2.4805571349014883</v>
      </c>
      <c r="K224">
        <f t="shared" si="92"/>
        <v>36.518084917343984</v>
      </c>
      <c r="L224">
        <f t="shared" si="93"/>
        <v>369.84</v>
      </c>
      <c r="M224">
        <f t="shared" si="94"/>
        <v>84.257991479933722</v>
      </c>
      <c r="N224">
        <f t="shared" si="95"/>
        <v>8.3211641195959398</v>
      </c>
      <c r="O224">
        <f t="shared" si="96"/>
        <v>36.524717524560003</v>
      </c>
      <c r="P224">
        <f t="shared" si="97"/>
        <v>0.21845663402805912</v>
      </c>
      <c r="Q224">
        <f t="shared" si="98"/>
        <v>2.0086887596360787</v>
      </c>
      <c r="R224">
        <f t="shared" si="99"/>
        <v>0.20606368938325506</v>
      </c>
      <c r="S224">
        <f t="shared" si="100"/>
        <v>0.12984463942900479</v>
      </c>
      <c r="T224">
        <f t="shared" si="101"/>
        <v>276.11495150400003</v>
      </c>
      <c r="U224">
        <f t="shared" si="102"/>
        <v>28.478077063916825</v>
      </c>
      <c r="V224">
        <f t="shared" si="103"/>
        <v>28.478077063916825</v>
      </c>
      <c r="W224">
        <f t="shared" si="104"/>
        <v>3.9018974718355275</v>
      </c>
      <c r="X224">
        <f t="shared" si="105"/>
        <v>76.524461173758212</v>
      </c>
      <c r="Y224">
        <f t="shared" si="106"/>
        <v>2.7531207017066004</v>
      </c>
      <c r="Z224">
        <f t="shared" si="107"/>
        <v>3.5977002117732018</v>
      </c>
      <c r="AA224">
        <f t="shared" si="108"/>
        <v>1.1487767701289271</v>
      </c>
      <c r="AB224">
        <f t="shared" si="109"/>
        <v>-109.39256964915563</v>
      </c>
      <c r="AC224">
        <f t="shared" si="110"/>
        <v>-150.53482092790097</v>
      </c>
      <c r="AD224">
        <f t="shared" si="111"/>
        <v>-16.300385467512438</v>
      </c>
      <c r="AE224">
        <f t="shared" si="112"/>
        <v>-0.11282454056902225</v>
      </c>
      <c r="AF224">
        <v>7</v>
      </c>
      <c r="AG224">
        <v>2</v>
      </c>
      <c r="AH224">
        <f t="shared" si="113"/>
        <v>1</v>
      </c>
      <c r="AI224">
        <f t="shared" si="114"/>
        <v>0</v>
      </c>
      <c r="AJ224">
        <f t="shared" si="115"/>
        <v>52214.82911044106</v>
      </c>
      <c r="AK224">
        <f t="shared" si="116"/>
        <v>1800</v>
      </c>
      <c r="AL224">
        <f t="shared" si="117"/>
        <v>1499.1123834</v>
      </c>
      <c r="AM224">
        <f t="shared" si="118"/>
        <v>0.832840213</v>
      </c>
      <c r="AN224">
        <f t="shared" si="119"/>
        <v>0.15339719528000001</v>
      </c>
      <c r="AO224">
        <v>34.5</v>
      </c>
      <c r="AP224">
        <v>0.5</v>
      </c>
      <c r="AQ224" t="s">
        <v>331</v>
      </c>
      <c r="AR224">
        <v>2</v>
      </c>
      <c r="AS224">
        <v>1690378836.0999999</v>
      </c>
      <c r="AT224">
        <v>369.84</v>
      </c>
      <c r="AU224">
        <v>800.08</v>
      </c>
      <c r="AV224">
        <v>27.877400000000002</v>
      </c>
      <c r="AW224">
        <v>0.16350999999999999</v>
      </c>
      <c r="AX224">
        <v>370.238</v>
      </c>
      <c r="AY224">
        <v>27.6662</v>
      </c>
      <c r="AZ224">
        <v>300.18700000000001</v>
      </c>
      <c r="BA224">
        <v>98.658100000000005</v>
      </c>
      <c r="BB224">
        <v>0.100059</v>
      </c>
      <c r="BC224">
        <v>27.088000000000001</v>
      </c>
      <c r="BD224">
        <v>26.996700000000001</v>
      </c>
      <c r="BE224">
        <v>28.568899999999999</v>
      </c>
      <c r="BF224">
        <v>0</v>
      </c>
      <c r="BG224">
        <v>0</v>
      </c>
      <c r="BH224">
        <v>10012.5</v>
      </c>
      <c r="BI224">
        <v>1082.6099999999999</v>
      </c>
      <c r="BJ224">
        <v>1.56985</v>
      </c>
      <c r="BK224">
        <v>-430.24</v>
      </c>
      <c r="BL224">
        <v>380.44600000000003</v>
      </c>
      <c r="BM224">
        <v>800.21100000000001</v>
      </c>
      <c r="BN224">
        <v>27.713899999999999</v>
      </c>
      <c r="BO224">
        <v>800.08</v>
      </c>
      <c r="BP224">
        <v>0.16350999999999999</v>
      </c>
      <c r="BQ224">
        <v>2.7503299999999999</v>
      </c>
      <c r="BR224">
        <v>1.6131599999999999E-2</v>
      </c>
      <c r="BS224">
        <v>22.588999999999999</v>
      </c>
      <c r="BT224">
        <v>-41.474800000000002</v>
      </c>
      <c r="BU224">
        <v>1800</v>
      </c>
      <c r="BV224">
        <v>0.91000700000000001</v>
      </c>
      <c r="BW224">
        <v>3.3998199999999999E-2</v>
      </c>
      <c r="BX224">
        <v>2.1998899999999998E-2</v>
      </c>
      <c r="BY224">
        <v>3.3995400000000002E-2</v>
      </c>
      <c r="BZ224">
        <v>26</v>
      </c>
      <c r="CA224">
        <v>33528.400000000001</v>
      </c>
      <c r="CB224">
        <v>1690376213.5999999</v>
      </c>
      <c r="CC224" t="s">
        <v>332</v>
      </c>
      <c r="CD224">
        <v>1690376213.5999999</v>
      </c>
      <c r="CE224">
        <v>1690376198.0999999</v>
      </c>
      <c r="CF224">
        <v>2</v>
      </c>
      <c r="CG224">
        <v>0.66900000000000004</v>
      </c>
      <c r="CH224">
        <v>-2.1000000000000001E-2</v>
      </c>
      <c r="CI224">
        <v>-0.70099999999999996</v>
      </c>
      <c r="CJ224">
        <v>0.21099999999999999</v>
      </c>
      <c r="CK224">
        <v>799</v>
      </c>
      <c r="CL224">
        <v>21</v>
      </c>
      <c r="CM224">
        <v>0.11</v>
      </c>
      <c r="CN224">
        <v>0.17</v>
      </c>
      <c r="CO224">
        <v>-429.82256097560969</v>
      </c>
      <c r="CP224">
        <v>-2.2803344947736708</v>
      </c>
      <c r="CQ224">
        <v>0.22640941210941509</v>
      </c>
      <c r="CR224">
        <v>-1</v>
      </c>
      <c r="CS224">
        <v>27.700160975609752</v>
      </c>
      <c r="CT224">
        <v>6.6635540069717211E-2</v>
      </c>
      <c r="CU224">
        <v>6.6372517839321321E-3</v>
      </c>
      <c r="CV224">
        <v>-1</v>
      </c>
      <c r="CW224">
        <v>0</v>
      </c>
      <c r="CX224">
        <v>0</v>
      </c>
      <c r="CY224" t="s">
        <v>333</v>
      </c>
      <c r="CZ224">
        <v>2.3651599999999999</v>
      </c>
      <c r="DA224">
        <v>2.7138599999999999</v>
      </c>
      <c r="DB224">
        <v>8.4058499999999994E-2</v>
      </c>
      <c r="DC224">
        <v>0.14552899999999999</v>
      </c>
      <c r="DD224">
        <v>0.126028</v>
      </c>
      <c r="DE224">
        <v>1.3724500000000001E-3</v>
      </c>
      <c r="DF224">
        <v>33455.699999999997</v>
      </c>
      <c r="DG224">
        <v>27539.9</v>
      </c>
      <c r="DH224">
        <v>31180.6</v>
      </c>
      <c r="DI224">
        <v>28083.4</v>
      </c>
      <c r="DJ224">
        <v>36983</v>
      </c>
      <c r="DK224">
        <v>39876.5</v>
      </c>
      <c r="DL224">
        <v>44372.4</v>
      </c>
      <c r="DM224">
        <v>42553.3</v>
      </c>
      <c r="DN224">
        <v>1.4498500000000001</v>
      </c>
      <c r="DO224">
        <v>2.0425200000000001</v>
      </c>
      <c r="DP224">
        <v>8.9291499999999996E-2</v>
      </c>
      <c r="DQ224">
        <v>0.186726</v>
      </c>
      <c r="DR224">
        <v>25.534700000000001</v>
      </c>
      <c r="DS224">
        <v>25.5153</v>
      </c>
      <c r="DT224">
        <v>24.5</v>
      </c>
      <c r="DU224">
        <v>27.8</v>
      </c>
      <c r="DV224">
        <v>9.3147400000000005</v>
      </c>
      <c r="DW224">
        <v>60.968400000000003</v>
      </c>
      <c r="DX224">
        <v>36.895000000000003</v>
      </c>
      <c r="DY224">
        <v>1</v>
      </c>
      <c r="DZ224">
        <v>-0.129139</v>
      </c>
      <c r="EA224">
        <v>-0.476825</v>
      </c>
      <c r="EB224">
        <v>20.189399999999999</v>
      </c>
      <c r="EC224">
        <v>5.2424499999999998</v>
      </c>
      <c r="ED224">
        <v>12.039899999999999</v>
      </c>
      <c r="EE224">
        <v>5.0167000000000002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1.86887</v>
      </c>
      <c r="EL224">
        <v>1.86453</v>
      </c>
      <c r="EM224">
        <v>1.8691899999999999</v>
      </c>
      <c r="EN224">
        <v>1.8672200000000001</v>
      </c>
      <c r="EO224">
        <v>1.8632899999999999</v>
      </c>
      <c r="EP224">
        <v>1.86435</v>
      </c>
      <c r="EQ224">
        <v>1.87012</v>
      </c>
      <c r="ER224">
        <v>1.8693500000000001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-0.39800000000000002</v>
      </c>
      <c r="FG224">
        <v>0.2112</v>
      </c>
      <c r="FH224">
        <v>-0.150361779349652</v>
      </c>
      <c r="FI224">
        <v>-6.1462078757559423E-4</v>
      </c>
      <c r="FJ224">
        <v>-1.8861989874597051E-7</v>
      </c>
      <c r="FK224">
        <v>1.1980462299894961E-10</v>
      </c>
      <c r="FL224">
        <v>0.21114761904761539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43.7</v>
      </c>
      <c r="FU224">
        <v>44</v>
      </c>
      <c r="FV224">
        <v>1.7663599999999999</v>
      </c>
      <c r="FW224">
        <v>2.5647000000000002</v>
      </c>
      <c r="FX224">
        <v>1.5490699999999999</v>
      </c>
      <c r="FY224">
        <v>2.33765</v>
      </c>
      <c r="FZ224">
        <v>1.50146</v>
      </c>
      <c r="GA224">
        <v>2.3596200000000001</v>
      </c>
      <c r="GB224">
        <v>32.531799999999997</v>
      </c>
      <c r="GC224">
        <v>23.991199999999999</v>
      </c>
      <c r="GD224">
        <v>19</v>
      </c>
      <c r="GE224">
        <v>269.91399999999999</v>
      </c>
      <c r="GF224">
        <v>582.87099999999998</v>
      </c>
      <c r="GG224">
        <v>25.822399999999998</v>
      </c>
      <c r="GH224">
        <v>25.8034</v>
      </c>
      <c r="GI224">
        <v>30.0002</v>
      </c>
      <c r="GJ224">
        <v>25.900200000000002</v>
      </c>
      <c r="GK224">
        <v>25.866099999999999</v>
      </c>
      <c r="GL224">
        <v>35.303400000000003</v>
      </c>
      <c r="GM224">
        <v>100</v>
      </c>
      <c r="GN224">
        <v>0</v>
      </c>
      <c r="GO224">
        <v>25.824999999999999</v>
      </c>
      <c r="GP224">
        <v>800</v>
      </c>
      <c r="GQ224">
        <v>0</v>
      </c>
      <c r="GR224">
        <v>99.763900000000007</v>
      </c>
      <c r="GS224">
        <v>99.557500000000005</v>
      </c>
    </row>
    <row r="225" spans="1:201" x14ac:dyDescent="0.25">
      <c r="A225">
        <v>209</v>
      </c>
      <c r="B225">
        <v>1690378846.0999999</v>
      </c>
      <c r="C225">
        <v>2129.599999904633</v>
      </c>
      <c r="D225" t="s">
        <v>751</v>
      </c>
      <c r="E225" t="s">
        <v>752</v>
      </c>
      <c r="F225" t="s">
        <v>330</v>
      </c>
      <c r="H225">
        <v>1690378846.0999999</v>
      </c>
      <c r="I225">
        <f t="shared" si="90"/>
        <v>2.481208777003919E-3</v>
      </c>
      <c r="J225">
        <f t="shared" si="91"/>
        <v>2.4812087770039191</v>
      </c>
      <c r="K225">
        <f t="shared" si="92"/>
        <v>36.513242889870462</v>
      </c>
      <c r="L225">
        <f t="shared" si="93"/>
        <v>369.613</v>
      </c>
      <c r="M225">
        <f t="shared" si="94"/>
        <v>84.273284219893839</v>
      </c>
      <c r="N225">
        <f t="shared" si="95"/>
        <v>8.3223622120590743</v>
      </c>
      <c r="O225">
        <f t="shared" si="96"/>
        <v>36.500930191108502</v>
      </c>
      <c r="P225">
        <f t="shared" si="97"/>
        <v>0.2186295626960606</v>
      </c>
      <c r="Q225">
        <f t="shared" si="98"/>
        <v>2.0071463222547359</v>
      </c>
      <c r="R225">
        <f t="shared" si="99"/>
        <v>0.20620863172491702</v>
      </c>
      <c r="S225">
        <f t="shared" si="100"/>
        <v>0.12993752413536072</v>
      </c>
      <c r="T225">
        <f t="shared" si="101"/>
        <v>276.11343626994318</v>
      </c>
      <c r="U225">
        <f t="shared" si="102"/>
        <v>28.481884910612489</v>
      </c>
      <c r="V225">
        <f t="shared" si="103"/>
        <v>28.481884910612489</v>
      </c>
      <c r="W225">
        <f t="shared" si="104"/>
        <v>3.9027606445112077</v>
      </c>
      <c r="X225">
        <f t="shared" si="105"/>
        <v>76.550207632644799</v>
      </c>
      <c r="Y225">
        <f t="shared" si="106"/>
        <v>2.7545481239230498</v>
      </c>
      <c r="Z225">
        <f t="shared" si="107"/>
        <v>3.5983548694495955</v>
      </c>
      <c r="AA225">
        <f t="shared" si="108"/>
        <v>1.1482125205881579</v>
      </c>
      <c r="AB225">
        <f t="shared" si="109"/>
        <v>-109.42130706587282</v>
      </c>
      <c r="AC225">
        <f t="shared" si="110"/>
        <v>-150.49582341667713</v>
      </c>
      <c r="AD225">
        <f t="shared" si="111"/>
        <v>-16.309247768163807</v>
      </c>
      <c r="AE225">
        <f t="shared" si="112"/>
        <v>-0.11294198077058581</v>
      </c>
      <c r="AF225">
        <v>8</v>
      </c>
      <c r="AG225">
        <v>3</v>
      </c>
      <c r="AH225">
        <f t="shared" si="113"/>
        <v>1</v>
      </c>
      <c r="AI225">
        <f t="shared" si="114"/>
        <v>0</v>
      </c>
      <c r="AJ225">
        <f t="shared" si="115"/>
        <v>52140.469176460094</v>
      </c>
      <c r="AK225">
        <f t="shared" si="116"/>
        <v>1799.99</v>
      </c>
      <c r="AL225">
        <f t="shared" si="117"/>
        <v>1499.1044707955598</v>
      </c>
      <c r="AM225">
        <f t="shared" si="118"/>
        <v>0.8328404439999999</v>
      </c>
      <c r="AN225">
        <f t="shared" si="119"/>
        <v>0.15339720569000004</v>
      </c>
      <c r="AO225">
        <v>34.5</v>
      </c>
      <c r="AP225">
        <v>0.5</v>
      </c>
      <c r="AQ225" t="s">
        <v>331</v>
      </c>
      <c r="AR225">
        <v>2</v>
      </c>
      <c r="AS225">
        <v>1690378846.0999999</v>
      </c>
      <c r="AT225">
        <v>369.613</v>
      </c>
      <c r="AU225">
        <v>799.93700000000001</v>
      </c>
      <c r="AV225">
        <v>27.892900000000001</v>
      </c>
      <c r="AW225">
        <v>0.162934</v>
      </c>
      <c r="AX225">
        <v>370.01100000000002</v>
      </c>
      <c r="AY225">
        <v>27.681699999999999</v>
      </c>
      <c r="AZ225">
        <v>300.08699999999999</v>
      </c>
      <c r="BA225">
        <v>98.654499999999999</v>
      </c>
      <c r="BB225">
        <v>9.9954500000000002E-2</v>
      </c>
      <c r="BC225">
        <v>27.091100000000001</v>
      </c>
      <c r="BD225">
        <v>27.002600000000001</v>
      </c>
      <c r="BE225">
        <v>28.562799999999999</v>
      </c>
      <c r="BF225">
        <v>0</v>
      </c>
      <c r="BG225">
        <v>0</v>
      </c>
      <c r="BH225">
        <v>9998.1200000000008</v>
      </c>
      <c r="BI225">
        <v>1082.72</v>
      </c>
      <c r="BJ225">
        <v>1.62592</v>
      </c>
      <c r="BK225">
        <v>-430.32400000000001</v>
      </c>
      <c r="BL225">
        <v>380.21899999999999</v>
      </c>
      <c r="BM225">
        <v>800.06799999999998</v>
      </c>
      <c r="BN225">
        <v>27.73</v>
      </c>
      <c r="BO225">
        <v>799.93700000000001</v>
      </c>
      <c r="BP225">
        <v>0.162934</v>
      </c>
      <c r="BQ225">
        <v>2.75176</v>
      </c>
      <c r="BR225">
        <v>1.60742E-2</v>
      </c>
      <c r="BS225">
        <v>22.5975</v>
      </c>
      <c r="BT225">
        <v>-41.508400000000002</v>
      </c>
      <c r="BU225">
        <v>1799.99</v>
      </c>
      <c r="BV225">
        <v>0.91000800000000004</v>
      </c>
      <c r="BW225">
        <v>3.3997899999999998E-2</v>
      </c>
      <c r="BX225">
        <v>2.19987E-2</v>
      </c>
      <c r="BY225">
        <v>3.39951E-2</v>
      </c>
      <c r="BZ225">
        <v>26</v>
      </c>
      <c r="CA225">
        <v>33528.300000000003</v>
      </c>
      <c r="CB225">
        <v>1690376213.5999999</v>
      </c>
      <c r="CC225" t="s">
        <v>332</v>
      </c>
      <c r="CD225">
        <v>1690376213.5999999</v>
      </c>
      <c r="CE225">
        <v>1690376198.0999999</v>
      </c>
      <c r="CF225">
        <v>2</v>
      </c>
      <c r="CG225">
        <v>0.66900000000000004</v>
      </c>
      <c r="CH225">
        <v>-2.1000000000000001E-2</v>
      </c>
      <c r="CI225">
        <v>-0.70099999999999996</v>
      </c>
      <c r="CJ225">
        <v>0.21099999999999999</v>
      </c>
      <c r="CK225">
        <v>799</v>
      </c>
      <c r="CL225">
        <v>21</v>
      </c>
      <c r="CM225">
        <v>0.11</v>
      </c>
      <c r="CN225">
        <v>0.17</v>
      </c>
      <c r="CO225">
        <v>-430.10992682926832</v>
      </c>
      <c r="CP225">
        <v>-1.6755470383265929</v>
      </c>
      <c r="CQ225">
        <v>0.1757576477528241</v>
      </c>
      <c r="CR225">
        <v>-1</v>
      </c>
      <c r="CS225">
        <v>27.712380487804879</v>
      </c>
      <c r="CT225">
        <v>9.7099651567923564E-2</v>
      </c>
      <c r="CU225">
        <v>9.6398618427554414E-3</v>
      </c>
      <c r="CV225">
        <v>-1</v>
      </c>
      <c r="CW225">
        <v>0</v>
      </c>
      <c r="CX225">
        <v>0</v>
      </c>
      <c r="CY225" t="s">
        <v>333</v>
      </c>
      <c r="CZ225">
        <v>2.3648500000000001</v>
      </c>
      <c r="DA225">
        <v>2.71374</v>
      </c>
      <c r="DB225">
        <v>8.4015900000000004E-2</v>
      </c>
      <c r="DC225">
        <v>0.145507</v>
      </c>
      <c r="DD225">
        <v>0.12607299999999999</v>
      </c>
      <c r="DE225">
        <v>1.3676300000000001E-3</v>
      </c>
      <c r="DF225">
        <v>33457.699999999997</v>
      </c>
      <c r="DG225">
        <v>27541.1</v>
      </c>
      <c r="DH225">
        <v>31181.1</v>
      </c>
      <c r="DI225">
        <v>28083.9</v>
      </c>
      <c r="DJ225">
        <v>36981.699999999997</v>
      </c>
      <c r="DK225">
        <v>39877.5</v>
      </c>
      <c r="DL225">
        <v>44373.1</v>
      </c>
      <c r="DM225">
        <v>42554.1</v>
      </c>
      <c r="DN225">
        <v>1.4494199999999999</v>
      </c>
      <c r="DO225">
        <v>2.0426500000000001</v>
      </c>
      <c r="DP225">
        <v>8.9649099999999995E-2</v>
      </c>
      <c r="DQ225">
        <v>0.18635399999999999</v>
      </c>
      <c r="DR225">
        <v>25.534700000000001</v>
      </c>
      <c r="DS225">
        <v>25.5153</v>
      </c>
      <c r="DT225">
        <v>24.5</v>
      </c>
      <c r="DU225">
        <v>27.8</v>
      </c>
      <c r="DV225">
        <v>9.3152399999999993</v>
      </c>
      <c r="DW225">
        <v>60.688400000000001</v>
      </c>
      <c r="DX225">
        <v>36.770800000000001</v>
      </c>
      <c r="DY225">
        <v>1</v>
      </c>
      <c r="DZ225">
        <v>-0.12856500000000001</v>
      </c>
      <c r="EA225">
        <v>-0.49912899999999999</v>
      </c>
      <c r="EB225">
        <v>20.1891</v>
      </c>
      <c r="EC225">
        <v>5.2431999999999999</v>
      </c>
      <c r="ED225">
        <v>12.039899999999999</v>
      </c>
      <c r="EE225">
        <v>5.0170000000000003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1.8688800000000001</v>
      </c>
      <c r="EL225">
        <v>1.86453</v>
      </c>
      <c r="EM225">
        <v>1.8691899999999999</v>
      </c>
      <c r="EN225">
        <v>1.86721</v>
      </c>
      <c r="EO225">
        <v>1.8633</v>
      </c>
      <c r="EP225">
        <v>1.8643400000000001</v>
      </c>
      <c r="EQ225">
        <v>1.87012</v>
      </c>
      <c r="ER225">
        <v>1.8693500000000001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-0.39800000000000002</v>
      </c>
      <c r="FG225">
        <v>0.2112</v>
      </c>
      <c r="FH225">
        <v>-0.150361779349652</v>
      </c>
      <c r="FI225">
        <v>-6.1462078757559423E-4</v>
      </c>
      <c r="FJ225">
        <v>-1.8861989874597051E-7</v>
      </c>
      <c r="FK225">
        <v>1.1980462299894961E-10</v>
      </c>
      <c r="FL225">
        <v>0.21114761904761539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43.9</v>
      </c>
      <c r="FU225">
        <v>44.1</v>
      </c>
      <c r="FV225">
        <v>1.7663599999999999</v>
      </c>
      <c r="FW225">
        <v>2.5695800000000002</v>
      </c>
      <c r="FX225">
        <v>1.5490699999999999</v>
      </c>
      <c r="FY225">
        <v>2.33765</v>
      </c>
      <c r="FZ225">
        <v>1.50146</v>
      </c>
      <c r="GA225">
        <v>2.35229</v>
      </c>
      <c r="GB225">
        <v>32.531799999999997</v>
      </c>
      <c r="GC225">
        <v>23.991199999999999</v>
      </c>
      <c r="GD225">
        <v>19</v>
      </c>
      <c r="GE225">
        <v>269.74299999999999</v>
      </c>
      <c r="GF225">
        <v>582.97400000000005</v>
      </c>
      <c r="GG225">
        <v>25.823499999999999</v>
      </c>
      <c r="GH225">
        <v>25.8034</v>
      </c>
      <c r="GI225">
        <v>30.000599999999999</v>
      </c>
      <c r="GJ225">
        <v>25.9011</v>
      </c>
      <c r="GK225">
        <v>25.866099999999999</v>
      </c>
      <c r="GL225">
        <v>35.305100000000003</v>
      </c>
      <c r="GM225">
        <v>100</v>
      </c>
      <c r="GN225">
        <v>0</v>
      </c>
      <c r="GO225">
        <v>25.823599999999999</v>
      </c>
      <c r="GP225">
        <v>800</v>
      </c>
      <c r="GQ225">
        <v>0</v>
      </c>
      <c r="GR225">
        <v>99.765500000000003</v>
      </c>
      <c r="GS225">
        <v>99.5595</v>
      </c>
    </row>
    <row r="226" spans="1:201" x14ac:dyDescent="0.25">
      <c r="A226">
        <v>210</v>
      </c>
      <c r="B226">
        <v>1690378856.0999999</v>
      </c>
      <c r="C226">
        <v>2139.599999904633</v>
      </c>
      <c r="D226" t="s">
        <v>753</v>
      </c>
      <c r="E226" t="s">
        <v>754</v>
      </c>
      <c r="F226" t="s">
        <v>330</v>
      </c>
      <c r="H226">
        <v>1690378856.0999999</v>
      </c>
      <c r="I226">
        <f t="shared" si="90"/>
        <v>2.4821006715279956E-3</v>
      </c>
      <c r="J226">
        <f t="shared" si="91"/>
        <v>2.4821006715279958</v>
      </c>
      <c r="K226">
        <f t="shared" si="92"/>
        <v>36.53960874831904</v>
      </c>
      <c r="L226">
        <f t="shared" si="93"/>
        <v>369.40600000000001</v>
      </c>
      <c r="M226">
        <f t="shared" si="94"/>
        <v>84.487132489873062</v>
      </c>
      <c r="N226">
        <f t="shared" si="95"/>
        <v>8.3431778625263711</v>
      </c>
      <c r="O226">
        <f t="shared" si="96"/>
        <v>36.479163994041798</v>
      </c>
      <c r="P226">
        <f t="shared" si="97"/>
        <v>0.21909818149943922</v>
      </c>
      <c r="Q226">
        <f t="shared" si="98"/>
        <v>2.0135656048987651</v>
      </c>
      <c r="R226">
        <f t="shared" si="99"/>
        <v>0.20666291719371496</v>
      </c>
      <c r="S226">
        <f t="shared" si="100"/>
        <v>0.13022273076203986</v>
      </c>
      <c r="T226">
        <f t="shared" si="101"/>
        <v>276.11495150400003</v>
      </c>
      <c r="U226">
        <f t="shared" si="102"/>
        <v>28.475269099939897</v>
      </c>
      <c r="V226">
        <f t="shared" si="103"/>
        <v>28.475269099939897</v>
      </c>
      <c r="W226">
        <f t="shared" si="104"/>
        <v>3.9012610618699801</v>
      </c>
      <c r="X226">
        <f t="shared" si="105"/>
        <v>76.578623212863917</v>
      </c>
      <c r="Y226">
        <f t="shared" si="106"/>
        <v>2.7551986568051499</v>
      </c>
      <c r="Z226">
        <f t="shared" si="107"/>
        <v>3.5978691457361212</v>
      </c>
      <c r="AA226">
        <f t="shared" si="108"/>
        <v>1.1460624050648303</v>
      </c>
      <c r="AB226">
        <f t="shared" si="109"/>
        <v>-109.4606396143846</v>
      </c>
      <c r="AC226">
        <f t="shared" si="110"/>
        <v>-150.50863687098541</v>
      </c>
      <c r="AD226">
        <f t="shared" si="111"/>
        <v>-16.257914342565929</v>
      </c>
      <c r="AE226">
        <f t="shared" si="112"/>
        <v>-0.11223932393590985</v>
      </c>
      <c r="AF226">
        <v>8</v>
      </c>
      <c r="AG226">
        <v>3</v>
      </c>
      <c r="AH226">
        <f t="shared" si="113"/>
        <v>1</v>
      </c>
      <c r="AI226">
        <f t="shared" si="114"/>
        <v>0</v>
      </c>
      <c r="AJ226">
        <f t="shared" si="115"/>
        <v>52448.2085334285</v>
      </c>
      <c r="AK226">
        <f t="shared" si="116"/>
        <v>1800</v>
      </c>
      <c r="AL226">
        <f t="shared" si="117"/>
        <v>1499.1123834</v>
      </c>
      <c r="AM226">
        <f t="shared" si="118"/>
        <v>0.832840213</v>
      </c>
      <c r="AN226">
        <f t="shared" si="119"/>
        <v>0.15339719528000001</v>
      </c>
      <c r="AO226">
        <v>34.5</v>
      </c>
      <c r="AP226">
        <v>0.5</v>
      </c>
      <c r="AQ226" t="s">
        <v>331</v>
      </c>
      <c r="AR226">
        <v>2</v>
      </c>
      <c r="AS226">
        <v>1690378856.0999999</v>
      </c>
      <c r="AT226">
        <v>369.40600000000001</v>
      </c>
      <c r="AU226">
        <v>799.99800000000005</v>
      </c>
      <c r="AV226">
        <v>27.900500000000001</v>
      </c>
      <c r="AW226">
        <v>0.162909</v>
      </c>
      <c r="AX226">
        <v>369.803</v>
      </c>
      <c r="AY226">
        <v>27.689399999999999</v>
      </c>
      <c r="AZ226">
        <v>300.11</v>
      </c>
      <c r="BA226">
        <v>98.650899999999993</v>
      </c>
      <c r="BB226">
        <v>9.9970299999999998E-2</v>
      </c>
      <c r="BC226">
        <v>27.088799999999999</v>
      </c>
      <c r="BD226">
        <v>27.003699999999998</v>
      </c>
      <c r="BE226">
        <v>28.5655</v>
      </c>
      <c r="BF226">
        <v>0</v>
      </c>
      <c r="BG226">
        <v>0</v>
      </c>
      <c r="BH226">
        <v>10060</v>
      </c>
      <c r="BI226">
        <v>1082.83</v>
      </c>
      <c r="BJ226">
        <v>1.62592</v>
      </c>
      <c r="BK226">
        <v>-430.59199999999998</v>
      </c>
      <c r="BL226">
        <v>380.00799999999998</v>
      </c>
      <c r="BM226">
        <v>800.12800000000004</v>
      </c>
      <c r="BN226">
        <v>27.7376</v>
      </c>
      <c r="BO226">
        <v>799.99800000000005</v>
      </c>
      <c r="BP226">
        <v>0.162909</v>
      </c>
      <c r="BQ226">
        <v>2.7524099999999998</v>
      </c>
      <c r="BR226">
        <v>1.6071100000000001E-2</v>
      </c>
      <c r="BS226">
        <v>22.601400000000002</v>
      </c>
      <c r="BT226">
        <v>-41.510300000000001</v>
      </c>
      <c r="BU226">
        <v>1800</v>
      </c>
      <c r="BV226">
        <v>0.91000700000000001</v>
      </c>
      <c r="BW226">
        <v>3.3998199999999999E-2</v>
      </c>
      <c r="BX226">
        <v>2.1998899999999998E-2</v>
      </c>
      <c r="BY226">
        <v>3.3995400000000002E-2</v>
      </c>
      <c r="BZ226">
        <v>25.916699999999999</v>
      </c>
      <c r="CA226">
        <v>33528.5</v>
      </c>
      <c r="CB226">
        <v>1690376213.5999999</v>
      </c>
      <c r="CC226" t="s">
        <v>332</v>
      </c>
      <c r="CD226">
        <v>1690376213.5999999</v>
      </c>
      <c r="CE226">
        <v>1690376198.0999999</v>
      </c>
      <c r="CF226">
        <v>2</v>
      </c>
      <c r="CG226">
        <v>0.66900000000000004</v>
      </c>
      <c r="CH226">
        <v>-2.1000000000000001E-2</v>
      </c>
      <c r="CI226">
        <v>-0.70099999999999996</v>
      </c>
      <c r="CJ226">
        <v>0.21099999999999999</v>
      </c>
      <c r="CK226">
        <v>799</v>
      </c>
      <c r="CL226">
        <v>21</v>
      </c>
      <c r="CM226">
        <v>0.11</v>
      </c>
      <c r="CN226">
        <v>0.17</v>
      </c>
      <c r="CO226">
        <v>-430.37639999999988</v>
      </c>
      <c r="CP226">
        <v>-1.2482251407109579</v>
      </c>
      <c r="CQ226">
        <v>0.12936920035309429</v>
      </c>
      <c r="CR226">
        <v>-1</v>
      </c>
      <c r="CS226">
        <v>27.727307499999998</v>
      </c>
      <c r="CT226">
        <v>6.7212382739119239E-2</v>
      </c>
      <c r="CU226">
        <v>6.6972153728247419E-3</v>
      </c>
      <c r="CV226">
        <v>-1</v>
      </c>
      <c r="CW226">
        <v>0</v>
      </c>
      <c r="CX226">
        <v>0</v>
      </c>
      <c r="CY226" t="s">
        <v>333</v>
      </c>
      <c r="CZ226">
        <v>2.3649300000000002</v>
      </c>
      <c r="DA226">
        <v>2.7138100000000001</v>
      </c>
      <c r="DB226">
        <v>8.3974900000000005E-2</v>
      </c>
      <c r="DC226">
        <v>0.145507</v>
      </c>
      <c r="DD226">
        <v>0.12609000000000001</v>
      </c>
      <c r="DE226">
        <v>1.3673400000000001E-3</v>
      </c>
      <c r="DF226">
        <v>33459.4</v>
      </c>
      <c r="DG226">
        <v>27541.200000000001</v>
      </c>
      <c r="DH226">
        <v>31181.200000000001</v>
      </c>
      <c r="DI226">
        <v>28084.1</v>
      </c>
      <c r="DJ226">
        <v>36981.199999999997</v>
      </c>
      <c r="DK226">
        <v>39878</v>
      </c>
      <c r="DL226">
        <v>44373.4</v>
      </c>
      <c r="DM226">
        <v>42554.6</v>
      </c>
      <c r="DN226">
        <v>1.4494199999999999</v>
      </c>
      <c r="DO226">
        <v>2.0428500000000001</v>
      </c>
      <c r="DP226">
        <v>8.9719900000000005E-2</v>
      </c>
      <c r="DQ226">
        <v>0.18648400000000001</v>
      </c>
      <c r="DR226">
        <v>25.534700000000001</v>
      </c>
      <c r="DS226">
        <v>25.515899999999998</v>
      </c>
      <c r="DT226">
        <v>24.5</v>
      </c>
      <c r="DU226">
        <v>27.8</v>
      </c>
      <c r="DV226">
        <v>9.3150999999999993</v>
      </c>
      <c r="DW226">
        <v>60.948399999999999</v>
      </c>
      <c r="DX226">
        <v>36.770800000000001</v>
      </c>
      <c r="DY226">
        <v>1</v>
      </c>
      <c r="DZ226">
        <v>-0.12887199999999999</v>
      </c>
      <c r="EA226">
        <v>-0.48947400000000002</v>
      </c>
      <c r="EB226">
        <v>20.1891</v>
      </c>
      <c r="EC226">
        <v>5.24275</v>
      </c>
      <c r="ED226">
        <v>12.039899999999999</v>
      </c>
      <c r="EE226">
        <v>5.0169499999999996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1.8688899999999999</v>
      </c>
      <c r="EL226">
        <v>1.86453</v>
      </c>
      <c r="EM226">
        <v>1.8691800000000001</v>
      </c>
      <c r="EN226">
        <v>1.8672200000000001</v>
      </c>
      <c r="EO226">
        <v>1.8632899999999999</v>
      </c>
      <c r="EP226">
        <v>1.86436</v>
      </c>
      <c r="EQ226">
        <v>1.87012</v>
      </c>
      <c r="ER226">
        <v>1.8693500000000001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-0.39700000000000002</v>
      </c>
      <c r="FG226">
        <v>0.21110000000000001</v>
      </c>
      <c r="FH226">
        <v>-0.150361779349652</v>
      </c>
      <c r="FI226">
        <v>-6.1462078757559423E-4</v>
      </c>
      <c r="FJ226">
        <v>-1.8861989874597051E-7</v>
      </c>
      <c r="FK226">
        <v>1.1980462299894961E-10</v>
      </c>
      <c r="FL226">
        <v>0.21114761904761539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44</v>
      </c>
      <c r="FU226">
        <v>44.3</v>
      </c>
      <c r="FV226">
        <v>1.7663599999999999</v>
      </c>
      <c r="FW226">
        <v>2.5695800000000002</v>
      </c>
      <c r="FX226">
        <v>1.5490699999999999</v>
      </c>
      <c r="FY226">
        <v>2.33765</v>
      </c>
      <c r="FZ226">
        <v>1.50146</v>
      </c>
      <c r="GA226">
        <v>2.3596200000000001</v>
      </c>
      <c r="GB226">
        <v>32.531799999999997</v>
      </c>
      <c r="GC226">
        <v>23.991199999999999</v>
      </c>
      <c r="GD226">
        <v>19</v>
      </c>
      <c r="GE226">
        <v>269.74799999999999</v>
      </c>
      <c r="GF226">
        <v>583.16399999999999</v>
      </c>
      <c r="GG226">
        <v>25.821300000000001</v>
      </c>
      <c r="GH226">
        <v>25.805499999999999</v>
      </c>
      <c r="GI226">
        <v>30.0002</v>
      </c>
      <c r="GJ226">
        <v>25.9023</v>
      </c>
      <c r="GK226">
        <v>25.868300000000001</v>
      </c>
      <c r="GL226">
        <v>35.304200000000002</v>
      </c>
      <c r="GM226">
        <v>100</v>
      </c>
      <c r="GN226">
        <v>0</v>
      </c>
      <c r="GO226">
        <v>25.819500000000001</v>
      </c>
      <c r="GP226">
        <v>800</v>
      </c>
      <c r="GQ226">
        <v>0</v>
      </c>
      <c r="GR226">
        <v>99.766099999999994</v>
      </c>
      <c r="GS226">
        <v>99.560400000000001</v>
      </c>
    </row>
    <row r="227" spans="1:201" x14ac:dyDescent="0.25">
      <c r="A227">
        <v>211</v>
      </c>
      <c r="B227">
        <v>1690378866.0999999</v>
      </c>
      <c r="C227">
        <v>2149.599999904633</v>
      </c>
      <c r="D227" t="s">
        <v>755</v>
      </c>
      <c r="E227" t="s">
        <v>756</v>
      </c>
      <c r="F227" t="s">
        <v>330</v>
      </c>
      <c r="H227">
        <v>1690378866.0999999</v>
      </c>
      <c r="I227">
        <f t="shared" si="90"/>
        <v>2.4830657029105518E-3</v>
      </c>
      <c r="J227">
        <f t="shared" si="91"/>
        <v>2.4830657029105518</v>
      </c>
      <c r="K227">
        <f t="shared" si="92"/>
        <v>36.565984339412246</v>
      </c>
      <c r="L227">
        <f t="shared" si="93"/>
        <v>369.09699999999998</v>
      </c>
      <c r="M227">
        <f t="shared" si="94"/>
        <v>84.334268110040426</v>
      </c>
      <c r="N227">
        <f t="shared" si="95"/>
        <v>8.3282664905541655</v>
      </c>
      <c r="O227">
        <f t="shared" si="96"/>
        <v>36.449455787689494</v>
      </c>
      <c r="P227">
        <f t="shared" si="97"/>
        <v>0.21942635984590386</v>
      </c>
      <c r="Q227">
        <f t="shared" si="98"/>
        <v>2.0064120456021408</v>
      </c>
      <c r="R227">
        <f t="shared" si="99"/>
        <v>0.20691321020205089</v>
      </c>
      <c r="S227">
        <f t="shared" si="100"/>
        <v>0.13038551045013702</v>
      </c>
      <c r="T227">
        <f t="shared" si="101"/>
        <v>276.11495150400003</v>
      </c>
      <c r="U227">
        <f t="shared" si="102"/>
        <v>28.475481969304241</v>
      </c>
      <c r="V227">
        <f t="shared" si="103"/>
        <v>28.475481969304241</v>
      </c>
      <c r="W227">
        <f t="shared" si="104"/>
        <v>3.9013093043971678</v>
      </c>
      <c r="X227">
        <f t="shared" si="105"/>
        <v>76.623105717082765</v>
      </c>
      <c r="Y227">
        <f t="shared" si="106"/>
        <v>2.75616809726895</v>
      </c>
      <c r="Z227">
        <f t="shared" si="107"/>
        <v>3.5970456580624806</v>
      </c>
      <c r="AA227">
        <f t="shared" si="108"/>
        <v>1.1451412071282179</v>
      </c>
      <c r="AB227">
        <f t="shared" si="109"/>
        <v>-109.50319749835533</v>
      </c>
      <c r="AC227">
        <f t="shared" si="110"/>
        <v>-150.41881525849772</v>
      </c>
      <c r="AD227">
        <f t="shared" si="111"/>
        <v>-16.305843060559869</v>
      </c>
      <c r="AE227">
        <f t="shared" si="112"/>
        <v>-0.11290431341291196</v>
      </c>
      <c r="AF227">
        <v>7</v>
      </c>
      <c r="AG227">
        <v>2</v>
      </c>
      <c r="AH227">
        <f t="shared" si="113"/>
        <v>1</v>
      </c>
      <c r="AI227">
        <f t="shared" si="114"/>
        <v>0</v>
      </c>
      <c r="AJ227">
        <f t="shared" si="115"/>
        <v>52106.43833201113</v>
      </c>
      <c r="AK227">
        <f t="shared" si="116"/>
        <v>1800</v>
      </c>
      <c r="AL227">
        <f t="shared" si="117"/>
        <v>1499.1123834</v>
      </c>
      <c r="AM227">
        <f t="shared" si="118"/>
        <v>0.832840213</v>
      </c>
      <c r="AN227">
        <f t="shared" si="119"/>
        <v>0.15339719528000001</v>
      </c>
      <c r="AO227">
        <v>34.5</v>
      </c>
      <c r="AP227">
        <v>0.5</v>
      </c>
      <c r="AQ227" t="s">
        <v>331</v>
      </c>
      <c r="AR227">
        <v>2</v>
      </c>
      <c r="AS227">
        <v>1690378866.0999999</v>
      </c>
      <c r="AT227">
        <v>369.09699999999998</v>
      </c>
      <c r="AU227">
        <v>799.976</v>
      </c>
      <c r="AV227">
        <v>27.909700000000001</v>
      </c>
      <c r="AW227">
        <v>0.162327</v>
      </c>
      <c r="AX227">
        <v>369.49400000000003</v>
      </c>
      <c r="AY227">
        <v>27.698599999999999</v>
      </c>
      <c r="AZ227">
        <v>300.11799999999999</v>
      </c>
      <c r="BA227">
        <v>98.653099999999995</v>
      </c>
      <c r="BB227">
        <v>9.9953500000000001E-2</v>
      </c>
      <c r="BC227">
        <v>27.084900000000001</v>
      </c>
      <c r="BD227">
        <v>27.005700000000001</v>
      </c>
      <c r="BE227">
        <v>28.5411</v>
      </c>
      <c r="BF227">
        <v>0</v>
      </c>
      <c r="BG227">
        <v>0</v>
      </c>
      <c r="BH227">
        <v>9991.25</v>
      </c>
      <c r="BI227">
        <v>1082.8699999999999</v>
      </c>
      <c r="BJ227">
        <v>1.62592</v>
      </c>
      <c r="BK227">
        <v>-430.87900000000002</v>
      </c>
      <c r="BL227">
        <v>379.69400000000002</v>
      </c>
      <c r="BM227">
        <v>800.10599999999999</v>
      </c>
      <c r="BN227">
        <v>27.747399999999999</v>
      </c>
      <c r="BO227">
        <v>799.976</v>
      </c>
      <c r="BP227">
        <v>0.162327</v>
      </c>
      <c r="BQ227">
        <v>2.7533799999999999</v>
      </c>
      <c r="BR227">
        <v>1.60141E-2</v>
      </c>
      <c r="BS227">
        <v>22.607199999999999</v>
      </c>
      <c r="BT227">
        <v>-41.543799999999997</v>
      </c>
      <c r="BU227">
        <v>1800</v>
      </c>
      <c r="BV227">
        <v>0.91000700000000001</v>
      </c>
      <c r="BW227">
        <v>3.3998199999999999E-2</v>
      </c>
      <c r="BX227">
        <v>2.1998899999999998E-2</v>
      </c>
      <c r="BY227">
        <v>3.3995400000000002E-2</v>
      </c>
      <c r="BZ227">
        <v>25.708300000000001</v>
      </c>
      <c r="CA227">
        <v>33528.5</v>
      </c>
      <c r="CB227">
        <v>1690376213.5999999</v>
      </c>
      <c r="CC227" t="s">
        <v>332</v>
      </c>
      <c r="CD227">
        <v>1690376213.5999999</v>
      </c>
      <c r="CE227">
        <v>1690376198.0999999</v>
      </c>
      <c r="CF227">
        <v>2</v>
      </c>
      <c r="CG227">
        <v>0.66900000000000004</v>
      </c>
      <c r="CH227">
        <v>-2.1000000000000001E-2</v>
      </c>
      <c r="CI227">
        <v>-0.70099999999999996</v>
      </c>
      <c r="CJ227">
        <v>0.21099999999999999</v>
      </c>
      <c r="CK227">
        <v>799</v>
      </c>
      <c r="CL227">
        <v>21</v>
      </c>
      <c r="CM227">
        <v>0.11</v>
      </c>
      <c r="CN227">
        <v>0.17</v>
      </c>
      <c r="CO227">
        <v>-430.66339024390243</v>
      </c>
      <c r="CP227">
        <v>-1.9699024390241959</v>
      </c>
      <c r="CQ227">
        <v>0.21101114038892041</v>
      </c>
      <c r="CR227">
        <v>-1</v>
      </c>
      <c r="CS227">
        <v>27.73634634146342</v>
      </c>
      <c r="CT227">
        <v>4.3737282229927343E-2</v>
      </c>
      <c r="CU227">
        <v>4.5038789548012131E-3</v>
      </c>
      <c r="CV227">
        <v>-1</v>
      </c>
      <c r="CW227">
        <v>0</v>
      </c>
      <c r="CX227">
        <v>0</v>
      </c>
      <c r="CY227" t="s">
        <v>333</v>
      </c>
      <c r="CZ227">
        <v>2.3649499999999999</v>
      </c>
      <c r="DA227">
        <v>2.71374</v>
      </c>
      <c r="DB227">
        <v>8.3922899999999995E-2</v>
      </c>
      <c r="DC227">
        <v>0.145509</v>
      </c>
      <c r="DD227">
        <v>0.12612300000000001</v>
      </c>
      <c r="DE227">
        <v>1.3625499999999999E-3</v>
      </c>
      <c r="DF227">
        <v>33461.300000000003</v>
      </c>
      <c r="DG227">
        <v>27541.3</v>
      </c>
      <c r="DH227">
        <v>31181.3</v>
      </c>
      <c r="DI227">
        <v>28084.2</v>
      </c>
      <c r="DJ227">
        <v>36979.800000000003</v>
      </c>
      <c r="DK227">
        <v>39878.400000000001</v>
      </c>
      <c r="DL227">
        <v>44373.4</v>
      </c>
      <c r="DM227">
        <v>42554.9</v>
      </c>
      <c r="DN227">
        <v>1.4497199999999999</v>
      </c>
      <c r="DO227">
        <v>2.04277</v>
      </c>
      <c r="DP227">
        <v>8.9839100000000005E-2</v>
      </c>
      <c r="DQ227">
        <v>0.184894</v>
      </c>
      <c r="DR227">
        <v>25.534700000000001</v>
      </c>
      <c r="DS227">
        <v>25.517499999999998</v>
      </c>
      <c r="DT227">
        <v>24.4</v>
      </c>
      <c r="DU227">
        <v>27.8</v>
      </c>
      <c r="DV227">
        <v>9.2773099999999999</v>
      </c>
      <c r="DW227">
        <v>60.698399999999999</v>
      </c>
      <c r="DX227">
        <v>36.863</v>
      </c>
      <c r="DY227">
        <v>1</v>
      </c>
      <c r="DZ227">
        <v>-0.12923299999999999</v>
      </c>
      <c r="EA227">
        <v>-0.50383999999999995</v>
      </c>
      <c r="EB227">
        <v>20.1892</v>
      </c>
      <c r="EC227">
        <v>5.2430500000000002</v>
      </c>
      <c r="ED227">
        <v>12.039899999999999</v>
      </c>
      <c r="EE227">
        <v>5.0172499999999998</v>
      </c>
      <c r="EF227">
        <v>3.2879999999999998</v>
      </c>
      <c r="EG227">
        <v>9999</v>
      </c>
      <c r="EH227">
        <v>9999</v>
      </c>
      <c r="EI227">
        <v>9999</v>
      </c>
      <c r="EJ227">
        <v>999.9</v>
      </c>
      <c r="EK227">
        <v>1.8688899999999999</v>
      </c>
      <c r="EL227">
        <v>1.86459</v>
      </c>
      <c r="EM227">
        <v>1.8691899999999999</v>
      </c>
      <c r="EN227">
        <v>1.8672200000000001</v>
      </c>
      <c r="EO227">
        <v>1.86331</v>
      </c>
      <c r="EP227">
        <v>1.8643799999999999</v>
      </c>
      <c r="EQ227">
        <v>1.87012</v>
      </c>
      <c r="ER227">
        <v>1.8693500000000001</v>
      </c>
      <c r="ES227">
        <v>0</v>
      </c>
      <c r="ET227">
        <v>0</v>
      </c>
      <c r="EU227">
        <v>0</v>
      </c>
      <c r="EV227">
        <v>0</v>
      </c>
      <c r="EW227" t="s">
        <v>334</v>
      </c>
      <c r="EX227" t="s">
        <v>335</v>
      </c>
      <c r="EY227" t="s">
        <v>336</v>
      </c>
      <c r="EZ227" t="s">
        <v>336</v>
      </c>
      <c r="FA227" t="s">
        <v>336</v>
      </c>
      <c r="FB227" t="s">
        <v>336</v>
      </c>
      <c r="FC227">
        <v>0</v>
      </c>
      <c r="FD227">
        <v>100</v>
      </c>
      <c r="FE227">
        <v>100</v>
      </c>
      <c r="FF227">
        <v>-0.39700000000000002</v>
      </c>
      <c r="FG227">
        <v>0.21110000000000001</v>
      </c>
      <c r="FH227">
        <v>-0.150361779349652</v>
      </c>
      <c r="FI227">
        <v>-6.1462078757559423E-4</v>
      </c>
      <c r="FJ227">
        <v>-1.8861989874597051E-7</v>
      </c>
      <c r="FK227">
        <v>1.1980462299894961E-10</v>
      </c>
      <c r="FL227">
        <v>0.21114761904761539</v>
      </c>
      <c r="FM227">
        <v>0</v>
      </c>
      <c r="FN227">
        <v>0</v>
      </c>
      <c r="FO227">
        <v>0</v>
      </c>
      <c r="FP227">
        <v>3</v>
      </c>
      <c r="FQ227">
        <v>2158</v>
      </c>
      <c r="FR227">
        <v>1</v>
      </c>
      <c r="FS227">
        <v>19</v>
      </c>
      <c r="FT227">
        <v>44.2</v>
      </c>
      <c r="FU227">
        <v>44.5</v>
      </c>
      <c r="FV227">
        <v>1.7663599999999999</v>
      </c>
      <c r="FW227">
        <v>2.5683600000000002</v>
      </c>
      <c r="FX227">
        <v>1.5490699999999999</v>
      </c>
      <c r="FY227">
        <v>2.33765</v>
      </c>
      <c r="FZ227">
        <v>1.50146</v>
      </c>
      <c r="GA227">
        <v>2.3754900000000001</v>
      </c>
      <c r="GB227">
        <v>32.531799999999997</v>
      </c>
      <c r="GC227">
        <v>23.991199999999999</v>
      </c>
      <c r="GD227">
        <v>19</v>
      </c>
      <c r="GE227">
        <v>269.875</v>
      </c>
      <c r="GF227">
        <v>583.10199999999998</v>
      </c>
      <c r="GG227">
        <v>25.8203</v>
      </c>
      <c r="GH227">
        <v>25.805499999999999</v>
      </c>
      <c r="GI227">
        <v>29.9999</v>
      </c>
      <c r="GJ227">
        <v>25.903199999999998</v>
      </c>
      <c r="GK227">
        <v>25.868300000000001</v>
      </c>
      <c r="GL227">
        <v>35.3048</v>
      </c>
      <c r="GM227">
        <v>100</v>
      </c>
      <c r="GN227">
        <v>0</v>
      </c>
      <c r="GO227">
        <v>25.820900000000002</v>
      </c>
      <c r="GP227">
        <v>800</v>
      </c>
      <c r="GQ227">
        <v>0</v>
      </c>
      <c r="GR227">
        <v>99.766099999999994</v>
      </c>
      <c r="GS227">
        <v>99.560900000000004</v>
      </c>
    </row>
    <row r="228" spans="1:201" x14ac:dyDescent="0.25">
      <c r="A228">
        <v>212</v>
      </c>
      <c r="B228">
        <v>1690378876.0999999</v>
      </c>
      <c r="C228">
        <v>2159.599999904633</v>
      </c>
      <c r="D228" t="s">
        <v>757</v>
      </c>
      <c r="E228" t="s">
        <v>758</v>
      </c>
      <c r="F228" t="s">
        <v>330</v>
      </c>
      <c r="H228">
        <v>1690378876.0999999</v>
      </c>
      <c r="I228">
        <f t="shared" si="90"/>
        <v>2.4845314931580932E-3</v>
      </c>
      <c r="J228">
        <f t="shared" si="91"/>
        <v>2.4845314931580931</v>
      </c>
      <c r="K228">
        <f t="shared" si="92"/>
        <v>36.608602123382852</v>
      </c>
      <c r="L228">
        <f t="shared" si="93"/>
        <v>368.678</v>
      </c>
      <c r="M228">
        <f t="shared" si="94"/>
        <v>83.769251305074064</v>
      </c>
      <c r="N228">
        <f t="shared" si="95"/>
        <v>8.2725512402280739</v>
      </c>
      <c r="O228">
        <f t="shared" si="96"/>
        <v>36.408438641018002</v>
      </c>
      <c r="P228">
        <f t="shared" si="97"/>
        <v>0.21958171087995151</v>
      </c>
      <c r="Q228">
        <f t="shared" si="98"/>
        <v>2.0038655366651845</v>
      </c>
      <c r="R228">
        <f t="shared" si="99"/>
        <v>0.20703643274628691</v>
      </c>
      <c r="S228">
        <f t="shared" si="100"/>
        <v>0.13046514723075253</v>
      </c>
      <c r="T228">
        <f t="shared" si="101"/>
        <v>276.11500883400004</v>
      </c>
      <c r="U228">
        <f t="shared" si="102"/>
        <v>28.480232511966687</v>
      </c>
      <c r="V228">
        <f t="shared" si="103"/>
        <v>28.480232511966687</v>
      </c>
      <c r="W228">
        <f t="shared" si="104"/>
        <v>3.9023860539991899</v>
      </c>
      <c r="X228">
        <f t="shared" si="105"/>
        <v>76.636595224895743</v>
      </c>
      <c r="Y228">
        <f t="shared" si="106"/>
        <v>2.7572520471324</v>
      </c>
      <c r="Z228">
        <f t="shared" si="107"/>
        <v>3.5978269115962687</v>
      </c>
      <c r="AA228">
        <f t="shared" si="108"/>
        <v>1.1451340068667899</v>
      </c>
      <c r="AB228">
        <f t="shared" si="109"/>
        <v>-109.56783884827192</v>
      </c>
      <c r="AC228">
        <f t="shared" si="110"/>
        <v>-150.34139853349555</v>
      </c>
      <c r="AD228">
        <f t="shared" si="111"/>
        <v>-16.318849469488377</v>
      </c>
      <c r="AE228">
        <f t="shared" si="112"/>
        <v>-0.11307801725581612</v>
      </c>
      <c r="AF228">
        <v>8</v>
      </c>
      <c r="AG228">
        <v>3</v>
      </c>
      <c r="AH228">
        <f t="shared" si="113"/>
        <v>1</v>
      </c>
      <c r="AI228">
        <f t="shared" si="114"/>
        <v>0</v>
      </c>
      <c r="AJ228">
        <f t="shared" si="115"/>
        <v>51984.301544853493</v>
      </c>
      <c r="AK228">
        <f t="shared" si="116"/>
        <v>1800</v>
      </c>
      <c r="AL228">
        <f t="shared" si="117"/>
        <v>1499.1126443999999</v>
      </c>
      <c r="AM228">
        <f t="shared" si="118"/>
        <v>0.832840358</v>
      </c>
      <c r="AN228">
        <f t="shared" si="119"/>
        <v>0.15339722713000001</v>
      </c>
      <c r="AO228">
        <v>34.5</v>
      </c>
      <c r="AP228">
        <v>0.5</v>
      </c>
      <c r="AQ228" t="s">
        <v>331</v>
      </c>
      <c r="AR228">
        <v>2</v>
      </c>
      <c r="AS228">
        <v>1690378876.0999999</v>
      </c>
      <c r="AT228">
        <v>368.678</v>
      </c>
      <c r="AU228">
        <v>799.96500000000003</v>
      </c>
      <c r="AV228">
        <v>27.920400000000001</v>
      </c>
      <c r="AW228">
        <v>0.161855</v>
      </c>
      <c r="AX228">
        <v>369.07499999999999</v>
      </c>
      <c r="AY228">
        <v>27.709299999999999</v>
      </c>
      <c r="AZ228">
        <v>300.17099999999999</v>
      </c>
      <c r="BA228">
        <v>98.653999999999996</v>
      </c>
      <c r="BB228">
        <v>0.10003099999999999</v>
      </c>
      <c r="BC228">
        <v>27.0886</v>
      </c>
      <c r="BD228">
        <v>27.002199999999998</v>
      </c>
      <c r="BE228">
        <v>28.5443</v>
      </c>
      <c r="BF228">
        <v>0</v>
      </c>
      <c r="BG228">
        <v>0</v>
      </c>
      <c r="BH228">
        <v>9966.8799999999992</v>
      </c>
      <c r="BI228">
        <v>1082.8399999999999</v>
      </c>
      <c r="BJ228">
        <v>1.62592</v>
      </c>
      <c r="BK228">
        <v>-431.28699999999998</v>
      </c>
      <c r="BL228">
        <v>379.267</v>
      </c>
      <c r="BM228">
        <v>800.09400000000005</v>
      </c>
      <c r="BN228">
        <v>27.758600000000001</v>
      </c>
      <c r="BO228">
        <v>799.96500000000003</v>
      </c>
      <c r="BP228">
        <v>0.161855</v>
      </c>
      <c r="BQ228">
        <v>2.7544599999999999</v>
      </c>
      <c r="BR228">
        <v>1.5967700000000001E-2</v>
      </c>
      <c r="BS228">
        <v>22.613700000000001</v>
      </c>
      <c r="BT228">
        <v>-41.571100000000001</v>
      </c>
      <c r="BU228">
        <v>1800</v>
      </c>
      <c r="BV228">
        <v>0.91000700000000001</v>
      </c>
      <c r="BW228">
        <v>3.3998300000000002E-2</v>
      </c>
      <c r="BX228">
        <v>2.1998899999999998E-2</v>
      </c>
      <c r="BY228">
        <v>3.3995499999999998E-2</v>
      </c>
      <c r="BZ228">
        <v>25.958300000000001</v>
      </c>
      <c r="CA228">
        <v>33528.400000000001</v>
      </c>
      <c r="CB228">
        <v>1690376213.5999999</v>
      </c>
      <c r="CC228" t="s">
        <v>332</v>
      </c>
      <c r="CD228">
        <v>1690376213.5999999</v>
      </c>
      <c r="CE228">
        <v>1690376198.0999999</v>
      </c>
      <c r="CF228">
        <v>2</v>
      </c>
      <c r="CG228">
        <v>0.66900000000000004</v>
      </c>
      <c r="CH228">
        <v>-2.1000000000000001E-2</v>
      </c>
      <c r="CI228">
        <v>-0.70099999999999996</v>
      </c>
      <c r="CJ228">
        <v>0.21099999999999999</v>
      </c>
      <c r="CK228">
        <v>799</v>
      </c>
      <c r="CL228">
        <v>21</v>
      </c>
      <c r="CM228">
        <v>0.11</v>
      </c>
      <c r="CN228">
        <v>0.17</v>
      </c>
      <c r="CO228">
        <v>-430.89860975609758</v>
      </c>
      <c r="CP228">
        <v>-1.4826271777010189</v>
      </c>
      <c r="CQ228">
        <v>0.17449521316360711</v>
      </c>
      <c r="CR228">
        <v>-1</v>
      </c>
      <c r="CS228">
        <v>27.744499999999999</v>
      </c>
      <c r="CT228">
        <v>6.3156794425079169E-2</v>
      </c>
      <c r="CU228">
        <v>6.387029539736206E-3</v>
      </c>
      <c r="CV228">
        <v>-1</v>
      </c>
      <c r="CW228">
        <v>0</v>
      </c>
      <c r="CX228">
        <v>0</v>
      </c>
      <c r="CY228" t="s">
        <v>333</v>
      </c>
      <c r="CZ228">
        <v>2.3651200000000001</v>
      </c>
      <c r="DA228">
        <v>2.7137899999999999</v>
      </c>
      <c r="DB228">
        <v>8.3848800000000001E-2</v>
      </c>
      <c r="DC228">
        <v>0.145508</v>
      </c>
      <c r="DD228">
        <v>0.12615699999999999</v>
      </c>
      <c r="DE228">
        <v>1.35863E-3</v>
      </c>
      <c r="DF228">
        <v>33464.199999999997</v>
      </c>
      <c r="DG228">
        <v>27540.7</v>
      </c>
      <c r="DH228">
        <v>31181.5</v>
      </c>
      <c r="DI228">
        <v>28083.599999999999</v>
      </c>
      <c r="DJ228">
        <v>36978.6</v>
      </c>
      <c r="DK228">
        <v>39877.699999999997</v>
      </c>
      <c r="DL228">
        <v>44373.8</v>
      </c>
      <c r="DM228">
        <v>42553.9</v>
      </c>
      <c r="DN228">
        <v>1.4496</v>
      </c>
      <c r="DO228">
        <v>2.0426500000000001</v>
      </c>
      <c r="DP228">
        <v>8.9622999999999994E-2</v>
      </c>
      <c r="DQ228">
        <v>0.185087</v>
      </c>
      <c r="DR228">
        <v>25.534700000000001</v>
      </c>
      <c r="DS228">
        <v>25.517499999999998</v>
      </c>
      <c r="DT228">
        <v>24.4</v>
      </c>
      <c r="DU228">
        <v>27.8</v>
      </c>
      <c r="DV228">
        <v>9.2776399999999999</v>
      </c>
      <c r="DW228">
        <v>60.8384</v>
      </c>
      <c r="DX228">
        <v>36.762799999999999</v>
      </c>
      <c r="DY228">
        <v>1</v>
      </c>
      <c r="DZ228">
        <v>-0.12929099999999999</v>
      </c>
      <c r="EA228">
        <v>-0.47151100000000001</v>
      </c>
      <c r="EB228">
        <v>20.189299999999999</v>
      </c>
      <c r="EC228">
        <v>5.2430500000000002</v>
      </c>
      <c r="ED228">
        <v>12.039899999999999</v>
      </c>
      <c r="EE228">
        <v>5.0172499999999998</v>
      </c>
      <c r="EF228">
        <v>3.2879999999999998</v>
      </c>
      <c r="EG228">
        <v>9999</v>
      </c>
      <c r="EH228">
        <v>9999</v>
      </c>
      <c r="EI228">
        <v>9999</v>
      </c>
      <c r="EJ228">
        <v>999.9</v>
      </c>
      <c r="EK228">
        <v>1.8688899999999999</v>
      </c>
      <c r="EL228">
        <v>1.8645499999999999</v>
      </c>
      <c r="EM228">
        <v>1.8691800000000001</v>
      </c>
      <c r="EN228">
        <v>1.8672200000000001</v>
      </c>
      <c r="EO228">
        <v>1.8632899999999999</v>
      </c>
      <c r="EP228">
        <v>1.8643400000000001</v>
      </c>
      <c r="EQ228">
        <v>1.87012</v>
      </c>
      <c r="ER228">
        <v>1.8693500000000001</v>
      </c>
      <c r="ES228">
        <v>0</v>
      </c>
      <c r="ET228">
        <v>0</v>
      </c>
      <c r="EU228">
        <v>0</v>
      </c>
      <c r="EV228">
        <v>0</v>
      </c>
      <c r="EW228" t="s">
        <v>334</v>
      </c>
      <c r="EX228" t="s">
        <v>335</v>
      </c>
      <c r="EY228" t="s">
        <v>336</v>
      </c>
      <c r="EZ228" t="s">
        <v>336</v>
      </c>
      <c r="FA228" t="s">
        <v>336</v>
      </c>
      <c r="FB228" t="s">
        <v>336</v>
      </c>
      <c r="FC228">
        <v>0</v>
      </c>
      <c r="FD228">
        <v>100</v>
      </c>
      <c r="FE228">
        <v>100</v>
      </c>
      <c r="FF228">
        <v>-0.39700000000000002</v>
      </c>
      <c r="FG228">
        <v>0.21110000000000001</v>
      </c>
      <c r="FH228">
        <v>-0.150361779349652</v>
      </c>
      <c r="FI228">
        <v>-6.1462078757559423E-4</v>
      </c>
      <c r="FJ228">
        <v>-1.8861989874597051E-7</v>
      </c>
      <c r="FK228">
        <v>1.1980462299894961E-10</v>
      </c>
      <c r="FL228">
        <v>0.21114761904761539</v>
      </c>
      <c r="FM228">
        <v>0</v>
      </c>
      <c r="FN228">
        <v>0</v>
      </c>
      <c r="FO228">
        <v>0</v>
      </c>
      <c r="FP228">
        <v>3</v>
      </c>
      <c r="FQ228">
        <v>2158</v>
      </c>
      <c r="FR228">
        <v>1</v>
      </c>
      <c r="FS228">
        <v>19</v>
      </c>
      <c r="FT228">
        <v>44.4</v>
      </c>
      <c r="FU228">
        <v>44.6</v>
      </c>
      <c r="FV228">
        <v>1.7663599999999999</v>
      </c>
      <c r="FW228">
        <v>2.5708000000000002</v>
      </c>
      <c r="FX228">
        <v>1.5490699999999999</v>
      </c>
      <c r="FY228">
        <v>2.33765</v>
      </c>
      <c r="FZ228">
        <v>1.50146</v>
      </c>
      <c r="GA228">
        <v>2.3889200000000002</v>
      </c>
      <c r="GB228">
        <v>32.531799999999997</v>
      </c>
      <c r="GC228">
        <v>23.991199999999999</v>
      </c>
      <c r="GD228">
        <v>19</v>
      </c>
      <c r="GE228">
        <v>269.83100000000002</v>
      </c>
      <c r="GF228">
        <v>583.02300000000002</v>
      </c>
      <c r="GG228">
        <v>25.815100000000001</v>
      </c>
      <c r="GH228">
        <v>25.807700000000001</v>
      </c>
      <c r="GI228">
        <v>30</v>
      </c>
      <c r="GJ228">
        <v>25.905000000000001</v>
      </c>
      <c r="GK228">
        <v>25.8704</v>
      </c>
      <c r="GL228">
        <v>35.306199999999997</v>
      </c>
      <c r="GM228">
        <v>100</v>
      </c>
      <c r="GN228">
        <v>0</v>
      </c>
      <c r="GO228">
        <v>25.8111</v>
      </c>
      <c r="GP228">
        <v>800</v>
      </c>
      <c r="GQ228">
        <v>0</v>
      </c>
      <c r="GR228">
        <v>99.766900000000007</v>
      </c>
      <c r="GS228">
        <v>99.558700000000002</v>
      </c>
    </row>
    <row r="229" spans="1:201" x14ac:dyDescent="0.25">
      <c r="A229">
        <v>213</v>
      </c>
      <c r="B229">
        <v>1690378886.0999999</v>
      </c>
      <c r="C229">
        <v>2169.599999904633</v>
      </c>
      <c r="D229" t="s">
        <v>759</v>
      </c>
      <c r="E229" t="s">
        <v>760</v>
      </c>
      <c r="F229" t="s">
        <v>330</v>
      </c>
      <c r="H229">
        <v>1690378886.0999999</v>
      </c>
      <c r="I229">
        <f t="shared" si="90"/>
        <v>2.4857062781949925E-3</v>
      </c>
      <c r="J229">
        <f t="shared" si="91"/>
        <v>2.4857062781949923</v>
      </c>
      <c r="K229">
        <f t="shared" si="92"/>
        <v>36.6168634946456</v>
      </c>
      <c r="L229">
        <f t="shared" si="93"/>
        <v>368.53399999999999</v>
      </c>
      <c r="M229">
        <f t="shared" si="94"/>
        <v>84.239561968744709</v>
      </c>
      <c r="N229">
        <f t="shared" si="95"/>
        <v>8.3193127178825907</v>
      </c>
      <c r="O229">
        <f t="shared" si="96"/>
        <v>36.395602274258003</v>
      </c>
      <c r="P229">
        <f t="shared" si="97"/>
        <v>0.22012127449948291</v>
      </c>
      <c r="Q229">
        <f t="shared" si="98"/>
        <v>2.0065268415988555</v>
      </c>
      <c r="R229">
        <f t="shared" si="99"/>
        <v>0.20753185886009581</v>
      </c>
      <c r="S229">
        <f t="shared" si="100"/>
        <v>0.13077848020843549</v>
      </c>
      <c r="T229">
        <f t="shared" si="101"/>
        <v>276.11494126200006</v>
      </c>
      <c r="U229">
        <f t="shared" si="102"/>
        <v>28.479231713918225</v>
      </c>
      <c r="V229">
        <f t="shared" si="103"/>
        <v>28.479231713918225</v>
      </c>
      <c r="W229">
        <f t="shared" si="104"/>
        <v>3.902159193333727</v>
      </c>
      <c r="X229">
        <f t="shared" si="105"/>
        <v>76.685340018699563</v>
      </c>
      <c r="Y229">
        <f t="shared" si="106"/>
        <v>2.7591839352142999</v>
      </c>
      <c r="Z229">
        <f t="shared" si="107"/>
        <v>3.5980592047208479</v>
      </c>
      <c r="AA229">
        <f t="shared" si="108"/>
        <v>1.142975258119427</v>
      </c>
      <c r="AB229">
        <f t="shared" si="109"/>
        <v>-109.61964686839917</v>
      </c>
      <c r="AC229">
        <f t="shared" si="110"/>
        <v>-150.31380911045983</v>
      </c>
      <c r="AD229">
        <f t="shared" si="111"/>
        <v>-16.294222454100193</v>
      </c>
      <c r="AE229">
        <f t="shared" si="112"/>
        <v>-0.11273717095912161</v>
      </c>
      <c r="AF229">
        <v>8</v>
      </c>
      <c r="AG229">
        <v>3</v>
      </c>
      <c r="AH229">
        <f t="shared" si="113"/>
        <v>1</v>
      </c>
      <c r="AI229">
        <f t="shared" si="114"/>
        <v>0</v>
      </c>
      <c r="AJ229">
        <f t="shared" si="115"/>
        <v>52111.186510097825</v>
      </c>
      <c r="AK229">
        <f t="shared" si="116"/>
        <v>1800</v>
      </c>
      <c r="AL229">
        <f t="shared" si="117"/>
        <v>1499.1126731999998</v>
      </c>
      <c r="AM229">
        <f t="shared" si="118"/>
        <v>0.83284037399999988</v>
      </c>
      <c r="AN229">
        <f t="shared" si="119"/>
        <v>0.15339718959000004</v>
      </c>
      <c r="AO229">
        <v>34.5</v>
      </c>
      <c r="AP229">
        <v>0.5</v>
      </c>
      <c r="AQ229" t="s">
        <v>331</v>
      </c>
      <c r="AR229">
        <v>2</v>
      </c>
      <c r="AS229">
        <v>1690378886.0999999</v>
      </c>
      <c r="AT229">
        <v>368.53399999999999</v>
      </c>
      <c r="AU229">
        <v>800.01599999999996</v>
      </c>
      <c r="AV229">
        <v>27.9389</v>
      </c>
      <c r="AW229">
        <v>0.16137299999999999</v>
      </c>
      <c r="AX229">
        <v>368.93099999999998</v>
      </c>
      <c r="AY229">
        <v>27.727699999999999</v>
      </c>
      <c r="AZ229">
        <v>300.10199999999998</v>
      </c>
      <c r="BA229">
        <v>98.657700000000006</v>
      </c>
      <c r="BB229">
        <v>0.100087</v>
      </c>
      <c r="BC229">
        <v>27.089700000000001</v>
      </c>
      <c r="BD229">
        <v>26.9924</v>
      </c>
      <c r="BE229">
        <v>28.5745</v>
      </c>
      <c r="BF229">
        <v>0</v>
      </c>
      <c r="BG229">
        <v>0</v>
      </c>
      <c r="BH229">
        <v>9991.8799999999992</v>
      </c>
      <c r="BI229">
        <v>1082.8599999999999</v>
      </c>
      <c r="BJ229">
        <v>1.62592</v>
      </c>
      <c r="BK229">
        <v>-431.48200000000003</v>
      </c>
      <c r="BL229">
        <v>379.12700000000001</v>
      </c>
      <c r="BM229">
        <v>800.14499999999998</v>
      </c>
      <c r="BN229">
        <v>27.7775</v>
      </c>
      <c r="BO229">
        <v>800.01599999999996</v>
      </c>
      <c r="BP229">
        <v>0.16137299999999999</v>
      </c>
      <c r="BQ229">
        <v>2.7563900000000001</v>
      </c>
      <c r="BR229">
        <v>1.5920699999999999E-2</v>
      </c>
      <c r="BS229">
        <v>22.6252</v>
      </c>
      <c r="BT229">
        <v>-41.5989</v>
      </c>
      <c r="BU229">
        <v>1800</v>
      </c>
      <c r="BV229">
        <v>0.91000800000000004</v>
      </c>
      <c r="BW229">
        <v>3.3997800000000002E-2</v>
      </c>
      <c r="BX229">
        <v>2.19987E-2</v>
      </c>
      <c r="BY229">
        <v>3.39951E-2</v>
      </c>
      <c r="BZ229">
        <v>25.791699999999999</v>
      </c>
      <c r="CA229">
        <v>33528.5</v>
      </c>
      <c r="CB229">
        <v>1690376213.5999999</v>
      </c>
      <c r="CC229" t="s">
        <v>332</v>
      </c>
      <c r="CD229">
        <v>1690376213.5999999</v>
      </c>
      <c r="CE229">
        <v>1690376198.0999999</v>
      </c>
      <c r="CF229">
        <v>2</v>
      </c>
      <c r="CG229">
        <v>0.66900000000000004</v>
      </c>
      <c r="CH229">
        <v>-2.1000000000000001E-2</v>
      </c>
      <c r="CI229">
        <v>-0.70099999999999996</v>
      </c>
      <c r="CJ229">
        <v>0.21099999999999999</v>
      </c>
      <c r="CK229">
        <v>799</v>
      </c>
      <c r="CL229">
        <v>21</v>
      </c>
      <c r="CM229">
        <v>0.11</v>
      </c>
      <c r="CN229">
        <v>0.17</v>
      </c>
      <c r="CO229">
        <v>-431.16085365853661</v>
      </c>
      <c r="CP229">
        <v>-1.8612961672472661</v>
      </c>
      <c r="CQ229">
        <v>0.19328199554973499</v>
      </c>
      <c r="CR229">
        <v>-1</v>
      </c>
      <c r="CS229">
        <v>27.757687804878049</v>
      </c>
      <c r="CT229">
        <v>8.6540069686394799E-2</v>
      </c>
      <c r="CU229">
        <v>8.7174955880562222E-3</v>
      </c>
      <c r="CV229">
        <v>-1</v>
      </c>
      <c r="CW229">
        <v>0</v>
      </c>
      <c r="CX229">
        <v>0</v>
      </c>
      <c r="CY229" t="s">
        <v>333</v>
      </c>
      <c r="CZ229">
        <v>2.3649100000000001</v>
      </c>
      <c r="DA229">
        <v>2.71387</v>
      </c>
      <c r="DB229">
        <v>8.3826999999999999E-2</v>
      </c>
      <c r="DC229">
        <v>0.14551900000000001</v>
      </c>
      <c r="DD229">
        <v>0.12622</v>
      </c>
      <c r="DE229">
        <v>1.3546700000000001E-3</v>
      </c>
      <c r="DF229">
        <v>33464.5</v>
      </c>
      <c r="DG229">
        <v>27540.3</v>
      </c>
      <c r="DH229">
        <v>31181</v>
      </c>
      <c r="DI229">
        <v>28083.599999999999</v>
      </c>
      <c r="DJ229">
        <v>36975.300000000003</v>
      </c>
      <c r="DK229">
        <v>39877.599999999999</v>
      </c>
      <c r="DL229">
        <v>44373</v>
      </c>
      <c r="DM229">
        <v>42553.599999999999</v>
      </c>
      <c r="DN229">
        <v>1.4495</v>
      </c>
      <c r="DO229">
        <v>2.0424500000000001</v>
      </c>
      <c r="DP229">
        <v>8.9026999999999995E-2</v>
      </c>
      <c r="DQ229">
        <v>0.18704299999999999</v>
      </c>
      <c r="DR229">
        <v>25.534700000000001</v>
      </c>
      <c r="DS229">
        <v>25.515799999999999</v>
      </c>
      <c r="DT229">
        <v>24.3</v>
      </c>
      <c r="DU229">
        <v>27.8</v>
      </c>
      <c r="DV229">
        <v>9.2399900000000006</v>
      </c>
      <c r="DW229">
        <v>60.978400000000001</v>
      </c>
      <c r="DX229">
        <v>36.923099999999998</v>
      </c>
      <c r="DY229">
        <v>1</v>
      </c>
      <c r="DZ229">
        <v>-0.12901899999999999</v>
      </c>
      <c r="EA229">
        <v>-0.46582800000000002</v>
      </c>
      <c r="EB229">
        <v>20.1892</v>
      </c>
      <c r="EC229">
        <v>5.2424499999999998</v>
      </c>
      <c r="ED229">
        <v>12.039899999999999</v>
      </c>
      <c r="EE229">
        <v>5.0170000000000003</v>
      </c>
      <c r="EF229">
        <v>3.2879999999999998</v>
      </c>
      <c r="EG229">
        <v>9999</v>
      </c>
      <c r="EH229">
        <v>9999</v>
      </c>
      <c r="EI229">
        <v>9999</v>
      </c>
      <c r="EJ229">
        <v>999.9</v>
      </c>
      <c r="EK229">
        <v>1.8688899999999999</v>
      </c>
      <c r="EL229">
        <v>1.86459</v>
      </c>
      <c r="EM229">
        <v>1.8691899999999999</v>
      </c>
      <c r="EN229">
        <v>1.86721</v>
      </c>
      <c r="EO229">
        <v>1.8633</v>
      </c>
      <c r="EP229">
        <v>1.86435</v>
      </c>
      <c r="EQ229">
        <v>1.87012</v>
      </c>
      <c r="ER229">
        <v>1.8693500000000001</v>
      </c>
      <c r="ES229">
        <v>0</v>
      </c>
      <c r="ET229">
        <v>0</v>
      </c>
      <c r="EU229">
        <v>0</v>
      </c>
      <c r="EV229">
        <v>0</v>
      </c>
      <c r="EW229" t="s">
        <v>334</v>
      </c>
      <c r="EX229" t="s">
        <v>335</v>
      </c>
      <c r="EY229" t="s">
        <v>336</v>
      </c>
      <c r="EZ229" t="s">
        <v>336</v>
      </c>
      <c r="FA229" t="s">
        <v>336</v>
      </c>
      <c r="FB229" t="s">
        <v>336</v>
      </c>
      <c r="FC229">
        <v>0</v>
      </c>
      <c r="FD229">
        <v>100</v>
      </c>
      <c r="FE229">
        <v>100</v>
      </c>
      <c r="FF229">
        <v>-0.39700000000000002</v>
      </c>
      <c r="FG229">
        <v>0.2112</v>
      </c>
      <c r="FH229">
        <v>-0.150361779349652</v>
      </c>
      <c r="FI229">
        <v>-6.1462078757559423E-4</v>
      </c>
      <c r="FJ229">
        <v>-1.8861989874597051E-7</v>
      </c>
      <c r="FK229">
        <v>1.1980462299894961E-10</v>
      </c>
      <c r="FL229">
        <v>0.21114761904761539</v>
      </c>
      <c r="FM229">
        <v>0</v>
      </c>
      <c r="FN229">
        <v>0</v>
      </c>
      <c r="FO229">
        <v>0</v>
      </c>
      <c r="FP229">
        <v>3</v>
      </c>
      <c r="FQ229">
        <v>2158</v>
      </c>
      <c r="FR229">
        <v>1</v>
      </c>
      <c r="FS229">
        <v>19</v>
      </c>
      <c r="FT229">
        <v>44.5</v>
      </c>
      <c r="FU229">
        <v>44.8</v>
      </c>
      <c r="FV229">
        <v>1.7663599999999999</v>
      </c>
      <c r="FW229">
        <v>2.5659200000000002</v>
      </c>
      <c r="FX229">
        <v>1.5490699999999999</v>
      </c>
      <c r="FY229">
        <v>2.33765</v>
      </c>
      <c r="FZ229">
        <v>1.50146</v>
      </c>
      <c r="GA229">
        <v>2.34131</v>
      </c>
      <c r="GB229">
        <v>32.531799999999997</v>
      </c>
      <c r="GC229">
        <v>23.991199999999999</v>
      </c>
      <c r="GD229">
        <v>19</v>
      </c>
      <c r="GE229">
        <v>269.791</v>
      </c>
      <c r="GF229">
        <v>582.88300000000004</v>
      </c>
      <c r="GG229">
        <v>25.805199999999999</v>
      </c>
      <c r="GH229">
        <v>25.807700000000001</v>
      </c>
      <c r="GI229">
        <v>30.0002</v>
      </c>
      <c r="GJ229">
        <v>25.9054</v>
      </c>
      <c r="GK229">
        <v>25.872599999999998</v>
      </c>
      <c r="GL229">
        <v>35.305700000000002</v>
      </c>
      <c r="GM229">
        <v>100</v>
      </c>
      <c r="GN229">
        <v>0</v>
      </c>
      <c r="GO229">
        <v>25.812999999999999</v>
      </c>
      <c r="GP229">
        <v>800</v>
      </c>
      <c r="GQ229">
        <v>0</v>
      </c>
      <c r="GR229">
        <v>99.765199999999993</v>
      </c>
      <c r="GS229">
        <v>99.558199999999999</v>
      </c>
    </row>
    <row r="230" spans="1:201" x14ac:dyDescent="0.25">
      <c r="A230">
        <v>214</v>
      </c>
      <c r="B230">
        <v>1690378896.0999999</v>
      </c>
      <c r="C230">
        <v>2179.599999904633</v>
      </c>
      <c r="D230" t="s">
        <v>761</v>
      </c>
      <c r="E230" t="s">
        <v>762</v>
      </c>
      <c r="F230" t="s">
        <v>330</v>
      </c>
      <c r="H230">
        <v>1690378896.0999999</v>
      </c>
      <c r="I230">
        <f t="shared" si="90"/>
        <v>2.4879194507942764E-3</v>
      </c>
      <c r="J230">
        <f t="shared" si="91"/>
        <v>2.4879194507942763</v>
      </c>
      <c r="K230">
        <f t="shared" si="92"/>
        <v>36.658429378246844</v>
      </c>
      <c r="L230">
        <f t="shared" si="93"/>
        <v>368.209</v>
      </c>
      <c r="M230">
        <f t="shared" si="94"/>
        <v>84.393069213709609</v>
      </c>
      <c r="N230">
        <f t="shared" si="95"/>
        <v>8.3338333073983577</v>
      </c>
      <c r="O230">
        <f t="shared" si="96"/>
        <v>36.360716073889996</v>
      </c>
      <c r="P230">
        <f t="shared" si="97"/>
        <v>0.2207660898141556</v>
      </c>
      <c r="Q230">
        <f t="shared" si="98"/>
        <v>2.0076951315648133</v>
      </c>
      <c r="R230">
        <f t="shared" si="99"/>
        <v>0.20811199933171037</v>
      </c>
      <c r="S230">
        <f t="shared" si="100"/>
        <v>0.13114643713219665</v>
      </c>
      <c r="T230">
        <f t="shared" si="101"/>
        <v>276.11343626994318</v>
      </c>
      <c r="U230">
        <f t="shared" si="102"/>
        <v>28.475577830128515</v>
      </c>
      <c r="V230">
        <f t="shared" si="103"/>
        <v>28.475577830128515</v>
      </c>
      <c r="W230">
        <f t="shared" si="104"/>
        <v>3.9013310294800911</v>
      </c>
      <c r="X230">
        <f t="shared" si="105"/>
        <v>76.734747802907066</v>
      </c>
      <c r="Y230">
        <f t="shared" si="106"/>
        <v>2.7606213706760001</v>
      </c>
      <c r="Z230">
        <f t="shared" si="107"/>
        <v>3.5976157473881929</v>
      </c>
      <c r="AA230">
        <f t="shared" si="108"/>
        <v>1.140709658804091</v>
      </c>
      <c r="AB230">
        <f t="shared" si="109"/>
        <v>-109.71724778002759</v>
      </c>
      <c r="AC230">
        <f t="shared" si="110"/>
        <v>-150.23313794528181</v>
      </c>
      <c r="AD230">
        <f t="shared" si="111"/>
        <v>-16.275533753521515</v>
      </c>
      <c r="AE230">
        <f t="shared" si="112"/>
        <v>-0.11248320888776675</v>
      </c>
      <c r="AF230">
        <v>8</v>
      </c>
      <c r="AG230">
        <v>3</v>
      </c>
      <c r="AH230">
        <f t="shared" si="113"/>
        <v>1</v>
      </c>
      <c r="AI230">
        <f t="shared" si="114"/>
        <v>0</v>
      </c>
      <c r="AJ230">
        <f t="shared" si="115"/>
        <v>52167.213388343538</v>
      </c>
      <c r="AK230">
        <f t="shared" si="116"/>
        <v>1799.99</v>
      </c>
      <c r="AL230">
        <f t="shared" si="117"/>
        <v>1499.1044707955598</v>
      </c>
      <c r="AM230">
        <f t="shared" si="118"/>
        <v>0.8328404439999999</v>
      </c>
      <c r="AN230">
        <f t="shared" si="119"/>
        <v>0.15339720569000004</v>
      </c>
      <c r="AO230">
        <v>34.5</v>
      </c>
      <c r="AP230">
        <v>0.5</v>
      </c>
      <c r="AQ230" t="s">
        <v>331</v>
      </c>
      <c r="AR230">
        <v>2</v>
      </c>
      <c r="AS230">
        <v>1690378896.0999999</v>
      </c>
      <c r="AT230">
        <v>368.209</v>
      </c>
      <c r="AU230">
        <v>800.06100000000004</v>
      </c>
      <c r="AV230">
        <v>27.9556</v>
      </c>
      <c r="AW230">
        <v>0.16076499999999999</v>
      </c>
      <c r="AX230">
        <v>368.60500000000002</v>
      </c>
      <c r="AY230">
        <v>27.744499999999999</v>
      </c>
      <c r="AZ230">
        <v>300.17700000000002</v>
      </c>
      <c r="BA230">
        <v>98.650199999999998</v>
      </c>
      <c r="BB230">
        <v>0.10001</v>
      </c>
      <c r="BC230">
        <v>27.087599999999998</v>
      </c>
      <c r="BD230">
        <v>27.006699999999999</v>
      </c>
      <c r="BE230">
        <v>28.574400000000001</v>
      </c>
      <c r="BF230">
        <v>0</v>
      </c>
      <c r="BG230">
        <v>0</v>
      </c>
      <c r="BH230">
        <v>10003.799999999999</v>
      </c>
      <c r="BI230">
        <v>1082.8499999999999</v>
      </c>
      <c r="BJ230">
        <v>1.68198</v>
      </c>
      <c r="BK230">
        <v>-431.85300000000001</v>
      </c>
      <c r="BL230">
        <v>378.798</v>
      </c>
      <c r="BM230">
        <v>800.19</v>
      </c>
      <c r="BN230">
        <v>27.794899999999998</v>
      </c>
      <c r="BO230">
        <v>800.06100000000004</v>
      </c>
      <c r="BP230">
        <v>0.16076499999999999</v>
      </c>
      <c r="BQ230">
        <v>2.7578299999999998</v>
      </c>
      <c r="BR230">
        <v>1.5859499999999999E-2</v>
      </c>
      <c r="BS230">
        <v>22.633800000000001</v>
      </c>
      <c r="BT230">
        <v>-41.635199999999998</v>
      </c>
      <c r="BU230">
        <v>1799.99</v>
      </c>
      <c r="BV230">
        <v>0.91000800000000004</v>
      </c>
      <c r="BW230">
        <v>3.3997899999999998E-2</v>
      </c>
      <c r="BX230">
        <v>2.19987E-2</v>
      </c>
      <c r="BY230">
        <v>3.39951E-2</v>
      </c>
      <c r="BZ230">
        <v>25.708300000000001</v>
      </c>
      <c r="CA230">
        <v>33528.300000000003</v>
      </c>
      <c r="CB230">
        <v>1690376213.5999999</v>
      </c>
      <c r="CC230" t="s">
        <v>332</v>
      </c>
      <c r="CD230">
        <v>1690376213.5999999</v>
      </c>
      <c r="CE230">
        <v>1690376198.0999999</v>
      </c>
      <c r="CF230">
        <v>2</v>
      </c>
      <c r="CG230">
        <v>0.66900000000000004</v>
      </c>
      <c r="CH230">
        <v>-2.1000000000000001E-2</v>
      </c>
      <c r="CI230">
        <v>-0.70099999999999996</v>
      </c>
      <c r="CJ230">
        <v>0.21099999999999999</v>
      </c>
      <c r="CK230">
        <v>799</v>
      </c>
      <c r="CL230">
        <v>21</v>
      </c>
      <c r="CM230">
        <v>0.11</v>
      </c>
      <c r="CN230">
        <v>0.17</v>
      </c>
      <c r="CO230">
        <v>-431.4632439024391</v>
      </c>
      <c r="CP230">
        <v>-1.4974285714289861</v>
      </c>
      <c r="CQ230">
        <v>0.15464117087992249</v>
      </c>
      <c r="CR230">
        <v>-1</v>
      </c>
      <c r="CS230">
        <v>27.77453170731707</v>
      </c>
      <c r="CT230">
        <v>0.11309686411154141</v>
      </c>
      <c r="CU230">
        <v>1.116578919309239E-2</v>
      </c>
      <c r="CV230">
        <v>-1</v>
      </c>
      <c r="CW230">
        <v>0</v>
      </c>
      <c r="CX230">
        <v>0</v>
      </c>
      <c r="CY230" t="s">
        <v>333</v>
      </c>
      <c r="CZ230">
        <v>2.3651200000000001</v>
      </c>
      <c r="DA230">
        <v>2.7138100000000001</v>
      </c>
      <c r="DB230">
        <v>8.3762600000000006E-2</v>
      </c>
      <c r="DC230">
        <v>0.145514</v>
      </c>
      <c r="DD230">
        <v>0.12626200000000001</v>
      </c>
      <c r="DE230">
        <v>1.3495099999999999E-3</v>
      </c>
      <c r="DF230">
        <v>33466.9</v>
      </c>
      <c r="DG230">
        <v>27540.1</v>
      </c>
      <c r="DH230">
        <v>31181.1</v>
      </c>
      <c r="DI230">
        <v>28083.200000000001</v>
      </c>
      <c r="DJ230">
        <v>36973.5</v>
      </c>
      <c r="DK230">
        <v>39877.4</v>
      </c>
      <c r="DL230">
        <v>44373</v>
      </c>
      <c r="DM230">
        <v>42553.2</v>
      </c>
      <c r="DN230">
        <v>1.4496</v>
      </c>
      <c r="DO230">
        <v>2.0420699999999998</v>
      </c>
      <c r="DP230">
        <v>8.9902399999999993E-2</v>
      </c>
      <c r="DQ230">
        <v>0.18706500000000001</v>
      </c>
      <c r="DR230">
        <v>25.534700000000001</v>
      </c>
      <c r="DS230">
        <v>25.5153</v>
      </c>
      <c r="DT230">
        <v>24.3</v>
      </c>
      <c r="DU230">
        <v>27.8</v>
      </c>
      <c r="DV230">
        <v>9.2384000000000004</v>
      </c>
      <c r="DW230">
        <v>60.758400000000002</v>
      </c>
      <c r="DX230">
        <v>36.798900000000003</v>
      </c>
      <c r="DY230">
        <v>1</v>
      </c>
      <c r="DZ230">
        <v>-0.12897600000000001</v>
      </c>
      <c r="EA230">
        <v>-0.51622800000000002</v>
      </c>
      <c r="EB230">
        <v>20.1891</v>
      </c>
      <c r="EC230">
        <v>5.2428999999999997</v>
      </c>
      <c r="ED230">
        <v>12.039899999999999</v>
      </c>
      <c r="EE230">
        <v>5.0171000000000001</v>
      </c>
      <c r="EF230">
        <v>3.2879999999999998</v>
      </c>
      <c r="EG230">
        <v>9999</v>
      </c>
      <c r="EH230">
        <v>9999</v>
      </c>
      <c r="EI230">
        <v>9999</v>
      </c>
      <c r="EJ230">
        <v>999.9</v>
      </c>
      <c r="EK230">
        <v>1.8688899999999999</v>
      </c>
      <c r="EL230">
        <v>1.86456</v>
      </c>
      <c r="EM230">
        <v>1.8691899999999999</v>
      </c>
      <c r="EN230">
        <v>1.8672200000000001</v>
      </c>
      <c r="EO230">
        <v>1.86328</v>
      </c>
      <c r="EP230">
        <v>1.86435</v>
      </c>
      <c r="EQ230">
        <v>1.87012</v>
      </c>
      <c r="ER230">
        <v>1.8693500000000001</v>
      </c>
      <c r="ES230">
        <v>0</v>
      </c>
      <c r="ET230">
        <v>0</v>
      </c>
      <c r="EU230">
        <v>0</v>
      </c>
      <c r="EV230">
        <v>0</v>
      </c>
      <c r="EW230" t="s">
        <v>334</v>
      </c>
      <c r="EX230" t="s">
        <v>335</v>
      </c>
      <c r="EY230" t="s">
        <v>336</v>
      </c>
      <c r="EZ230" t="s">
        <v>336</v>
      </c>
      <c r="FA230" t="s">
        <v>336</v>
      </c>
      <c r="FB230" t="s">
        <v>336</v>
      </c>
      <c r="FC230">
        <v>0</v>
      </c>
      <c r="FD230">
        <v>100</v>
      </c>
      <c r="FE230">
        <v>100</v>
      </c>
      <c r="FF230">
        <v>-0.39600000000000002</v>
      </c>
      <c r="FG230">
        <v>0.21110000000000001</v>
      </c>
      <c r="FH230">
        <v>-0.150361779349652</v>
      </c>
      <c r="FI230">
        <v>-6.1462078757559423E-4</v>
      </c>
      <c r="FJ230">
        <v>-1.8861989874597051E-7</v>
      </c>
      <c r="FK230">
        <v>1.1980462299894961E-10</v>
      </c>
      <c r="FL230">
        <v>0.21114761904761539</v>
      </c>
      <c r="FM230">
        <v>0</v>
      </c>
      <c r="FN230">
        <v>0</v>
      </c>
      <c r="FO230">
        <v>0</v>
      </c>
      <c r="FP230">
        <v>3</v>
      </c>
      <c r="FQ230">
        <v>2158</v>
      </c>
      <c r="FR230">
        <v>1</v>
      </c>
      <c r="FS230">
        <v>19</v>
      </c>
      <c r="FT230">
        <v>44.7</v>
      </c>
      <c r="FU230">
        <v>45</v>
      </c>
      <c r="FV230">
        <v>1.7651399999999999</v>
      </c>
      <c r="FW230">
        <v>2.5695800000000002</v>
      </c>
      <c r="FX230">
        <v>1.5490699999999999</v>
      </c>
      <c r="FY230">
        <v>2.33765</v>
      </c>
      <c r="FZ230">
        <v>1.50146</v>
      </c>
      <c r="GA230">
        <v>2.36206</v>
      </c>
      <c r="GB230">
        <v>32.553899999999999</v>
      </c>
      <c r="GC230">
        <v>23.991199999999999</v>
      </c>
      <c r="GD230">
        <v>19</v>
      </c>
      <c r="GE230">
        <v>269.84100000000001</v>
      </c>
      <c r="GF230">
        <v>582.57399999999996</v>
      </c>
      <c r="GG230">
        <v>25.815100000000001</v>
      </c>
      <c r="GH230">
        <v>25.809899999999999</v>
      </c>
      <c r="GI230">
        <v>30.000299999999999</v>
      </c>
      <c r="GJ230">
        <v>25.907599999999999</v>
      </c>
      <c r="GK230">
        <v>25.872599999999998</v>
      </c>
      <c r="GL230">
        <v>35.302399999999999</v>
      </c>
      <c r="GM230">
        <v>100</v>
      </c>
      <c r="GN230">
        <v>0</v>
      </c>
      <c r="GO230">
        <v>25.8141</v>
      </c>
      <c r="GP230">
        <v>800</v>
      </c>
      <c r="GQ230">
        <v>0</v>
      </c>
      <c r="GR230">
        <v>99.7654</v>
      </c>
      <c r="GS230">
        <v>99.557100000000005</v>
      </c>
    </row>
    <row r="231" spans="1:201" x14ac:dyDescent="0.25">
      <c r="A231">
        <v>215</v>
      </c>
      <c r="B231">
        <v>1690378906.0999999</v>
      </c>
      <c r="C231">
        <v>2189.599999904633</v>
      </c>
      <c r="D231" t="s">
        <v>763</v>
      </c>
      <c r="E231" t="s">
        <v>764</v>
      </c>
      <c r="F231" t="s">
        <v>330</v>
      </c>
      <c r="H231">
        <v>1690378906.0999999</v>
      </c>
      <c r="I231">
        <f t="shared" si="90"/>
        <v>2.4893185525094235E-3</v>
      </c>
      <c r="J231">
        <f t="shared" si="91"/>
        <v>2.4893185525094235</v>
      </c>
      <c r="K231">
        <f t="shared" si="92"/>
        <v>36.675490047083862</v>
      </c>
      <c r="L231">
        <f t="shared" si="93"/>
        <v>367.95499999999998</v>
      </c>
      <c r="M231">
        <f t="shared" si="94"/>
        <v>84.457380888831295</v>
      </c>
      <c r="N231">
        <f t="shared" si="95"/>
        <v>8.3404450214545953</v>
      </c>
      <c r="O231">
        <f t="shared" si="96"/>
        <v>36.336770280726995</v>
      </c>
      <c r="P231">
        <f t="shared" si="97"/>
        <v>0.22114350975461292</v>
      </c>
      <c r="Q231">
        <f t="shared" si="98"/>
        <v>2.0060212575373773</v>
      </c>
      <c r="R231">
        <f t="shared" si="99"/>
        <v>0.2084375104956657</v>
      </c>
      <c r="S231">
        <f t="shared" si="100"/>
        <v>0.13135415186343122</v>
      </c>
      <c r="T231">
        <f t="shared" si="101"/>
        <v>276.11506828800003</v>
      </c>
      <c r="U231">
        <f t="shared" si="102"/>
        <v>28.476321707480526</v>
      </c>
      <c r="V231">
        <f t="shared" si="103"/>
        <v>28.476321707480526</v>
      </c>
      <c r="W231">
        <f t="shared" si="104"/>
        <v>3.9014996191108335</v>
      </c>
      <c r="X231">
        <f t="shared" si="105"/>
        <v>76.769461340440728</v>
      </c>
      <c r="Y231">
        <f t="shared" si="106"/>
        <v>2.7619026516293803</v>
      </c>
      <c r="Z231">
        <f t="shared" si="107"/>
        <v>3.59765797936433</v>
      </c>
      <c r="AA231">
        <f t="shared" si="108"/>
        <v>1.1395969674814532</v>
      </c>
      <c r="AB231">
        <f t="shared" si="109"/>
        <v>-109.77894816566558</v>
      </c>
      <c r="AC231">
        <f t="shared" si="110"/>
        <v>-150.16670377749884</v>
      </c>
      <c r="AD231">
        <f t="shared" si="111"/>
        <v>-16.28198800953135</v>
      </c>
      <c r="AE231">
        <f t="shared" si="112"/>
        <v>-0.11257166469573576</v>
      </c>
      <c r="AF231">
        <v>8</v>
      </c>
      <c r="AG231">
        <v>3</v>
      </c>
      <c r="AH231">
        <f t="shared" si="113"/>
        <v>1</v>
      </c>
      <c r="AI231">
        <f t="shared" si="114"/>
        <v>0</v>
      </c>
      <c r="AJ231">
        <f t="shared" si="115"/>
        <v>52087.277734251096</v>
      </c>
      <c r="AK231">
        <f t="shared" si="116"/>
        <v>1800</v>
      </c>
      <c r="AL231">
        <f t="shared" si="117"/>
        <v>1499.1132167999999</v>
      </c>
      <c r="AM231">
        <f t="shared" si="118"/>
        <v>0.832840676</v>
      </c>
      <c r="AN231">
        <f t="shared" si="119"/>
        <v>0.15339726016000002</v>
      </c>
      <c r="AO231">
        <v>34.5</v>
      </c>
      <c r="AP231">
        <v>0.5</v>
      </c>
      <c r="AQ231" t="s">
        <v>331</v>
      </c>
      <c r="AR231">
        <v>2</v>
      </c>
      <c r="AS231">
        <v>1690378906.0999999</v>
      </c>
      <c r="AT231">
        <v>367.95499999999998</v>
      </c>
      <c r="AU231">
        <v>799.96</v>
      </c>
      <c r="AV231">
        <v>27.967700000000001</v>
      </c>
      <c r="AW231">
        <v>0.16026699999999999</v>
      </c>
      <c r="AX231">
        <v>368.351</v>
      </c>
      <c r="AY231">
        <v>27.756499999999999</v>
      </c>
      <c r="AZ231">
        <v>300.20600000000002</v>
      </c>
      <c r="BA231">
        <v>98.653300000000002</v>
      </c>
      <c r="BB231">
        <v>9.9999400000000002E-2</v>
      </c>
      <c r="BC231">
        <v>27.087800000000001</v>
      </c>
      <c r="BD231">
        <v>26.9998</v>
      </c>
      <c r="BE231">
        <v>28.5608</v>
      </c>
      <c r="BF231">
        <v>0</v>
      </c>
      <c r="BG231">
        <v>0</v>
      </c>
      <c r="BH231">
        <v>9987.5</v>
      </c>
      <c r="BI231">
        <v>1083.05</v>
      </c>
      <c r="BJ231">
        <v>1.68198</v>
      </c>
      <c r="BK231">
        <v>-432.005</v>
      </c>
      <c r="BL231">
        <v>378.54199999999997</v>
      </c>
      <c r="BM231">
        <v>800.08799999999997</v>
      </c>
      <c r="BN231">
        <v>27.807400000000001</v>
      </c>
      <c r="BO231">
        <v>799.96</v>
      </c>
      <c r="BP231">
        <v>0.16026699999999999</v>
      </c>
      <c r="BQ231">
        <v>2.7591000000000001</v>
      </c>
      <c r="BR231">
        <v>1.58108E-2</v>
      </c>
      <c r="BS231">
        <v>22.641400000000001</v>
      </c>
      <c r="BT231">
        <v>-41.664200000000001</v>
      </c>
      <c r="BU231">
        <v>1800</v>
      </c>
      <c r="BV231">
        <v>0.91000800000000004</v>
      </c>
      <c r="BW231">
        <v>3.3998E-2</v>
      </c>
      <c r="BX231">
        <v>2.1998799999999999E-2</v>
      </c>
      <c r="BY231">
        <v>3.3995200000000003E-2</v>
      </c>
      <c r="BZ231">
        <v>25.666699999999999</v>
      </c>
      <c r="CA231">
        <v>33528.400000000001</v>
      </c>
      <c r="CB231">
        <v>1690376213.5999999</v>
      </c>
      <c r="CC231" t="s">
        <v>332</v>
      </c>
      <c r="CD231">
        <v>1690376213.5999999</v>
      </c>
      <c r="CE231">
        <v>1690376198.0999999</v>
      </c>
      <c r="CF231">
        <v>2</v>
      </c>
      <c r="CG231">
        <v>0.66900000000000004</v>
      </c>
      <c r="CH231">
        <v>-2.1000000000000001E-2</v>
      </c>
      <c r="CI231">
        <v>-0.70099999999999996</v>
      </c>
      <c r="CJ231">
        <v>0.21099999999999999</v>
      </c>
      <c r="CK231">
        <v>799</v>
      </c>
      <c r="CL231">
        <v>21</v>
      </c>
      <c r="CM231">
        <v>0.11</v>
      </c>
      <c r="CN231">
        <v>0.17</v>
      </c>
      <c r="CO231">
        <v>-431.76249999999999</v>
      </c>
      <c r="CP231">
        <v>-1.6608630393992481</v>
      </c>
      <c r="CQ231">
        <v>0.16457612220489101</v>
      </c>
      <c r="CR231">
        <v>-1</v>
      </c>
      <c r="CS231">
        <v>27.792637500000001</v>
      </c>
      <c r="CT231">
        <v>8.7218386491551309E-2</v>
      </c>
      <c r="CU231">
        <v>8.4144722799474204E-3</v>
      </c>
      <c r="CV231">
        <v>-1</v>
      </c>
      <c r="CW231">
        <v>0</v>
      </c>
      <c r="CX231">
        <v>0</v>
      </c>
      <c r="CY231" t="s">
        <v>333</v>
      </c>
      <c r="CZ231">
        <v>2.36524</v>
      </c>
      <c r="DA231">
        <v>2.7137799999999999</v>
      </c>
      <c r="DB231">
        <v>8.3720600000000006E-2</v>
      </c>
      <c r="DC231">
        <v>0.145506</v>
      </c>
      <c r="DD231">
        <v>0.126304</v>
      </c>
      <c r="DE231">
        <v>1.34541E-3</v>
      </c>
      <c r="DF231">
        <v>33468.199999999997</v>
      </c>
      <c r="DG231">
        <v>27540.6</v>
      </c>
      <c r="DH231">
        <v>31180.799999999999</v>
      </c>
      <c r="DI231">
        <v>28083.5</v>
      </c>
      <c r="DJ231">
        <v>36971.4</v>
      </c>
      <c r="DK231">
        <v>39878.1</v>
      </c>
      <c r="DL231">
        <v>44372.7</v>
      </c>
      <c r="DM231">
        <v>42553.8</v>
      </c>
      <c r="DN231">
        <v>1.4496</v>
      </c>
      <c r="DO231">
        <v>2.04217</v>
      </c>
      <c r="DP231">
        <v>8.9477699999999993E-2</v>
      </c>
      <c r="DQ231">
        <v>0.186164</v>
      </c>
      <c r="DR231">
        <v>25.534700000000001</v>
      </c>
      <c r="DS231">
        <v>25.516500000000001</v>
      </c>
      <c r="DT231">
        <v>24.3</v>
      </c>
      <c r="DU231">
        <v>27.8</v>
      </c>
      <c r="DV231">
        <v>9.2401099999999996</v>
      </c>
      <c r="DW231">
        <v>61.168399999999998</v>
      </c>
      <c r="DX231">
        <v>36.995199999999997</v>
      </c>
      <c r="DY231">
        <v>1</v>
      </c>
      <c r="DZ231">
        <v>-0.12871199999999999</v>
      </c>
      <c r="EA231">
        <v>-0.484404</v>
      </c>
      <c r="EB231">
        <v>20.1892</v>
      </c>
      <c r="EC231">
        <v>5.2424499999999998</v>
      </c>
      <c r="ED231">
        <v>12.039899999999999</v>
      </c>
      <c r="EE231">
        <v>5.01715</v>
      </c>
      <c r="EF231">
        <v>3.2879999999999998</v>
      </c>
      <c r="EG231">
        <v>9999</v>
      </c>
      <c r="EH231">
        <v>9999</v>
      </c>
      <c r="EI231">
        <v>9999</v>
      </c>
      <c r="EJ231">
        <v>999.9</v>
      </c>
      <c r="EK231">
        <v>1.8688899999999999</v>
      </c>
      <c r="EL231">
        <v>1.86456</v>
      </c>
      <c r="EM231">
        <v>1.8692</v>
      </c>
      <c r="EN231">
        <v>1.86721</v>
      </c>
      <c r="EO231">
        <v>1.8632899999999999</v>
      </c>
      <c r="EP231">
        <v>1.86436</v>
      </c>
      <c r="EQ231">
        <v>1.87012</v>
      </c>
      <c r="ER231">
        <v>1.8693500000000001</v>
      </c>
      <c r="ES231">
        <v>0</v>
      </c>
      <c r="ET231">
        <v>0</v>
      </c>
      <c r="EU231">
        <v>0</v>
      </c>
      <c r="EV231">
        <v>0</v>
      </c>
      <c r="EW231" t="s">
        <v>334</v>
      </c>
      <c r="EX231" t="s">
        <v>335</v>
      </c>
      <c r="EY231" t="s">
        <v>336</v>
      </c>
      <c r="EZ231" t="s">
        <v>336</v>
      </c>
      <c r="FA231" t="s">
        <v>336</v>
      </c>
      <c r="FB231" t="s">
        <v>336</v>
      </c>
      <c r="FC231">
        <v>0</v>
      </c>
      <c r="FD231">
        <v>100</v>
      </c>
      <c r="FE231">
        <v>100</v>
      </c>
      <c r="FF231">
        <v>-0.39600000000000002</v>
      </c>
      <c r="FG231">
        <v>0.2112</v>
      </c>
      <c r="FH231">
        <v>-0.150361779349652</v>
      </c>
      <c r="FI231">
        <v>-6.1462078757559423E-4</v>
      </c>
      <c r="FJ231">
        <v>-1.8861989874597051E-7</v>
      </c>
      <c r="FK231">
        <v>1.1980462299894961E-10</v>
      </c>
      <c r="FL231">
        <v>0.21114761904761539</v>
      </c>
      <c r="FM231">
        <v>0</v>
      </c>
      <c r="FN231">
        <v>0</v>
      </c>
      <c r="FO231">
        <v>0</v>
      </c>
      <c r="FP231">
        <v>3</v>
      </c>
      <c r="FQ231">
        <v>2158</v>
      </c>
      <c r="FR231">
        <v>1</v>
      </c>
      <c r="FS231">
        <v>19</v>
      </c>
      <c r="FT231">
        <v>44.9</v>
      </c>
      <c r="FU231">
        <v>45.1</v>
      </c>
      <c r="FV231">
        <v>1.7663599999999999</v>
      </c>
      <c r="FW231">
        <v>2.5708000000000002</v>
      </c>
      <c r="FX231">
        <v>1.5490699999999999</v>
      </c>
      <c r="FY231">
        <v>2.33765</v>
      </c>
      <c r="FZ231">
        <v>1.50024</v>
      </c>
      <c r="GA231">
        <v>2.32666</v>
      </c>
      <c r="GB231">
        <v>32.531799999999997</v>
      </c>
      <c r="GC231">
        <v>23.991199999999999</v>
      </c>
      <c r="GD231">
        <v>19</v>
      </c>
      <c r="GE231">
        <v>269.84199999999998</v>
      </c>
      <c r="GF231">
        <v>582.68100000000004</v>
      </c>
      <c r="GG231">
        <v>25.8125</v>
      </c>
      <c r="GH231">
        <v>25.809899999999999</v>
      </c>
      <c r="GI231">
        <v>30.000299999999999</v>
      </c>
      <c r="GJ231">
        <v>25.907699999999998</v>
      </c>
      <c r="GK231">
        <v>25.874700000000001</v>
      </c>
      <c r="GL231">
        <v>35.305199999999999</v>
      </c>
      <c r="GM231">
        <v>100</v>
      </c>
      <c r="GN231">
        <v>0</v>
      </c>
      <c r="GO231">
        <v>25.8108</v>
      </c>
      <c r="GP231">
        <v>800</v>
      </c>
      <c r="GQ231">
        <v>0</v>
      </c>
      <c r="GR231">
        <v>99.764600000000002</v>
      </c>
      <c r="GS231">
        <v>99.558400000000006</v>
      </c>
    </row>
    <row r="232" spans="1:201" x14ac:dyDescent="0.25">
      <c r="A232">
        <v>216</v>
      </c>
      <c r="B232">
        <v>1690378916.0999999</v>
      </c>
      <c r="C232">
        <v>2199.599999904633</v>
      </c>
      <c r="D232" t="s">
        <v>765</v>
      </c>
      <c r="E232" t="s">
        <v>766</v>
      </c>
      <c r="F232" t="s">
        <v>330</v>
      </c>
      <c r="H232">
        <v>1690378916.0999999</v>
      </c>
      <c r="I232">
        <f t="shared" si="90"/>
        <v>2.4890436708075161E-3</v>
      </c>
      <c r="J232">
        <f t="shared" si="91"/>
        <v>2.4890436708075163</v>
      </c>
      <c r="K232">
        <f t="shared" si="92"/>
        <v>36.687336368617999</v>
      </c>
      <c r="L232">
        <f t="shared" si="93"/>
        <v>367.71499999999997</v>
      </c>
      <c r="M232">
        <f t="shared" si="94"/>
        <v>84.226623365526692</v>
      </c>
      <c r="N232">
        <f t="shared" si="95"/>
        <v>8.3173873115548496</v>
      </c>
      <c r="O232">
        <f t="shared" si="96"/>
        <v>36.311892286069998</v>
      </c>
      <c r="P232">
        <f t="shared" si="97"/>
        <v>0.2212156125041293</v>
      </c>
      <c r="Q232">
        <f t="shared" si="98"/>
        <v>2.0069708868156431</v>
      </c>
      <c r="R232">
        <f t="shared" si="99"/>
        <v>0.20850722697128593</v>
      </c>
      <c r="S232">
        <f t="shared" si="100"/>
        <v>0.13139793606160322</v>
      </c>
      <c r="T232">
        <f t="shared" si="101"/>
        <v>276.11506828800003</v>
      </c>
      <c r="U232">
        <f t="shared" si="102"/>
        <v>28.477028078047006</v>
      </c>
      <c r="V232">
        <f t="shared" si="103"/>
        <v>28.477028078047006</v>
      </c>
      <c r="W232">
        <f t="shared" si="104"/>
        <v>3.901659714223348</v>
      </c>
      <c r="X232">
        <f t="shared" si="105"/>
        <v>76.783797587347635</v>
      </c>
      <c r="Y232">
        <f t="shared" si="106"/>
        <v>2.7626129916283997</v>
      </c>
      <c r="Z232">
        <f t="shared" si="107"/>
        <v>3.5979113803087288</v>
      </c>
      <c r="AA232">
        <f t="shared" si="108"/>
        <v>1.1390467225949483</v>
      </c>
      <c r="AB232">
        <f t="shared" si="109"/>
        <v>-109.76682588261146</v>
      </c>
      <c r="AC232">
        <f t="shared" si="110"/>
        <v>-150.18438049608318</v>
      </c>
      <c r="AD232">
        <f t="shared" si="111"/>
        <v>-16.276354323177134</v>
      </c>
      <c r="AE232">
        <f t="shared" si="112"/>
        <v>-0.1124924138717347</v>
      </c>
      <c r="AF232">
        <v>8</v>
      </c>
      <c r="AG232">
        <v>3</v>
      </c>
      <c r="AH232">
        <f t="shared" si="113"/>
        <v>1</v>
      </c>
      <c r="AI232">
        <f t="shared" si="114"/>
        <v>0</v>
      </c>
      <c r="AJ232">
        <f t="shared" si="115"/>
        <v>52132.358914276243</v>
      </c>
      <c r="AK232">
        <f t="shared" si="116"/>
        <v>1800</v>
      </c>
      <c r="AL232">
        <f t="shared" si="117"/>
        <v>1499.1132167999999</v>
      </c>
      <c r="AM232">
        <f t="shared" si="118"/>
        <v>0.832840676</v>
      </c>
      <c r="AN232">
        <f t="shared" si="119"/>
        <v>0.15339726016000002</v>
      </c>
      <c r="AO232">
        <v>34.5</v>
      </c>
      <c r="AP232">
        <v>0.5</v>
      </c>
      <c r="AQ232" t="s">
        <v>331</v>
      </c>
      <c r="AR232">
        <v>2</v>
      </c>
      <c r="AS232">
        <v>1690378916.0999999</v>
      </c>
      <c r="AT232">
        <v>367.71499999999997</v>
      </c>
      <c r="AU232">
        <v>800.03099999999995</v>
      </c>
      <c r="AV232">
        <v>27.9758</v>
      </c>
      <c r="AW232">
        <v>0.15990199999999999</v>
      </c>
      <c r="AX232">
        <v>368.11099999999999</v>
      </c>
      <c r="AY232">
        <v>27.764600000000002</v>
      </c>
      <c r="AZ232">
        <v>300.07900000000001</v>
      </c>
      <c r="BA232">
        <v>98.650199999999998</v>
      </c>
      <c r="BB232">
        <v>9.9898000000000001E-2</v>
      </c>
      <c r="BC232">
        <v>27.088999999999999</v>
      </c>
      <c r="BD232">
        <v>27.007100000000001</v>
      </c>
      <c r="BE232">
        <v>28.590699999999998</v>
      </c>
      <c r="BF232">
        <v>0</v>
      </c>
      <c r="BG232">
        <v>0</v>
      </c>
      <c r="BH232">
        <v>9996.8799999999992</v>
      </c>
      <c r="BI232">
        <v>1083.1500000000001</v>
      </c>
      <c r="BJ232">
        <v>1.68198</v>
      </c>
      <c r="BK232">
        <v>-432.31599999999997</v>
      </c>
      <c r="BL232">
        <v>378.298</v>
      </c>
      <c r="BM232">
        <v>800.15899999999999</v>
      </c>
      <c r="BN232">
        <v>27.815899999999999</v>
      </c>
      <c r="BO232">
        <v>800.03099999999995</v>
      </c>
      <c r="BP232">
        <v>0.15990199999999999</v>
      </c>
      <c r="BQ232">
        <v>2.7598199999999999</v>
      </c>
      <c r="BR232">
        <v>1.5774300000000002E-2</v>
      </c>
      <c r="BS232">
        <v>22.645700000000001</v>
      </c>
      <c r="BT232">
        <v>-41.685899999999997</v>
      </c>
      <c r="BU232">
        <v>1800</v>
      </c>
      <c r="BV232">
        <v>0.91000800000000004</v>
      </c>
      <c r="BW232">
        <v>3.3998E-2</v>
      </c>
      <c r="BX232">
        <v>2.1998799999999999E-2</v>
      </c>
      <c r="BY232">
        <v>3.3995200000000003E-2</v>
      </c>
      <c r="BZ232">
        <v>25.666699999999999</v>
      </c>
      <c r="CA232">
        <v>33528.400000000001</v>
      </c>
      <c r="CB232">
        <v>1690376213.5999999</v>
      </c>
      <c r="CC232" t="s">
        <v>332</v>
      </c>
      <c r="CD232">
        <v>1690376213.5999999</v>
      </c>
      <c r="CE232">
        <v>1690376198.0999999</v>
      </c>
      <c r="CF232">
        <v>2</v>
      </c>
      <c r="CG232">
        <v>0.66900000000000004</v>
      </c>
      <c r="CH232">
        <v>-2.1000000000000001E-2</v>
      </c>
      <c r="CI232">
        <v>-0.70099999999999996</v>
      </c>
      <c r="CJ232">
        <v>0.21099999999999999</v>
      </c>
      <c r="CK232">
        <v>799</v>
      </c>
      <c r="CL232">
        <v>21</v>
      </c>
      <c r="CM232">
        <v>0.11</v>
      </c>
      <c r="CN232">
        <v>0.17</v>
      </c>
      <c r="CO232">
        <v>-432.00252499999999</v>
      </c>
      <c r="CP232">
        <v>-1.3170393996244401</v>
      </c>
      <c r="CQ232">
        <v>0.13469131143098639</v>
      </c>
      <c r="CR232">
        <v>-1</v>
      </c>
      <c r="CS232">
        <v>27.805084999999998</v>
      </c>
      <c r="CT232">
        <v>6.1292307692221708E-2</v>
      </c>
      <c r="CU232">
        <v>6.008475264158211E-3</v>
      </c>
      <c r="CV232">
        <v>-1</v>
      </c>
      <c r="CW232">
        <v>0</v>
      </c>
      <c r="CX232">
        <v>0</v>
      </c>
      <c r="CY232" t="s">
        <v>333</v>
      </c>
      <c r="CZ232">
        <v>2.3648099999999999</v>
      </c>
      <c r="DA232">
        <v>2.7136900000000002</v>
      </c>
      <c r="DB232">
        <v>8.3674600000000002E-2</v>
      </c>
      <c r="DC232">
        <v>0.145508</v>
      </c>
      <c r="DD232">
        <v>0.12632399999999999</v>
      </c>
      <c r="DE232">
        <v>1.3423199999999999E-3</v>
      </c>
      <c r="DF232">
        <v>33469.5</v>
      </c>
      <c r="DG232">
        <v>27540.400000000001</v>
      </c>
      <c r="DH232">
        <v>31180.5</v>
      </c>
      <c r="DI232">
        <v>28083.3</v>
      </c>
      <c r="DJ232">
        <v>36970.400000000001</v>
      </c>
      <c r="DK232">
        <v>39877.9</v>
      </c>
      <c r="DL232">
        <v>44372.5</v>
      </c>
      <c r="DM232">
        <v>42553.5</v>
      </c>
      <c r="DN232">
        <v>1.4492499999999999</v>
      </c>
      <c r="DO232">
        <v>2.0421999999999998</v>
      </c>
      <c r="DP232">
        <v>8.9865200000000006E-2</v>
      </c>
      <c r="DQ232">
        <v>0.187803</v>
      </c>
      <c r="DR232">
        <v>25.535699999999999</v>
      </c>
      <c r="DS232">
        <v>25.5197</v>
      </c>
      <c r="DT232">
        <v>24.2</v>
      </c>
      <c r="DU232">
        <v>27.8</v>
      </c>
      <c r="DV232">
        <v>9.2014600000000009</v>
      </c>
      <c r="DW232">
        <v>60.948399999999999</v>
      </c>
      <c r="DX232">
        <v>37.227600000000002</v>
      </c>
      <c r="DY232">
        <v>1</v>
      </c>
      <c r="DZ232">
        <v>-0.128722</v>
      </c>
      <c r="EA232">
        <v>-0.497979</v>
      </c>
      <c r="EB232">
        <v>20.189299999999999</v>
      </c>
      <c r="EC232">
        <v>5.2431999999999999</v>
      </c>
      <c r="ED232">
        <v>12.039899999999999</v>
      </c>
      <c r="EE232">
        <v>5.0168499999999998</v>
      </c>
      <c r="EF232">
        <v>3.2879999999999998</v>
      </c>
      <c r="EG232">
        <v>9999</v>
      </c>
      <c r="EH232">
        <v>9999</v>
      </c>
      <c r="EI232">
        <v>9999</v>
      </c>
      <c r="EJ232">
        <v>999.9</v>
      </c>
      <c r="EK232">
        <v>1.8689</v>
      </c>
      <c r="EL232">
        <v>1.86456</v>
      </c>
      <c r="EM232">
        <v>1.8692</v>
      </c>
      <c r="EN232">
        <v>1.86721</v>
      </c>
      <c r="EO232">
        <v>1.86331</v>
      </c>
      <c r="EP232">
        <v>1.86435</v>
      </c>
      <c r="EQ232">
        <v>1.87012</v>
      </c>
      <c r="ER232">
        <v>1.8693500000000001</v>
      </c>
      <c r="ES232">
        <v>0</v>
      </c>
      <c r="ET232">
        <v>0</v>
      </c>
      <c r="EU232">
        <v>0</v>
      </c>
      <c r="EV232">
        <v>0</v>
      </c>
      <c r="EW232" t="s">
        <v>334</v>
      </c>
      <c r="EX232" t="s">
        <v>335</v>
      </c>
      <c r="EY232" t="s">
        <v>336</v>
      </c>
      <c r="EZ232" t="s">
        <v>336</v>
      </c>
      <c r="FA232" t="s">
        <v>336</v>
      </c>
      <c r="FB232" t="s">
        <v>336</v>
      </c>
      <c r="FC232">
        <v>0</v>
      </c>
      <c r="FD232">
        <v>100</v>
      </c>
      <c r="FE232">
        <v>100</v>
      </c>
      <c r="FF232">
        <v>-0.39600000000000002</v>
      </c>
      <c r="FG232">
        <v>0.2112</v>
      </c>
      <c r="FH232">
        <v>-0.150361779349652</v>
      </c>
      <c r="FI232">
        <v>-6.1462078757559423E-4</v>
      </c>
      <c r="FJ232">
        <v>-1.8861989874597051E-7</v>
      </c>
      <c r="FK232">
        <v>1.1980462299894961E-10</v>
      </c>
      <c r="FL232">
        <v>0.21114761904761539</v>
      </c>
      <c r="FM232">
        <v>0</v>
      </c>
      <c r="FN232">
        <v>0</v>
      </c>
      <c r="FO232">
        <v>0</v>
      </c>
      <c r="FP232">
        <v>3</v>
      </c>
      <c r="FQ232">
        <v>2158</v>
      </c>
      <c r="FR232">
        <v>1</v>
      </c>
      <c r="FS232">
        <v>19</v>
      </c>
      <c r="FT232">
        <v>45</v>
      </c>
      <c r="FU232">
        <v>45.3</v>
      </c>
      <c r="FV232">
        <v>1.7651399999999999</v>
      </c>
      <c r="FW232">
        <v>2.5744600000000002</v>
      </c>
      <c r="FX232">
        <v>1.5490699999999999</v>
      </c>
      <c r="FY232">
        <v>2.33765</v>
      </c>
      <c r="FZ232">
        <v>1.50146</v>
      </c>
      <c r="GA232">
        <v>2.2522000000000002</v>
      </c>
      <c r="GB232">
        <v>32.553899999999999</v>
      </c>
      <c r="GC232">
        <v>23.991199999999999</v>
      </c>
      <c r="GD232">
        <v>19</v>
      </c>
      <c r="GE232">
        <v>269.70699999999999</v>
      </c>
      <c r="GF232">
        <v>582.721</v>
      </c>
      <c r="GG232">
        <v>25.811399999999999</v>
      </c>
      <c r="GH232">
        <v>25.812100000000001</v>
      </c>
      <c r="GI232">
        <v>30</v>
      </c>
      <c r="GJ232">
        <v>25.909800000000001</v>
      </c>
      <c r="GK232">
        <v>25.8764</v>
      </c>
      <c r="GL232">
        <v>35.3035</v>
      </c>
      <c r="GM232">
        <v>100</v>
      </c>
      <c r="GN232">
        <v>0</v>
      </c>
      <c r="GO232">
        <v>25.811900000000001</v>
      </c>
      <c r="GP232">
        <v>800</v>
      </c>
      <c r="GQ232">
        <v>0</v>
      </c>
      <c r="GR232">
        <v>99.763900000000007</v>
      </c>
      <c r="GS232">
        <v>99.557699999999997</v>
      </c>
    </row>
    <row r="233" spans="1:201" x14ac:dyDescent="0.25">
      <c r="A233">
        <v>217</v>
      </c>
      <c r="B233">
        <v>1690378926.0999999</v>
      </c>
      <c r="C233">
        <v>2209.599999904633</v>
      </c>
      <c r="D233" t="s">
        <v>767</v>
      </c>
      <c r="E233" t="s">
        <v>768</v>
      </c>
      <c r="F233" t="s">
        <v>330</v>
      </c>
      <c r="H233">
        <v>1690378926.0999999</v>
      </c>
      <c r="I233">
        <f t="shared" si="90"/>
        <v>2.4904221795213231E-3</v>
      </c>
      <c r="J233">
        <f t="shared" si="91"/>
        <v>2.4904221795213233</v>
      </c>
      <c r="K233">
        <f t="shared" si="92"/>
        <v>36.70419498585008</v>
      </c>
      <c r="L233">
        <f t="shared" si="93"/>
        <v>367.45499999999998</v>
      </c>
      <c r="M233">
        <f t="shared" si="94"/>
        <v>84.521146889122448</v>
      </c>
      <c r="N233">
        <f t="shared" si="95"/>
        <v>8.3467010301912712</v>
      </c>
      <c r="O233">
        <f t="shared" si="96"/>
        <v>36.287214974405998</v>
      </c>
      <c r="P233">
        <f t="shared" si="97"/>
        <v>0.2217688308723772</v>
      </c>
      <c r="Q233">
        <f t="shared" si="98"/>
        <v>2.0088321830028861</v>
      </c>
      <c r="R233">
        <f t="shared" si="99"/>
        <v>0.20900987407263241</v>
      </c>
      <c r="S233">
        <f t="shared" si="100"/>
        <v>0.13171630148358152</v>
      </c>
      <c r="T233">
        <f t="shared" si="101"/>
        <v>276.11496</v>
      </c>
      <c r="U233">
        <f t="shared" si="102"/>
        <v>28.474360464797243</v>
      </c>
      <c r="V233">
        <f t="shared" si="103"/>
        <v>28.474360464797243</v>
      </c>
      <c r="W233">
        <f t="shared" si="104"/>
        <v>3.9010551439809809</v>
      </c>
      <c r="X233">
        <f t="shared" si="105"/>
        <v>76.829393189091206</v>
      </c>
      <c r="Y233">
        <f t="shared" si="106"/>
        <v>2.7640912414680003</v>
      </c>
      <c r="Z233">
        <f t="shared" si="107"/>
        <v>3.5977002117732018</v>
      </c>
      <c r="AA233">
        <f t="shared" si="108"/>
        <v>1.1369639025129805</v>
      </c>
      <c r="AB233">
        <f t="shared" si="109"/>
        <v>-109.82761811689035</v>
      </c>
      <c r="AC233">
        <f t="shared" si="110"/>
        <v>-150.14306105642154</v>
      </c>
      <c r="AD233">
        <f t="shared" si="111"/>
        <v>-16.256501938074187</v>
      </c>
      <c r="AE233">
        <f t="shared" si="112"/>
        <v>-0.11222111138604873</v>
      </c>
      <c r="AF233">
        <v>7</v>
      </c>
      <c r="AG233">
        <v>2</v>
      </c>
      <c r="AH233">
        <f t="shared" si="113"/>
        <v>1</v>
      </c>
      <c r="AI233">
        <f t="shared" si="114"/>
        <v>0</v>
      </c>
      <c r="AJ233">
        <f t="shared" si="115"/>
        <v>52221.576712266782</v>
      </c>
      <c r="AK233">
        <f t="shared" si="116"/>
        <v>1800</v>
      </c>
      <c r="AL233">
        <f t="shared" si="117"/>
        <v>1499.1130889999999</v>
      </c>
      <c r="AM233">
        <f t="shared" si="118"/>
        <v>0.83284060500000001</v>
      </c>
      <c r="AN233">
        <f t="shared" si="119"/>
        <v>0.15339720000000001</v>
      </c>
      <c r="AO233">
        <v>34.5</v>
      </c>
      <c r="AP233">
        <v>0.5</v>
      </c>
      <c r="AQ233" t="s">
        <v>331</v>
      </c>
      <c r="AR233">
        <v>2</v>
      </c>
      <c r="AS233">
        <v>1690378926.0999999</v>
      </c>
      <c r="AT233">
        <v>367.45499999999998</v>
      </c>
      <c r="AU233">
        <v>799.95600000000002</v>
      </c>
      <c r="AV233">
        <v>27.99</v>
      </c>
      <c r="AW233">
        <v>0.15956699999999999</v>
      </c>
      <c r="AX233">
        <v>367.851</v>
      </c>
      <c r="AY233">
        <v>27.7789</v>
      </c>
      <c r="AZ233">
        <v>300.084</v>
      </c>
      <c r="BA233">
        <v>98.652900000000002</v>
      </c>
      <c r="BB233">
        <v>9.9913199999999994E-2</v>
      </c>
      <c r="BC233">
        <v>27.088000000000001</v>
      </c>
      <c r="BD233">
        <v>26.999099999999999</v>
      </c>
      <c r="BE233">
        <v>28.570699999999999</v>
      </c>
      <c r="BF233">
        <v>0</v>
      </c>
      <c r="BG233">
        <v>0</v>
      </c>
      <c r="BH233">
        <v>10014.4</v>
      </c>
      <c r="BI233">
        <v>1083.18</v>
      </c>
      <c r="BJ233">
        <v>1.6231100000000001</v>
      </c>
      <c r="BK233">
        <v>-432.50099999999998</v>
      </c>
      <c r="BL233">
        <v>378.036</v>
      </c>
      <c r="BM233">
        <v>800.08399999999995</v>
      </c>
      <c r="BN233">
        <v>27.830500000000001</v>
      </c>
      <c r="BO233">
        <v>799.95600000000002</v>
      </c>
      <c r="BP233">
        <v>0.15956699999999999</v>
      </c>
      <c r="BQ233">
        <v>2.7612999999999999</v>
      </c>
      <c r="BR233">
        <v>1.57418E-2</v>
      </c>
      <c r="BS233">
        <v>22.654499999999999</v>
      </c>
      <c r="BT233">
        <v>-41.705399999999997</v>
      </c>
      <c r="BU233">
        <v>1800</v>
      </c>
      <c r="BV233">
        <v>0.91000899999999996</v>
      </c>
      <c r="BW233">
        <v>3.39975E-2</v>
      </c>
      <c r="BX233">
        <v>2.1998500000000001E-2</v>
      </c>
      <c r="BY233">
        <v>3.3994799999999999E-2</v>
      </c>
      <c r="BZ233">
        <v>25.666699999999999</v>
      </c>
      <c r="CA233">
        <v>33528.400000000001</v>
      </c>
      <c r="CB233">
        <v>1690376213.5999999</v>
      </c>
      <c r="CC233" t="s">
        <v>332</v>
      </c>
      <c r="CD233">
        <v>1690376213.5999999</v>
      </c>
      <c r="CE233">
        <v>1690376198.0999999</v>
      </c>
      <c r="CF233">
        <v>2</v>
      </c>
      <c r="CG233">
        <v>0.66900000000000004</v>
      </c>
      <c r="CH233">
        <v>-2.1000000000000001E-2</v>
      </c>
      <c r="CI233">
        <v>-0.70099999999999996</v>
      </c>
      <c r="CJ233">
        <v>0.21099999999999999</v>
      </c>
      <c r="CK233">
        <v>799</v>
      </c>
      <c r="CL233">
        <v>21</v>
      </c>
      <c r="CM233">
        <v>0.11</v>
      </c>
      <c r="CN233">
        <v>0.17</v>
      </c>
      <c r="CO233">
        <v>-432.21887804878043</v>
      </c>
      <c r="CP233">
        <v>-1.540808362369801</v>
      </c>
      <c r="CQ233">
        <v>0.1587149915494272</v>
      </c>
      <c r="CR233">
        <v>-1</v>
      </c>
      <c r="CS233">
        <v>27.815070731707319</v>
      </c>
      <c r="CT233">
        <v>6.3020905923366288E-2</v>
      </c>
      <c r="CU233">
        <v>6.3655032143514626E-3</v>
      </c>
      <c r="CV233">
        <v>-1</v>
      </c>
      <c r="CW233">
        <v>0</v>
      </c>
      <c r="CX233">
        <v>0</v>
      </c>
      <c r="CY233" t="s">
        <v>333</v>
      </c>
      <c r="CZ233">
        <v>2.3648400000000001</v>
      </c>
      <c r="DA233">
        <v>2.7137199999999999</v>
      </c>
      <c r="DB233">
        <v>8.3630999999999997E-2</v>
      </c>
      <c r="DC233">
        <v>0.14550399999999999</v>
      </c>
      <c r="DD233">
        <v>0.12637200000000001</v>
      </c>
      <c r="DE233">
        <v>1.3395799999999999E-3</v>
      </c>
      <c r="DF233">
        <v>33471.1</v>
      </c>
      <c r="DG233">
        <v>27540.6</v>
      </c>
      <c r="DH233">
        <v>31180.6</v>
      </c>
      <c r="DI233">
        <v>28083.4</v>
      </c>
      <c r="DJ233">
        <v>36968.199999999997</v>
      </c>
      <c r="DK233">
        <v>39878.1</v>
      </c>
      <c r="DL233">
        <v>44372.3</v>
      </c>
      <c r="DM233">
        <v>42553.599999999999</v>
      </c>
      <c r="DN233">
        <v>1.44963</v>
      </c>
      <c r="DO233">
        <v>2.0423800000000001</v>
      </c>
      <c r="DP233">
        <v>8.9436799999999997E-2</v>
      </c>
      <c r="DQ233">
        <v>0.186443</v>
      </c>
      <c r="DR233">
        <v>25.534700000000001</v>
      </c>
      <c r="DS233">
        <v>25.521799999999999</v>
      </c>
      <c r="DT233">
        <v>24.2</v>
      </c>
      <c r="DU233">
        <v>27.9</v>
      </c>
      <c r="DV233">
        <v>9.2562800000000003</v>
      </c>
      <c r="DW233">
        <v>60.9084</v>
      </c>
      <c r="DX233">
        <v>37.431899999999999</v>
      </c>
      <c r="DY233">
        <v>1</v>
      </c>
      <c r="DZ233">
        <v>-0.12857499999999999</v>
      </c>
      <c r="EA233">
        <v>-0.49418299999999998</v>
      </c>
      <c r="EB233">
        <v>20.1891</v>
      </c>
      <c r="EC233">
        <v>5.2426000000000004</v>
      </c>
      <c r="ED233">
        <v>12.039899999999999</v>
      </c>
      <c r="EE233">
        <v>5.0171000000000001</v>
      </c>
      <c r="EF233">
        <v>3.2879999999999998</v>
      </c>
      <c r="EG233">
        <v>9999</v>
      </c>
      <c r="EH233">
        <v>9999</v>
      </c>
      <c r="EI233">
        <v>9999</v>
      </c>
      <c r="EJ233">
        <v>999.9</v>
      </c>
      <c r="EK233">
        <v>1.8689</v>
      </c>
      <c r="EL233">
        <v>1.8645700000000001</v>
      </c>
      <c r="EM233">
        <v>1.8691899999999999</v>
      </c>
      <c r="EN233">
        <v>1.8672200000000001</v>
      </c>
      <c r="EO233">
        <v>1.8633299999999999</v>
      </c>
      <c r="EP233">
        <v>1.8643799999999999</v>
      </c>
      <c r="EQ233">
        <v>1.8701300000000001</v>
      </c>
      <c r="ER233">
        <v>1.8693500000000001</v>
      </c>
      <c r="ES233">
        <v>0</v>
      </c>
      <c r="ET233">
        <v>0</v>
      </c>
      <c r="EU233">
        <v>0</v>
      </c>
      <c r="EV233">
        <v>0</v>
      </c>
      <c r="EW233" t="s">
        <v>334</v>
      </c>
      <c r="EX233" t="s">
        <v>335</v>
      </c>
      <c r="EY233" t="s">
        <v>336</v>
      </c>
      <c r="EZ233" t="s">
        <v>336</v>
      </c>
      <c r="FA233" t="s">
        <v>336</v>
      </c>
      <c r="FB233" t="s">
        <v>336</v>
      </c>
      <c r="FC233">
        <v>0</v>
      </c>
      <c r="FD233">
        <v>100</v>
      </c>
      <c r="FE233">
        <v>100</v>
      </c>
      <c r="FF233">
        <v>-0.39600000000000002</v>
      </c>
      <c r="FG233">
        <v>0.21110000000000001</v>
      </c>
      <c r="FH233">
        <v>-0.150361779349652</v>
      </c>
      <c r="FI233">
        <v>-6.1462078757559423E-4</v>
      </c>
      <c r="FJ233">
        <v>-1.8861989874597051E-7</v>
      </c>
      <c r="FK233">
        <v>1.1980462299894961E-10</v>
      </c>
      <c r="FL233">
        <v>0.21114761904761539</v>
      </c>
      <c r="FM233">
        <v>0</v>
      </c>
      <c r="FN233">
        <v>0</v>
      </c>
      <c r="FO233">
        <v>0</v>
      </c>
      <c r="FP233">
        <v>3</v>
      </c>
      <c r="FQ233">
        <v>2158</v>
      </c>
      <c r="FR233">
        <v>1</v>
      </c>
      <c r="FS233">
        <v>19</v>
      </c>
      <c r="FT233">
        <v>45.2</v>
      </c>
      <c r="FU233">
        <v>45.5</v>
      </c>
      <c r="FV233">
        <v>1.7663599999999999</v>
      </c>
      <c r="FW233">
        <v>2.5756800000000002</v>
      </c>
      <c r="FX233">
        <v>1.5490699999999999</v>
      </c>
      <c r="FY233">
        <v>2.33765</v>
      </c>
      <c r="FZ233">
        <v>1.50146</v>
      </c>
      <c r="GA233">
        <v>2.2460900000000001</v>
      </c>
      <c r="GB233">
        <v>32.553899999999999</v>
      </c>
      <c r="GC233">
        <v>23.982399999999998</v>
      </c>
      <c r="GD233">
        <v>19</v>
      </c>
      <c r="GE233">
        <v>269.86599999999999</v>
      </c>
      <c r="GF233">
        <v>582.87099999999998</v>
      </c>
      <c r="GG233">
        <v>25.811900000000001</v>
      </c>
      <c r="GH233">
        <v>25.812100000000001</v>
      </c>
      <c r="GI233">
        <v>30</v>
      </c>
      <c r="GJ233">
        <v>25.911000000000001</v>
      </c>
      <c r="GK233">
        <v>25.876899999999999</v>
      </c>
      <c r="GL233">
        <v>35.307000000000002</v>
      </c>
      <c r="GM233">
        <v>100</v>
      </c>
      <c r="GN233">
        <v>0</v>
      </c>
      <c r="GO233">
        <v>25.811900000000001</v>
      </c>
      <c r="GP233">
        <v>800</v>
      </c>
      <c r="GQ233">
        <v>0</v>
      </c>
      <c r="GR233">
        <v>99.763800000000003</v>
      </c>
      <c r="GS233">
        <v>99.557900000000004</v>
      </c>
    </row>
    <row r="234" spans="1:201" x14ac:dyDescent="0.25">
      <c r="A234">
        <v>218</v>
      </c>
      <c r="B234">
        <v>1690378936.0999999</v>
      </c>
      <c r="C234">
        <v>2219.599999904633</v>
      </c>
      <c r="D234" t="s">
        <v>769</v>
      </c>
      <c r="E234" t="s">
        <v>770</v>
      </c>
      <c r="F234" t="s">
        <v>330</v>
      </c>
      <c r="H234">
        <v>1690378936.0999999</v>
      </c>
      <c r="I234">
        <f t="shared" si="90"/>
        <v>2.4926174739792607E-3</v>
      </c>
      <c r="J234">
        <f t="shared" si="91"/>
        <v>2.4926174739792608</v>
      </c>
      <c r="K234">
        <f t="shared" si="92"/>
        <v>36.739812174248641</v>
      </c>
      <c r="L234">
        <f t="shared" si="93"/>
        <v>367.18700000000001</v>
      </c>
      <c r="M234">
        <f t="shared" si="94"/>
        <v>84.837963601795877</v>
      </c>
      <c r="N234">
        <f t="shared" si="95"/>
        <v>8.3780725625084838</v>
      </c>
      <c r="O234">
        <f t="shared" si="96"/>
        <v>36.261117068404999</v>
      </c>
      <c r="P234">
        <f t="shared" si="97"/>
        <v>0.22247873909310362</v>
      </c>
      <c r="Q234">
        <f t="shared" si="98"/>
        <v>2.0089044353634953</v>
      </c>
      <c r="R234">
        <f t="shared" si="99"/>
        <v>0.20964093670928588</v>
      </c>
      <c r="S234">
        <f t="shared" si="100"/>
        <v>0.13211723798169211</v>
      </c>
      <c r="T234">
        <f t="shared" si="101"/>
        <v>276.11497024200008</v>
      </c>
      <c r="U234">
        <f t="shared" si="102"/>
        <v>28.471311374566163</v>
      </c>
      <c r="V234">
        <f t="shared" si="103"/>
        <v>28.471311374566163</v>
      </c>
      <c r="W234">
        <f t="shared" si="104"/>
        <v>3.9003642183893552</v>
      </c>
      <c r="X234">
        <f t="shared" si="105"/>
        <v>76.887312765085596</v>
      </c>
      <c r="Y234">
        <f t="shared" si="106"/>
        <v>2.7658178474680004</v>
      </c>
      <c r="Z234">
        <f t="shared" si="107"/>
        <v>3.5972356790754612</v>
      </c>
      <c r="AA234">
        <f t="shared" si="108"/>
        <v>1.1345463709213548</v>
      </c>
      <c r="AB234">
        <f t="shared" si="109"/>
        <v>-109.9244306024854</v>
      </c>
      <c r="AC234">
        <f t="shared" si="110"/>
        <v>-150.05650138786328</v>
      </c>
      <c r="AD234">
        <f t="shared" si="111"/>
        <v>-16.24612009112743</v>
      </c>
      <c r="AE234">
        <f t="shared" si="112"/>
        <v>-0.11208183947601924</v>
      </c>
      <c r="AF234">
        <v>7</v>
      </c>
      <c r="AG234">
        <v>2</v>
      </c>
      <c r="AH234">
        <f t="shared" si="113"/>
        <v>1</v>
      </c>
      <c r="AI234">
        <f t="shared" si="114"/>
        <v>0</v>
      </c>
      <c r="AJ234">
        <f t="shared" si="115"/>
        <v>52225.435822682906</v>
      </c>
      <c r="AK234">
        <f t="shared" si="116"/>
        <v>1800</v>
      </c>
      <c r="AL234">
        <f t="shared" si="117"/>
        <v>1499.1127991999999</v>
      </c>
      <c r="AM234">
        <f t="shared" si="118"/>
        <v>0.8328404439999999</v>
      </c>
      <c r="AN234">
        <f t="shared" si="119"/>
        <v>0.15339720569000004</v>
      </c>
      <c r="AO234">
        <v>34.5</v>
      </c>
      <c r="AP234">
        <v>0.5</v>
      </c>
      <c r="AQ234" t="s">
        <v>331</v>
      </c>
      <c r="AR234">
        <v>2</v>
      </c>
      <c r="AS234">
        <v>1690378936.0999999</v>
      </c>
      <c r="AT234">
        <v>367.18700000000001</v>
      </c>
      <c r="AU234">
        <v>800.00099999999998</v>
      </c>
      <c r="AV234">
        <v>28.007200000000001</v>
      </c>
      <c r="AW234">
        <v>0.15903800000000001</v>
      </c>
      <c r="AX234">
        <v>367.58199999999999</v>
      </c>
      <c r="AY234">
        <v>27.795999999999999</v>
      </c>
      <c r="AZ234">
        <v>300.15199999999999</v>
      </c>
      <c r="BA234">
        <v>98.653800000000004</v>
      </c>
      <c r="BB234">
        <v>0.10001500000000001</v>
      </c>
      <c r="BC234">
        <v>27.085799999999999</v>
      </c>
      <c r="BD234">
        <v>26.9985</v>
      </c>
      <c r="BE234">
        <v>28.562799999999999</v>
      </c>
      <c r="BF234">
        <v>0</v>
      </c>
      <c r="BG234">
        <v>0</v>
      </c>
      <c r="BH234">
        <v>10015</v>
      </c>
      <c r="BI234">
        <v>1083.28</v>
      </c>
      <c r="BJ234">
        <v>1.56985</v>
      </c>
      <c r="BK234">
        <v>-432.815</v>
      </c>
      <c r="BL234">
        <v>377.767</v>
      </c>
      <c r="BM234">
        <v>800.12900000000002</v>
      </c>
      <c r="BN234">
        <v>27.848099999999999</v>
      </c>
      <c r="BO234">
        <v>800.00099999999998</v>
      </c>
      <c r="BP234">
        <v>0.15903800000000001</v>
      </c>
      <c r="BQ234">
        <v>2.76302</v>
      </c>
      <c r="BR234">
        <v>1.5689700000000001E-2</v>
      </c>
      <c r="BS234">
        <v>22.6648</v>
      </c>
      <c r="BT234">
        <v>-41.736600000000003</v>
      </c>
      <c r="BU234">
        <v>1800</v>
      </c>
      <c r="BV234">
        <v>0.91000800000000004</v>
      </c>
      <c r="BW234">
        <v>3.3997899999999998E-2</v>
      </c>
      <c r="BX234">
        <v>2.19987E-2</v>
      </c>
      <c r="BY234">
        <v>3.39951E-2</v>
      </c>
      <c r="BZ234">
        <v>25.666699999999999</v>
      </c>
      <c r="CA234">
        <v>33528.5</v>
      </c>
      <c r="CB234">
        <v>1690376213.5999999</v>
      </c>
      <c r="CC234" t="s">
        <v>332</v>
      </c>
      <c r="CD234">
        <v>1690376213.5999999</v>
      </c>
      <c r="CE234">
        <v>1690376198.0999999</v>
      </c>
      <c r="CF234">
        <v>2</v>
      </c>
      <c r="CG234">
        <v>0.66900000000000004</v>
      </c>
      <c r="CH234">
        <v>-2.1000000000000001E-2</v>
      </c>
      <c r="CI234">
        <v>-0.70099999999999996</v>
      </c>
      <c r="CJ234">
        <v>0.21099999999999999</v>
      </c>
      <c r="CK234">
        <v>799</v>
      </c>
      <c r="CL234">
        <v>21</v>
      </c>
      <c r="CM234">
        <v>0.11</v>
      </c>
      <c r="CN234">
        <v>0.17</v>
      </c>
      <c r="CO234">
        <v>-432.50263414634139</v>
      </c>
      <c r="CP234">
        <v>-1.667498257839652</v>
      </c>
      <c r="CQ234">
        <v>0.17035640632360111</v>
      </c>
      <c r="CR234">
        <v>-1</v>
      </c>
      <c r="CS234">
        <v>27.828170731707321</v>
      </c>
      <c r="CT234">
        <v>9.4097560975637859E-2</v>
      </c>
      <c r="CU234">
        <v>9.2971342005292758E-3</v>
      </c>
      <c r="CV234">
        <v>-1</v>
      </c>
      <c r="CW234">
        <v>0</v>
      </c>
      <c r="CX234">
        <v>0</v>
      </c>
      <c r="CY234" t="s">
        <v>333</v>
      </c>
      <c r="CZ234">
        <v>2.36504</v>
      </c>
      <c r="DA234">
        <v>2.7138200000000001</v>
      </c>
      <c r="DB234">
        <v>8.3584000000000006E-2</v>
      </c>
      <c r="DC234">
        <v>0.14551</v>
      </c>
      <c r="DD234">
        <v>0.12642700000000001</v>
      </c>
      <c r="DE234">
        <v>1.33518E-3</v>
      </c>
      <c r="DF234">
        <v>33472.699999999997</v>
      </c>
      <c r="DG234">
        <v>27540.6</v>
      </c>
      <c r="DH234">
        <v>31180.400000000001</v>
      </c>
      <c r="DI234">
        <v>28083.599999999999</v>
      </c>
      <c r="DJ234">
        <v>36965.699999999997</v>
      </c>
      <c r="DK234">
        <v>39878.5</v>
      </c>
      <c r="DL234">
        <v>44372.2</v>
      </c>
      <c r="DM234">
        <v>42553.7</v>
      </c>
      <c r="DN234">
        <v>1.4497</v>
      </c>
      <c r="DO234">
        <v>2.0421999999999998</v>
      </c>
      <c r="DP234">
        <v>8.9399500000000007E-2</v>
      </c>
      <c r="DQ234">
        <v>0.18595900000000001</v>
      </c>
      <c r="DR234">
        <v>25.534700000000001</v>
      </c>
      <c r="DS234">
        <v>25.521799999999999</v>
      </c>
      <c r="DT234">
        <v>24.2</v>
      </c>
      <c r="DU234">
        <v>27.9</v>
      </c>
      <c r="DV234">
        <v>9.2546599999999994</v>
      </c>
      <c r="DW234">
        <v>60.418399999999998</v>
      </c>
      <c r="DX234">
        <v>37.632199999999997</v>
      </c>
      <c r="DY234">
        <v>1</v>
      </c>
      <c r="DZ234">
        <v>-0.12843499999999999</v>
      </c>
      <c r="EA234">
        <v>-0.48206399999999999</v>
      </c>
      <c r="EB234">
        <v>20.189399999999999</v>
      </c>
      <c r="EC234">
        <v>5.2424499999999998</v>
      </c>
      <c r="ED234">
        <v>12.039899999999999</v>
      </c>
      <c r="EE234">
        <v>5.0167999999999999</v>
      </c>
      <c r="EF234">
        <v>3.2879999999999998</v>
      </c>
      <c r="EG234">
        <v>9999</v>
      </c>
      <c r="EH234">
        <v>9999</v>
      </c>
      <c r="EI234">
        <v>9999</v>
      </c>
      <c r="EJ234">
        <v>999.9</v>
      </c>
      <c r="EK234">
        <v>1.8689</v>
      </c>
      <c r="EL234">
        <v>1.86459</v>
      </c>
      <c r="EM234">
        <v>1.8692</v>
      </c>
      <c r="EN234">
        <v>1.8672200000000001</v>
      </c>
      <c r="EO234">
        <v>1.8633299999999999</v>
      </c>
      <c r="EP234">
        <v>1.8643700000000001</v>
      </c>
      <c r="EQ234">
        <v>1.8701399999999999</v>
      </c>
      <c r="ER234">
        <v>1.8693500000000001</v>
      </c>
      <c r="ES234">
        <v>0</v>
      </c>
      <c r="ET234">
        <v>0</v>
      </c>
      <c r="EU234">
        <v>0</v>
      </c>
      <c r="EV234">
        <v>0</v>
      </c>
      <c r="EW234" t="s">
        <v>334</v>
      </c>
      <c r="EX234" t="s">
        <v>335</v>
      </c>
      <c r="EY234" t="s">
        <v>336</v>
      </c>
      <c r="EZ234" t="s">
        <v>336</v>
      </c>
      <c r="FA234" t="s">
        <v>336</v>
      </c>
      <c r="FB234" t="s">
        <v>336</v>
      </c>
      <c r="FC234">
        <v>0</v>
      </c>
      <c r="FD234">
        <v>100</v>
      </c>
      <c r="FE234">
        <v>100</v>
      </c>
      <c r="FF234">
        <v>-0.39500000000000002</v>
      </c>
      <c r="FG234">
        <v>0.2112</v>
      </c>
      <c r="FH234">
        <v>-0.150361779349652</v>
      </c>
      <c r="FI234">
        <v>-6.1462078757559423E-4</v>
      </c>
      <c r="FJ234">
        <v>-1.8861989874597051E-7</v>
      </c>
      <c r="FK234">
        <v>1.1980462299894961E-10</v>
      </c>
      <c r="FL234">
        <v>0.21114761904761539</v>
      </c>
      <c r="FM234">
        <v>0</v>
      </c>
      <c r="FN234">
        <v>0</v>
      </c>
      <c r="FO234">
        <v>0</v>
      </c>
      <c r="FP234">
        <v>3</v>
      </c>
      <c r="FQ234">
        <v>2158</v>
      </c>
      <c r="FR234">
        <v>1</v>
      </c>
      <c r="FS234">
        <v>19</v>
      </c>
      <c r="FT234">
        <v>45.4</v>
      </c>
      <c r="FU234">
        <v>45.6</v>
      </c>
      <c r="FV234">
        <v>1.7663599999999999</v>
      </c>
      <c r="FW234">
        <v>2.5756800000000002</v>
      </c>
      <c r="FX234">
        <v>1.5490699999999999</v>
      </c>
      <c r="FY234">
        <v>2.33765</v>
      </c>
      <c r="FZ234">
        <v>1.50146</v>
      </c>
      <c r="GA234">
        <v>2.2839399999999999</v>
      </c>
      <c r="GB234">
        <v>32.553899999999999</v>
      </c>
      <c r="GC234">
        <v>23.982399999999998</v>
      </c>
      <c r="GD234">
        <v>19</v>
      </c>
      <c r="GE234">
        <v>269.90100000000001</v>
      </c>
      <c r="GF234">
        <v>582.75099999999998</v>
      </c>
      <c r="GG234">
        <v>25.809799999999999</v>
      </c>
      <c r="GH234">
        <v>25.8142</v>
      </c>
      <c r="GI234">
        <v>30.0002</v>
      </c>
      <c r="GJ234">
        <v>25.911899999999999</v>
      </c>
      <c r="GK234">
        <v>25.879000000000001</v>
      </c>
      <c r="GL234">
        <v>35.306600000000003</v>
      </c>
      <c r="GM234">
        <v>100</v>
      </c>
      <c r="GN234">
        <v>0</v>
      </c>
      <c r="GO234">
        <v>25.807500000000001</v>
      </c>
      <c r="GP234">
        <v>800</v>
      </c>
      <c r="GQ234">
        <v>0</v>
      </c>
      <c r="GR234">
        <v>99.763400000000004</v>
      </c>
      <c r="GS234">
        <v>99.558499999999995</v>
      </c>
    </row>
    <row r="235" spans="1:201" x14ac:dyDescent="0.25">
      <c r="A235">
        <v>219</v>
      </c>
      <c r="B235">
        <v>1690378946.0999999</v>
      </c>
      <c r="C235">
        <v>2229.599999904633</v>
      </c>
      <c r="D235" t="s">
        <v>771</v>
      </c>
      <c r="E235" t="s">
        <v>772</v>
      </c>
      <c r="F235" t="s">
        <v>330</v>
      </c>
      <c r="H235">
        <v>1690378946.0999999</v>
      </c>
      <c r="I235">
        <f t="shared" si="90"/>
        <v>2.4935028196179689E-3</v>
      </c>
      <c r="J235">
        <f t="shared" si="91"/>
        <v>2.4935028196179689</v>
      </c>
      <c r="K235">
        <f t="shared" si="92"/>
        <v>36.755154969400678</v>
      </c>
      <c r="L235">
        <f t="shared" si="93"/>
        <v>367.00599999999997</v>
      </c>
      <c r="M235">
        <f t="shared" si="94"/>
        <v>84.660492038440722</v>
      </c>
      <c r="N235">
        <f t="shared" si="95"/>
        <v>8.3604735150345686</v>
      </c>
      <c r="O235">
        <f t="shared" si="96"/>
        <v>36.242925938412597</v>
      </c>
      <c r="P235">
        <f t="shared" si="97"/>
        <v>0.22259048336923415</v>
      </c>
      <c r="Q235">
        <f t="shared" si="98"/>
        <v>2.0064769788943759</v>
      </c>
      <c r="R235">
        <f t="shared" si="99"/>
        <v>0.2097255994351416</v>
      </c>
      <c r="S235">
        <f t="shared" si="100"/>
        <v>0.13217235533350113</v>
      </c>
      <c r="T235">
        <f t="shared" si="101"/>
        <v>276.11506828800003</v>
      </c>
      <c r="U235">
        <f t="shared" si="102"/>
        <v>28.475096130573895</v>
      </c>
      <c r="V235">
        <f t="shared" si="103"/>
        <v>28.475096130573895</v>
      </c>
      <c r="W235">
        <f t="shared" si="104"/>
        <v>3.9012218622519326</v>
      </c>
      <c r="X235">
        <f t="shared" si="105"/>
        <v>76.901533343394874</v>
      </c>
      <c r="Y235">
        <f t="shared" si="106"/>
        <v>2.7667515836904899</v>
      </c>
      <c r="Z235">
        <f t="shared" si="107"/>
        <v>3.5977846778891669</v>
      </c>
      <c r="AA235">
        <f t="shared" si="108"/>
        <v>1.1344702785614427</v>
      </c>
      <c r="AB235">
        <f t="shared" si="109"/>
        <v>-109.96347434515242</v>
      </c>
      <c r="AC235">
        <f t="shared" si="110"/>
        <v>-150.00333968687605</v>
      </c>
      <c r="AD235">
        <f t="shared" si="111"/>
        <v>-16.260530098430074</v>
      </c>
      <c r="AE235">
        <f t="shared" si="112"/>
        <v>-0.11227584245850153</v>
      </c>
      <c r="AF235">
        <v>8</v>
      </c>
      <c r="AG235">
        <v>3</v>
      </c>
      <c r="AH235">
        <f t="shared" si="113"/>
        <v>1</v>
      </c>
      <c r="AI235">
        <f t="shared" si="114"/>
        <v>0</v>
      </c>
      <c r="AJ235">
        <f t="shared" si="115"/>
        <v>52108.929698942746</v>
      </c>
      <c r="AK235">
        <f t="shared" si="116"/>
        <v>1800</v>
      </c>
      <c r="AL235">
        <f t="shared" si="117"/>
        <v>1499.1132167999999</v>
      </c>
      <c r="AM235">
        <f t="shared" si="118"/>
        <v>0.832840676</v>
      </c>
      <c r="AN235">
        <f t="shared" si="119"/>
        <v>0.15339726016000002</v>
      </c>
      <c r="AO235">
        <v>34.5</v>
      </c>
      <c r="AP235">
        <v>0.5</v>
      </c>
      <c r="AQ235" t="s">
        <v>331</v>
      </c>
      <c r="AR235">
        <v>2</v>
      </c>
      <c r="AS235">
        <v>1690378946.0999999</v>
      </c>
      <c r="AT235">
        <v>367.00599999999997</v>
      </c>
      <c r="AU235">
        <v>800.005</v>
      </c>
      <c r="AV235">
        <v>28.0169</v>
      </c>
      <c r="AW235">
        <v>0.158475</v>
      </c>
      <c r="AX235">
        <v>367.40199999999999</v>
      </c>
      <c r="AY235">
        <v>27.805800000000001</v>
      </c>
      <c r="AZ235">
        <v>300.14499999999998</v>
      </c>
      <c r="BA235">
        <v>98.653000000000006</v>
      </c>
      <c r="BB235">
        <v>9.9952100000000002E-2</v>
      </c>
      <c r="BC235">
        <v>27.0884</v>
      </c>
      <c r="BD235">
        <v>26.9878</v>
      </c>
      <c r="BE235">
        <v>28.575199999999999</v>
      </c>
      <c r="BF235">
        <v>0</v>
      </c>
      <c r="BG235">
        <v>0</v>
      </c>
      <c r="BH235">
        <v>9991.8799999999992</v>
      </c>
      <c r="BI235">
        <v>1083.28</v>
      </c>
      <c r="BJ235">
        <v>1.5123800000000001</v>
      </c>
      <c r="BK235">
        <v>-432.99900000000002</v>
      </c>
      <c r="BL235">
        <v>377.58499999999998</v>
      </c>
      <c r="BM235">
        <v>800.13199999999995</v>
      </c>
      <c r="BN235">
        <v>27.858499999999999</v>
      </c>
      <c r="BO235">
        <v>800.005</v>
      </c>
      <c r="BP235">
        <v>0.158475</v>
      </c>
      <c r="BQ235">
        <v>2.7639499999999999</v>
      </c>
      <c r="BR235">
        <v>1.5633999999999999E-2</v>
      </c>
      <c r="BS235">
        <v>22.670400000000001</v>
      </c>
      <c r="BT235">
        <v>-41.77</v>
      </c>
      <c r="BU235">
        <v>1800</v>
      </c>
      <c r="BV235">
        <v>0.91000800000000004</v>
      </c>
      <c r="BW235">
        <v>3.3998E-2</v>
      </c>
      <c r="BX235">
        <v>2.1998799999999999E-2</v>
      </c>
      <c r="BY235">
        <v>3.3995200000000003E-2</v>
      </c>
      <c r="BZ235">
        <v>25.666699999999999</v>
      </c>
      <c r="CA235">
        <v>33528.5</v>
      </c>
      <c r="CB235">
        <v>1690376213.5999999</v>
      </c>
      <c r="CC235" t="s">
        <v>332</v>
      </c>
      <c r="CD235">
        <v>1690376213.5999999</v>
      </c>
      <c r="CE235">
        <v>1690376198.0999999</v>
      </c>
      <c r="CF235">
        <v>2</v>
      </c>
      <c r="CG235">
        <v>0.66900000000000004</v>
      </c>
      <c r="CH235">
        <v>-2.1000000000000001E-2</v>
      </c>
      <c r="CI235">
        <v>-0.70099999999999996</v>
      </c>
      <c r="CJ235">
        <v>0.21099999999999999</v>
      </c>
      <c r="CK235">
        <v>799</v>
      </c>
      <c r="CL235">
        <v>21</v>
      </c>
      <c r="CM235">
        <v>0.11</v>
      </c>
      <c r="CN235">
        <v>0.17</v>
      </c>
      <c r="CO235">
        <v>-432.80309999999997</v>
      </c>
      <c r="CP235">
        <v>-1.660637898686524</v>
      </c>
      <c r="CQ235">
        <v>0.16418873286556579</v>
      </c>
      <c r="CR235">
        <v>-1</v>
      </c>
      <c r="CS235">
        <v>27.8459775</v>
      </c>
      <c r="CT235">
        <v>9.9729455909982972E-2</v>
      </c>
      <c r="CU235">
        <v>9.6995744107668848E-3</v>
      </c>
      <c r="CV235">
        <v>-1</v>
      </c>
      <c r="CW235">
        <v>0</v>
      </c>
      <c r="CX235">
        <v>0</v>
      </c>
      <c r="CY235" t="s">
        <v>333</v>
      </c>
      <c r="CZ235">
        <v>2.3650199999999999</v>
      </c>
      <c r="DA235">
        <v>2.71374</v>
      </c>
      <c r="DB235">
        <v>8.3551200000000006E-2</v>
      </c>
      <c r="DC235">
        <v>0.145509</v>
      </c>
      <c r="DD235">
        <v>0.12645600000000001</v>
      </c>
      <c r="DE235">
        <v>1.3304899999999999E-3</v>
      </c>
      <c r="DF235">
        <v>33474.199999999997</v>
      </c>
      <c r="DG235">
        <v>27540.5</v>
      </c>
      <c r="DH235">
        <v>31180.7</v>
      </c>
      <c r="DI235">
        <v>28083.5</v>
      </c>
      <c r="DJ235">
        <v>36964.699999999997</v>
      </c>
      <c r="DK235">
        <v>39878.800000000003</v>
      </c>
      <c r="DL235">
        <v>44372.4</v>
      </c>
      <c r="DM235">
        <v>42553.9</v>
      </c>
      <c r="DN235">
        <v>1.4494800000000001</v>
      </c>
      <c r="DO235">
        <v>2.0420500000000001</v>
      </c>
      <c r="DP235">
        <v>8.8944999999999996E-2</v>
      </c>
      <c r="DQ235">
        <v>0.186719</v>
      </c>
      <c r="DR235">
        <v>25.531400000000001</v>
      </c>
      <c r="DS235">
        <v>25.521799999999999</v>
      </c>
      <c r="DT235">
        <v>24.1</v>
      </c>
      <c r="DU235">
        <v>27.9</v>
      </c>
      <c r="DV235">
        <v>9.2171900000000004</v>
      </c>
      <c r="DW235">
        <v>61.128399999999999</v>
      </c>
      <c r="DX235">
        <v>37.716299999999997</v>
      </c>
      <c r="DY235">
        <v>1</v>
      </c>
      <c r="DZ235">
        <v>-0.128328</v>
      </c>
      <c r="EA235">
        <v>-0.48178399999999999</v>
      </c>
      <c r="EB235">
        <v>20.189299999999999</v>
      </c>
      <c r="EC235">
        <v>5.2424499999999998</v>
      </c>
      <c r="ED235">
        <v>12.039899999999999</v>
      </c>
      <c r="EE235">
        <v>5.0167000000000002</v>
      </c>
      <c r="EF235">
        <v>3.2879999999999998</v>
      </c>
      <c r="EG235">
        <v>9999</v>
      </c>
      <c r="EH235">
        <v>9999</v>
      </c>
      <c r="EI235">
        <v>9999</v>
      </c>
      <c r="EJ235">
        <v>999.9</v>
      </c>
      <c r="EK235">
        <v>1.8688899999999999</v>
      </c>
      <c r="EL235">
        <v>1.86456</v>
      </c>
      <c r="EM235">
        <v>1.8692</v>
      </c>
      <c r="EN235">
        <v>1.8672200000000001</v>
      </c>
      <c r="EO235">
        <v>1.86331</v>
      </c>
      <c r="EP235">
        <v>1.86439</v>
      </c>
      <c r="EQ235">
        <v>1.8701300000000001</v>
      </c>
      <c r="ER235">
        <v>1.8693500000000001</v>
      </c>
      <c r="ES235">
        <v>0</v>
      </c>
      <c r="ET235">
        <v>0</v>
      </c>
      <c r="EU235">
        <v>0</v>
      </c>
      <c r="EV235">
        <v>0</v>
      </c>
      <c r="EW235" t="s">
        <v>334</v>
      </c>
      <c r="EX235" t="s">
        <v>335</v>
      </c>
      <c r="EY235" t="s">
        <v>336</v>
      </c>
      <c r="EZ235" t="s">
        <v>336</v>
      </c>
      <c r="FA235" t="s">
        <v>336</v>
      </c>
      <c r="FB235" t="s">
        <v>336</v>
      </c>
      <c r="FC235">
        <v>0</v>
      </c>
      <c r="FD235">
        <v>100</v>
      </c>
      <c r="FE235">
        <v>100</v>
      </c>
      <c r="FF235">
        <v>-0.39600000000000002</v>
      </c>
      <c r="FG235">
        <v>0.21110000000000001</v>
      </c>
      <c r="FH235">
        <v>-0.150361779349652</v>
      </c>
      <c r="FI235">
        <v>-6.1462078757559423E-4</v>
      </c>
      <c r="FJ235">
        <v>-1.8861989874597051E-7</v>
      </c>
      <c r="FK235">
        <v>1.1980462299894961E-10</v>
      </c>
      <c r="FL235">
        <v>0.21114761904761539</v>
      </c>
      <c r="FM235">
        <v>0</v>
      </c>
      <c r="FN235">
        <v>0</v>
      </c>
      <c r="FO235">
        <v>0</v>
      </c>
      <c r="FP235">
        <v>3</v>
      </c>
      <c r="FQ235">
        <v>2158</v>
      </c>
      <c r="FR235">
        <v>1</v>
      </c>
      <c r="FS235">
        <v>19</v>
      </c>
      <c r="FT235">
        <v>45.5</v>
      </c>
      <c r="FU235">
        <v>45.8</v>
      </c>
      <c r="FV235">
        <v>1.7663599999999999</v>
      </c>
      <c r="FW235">
        <v>2.5756800000000002</v>
      </c>
      <c r="FX235">
        <v>1.5490699999999999</v>
      </c>
      <c r="FY235">
        <v>2.33765</v>
      </c>
      <c r="FZ235">
        <v>1.50146</v>
      </c>
      <c r="GA235">
        <v>2.3303199999999999</v>
      </c>
      <c r="GB235">
        <v>32.553899999999999</v>
      </c>
      <c r="GC235">
        <v>23.982399999999998</v>
      </c>
      <c r="GD235">
        <v>19</v>
      </c>
      <c r="GE235">
        <v>269.81799999999998</v>
      </c>
      <c r="GF235">
        <v>582.62800000000004</v>
      </c>
      <c r="GG235">
        <v>25.805599999999998</v>
      </c>
      <c r="GH235">
        <v>25.8142</v>
      </c>
      <c r="GI235">
        <v>30.0002</v>
      </c>
      <c r="GJ235">
        <v>25.914100000000001</v>
      </c>
      <c r="GK235">
        <v>25.879000000000001</v>
      </c>
      <c r="GL235">
        <v>35.305100000000003</v>
      </c>
      <c r="GM235">
        <v>100</v>
      </c>
      <c r="GN235">
        <v>0</v>
      </c>
      <c r="GO235">
        <v>25.808700000000002</v>
      </c>
      <c r="GP235">
        <v>800</v>
      </c>
      <c r="GQ235">
        <v>0</v>
      </c>
      <c r="GR235">
        <v>99.763999999999996</v>
      </c>
      <c r="GS235">
        <v>99.558499999999995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2023-07-26T13:42:53Z</dcterms:created>
  <dcterms:modified xsi:type="dcterms:W3CDTF">2023-07-26T17:10:07Z</dcterms:modified>
</cp:coreProperties>
</file>