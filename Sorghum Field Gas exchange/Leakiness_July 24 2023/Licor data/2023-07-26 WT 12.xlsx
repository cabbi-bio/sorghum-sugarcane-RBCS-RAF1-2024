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0726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59" i="1" l="1"/>
  <c r="AM259" i="1"/>
  <c r="AK259" i="1"/>
  <c r="AJ259" i="1"/>
  <c r="AH259" i="1" s="1"/>
  <c r="O259" i="1" s="1"/>
  <c r="Z259" i="1"/>
  <c r="Y259" i="1"/>
  <c r="Q259" i="1"/>
  <c r="K259" i="1"/>
  <c r="J259" i="1"/>
  <c r="I259" i="1" s="1"/>
  <c r="AN258" i="1"/>
  <c r="AM258" i="1"/>
  <c r="AL258" i="1" s="1"/>
  <c r="AK258" i="1"/>
  <c r="AJ258" i="1"/>
  <c r="AH258" i="1"/>
  <c r="Z258" i="1"/>
  <c r="Y258" i="1"/>
  <c r="X258" i="1" s="1"/>
  <c r="T258" i="1"/>
  <c r="Q258" i="1"/>
  <c r="AN257" i="1"/>
  <c r="AM257" i="1"/>
  <c r="AK257" i="1"/>
  <c r="AJ257" i="1"/>
  <c r="AH257" i="1" s="1"/>
  <c r="Z257" i="1"/>
  <c r="X257" i="1" s="1"/>
  <c r="Y257" i="1"/>
  <c r="Q257" i="1"/>
  <c r="O257" i="1"/>
  <c r="K257" i="1"/>
  <c r="AN256" i="1"/>
  <c r="AM256" i="1"/>
  <c r="AL256" i="1" s="1"/>
  <c r="AK256" i="1"/>
  <c r="AJ256" i="1"/>
  <c r="AI256" i="1"/>
  <c r="AH256" i="1"/>
  <c r="O256" i="1" s="1"/>
  <c r="Z256" i="1"/>
  <c r="Y256" i="1"/>
  <c r="X256" i="1" s="1"/>
  <c r="T256" i="1"/>
  <c r="Q256" i="1"/>
  <c r="L256" i="1"/>
  <c r="AN255" i="1"/>
  <c r="AM255" i="1"/>
  <c r="AK255" i="1"/>
  <c r="AJ255" i="1"/>
  <c r="AH255" i="1" s="1"/>
  <c r="O255" i="1" s="1"/>
  <c r="Z255" i="1"/>
  <c r="Y255" i="1"/>
  <c r="X255" i="1" s="1"/>
  <c r="Q255" i="1"/>
  <c r="J255" i="1"/>
  <c r="I255" i="1" s="1"/>
  <c r="AN254" i="1"/>
  <c r="AM254" i="1"/>
  <c r="AL254" i="1" s="1"/>
  <c r="AK254" i="1"/>
  <c r="AJ254" i="1"/>
  <c r="AH254" i="1"/>
  <c r="Z254" i="1"/>
  <c r="Y254" i="1"/>
  <c r="X254" i="1" s="1"/>
  <c r="T254" i="1"/>
  <c r="Q254" i="1"/>
  <c r="AN253" i="1"/>
  <c r="AM253" i="1"/>
  <c r="AK253" i="1"/>
  <c r="AJ253" i="1"/>
  <c r="AH253" i="1" s="1"/>
  <c r="Z253" i="1"/>
  <c r="X253" i="1" s="1"/>
  <c r="Y253" i="1"/>
  <c r="Q253" i="1"/>
  <c r="O253" i="1"/>
  <c r="K253" i="1"/>
  <c r="AN252" i="1"/>
  <c r="AM252" i="1"/>
  <c r="AL252" i="1" s="1"/>
  <c r="AK252" i="1"/>
  <c r="AJ252" i="1"/>
  <c r="AI252" i="1"/>
  <c r="AH252" i="1"/>
  <c r="O252" i="1" s="1"/>
  <c r="Z252" i="1"/>
  <c r="Y252" i="1"/>
  <c r="X252" i="1" s="1"/>
  <c r="T252" i="1"/>
  <c r="Q252" i="1"/>
  <c r="L252" i="1"/>
  <c r="K252" i="1"/>
  <c r="AN251" i="1"/>
  <c r="AM251" i="1"/>
  <c r="AK251" i="1"/>
  <c r="AJ251" i="1"/>
  <c r="AH251" i="1" s="1"/>
  <c r="O251" i="1" s="1"/>
  <c r="Z251" i="1"/>
  <c r="Y251" i="1"/>
  <c r="Q251" i="1"/>
  <c r="K251" i="1"/>
  <c r="J251" i="1"/>
  <c r="I251" i="1" s="1"/>
  <c r="AN250" i="1"/>
  <c r="AM250" i="1"/>
  <c r="AL250" i="1" s="1"/>
  <c r="AK250" i="1"/>
  <c r="AJ250" i="1"/>
  <c r="AI250" i="1"/>
  <c r="AH250" i="1"/>
  <c r="Z250" i="1"/>
  <c r="Y250" i="1"/>
  <c r="X250" i="1" s="1"/>
  <c r="T250" i="1"/>
  <c r="Q250" i="1"/>
  <c r="AN249" i="1"/>
  <c r="AM249" i="1"/>
  <c r="AK249" i="1"/>
  <c r="AJ249" i="1"/>
  <c r="AH249" i="1" s="1"/>
  <c r="O249" i="1" s="1"/>
  <c r="Z249" i="1"/>
  <c r="X249" i="1" s="1"/>
  <c r="Y249" i="1"/>
  <c r="Q249" i="1"/>
  <c r="K249" i="1"/>
  <c r="AN248" i="1"/>
  <c r="AM248" i="1"/>
  <c r="AL248" i="1" s="1"/>
  <c r="AK248" i="1"/>
  <c r="AJ248" i="1"/>
  <c r="AI248" i="1"/>
  <c r="AH248" i="1"/>
  <c r="O248" i="1" s="1"/>
  <c r="Z248" i="1"/>
  <c r="Y248" i="1"/>
  <c r="X248" i="1" s="1"/>
  <c r="T248" i="1"/>
  <c r="Q248" i="1"/>
  <c r="L248" i="1"/>
  <c r="K248" i="1"/>
  <c r="AN247" i="1"/>
  <c r="AM247" i="1"/>
  <c r="AK247" i="1"/>
  <c r="AJ247" i="1"/>
  <c r="AH247" i="1" s="1"/>
  <c r="Z247" i="1"/>
  <c r="Y247" i="1"/>
  <c r="Q247" i="1"/>
  <c r="O247" i="1"/>
  <c r="K247" i="1"/>
  <c r="AN246" i="1"/>
  <c r="AM246" i="1"/>
  <c r="AL246" i="1" s="1"/>
  <c r="AK246" i="1"/>
  <c r="AJ246" i="1"/>
  <c r="AH246" i="1"/>
  <c r="Z246" i="1"/>
  <c r="Y246" i="1"/>
  <c r="X246" i="1"/>
  <c r="T246" i="1"/>
  <c r="Q246" i="1"/>
  <c r="AN245" i="1"/>
  <c r="AM245" i="1"/>
  <c r="AK245" i="1"/>
  <c r="AJ245" i="1"/>
  <c r="AH245" i="1" s="1"/>
  <c r="Z245" i="1"/>
  <c r="X245" i="1" s="1"/>
  <c r="Y245" i="1"/>
  <c r="Q245" i="1"/>
  <c r="O245" i="1"/>
  <c r="AN244" i="1"/>
  <c r="AM244" i="1"/>
  <c r="AL244" i="1"/>
  <c r="AK244" i="1"/>
  <c r="AJ244" i="1"/>
  <c r="AI244" i="1"/>
  <c r="AH244" i="1"/>
  <c r="O244" i="1" s="1"/>
  <c r="Z244" i="1"/>
  <c r="Y244" i="1"/>
  <c r="X244" i="1" s="1"/>
  <c r="T244" i="1"/>
  <c r="Q244" i="1"/>
  <c r="L244" i="1"/>
  <c r="K244" i="1"/>
  <c r="AN243" i="1"/>
  <c r="AM243" i="1"/>
  <c r="AK243" i="1"/>
  <c r="AJ243" i="1"/>
  <c r="AH243" i="1" s="1"/>
  <c r="Z243" i="1"/>
  <c r="Y243" i="1"/>
  <c r="Q243" i="1"/>
  <c r="AN242" i="1"/>
  <c r="AM242" i="1"/>
  <c r="AL242" i="1" s="1"/>
  <c r="AK242" i="1"/>
  <c r="AJ242" i="1"/>
  <c r="AH242" i="1"/>
  <c r="Z242" i="1"/>
  <c r="Y242" i="1"/>
  <c r="X242" i="1"/>
  <c r="T242" i="1"/>
  <c r="Q242" i="1"/>
  <c r="AN241" i="1"/>
  <c r="AM241" i="1"/>
  <c r="AK241" i="1"/>
  <c r="AJ241" i="1"/>
  <c r="AH241" i="1" s="1"/>
  <c r="Z241" i="1"/>
  <c r="X241" i="1" s="1"/>
  <c r="Y241" i="1"/>
  <c r="Q241" i="1"/>
  <c r="O241" i="1"/>
  <c r="AN240" i="1"/>
  <c r="AM240" i="1"/>
  <c r="AL240" i="1"/>
  <c r="AK240" i="1"/>
  <c r="AJ240" i="1"/>
  <c r="AI240" i="1"/>
  <c r="AH240" i="1"/>
  <c r="O240" i="1" s="1"/>
  <c r="Z240" i="1"/>
  <c r="Y240" i="1"/>
  <c r="X240" i="1" s="1"/>
  <c r="T240" i="1"/>
  <c r="Q240" i="1"/>
  <c r="L240" i="1"/>
  <c r="K240" i="1"/>
  <c r="AN239" i="1"/>
  <c r="AM239" i="1"/>
  <c r="AK239" i="1"/>
  <c r="AJ239" i="1"/>
  <c r="AH239" i="1" s="1"/>
  <c r="Z239" i="1"/>
  <c r="Y239" i="1"/>
  <c r="X239" i="1" s="1"/>
  <c r="Q239" i="1"/>
  <c r="AN238" i="1"/>
  <c r="AM238" i="1"/>
  <c r="AL238" i="1" s="1"/>
  <c r="AK238" i="1"/>
  <c r="AJ238" i="1"/>
  <c r="AI238" i="1"/>
  <c r="AH238" i="1"/>
  <c r="O238" i="1" s="1"/>
  <c r="Z238" i="1"/>
  <c r="Y238" i="1"/>
  <c r="X238" i="1"/>
  <c r="T238" i="1"/>
  <c r="Q238" i="1"/>
  <c r="AN237" i="1"/>
  <c r="AM237" i="1"/>
  <c r="AK237" i="1"/>
  <c r="AJ237" i="1"/>
  <c r="AH237" i="1" s="1"/>
  <c r="Z237" i="1"/>
  <c r="X237" i="1" s="1"/>
  <c r="Y237" i="1"/>
  <c r="Q237" i="1"/>
  <c r="K237" i="1"/>
  <c r="AN236" i="1"/>
  <c r="AM236" i="1"/>
  <c r="AK236" i="1"/>
  <c r="AL236" i="1" s="1"/>
  <c r="AJ236" i="1"/>
  <c r="AI236" i="1"/>
  <c r="AH236" i="1"/>
  <c r="O236" i="1" s="1"/>
  <c r="Z236" i="1"/>
  <c r="Y236" i="1"/>
  <c r="X236" i="1" s="1"/>
  <c r="T236" i="1"/>
  <c r="Q236" i="1"/>
  <c r="L236" i="1"/>
  <c r="K236" i="1"/>
  <c r="AN235" i="1"/>
  <c r="AM235" i="1"/>
  <c r="AK235" i="1"/>
  <c r="AJ235" i="1"/>
  <c r="AH235" i="1" s="1"/>
  <c r="AI235" i="1"/>
  <c r="Z235" i="1"/>
  <c r="Y235" i="1"/>
  <c r="X235" i="1" s="1"/>
  <c r="Q235" i="1"/>
  <c r="AN234" i="1"/>
  <c r="AM234" i="1"/>
  <c r="AL234" i="1" s="1"/>
  <c r="AK234" i="1"/>
  <c r="AJ234" i="1"/>
  <c r="AI234" i="1"/>
  <c r="AH234" i="1"/>
  <c r="Z234" i="1"/>
  <c r="Y234" i="1"/>
  <c r="X234" i="1"/>
  <c r="T234" i="1"/>
  <c r="Q234" i="1"/>
  <c r="O234" i="1"/>
  <c r="L234" i="1"/>
  <c r="AN233" i="1"/>
  <c r="AM233" i="1"/>
  <c r="AK233" i="1"/>
  <c r="AJ233" i="1"/>
  <c r="AH233" i="1"/>
  <c r="Z233" i="1"/>
  <c r="Y233" i="1"/>
  <c r="X233" i="1"/>
  <c r="Q233" i="1"/>
  <c r="K233" i="1"/>
  <c r="J233" i="1"/>
  <c r="I233" i="1" s="1"/>
  <c r="AN232" i="1"/>
  <c r="AM232" i="1"/>
  <c r="AK232" i="1"/>
  <c r="T232" i="1" s="1"/>
  <c r="AJ232" i="1"/>
  <c r="AH232" i="1"/>
  <c r="Z232" i="1"/>
  <c r="Y232" i="1"/>
  <c r="X232" i="1" s="1"/>
  <c r="Q232" i="1"/>
  <c r="K232" i="1"/>
  <c r="AN231" i="1"/>
  <c r="AM231" i="1"/>
  <c r="AK231" i="1"/>
  <c r="T231" i="1" s="1"/>
  <c r="AJ231" i="1"/>
  <c r="AH231" i="1" s="1"/>
  <c r="L231" i="1" s="1"/>
  <c r="AI231" i="1"/>
  <c r="Z231" i="1"/>
  <c r="Y231" i="1"/>
  <c r="X231" i="1"/>
  <c r="Q231" i="1"/>
  <c r="O231" i="1"/>
  <c r="J231" i="1"/>
  <c r="I231" i="1" s="1"/>
  <c r="AN230" i="1"/>
  <c r="AM230" i="1"/>
  <c r="AK230" i="1"/>
  <c r="AL230" i="1" s="1"/>
  <c r="AJ230" i="1"/>
  <c r="AH230" i="1"/>
  <c r="L230" i="1" s="1"/>
  <c r="Z230" i="1"/>
  <c r="Y230" i="1"/>
  <c r="X230" i="1"/>
  <c r="Q230" i="1"/>
  <c r="AN229" i="1"/>
  <c r="AM229" i="1"/>
  <c r="AL229" i="1"/>
  <c r="AK229" i="1"/>
  <c r="AJ229" i="1"/>
  <c r="AH229" i="1"/>
  <c r="J229" i="1" s="1"/>
  <c r="I229" i="1" s="1"/>
  <c r="AB229" i="1"/>
  <c r="Z229" i="1"/>
  <c r="Y229" i="1"/>
  <c r="X229" i="1"/>
  <c r="T229" i="1"/>
  <c r="Q229" i="1"/>
  <c r="O229" i="1"/>
  <c r="L229" i="1"/>
  <c r="K229" i="1"/>
  <c r="AN228" i="1"/>
  <c r="AM228" i="1"/>
  <c r="AK228" i="1"/>
  <c r="AL228" i="1" s="1"/>
  <c r="AJ228" i="1"/>
  <c r="AH228" i="1" s="1"/>
  <c r="Z228" i="1"/>
  <c r="Y228" i="1"/>
  <c r="X228" i="1" s="1"/>
  <c r="Q228" i="1"/>
  <c r="AN227" i="1"/>
  <c r="AM227" i="1"/>
  <c r="AK227" i="1"/>
  <c r="AL227" i="1" s="1"/>
  <c r="AJ227" i="1"/>
  <c r="AH227" i="1" s="1"/>
  <c r="Z227" i="1"/>
  <c r="X227" i="1" s="1"/>
  <c r="Y227" i="1"/>
  <c r="Q227" i="1"/>
  <c r="AN226" i="1"/>
  <c r="AM226" i="1"/>
  <c r="AK226" i="1"/>
  <c r="AJ226" i="1"/>
  <c r="AH226" i="1"/>
  <c r="Z226" i="1"/>
  <c r="Y226" i="1"/>
  <c r="X226" i="1"/>
  <c r="Q226" i="1"/>
  <c r="O226" i="1"/>
  <c r="AN225" i="1"/>
  <c r="AM225" i="1"/>
  <c r="AK225" i="1"/>
  <c r="AJ225" i="1"/>
  <c r="AH225" i="1"/>
  <c r="J225" i="1" s="1"/>
  <c r="I225" i="1" s="1"/>
  <c r="Z225" i="1"/>
  <c r="Y225" i="1"/>
  <c r="X225" i="1"/>
  <c r="Q225" i="1"/>
  <c r="O225" i="1"/>
  <c r="L225" i="1"/>
  <c r="K225" i="1"/>
  <c r="AN224" i="1"/>
  <c r="AM224" i="1"/>
  <c r="AK224" i="1"/>
  <c r="AL224" i="1" s="1"/>
  <c r="AJ224" i="1"/>
  <c r="AH224" i="1" s="1"/>
  <c r="Z224" i="1"/>
  <c r="Y224" i="1"/>
  <c r="X224" i="1" s="1"/>
  <c r="Q224" i="1"/>
  <c r="AN223" i="1"/>
  <c r="AM223" i="1"/>
  <c r="AK223" i="1"/>
  <c r="AL223" i="1" s="1"/>
  <c r="AJ223" i="1"/>
  <c r="AH223" i="1"/>
  <c r="Z223" i="1"/>
  <c r="X223" i="1" s="1"/>
  <c r="Y223" i="1"/>
  <c r="Q223" i="1"/>
  <c r="AN222" i="1"/>
  <c r="AM222" i="1"/>
  <c r="AK222" i="1"/>
  <c r="AL222" i="1" s="1"/>
  <c r="AJ222" i="1"/>
  <c r="AH222" i="1"/>
  <c r="O222" i="1" s="1"/>
  <c r="Z222" i="1"/>
  <c r="Y222" i="1"/>
  <c r="X222" i="1"/>
  <c r="Q222" i="1"/>
  <c r="AN221" i="1"/>
  <c r="AM221" i="1"/>
  <c r="AK221" i="1"/>
  <c r="AJ221" i="1"/>
  <c r="AI221" i="1"/>
  <c r="AH221" i="1"/>
  <c r="J221" i="1" s="1"/>
  <c r="I221" i="1" s="1"/>
  <c r="Z221" i="1"/>
  <c r="Y221" i="1"/>
  <c r="X221" i="1" s="1"/>
  <c r="Q221" i="1"/>
  <c r="O221" i="1"/>
  <c r="L221" i="1"/>
  <c r="K221" i="1"/>
  <c r="AN220" i="1"/>
  <c r="AM220" i="1"/>
  <c r="AL220" i="1"/>
  <c r="AK220" i="1"/>
  <c r="AJ220" i="1"/>
  <c r="AH220" i="1" s="1"/>
  <c r="O220" i="1" s="1"/>
  <c r="AI220" i="1"/>
  <c r="Z220" i="1"/>
  <c r="Y220" i="1"/>
  <c r="X220" i="1" s="1"/>
  <c r="T220" i="1"/>
  <c r="Q220" i="1"/>
  <c r="K220" i="1"/>
  <c r="AN219" i="1"/>
  <c r="AM219" i="1"/>
  <c r="AK219" i="1"/>
  <c r="AJ219" i="1"/>
  <c r="AH219" i="1"/>
  <c r="Z219" i="1"/>
  <c r="X219" i="1" s="1"/>
  <c r="Y219" i="1"/>
  <c r="Q219" i="1"/>
  <c r="AN218" i="1"/>
  <c r="AM218" i="1"/>
  <c r="AK218" i="1"/>
  <c r="AJ218" i="1"/>
  <c r="AI218" i="1"/>
  <c r="AH218" i="1"/>
  <c r="Z218" i="1"/>
  <c r="Y218" i="1"/>
  <c r="X218" i="1"/>
  <c r="Q218" i="1"/>
  <c r="O218" i="1"/>
  <c r="AN217" i="1"/>
  <c r="AM217" i="1"/>
  <c r="AK217" i="1"/>
  <c r="AL217" i="1" s="1"/>
  <c r="AJ217" i="1"/>
  <c r="AI217" i="1"/>
  <c r="AH217" i="1"/>
  <c r="J217" i="1" s="1"/>
  <c r="Z217" i="1"/>
  <c r="Y217" i="1"/>
  <c r="X217" i="1" s="1"/>
  <c r="V217" i="1"/>
  <c r="T217" i="1"/>
  <c r="U217" i="1" s="1"/>
  <c r="Q217" i="1"/>
  <c r="O217" i="1"/>
  <c r="L217" i="1"/>
  <c r="K217" i="1"/>
  <c r="I217" i="1"/>
  <c r="AB217" i="1" s="1"/>
  <c r="AN216" i="1"/>
  <c r="AM216" i="1"/>
  <c r="AL216" i="1"/>
  <c r="AK216" i="1"/>
  <c r="AJ216" i="1"/>
  <c r="AH216" i="1" s="1"/>
  <c r="L216" i="1" s="1"/>
  <c r="AI216" i="1"/>
  <c r="Z216" i="1"/>
  <c r="Y216" i="1"/>
  <c r="T216" i="1"/>
  <c r="Q216" i="1"/>
  <c r="K216" i="1"/>
  <c r="AN215" i="1"/>
  <c r="AM215" i="1"/>
  <c r="AK215" i="1"/>
  <c r="AL215" i="1" s="1"/>
  <c r="AJ215" i="1"/>
  <c r="AH215" i="1" s="1"/>
  <c r="Z215" i="1"/>
  <c r="X215" i="1" s="1"/>
  <c r="Y215" i="1"/>
  <c r="T215" i="1"/>
  <c r="Q215" i="1"/>
  <c r="K215" i="1"/>
  <c r="AN214" i="1"/>
  <c r="T214" i="1" s="1"/>
  <c r="AM214" i="1"/>
  <c r="AL214" i="1"/>
  <c r="AK214" i="1"/>
  <c r="AJ214" i="1"/>
  <c r="AH214" i="1" s="1"/>
  <c r="AI214" i="1"/>
  <c r="Z214" i="1"/>
  <c r="Y214" i="1"/>
  <c r="X214" i="1" s="1"/>
  <c r="Q214" i="1"/>
  <c r="AN213" i="1"/>
  <c r="AM213" i="1"/>
  <c r="AL213" i="1"/>
  <c r="AK213" i="1"/>
  <c r="AJ213" i="1"/>
  <c r="AH213" i="1" s="1"/>
  <c r="Z213" i="1"/>
  <c r="X213" i="1" s="1"/>
  <c r="Y213" i="1"/>
  <c r="T213" i="1"/>
  <c r="Q213" i="1"/>
  <c r="O213" i="1"/>
  <c r="L213" i="1"/>
  <c r="AN212" i="1"/>
  <c r="AM212" i="1"/>
  <c r="AK212" i="1"/>
  <c r="AL212" i="1" s="1"/>
  <c r="AJ212" i="1"/>
  <c r="AH212" i="1" s="1"/>
  <c r="Z212" i="1"/>
  <c r="X212" i="1" s="1"/>
  <c r="Y212" i="1"/>
  <c r="Q212" i="1"/>
  <c r="AN211" i="1"/>
  <c r="AM211" i="1"/>
  <c r="AK211" i="1"/>
  <c r="AJ211" i="1"/>
  <c r="AH211" i="1"/>
  <c r="Z211" i="1"/>
  <c r="Y211" i="1"/>
  <c r="X211" i="1"/>
  <c r="Q211" i="1"/>
  <c r="K211" i="1"/>
  <c r="AN210" i="1"/>
  <c r="AM210" i="1"/>
  <c r="AL210" i="1"/>
  <c r="AK210" i="1"/>
  <c r="AJ210" i="1"/>
  <c r="AH210" i="1" s="1"/>
  <c r="AI210" i="1" s="1"/>
  <c r="Z210" i="1"/>
  <c r="Y210" i="1"/>
  <c r="X210" i="1" s="1"/>
  <c r="T210" i="1"/>
  <c r="Q210" i="1"/>
  <c r="AN209" i="1"/>
  <c r="AM209" i="1"/>
  <c r="AL209" i="1"/>
  <c r="AK209" i="1"/>
  <c r="AJ209" i="1"/>
  <c r="AH209" i="1" s="1"/>
  <c r="Z209" i="1"/>
  <c r="X209" i="1" s="1"/>
  <c r="Y209" i="1"/>
  <c r="T209" i="1"/>
  <c r="Q209" i="1"/>
  <c r="AN208" i="1"/>
  <c r="AM208" i="1"/>
  <c r="AK208" i="1"/>
  <c r="AJ208" i="1"/>
  <c r="AH208" i="1"/>
  <c r="Z208" i="1"/>
  <c r="X208" i="1" s="1"/>
  <c r="Y208" i="1"/>
  <c r="Q208" i="1"/>
  <c r="K208" i="1"/>
  <c r="J208" i="1"/>
  <c r="I208" i="1" s="1"/>
  <c r="AN207" i="1"/>
  <c r="AM207" i="1"/>
  <c r="AK207" i="1"/>
  <c r="AJ207" i="1"/>
  <c r="AH207" i="1"/>
  <c r="Z207" i="1"/>
  <c r="Y207" i="1"/>
  <c r="X207" i="1"/>
  <c r="Q207" i="1"/>
  <c r="AN206" i="1"/>
  <c r="AM206" i="1"/>
  <c r="AL206" i="1"/>
  <c r="AK206" i="1"/>
  <c r="AJ206" i="1"/>
  <c r="AH206" i="1" s="1"/>
  <c r="AI206" i="1"/>
  <c r="Z206" i="1"/>
  <c r="Y206" i="1"/>
  <c r="X206" i="1" s="1"/>
  <c r="T206" i="1"/>
  <c r="Q206" i="1"/>
  <c r="AN205" i="1"/>
  <c r="AM205" i="1"/>
  <c r="AL205" i="1" s="1"/>
  <c r="AK205" i="1"/>
  <c r="AJ205" i="1"/>
  <c r="AH205" i="1" s="1"/>
  <c r="Z205" i="1"/>
  <c r="X205" i="1" s="1"/>
  <c r="Y205" i="1"/>
  <c r="T205" i="1"/>
  <c r="Q205" i="1"/>
  <c r="O205" i="1"/>
  <c r="L205" i="1"/>
  <c r="J205" i="1"/>
  <c r="I205" i="1" s="1"/>
  <c r="AN204" i="1"/>
  <c r="AM204" i="1"/>
  <c r="AK204" i="1"/>
  <c r="AJ204" i="1"/>
  <c r="AH204" i="1" s="1"/>
  <c r="Z204" i="1"/>
  <c r="X204" i="1" s="1"/>
  <c r="Y204" i="1"/>
  <c r="Q204" i="1"/>
  <c r="AN203" i="1"/>
  <c r="AM203" i="1"/>
  <c r="AK203" i="1"/>
  <c r="AJ203" i="1"/>
  <c r="AH203" i="1"/>
  <c r="Z203" i="1"/>
  <c r="Y203" i="1"/>
  <c r="X203" i="1" s="1"/>
  <c r="Q203" i="1"/>
  <c r="AN202" i="1"/>
  <c r="T202" i="1" s="1"/>
  <c r="AM202" i="1"/>
  <c r="AL202" i="1"/>
  <c r="AK202" i="1"/>
  <c r="AJ202" i="1"/>
  <c r="AH202" i="1" s="1"/>
  <c r="AI202" i="1" s="1"/>
  <c r="Z202" i="1"/>
  <c r="Y202" i="1"/>
  <c r="X202" i="1" s="1"/>
  <c r="Q202" i="1"/>
  <c r="O202" i="1"/>
  <c r="L202" i="1"/>
  <c r="AN201" i="1"/>
  <c r="AM201" i="1"/>
  <c r="AL201" i="1" s="1"/>
  <c r="AK201" i="1"/>
  <c r="AJ201" i="1"/>
  <c r="AH201" i="1" s="1"/>
  <c r="Z201" i="1"/>
  <c r="X201" i="1" s="1"/>
  <c r="Y201" i="1"/>
  <c r="T201" i="1"/>
  <c r="Q201" i="1"/>
  <c r="O201" i="1"/>
  <c r="AN200" i="1"/>
  <c r="AM200" i="1"/>
  <c r="AK200" i="1"/>
  <c r="AJ200" i="1"/>
  <c r="AH200" i="1"/>
  <c r="Z200" i="1"/>
  <c r="Y200" i="1"/>
  <c r="X200" i="1"/>
  <c r="Q200" i="1"/>
  <c r="AN199" i="1"/>
  <c r="AM199" i="1"/>
  <c r="AK199" i="1"/>
  <c r="AJ199" i="1"/>
  <c r="AH199" i="1"/>
  <c r="J199" i="1" s="1"/>
  <c r="Z199" i="1"/>
  <c r="Y199" i="1"/>
  <c r="X199" i="1" s="1"/>
  <c r="Q199" i="1"/>
  <c r="I199" i="1"/>
  <c r="AN198" i="1"/>
  <c r="T198" i="1" s="1"/>
  <c r="AM198" i="1"/>
  <c r="AL198" i="1" s="1"/>
  <c r="AK198" i="1"/>
  <c r="AJ198" i="1"/>
  <c r="AH198" i="1" s="1"/>
  <c r="AI198" i="1" s="1"/>
  <c r="Z198" i="1"/>
  <c r="Y198" i="1"/>
  <c r="X198" i="1" s="1"/>
  <c r="Q198" i="1"/>
  <c r="O198" i="1"/>
  <c r="L198" i="1"/>
  <c r="K198" i="1"/>
  <c r="J198" i="1"/>
  <c r="I198" i="1" s="1"/>
  <c r="AN197" i="1"/>
  <c r="AM197" i="1"/>
  <c r="AL197" i="1" s="1"/>
  <c r="AK197" i="1"/>
  <c r="AJ197" i="1"/>
  <c r="AH197" i="1"/>
  <c r="Z197" i="1"/>
  <c r="Y197" i="1"/>
  <c r="X197" i="1" s="1"/>
  <c r="T197" i="1"/>
  <c r="Q197" i="1"/>
  <c r="AN196" i="1"/>
  <c r="AM196" i="1"/>
  <c r="AK196" i="1"/>
  <c r="AJ196" i="1"/>
  <c r="AH196" i="1" s="1"/>
  <c r="O196" i="1" s="1"/>
  <c r="Z196" i="1"/>
  <c r="Y196" i="1"/>
  <c r="X196" i="1" s="1"/>
  <c r="Q196" i="1"/>
  <c r="AN195" i="1"/>
  <c r="AM195" i="1"/>
  <c r="AK195" i="1"/>
  <c r="AJ195" i="1"/>
  <c r="AH195" i="1"/>
  <c r="J195" i="1" s="1"/>
  <c r="I195" i="1" s="1"/>
  <c r="AC195" i="1"/>
  <c r="AB195" i="1"/>
  <c r="Z195" i="1"/>
  <c r="Y195" i="1"/>
  <c r="X195" i="1"/>
  <c r="U195" i="1"/>
  <c r="V195" i="1" s="1"/>
  <c r="T195" i="1"/>
  <c r="Q195" i="1"/>
  <c r="L195" i="1"/>
  <c r="K195" i="1"/>
  <c r="AN194" i="1"/>
  <c r="AM194" i="1"/>
  <c r="AK194" i="1"/>
  <c r="AJ194" i="1"/>
  <c r="AH194" i="1" s="1"/>
  <c r="Z194" i="1"/>
  <c r="Y194" i="1"/>
  <c r="Q194" i="1"/>
  <c r="AN193" i="1"/>
  <c r="AM193" i="1"/>
  <c r="AL193" i="1"/>
  <c r="AK193" i="1"/>
  <c r="AJ193" i="1"/>
  <c r="AI193" i="1"/>
  <c r="AH193" i="1"/>
  <c r="Z193" i="1"/>
  <c r="Y193" i="1"/>
  <c r="X193" i="1"/>
  <c r="T193" i="1"/>
  <c r="Q193" i="1"/>
  <c r="O193" i="1"/>
  <c r="AN192" i="1"/>
  <c r="AM192" i="1"/>
  <c r="AK192" i="1"/>
  <c r="AL192" i="1" s="1"/>
  <c r="AJ192" i="1"/>
  <c r="AH192" i="1" s="1"/>
  <c r="Z192" i="1"/>
  <c r="Y192" i="1"/>
  <c r="X192" i="1" s="1"/>
  <c r="Q192" i="1"/>
  <c r="O192" i="1"/>
  <c r="AN191" i="1"/>
  <c r="AM191" i="1"/>
  <c r="AL191" i="1"/>
  <c r="AK191" i="1"/>
  <c r="AJ191" i="1"/>
  <c r="AH191" i="1"/>
  <c r="J191" i="1" s="1"/>
  <c r="I191" i="1" s="1"/>
  <c r="AC191" i="1"/>
  <c r="AB191" i="1"/>
  <c r="Z191" i="1"/>
  <c r="Y191" i="1"/>
  <c r="X191" i="1"/>
  <c r="U191" i="1"/>
  <c r="V191" i="1" s="1"/>
  <c r="T191" i="1"/>
  <c r="Q191" i="1"/>
  <c r="L191" i="1"/>
  <c r="K191" i="1"/>
  <c r="AN190" i="1"/>
  <c r="AM190" i="1"/>
  <c r="AK190" i="1"/>
  <c r="AJ190" i="1"/>
  <c r="AH190" i="1" s="1"/>
  <c r="AI190" i="1" s="1"/>
  <c r="Z190" i="1"/>
  <c r="Y190" i="1"/>
  <c r="Q190" i="1"/>
  <c r="AN189" i="1"/>
  <c r="AM189" i="1"/>
  <c r="AL189" i="1"/>
  <c r="AK189" i="1"/>
  <c r="AJ189" i="1"/>
  <c r="AH189" i="1"/>
  <c r="Z189" i="1"/>
  <c r="Y189" i="1"/>
  <c r="X189" i="1" s="1"/>
  <c r="T189" i="1"/>
  <c r="Q189" i="1"/>
  <c r="O189" i="1"/>
  <c r="L189" i="1"/>
  <c r="AN188" i="1"/>
  <c r="AM188" i="1"/>
  <c r="AK188" i="1"/>
  <c r="AL188" i="1" s="1"/>
  <c r="AJ188" i="1"/>
  <c r="AH188" i="1" s="1"/>
  <c r="Z188" i="1"/>
  <c r="Y188" i="1"/>
  <c r="Q188" i="1"/>
  <c r="O188" i="1"/>
  <c r="AN187" i="1"/>
  <c r="AM187" i="1"/>
  <c r="AK187" i="1"/>
  <c r="AJ187" i="1"/>
  <c r="AH187" i="1"/>
  <c r="Z187" i="1"/>
  <c r="Y187" i="1"/>
  <c r="X187" i="1"/>
  <c r="Q187" i="1"/>
  <c r="AN186" i="1"/>
  <c r="AM186" i="1"/>
  <c r="AK186" i="1"/>
  <c r="AJ186" i="1"/>
  <c r="AH186" i="1" s="1"/>
  <c r="AI186" i="1"/>
  <c r="Z186" i="1"/>
  <c r="Y186" i="1"/>
  <c r="Q186" i="1"/>
  <c r="K186" i="1"/>
  <c r="J186" i="1"/>
  <c r="I186" i="1" s="1"/>
  <c r="AN185" i="1"/>
  <c r="AM185" i="1"/>
  <c r="AK185" i="1"/>
  <c r="AL185" i="1" s="1"/>
  <c r="AJ185" i="1"/>
  <c r="AH185" i="1"/>
  <c r="Z185" i="1"/>
  <c r="Y185" i="1"/>
  <c r="X185" i="1"/>
  <c r="T185" i="1"/>
  <c r="Q185" i="1"/>
  <c r="AN184" i="1"/>
  <c r="AM184" i="1"/>
  <c r="AK184" i="1"/>
  <c r="AL184" i="1" s="1"/>
  <c r="AJ184" i="1"/>
  <c r="AH184" i="1" s="1"/>
  <c r="Z184" i="1"/>
  <c r="Y184" i="1"/>
  <c r="Q184" i="1"/>
  <c r="AN183" i="1"/>
  <c r="AM183" i="1"/>
  <c r="AL183" i="1"/>
  <c r="AK183" i="1"/>
  <c r="AJ183" i="1"/>
  <c r="AH183" i="1"/>
  <c r="Z183" i="1"/>
  <c r="Y183" i="1"/>
  <c r="X183" i="1"/>
  <c r="T183" i="1"/>
  <c r="Q183" i="1"/>
  <c r="L183" i="1"/>
  <c r="K183" i="1"/>
  <c r="AN182" i="1"/>
  <c r="AM182" i="1"/>
  <c r="AK182" i="1"/>
  <c r="AJ182" i="1"/>
  <c r="AH182" i="1" s="1"/>
  <c r="AI182" i="1" s="1"/>
  <c r="Z182" i="1"/>
  <c r="Y182" i="1"/>
  <c r="Q182" i="1"/>
  <c r="AN181" i="1"/>
  <c r="AM181" i="1"/>
  <c r="AK181" i="1"/>
  <c r="AJ181" i="1"/>
  <c r="AH181" i="1"/>
  <c r="J181" i="1" s="1"/>
  <c r="I181" i="1" s="1"/>
  <c r="Z181" i="1"/>
  <c r="Y181" i="1"/>
  <c r="X181" i="1" s="1"/>
  <c r="Q181" i="1"/>
  <c r="O181" i="1"/>
  <c r="L181" i="1"/>
  <c r="K181" i="1"/>
  <c r="AN180" i="1"/>
  <c r="AM180" i="1"/>
  <c r="AK180" i="1"/>
  <c r="AJ180" i="1"/>
  <c r="AH180" i="1" s="1"/>
  <c r="Z180" i="1"/>
  <c r="Y180" i="1"/>
  <c r="Q180" i="1"/>
  <c r="J180" i="1"/>
  <c r="I180" i="1" s="1"/>
  <c r="AN179" i="1"/>
  <c r="AM179" i="1"/>
  <c r="AL179" i="1"/>
  <c r="AK179" i="1"/>
  <c r="T179" i="1" s="1"/>
  <c r="AJ179" i="1"/>
  <c r="AH179" i="1"/>
  <c r="Z179" i="1"/>
  <c r="Y179" i="1"/>
  <c r="X179" i="1" s="1"/>
  <c r="Q179" i="1"/>
  <c r="L179" i="1"/>
  <c r="AN178" i="1"/>
  <c r="AM178" i="1"/>
  <c r="AK178" i="1"/>
  <c r="AJ178" i="1"/>
  <c r="AH178" i="1" s="1"/>
  <c r="AI178" i="1" s="1"/>
  <c r="Z178" i="1"/>
  <c r="Y178" i="1"/>
  <c r="X178" i="1" s="1"/>
  <c r="T178" i="1"/>
  <c r="Q178" i="1"/>
  <c r="L178" i="1"/>
  <c r="AN177" i="1"/>
  <c r="AM177" i="1"/>
  <c r="AL177" i="1"/>
  <c r="AK177" i="1"/>
  <c r="AJ177" i="1"/>
  <c r="AH177" i="1" s="1"/>
  <c r="Z177" i="1"/>
  <c r="Y177" i="1"/>
  <c r="X177" i="1"/>
  <c r="T177" i="1"/>
  <c r="Q177" i="1"/>
  <c r="AN176" i="1"/>
  <c r="AM176" i="1"/>
  <c r="AK176" i="1"/>
  <c r="AL176" i="1" s="1"/>
  <c r="AJ176" i="1"/>
  <c r="AH176" i="1"/>
  <c r="Z176" i="1"/>
  <c r="Y176" i="1"/>
  <c r="X176" i="1"/>
  <c r="Q176" i="1"/>
  <c r="AN175" i="1"/>
  <c r="AM175" i="1"/>
  <c r="AK175" i="1"/>
  <c r="AJ175" i="1"/>
  <c r="AH175" i="1"/>
  <c r="J175" i="1" s="1"/>
  <c r="I175" i="1" s="1"/>
  <c r="AB175" i="1"/>
  <c r="Z175" i="1"/>
  <c r="Y175" i="1"/>
  <c r="X175" i="1"/>
  <c r="Q175" i="1"/>
  <c r="L175" i="1"/>
  <c r="K175" i="1"/>
  <c r="AN174" i="1"/>
  <c r="AM174" i="1"/>
  <c r="AL174" i="1"/>
  <c r="AK174" i="1"/>
  <c r="AJ174" i="1"/>
  <c r="AH174" i="1" s="1"/>
  <c r="AI174" i="1"/>
  <c r="Z174" i="1"/>
  <c r="Y174" i="1"/>
  <c r="X174" i="1" s="1"/>
  <c r="T174" i="1"/>
  <c r="Q174" i="1"/>
  <c r="L174" i="1"/>
  <c r="J174" i="1"/>
  <c r="I174" i="1" s="1"/>
  <c r="AN173" i="1"/>
  <c r="AM173" i="1"/>
  <c r="AL173" i="1"/>
  <c r="AK173" i="1"/>
  <c r="AJ173" i="1"/>
  <c r="AH173" i="1"/>
  <c r="Z173" i="1"/>
  <c r="Y173" i="1"/>
  <c r="X173" i="1"/>
  <c r="T173" i="1"/>
  <c r="Q173" i="1"/>
  <c r="O173" i="1"/>
  <c r="J173" i="1"/>
  <c r="I173" i="1" s="1"/>
  <c r="AN172" i="1"/>
  <c r="AM172" i="1"/>
  <c r="AK172" i="1"/>
  <c r="AJ172" i="1"/>
  <c r="AH172" i="1"/>
  <c r="Z172" i="1"/>
  <c r="Y172" i="1"/>
  <c r="X172" i="1"/>
  <c r="Q172" i="1"/>
  <c r="AN171" i="1"/>
  <c r="AM171" i="1"/>
  <c r="AK171" i="1"/>
  <c r="AL171" i="1" s="1"/>
  <c r="AJ171" i="1"/>
  <c r="AH171" i="1"/>
  <c r="J171" i="1" s="1"/>
  <c r="I171" i="1" s="1"/>
  <c r="AB171" i="1"/>
  <c r="Z171" i="1"/>
  <c r="Y171" i="1"/>
  <c r="X171" i="1"/>
  <c r="T171" i="1"/>
  <c r="Q171" i="1"/>
  <c r="L171" i="1"/>
  <c r="K171" i="1"/>
  <c r="AN170" i="1"/>
  <c r="AM170" i="1"/>
  <c r="AL170" i="1"/>
  <c r="AK170" i="1"/>
  <c r="AJ170" i="1"/>
  <c r="AH170" i="1" s="1"/>
  <c r="Z170" i="1"/>
  <c r="Y170" i="1"/>
  <c r="X170" i="1" s="1"/>
  <c r="T170" i="1"/>
  <c r="Q170" i="1"/>
  <c r="AN169" i="1"/>
  <c r="AM169" i="1"/>
  <c r="AL169" i="1"/>
  <c r="AK169" i="1"/>
  <c r="AJ169" i="1"/>
  <c r="AH169" i="1"/>
  <c r="Z169" i="1"/>
  <c r="X169" i="1" s="1"/>
  <c r="Y169" i="1"/>
  <c r="T169" i="1"/>
  <c r="Q169" i="1"/>
  <c r="AN168" i="1"/>
  <c r="AM168" i="1"/>
  <c r="AK168" i="1"/>
  <c r="AL168" i="1" s="1"/>
  <c r="AJ168" i="1"/>
  <c r="AH168" i="1"/>
  <c r="Z168" i="1"/>
  <c r="Y168" i="1"/>
  <c r="X168" i="1"/>
  <c r="Q168" i="1"/>
  <c r="AN167" i="1"/>
  <c r="AM167" i="1"/>
  <c r="AL167" i="1"/>
  <c r="AK167" i="1"/>
  <c r="AJ167" i="1"/>
  <c r="AH167" i="1"/>
  <c r="J167" i="1" s="1"/>
  <c r="I167" i="1" s="1"/>
  <c r="Z167" i="1"/>
  <c r="Y167" i="1"/>
  <c r="X167" i="1"/>
  <c r="T167" i="1"/>
  <c r="Q167" i="1"/>
  <c r="O167" i="1"/>
  <c r="L167" i="1"/>
  <c r="K167" i="1"/>
  <c r="AN166" i="1"/>
  <c r="AM166" i="1"/>
  <c r="AL166" i="1"/>
  <c r="AK166" i="1"/>
  <c r="AJ166" i="1"/>
  <c r="AH166" i="1" s="1"/>
  <c r="O166" i="1" s="1"/>
  <c r="AI166" i="1"/>
  <c r="Z166" i="1"/>
  <c r="Y166" i="1"/>
  <c r="X166" i="1" s="1"/>
  <c r="T166" i="1"/>
  <c r="Q166" i="1"/>
  <c r="L166" i="1"/>
  <c r="K166" i="1"/>
  <c r="J166" i="1"/>
  <c r="I166" i="1" s="1"/>
  <c r="AN165" i="1"/>
  <c r="AM165" i="1"/>
  <c r="AK165" i="1"/>
  <c r="AL165" i="1" s="1"/>
  <c r="AJ165" i="1"/>
  <c r="AI165" i="1"/>
  <c r="AH165" i="1"/>
  <c r="Z165" i="1"/>
  <c r="Y165" i="1"/>
  <c r="X165" i="1" s="1"/>
  <c r="Q165" i="1"/>
  <c r="O165" i="1"/>
  <c r="J165" i="1"/>
  <c r="I165" i="1" s="1"/>
  <c r="AN164" i="1"/>
  <c r="AM164" i="1"/>
  <c r="AK164" i="1"/>
  <c r="AL164" i="1" s="1"/>
  <c r="AJ164" i="1"/>
  <c r="AH164" i="1"/>
  <c r="Z164" i="1"/>
  <c r="Y164" i="1"/>
  <c r="X164" i="1"/>
  <c r="Q164" i="1"/>
  <c r="AN163" i="1"/>
  <c r="AM163" i="1"/>
  <c r="AL163" i="1"/>
  <c r="AK163" i="1"/>
  <c r="T163" i="1" s="1"/>
  <c r="AJ163" i="1"/>
  <c r="AI163" i="1"/>
  <c r="AH163" i="1"/>
  <c r="J163" i="1" s="1"/>
  <c r="I163" i="1" s="1"/>
  <c r="AB163" i="1"/>
  <c r="Z163" i="1"/>
  <c r="Y163" i="1"/>
  <c r="X163" i="1" s="1"/>
  <c r="Q163" i="1"/>
  <c r="O163" i="1"/>
  <c r="L163" i="1"/>
  <c r="K163" i="1"/>
  <c r="AN162" i="1"/>
  <c r="AM162" i="1"/>
  <c r="AK162" i="1"/>
  <c r="AJ162" i="1"/>
  <c r="AH162" i="1" s="1"/>
  <c r="Z162" i="1"/>
  <c r="Y162" i="1"/>
  <c r="X162" i="1" s="1"/>
  <c r="Q162" i="1"/>
  <c r="J162" i="1"/>
  <c r="I162" i="1" s="1"/>
  <c r="AN161" i="1"/>
  <c r="AM161" i="1"/>
  <c r="AK161" i="1"/>
  <c r="AJ161" i="1"/>
  <c r="AH161" i="1"/>
  <c r="L161" i="1" s="1"/>
  <c r="Z161" i="1"/>
  <c r="Y161" i="1"/>
  <c r="X161" i="1" s="1"/>
  <c r="Q161" i="1"/>
  <c r="O161" i="1"/>
  <c r="AN160" i="1"/>
  <c r="AM160" i="1"/>
  <c r="AK160" i="1"/>
  <c r="AJ160" i="1"/>
  <c r="AI160" i="1"/>
  <c r="AH160" i="1"/>
  <c r="Z160" i="1"/>
  <c r="Y160" i="1"/>
  <c r="X160" i="1" s="1"/>
  <c r="Q160" i="1"/>
  <c r="O160" i="1"/>
  <c r="K160" i="1"/>
  <c r="AN159" i="1"/>
  <c r="AM159" i="1"/>
  <c r="AK159" i="1"/>
  <c r="AJ159" i="1"/>
  <c r="AI159" i="1"/>
  <c r="AH159" i="1"/>
  <c r="J159" i="1" s="1"/>
  <c r="AB159" i="1"/>
  <c r="Z159" i="1"/>
  <c r="Y159" i="1"/>
  <c r="X159" i="1" s="1"/>
  <c r="Q159" i="1"/>
  <c r="O159" i="1"/>
  <c r="L159" i="1"/>
  <c r="K159" i="1"/>
  <c r="I159" i="1"/>
  <c r="AN158" i="1"/>
  <c r="AM158" i="1"/>
  <c r="AL158" i="1" s="1"/>
  <c r="AK158" i="1"/>
  <c r="AJ158" i="1"/>
  <c r="AH158" i="1" s="1"/>
  <c r="AI158" i="1"/>
  <c r="Z158" i="1"/>
  <c r="Y158" i="1"/>
  <c r="X158" i="1" s="1"/>
  <c r="T158" i="1"/>
  <c r="Q158" i="1"/>
  <c r="O158" i="1"/>
  <c r="L158" i="1"/>
  <c r="K158" i="1"/>
  <c r="J158" i="1"/>
  <c r="I158" i="1" s="1"/>
  <c r="AN157" i="1"/>
  <c r="AM157" i="1"/>
  <c r="AK157" i="1"/>
  <c r="AJ157" i="1"/>
  <c r="AH157" i="1" s="1"/>
  <c r="Z157" i="1"/>
  <c r="Y157" i="1"/>
  <c r="Q157" i="1"/>
  <c r="AN156" i="1"/>
  <c r="AM156" i="1"/>
  <c r="AK156" i="1"/>
  <c r="AJ156" i="1"/>
  <c r="AH156" i="1" s="1"/>
  <c r="Z156" i="1"/>
  <c r="Y156" i="1"/>
  <c r="Q156" i="1"/>
  <c r="J156" i="1"/>
  <c r="I156" i="1" s="1"/>
  <c r="AB156" i="1" s="1"/>
  <c r="AN155" i="1"/>
  <c r="T155" i="1" s="1"/>
  <c r="AM155" i="1"/>
  <c r="AL155" i="1" s="1"/>
  <c r="AK155" i="1"/>
  <c r="AJ155" i="1"/>
  <c r="AH155" i="1"/>
  <c r="Z155" i="1"/>
  <c r="Y155" i="1"/>
  <c r="X155" i="1"/>
  <c r="Q155" i="1"/>
  <c r="L155" i="1"/>
  <c r="AN154" i="1"/>
  <c r="AM154" i="1"/>
  <c r="AL154" i="1"/>
  <c r="AK154" i="1"/>
  <c r="T154" i="1" s="1"/>
  <c r="AJ154" i="1"/>
  <c r="AH154" i="1" s="1"/>
  <c r="AI154" i="1"/>
  <c r="Z154" i="1"/>
  <c r="Y154" i="1"/>
  <c r="X154" i="1" s="1"/>
  <c r="Q154" i="1"/>
  <c r="O154" i="1"/>
  <c r="AN153" i="1"/>
  <c r="AM153" i="1"/>
  <c r="AL153" i="1" s="1"/>
  <c r="AK153" i="1"/>
  <c r="AJ153" i="1"/>
  <c r="AH153" i="1"/>
  <c r="AI153" i="1" s="1"/>
  <c r="AB153" i="1"/>
  <c r="Z153" i="1"/>
  <c r="X153" i="1" s="1"/>
  <c r="Y153" i="1"/>
  <c r="T153" i="1"/>
  <c r="U153" i="1" s="1"/>
  <c r="V153" i="1" s="1"/>
  <c r="Q153" i="1"/>
  <c r="L153" i="1"/>
  <c r="K153" i="1"/>
  <c r="J153" i="1"/>
  <c r="I153" i="1"/>
  <c r="AN152" i="1"/>
  <c r="AM152" i="1"/>
  <c r="AK152" i="1"/>
  <c r="AJ152" i="1"/>
  <c r="AI152" i="1"/>
  <c r="AH152" i="1"/>
  <c r="L152" i="1" s="1"/>
  <c r="Z152" i="1"/>
  <c r="Y152" i="1"/>
  <c r="X152" i="1"/>
  <c r="Q152" i="1"/>
  <c r="O152" i="1"/>
  <c r="AN151" i="1"/>
  <c r="AM151" i="1"/>
  <c r="AK151" i="1"/>
  <c r="AL151" i="1" s="1"/>
  <c r="AJ151" i="1"/>
  <c r="AH151" i="1"/>
  <c r="Z151" i="1"/>
  <c r="Y151" i="1"/>
  <c r="X151" i="1"/>
  <c r="T151" i="1"/>
  <c r="Q151" i="1"/>
  <c r="AN150" i="1"/>
  <c r="AM150" i="1"/>
  <c r="AL150" i="1" s="1"/>
  <c r="AK150" i="1"/>
  <c r="AJ150" i="1"/>
  <c r="AH150" i="1" s="1"/>
  <c r="AI150" i="1"/>
  <c r="AB150" i="1"/>
  <c r="Z150" i="1"/>
  <c r="Y150" i="1"/>
  <c r="X150" i="1" s="1"/>
  <c r="T150" i="1"/>
  <c r="Q150" i="1"/>
  <c r="O150" i="1"/>
  <c r="L150" i="1"/>
  <c r="K150" i="1"/>
  <c r="J150" i="1"/>
  <c r="I150" i="1" s="1"/>
  <c r="AN149" i="1"/>
  <c r="AM149" i="1"/>
  <c r="AL149" i="1"/>
  <c r="AK149" i="1"/>
  <c r="T149" i="1" s="1"/>
  <c r="AJ149" i="1"/>
  <c r="AH149" i="1"/>
  <c r="Z149" i="1"/>
  <c r="Y149" i="1"/>
  <c r="X149" i="1"/>
  <c r="Q149" i="1"/>
  <c r="AN148" i="1"/>
  <c r="AM148" i="1"/>
  <c r="AK148" i="1"/>
  <c r="AJ148" i="1"/>
  <c r="AH148" i="1" s="1"/>
  <c r="L148" i="1" s="1"/>
  <c r="Z148" i="1"/>
  <c r="Y148" i="1"/>
  <c r="X148" i="1" s="1"/>
  <c r="Q148" i="1"/>
  <c r="O148" i="1"/>
  <c r="J148" i="1"/>
  <c r="I148" i="1" s="1"/>
  <c r="AB148" i="1" s="1"/>
  <c r="AN147" i="1"/>
  <c r="AM147" i="1"/>
  <c r="AL147" i="1" s="1"/>
  <c r="AK147" i="1"/>
  <c r="AJ147" i="1"/>
  <c r="AH147" i="1"/>
  <c r="J147" i="1" s="1"/>
  <c r="I147" i="1" s="1"/>
  <c r="AB147" i="1" s="1"/>
  <c r="Z147" i="1"/>
  <c r="Y147" i="1"/>
  <c r="X147" i="1" s="1"/>
  <c r="T147" i="1"/>
  <c r="Q147" i="1"/>
  <c r="O147" i="1"/>
  <c r="K147" i="1"/>
  <c r="AN146" i="1"/>
  <c r="AM146" i="1"/>
  <c r="AK146" i="1"/>
  <c r="AJ146" i="1"/>
  <c r="AH146" i="1" s="1"/>
  <c r="L146" i="1" s="1"/>
  <c r="AI146" i="1"/>
  <c r="Z146" i="1"/>
  <c r="Y146" i="1"/>
  <c r="Q146" i="1"/>
  <c r="O146" i="1"/>
  <c r="K146" i="1"/>
  <c r="AN145" i="1"/>
  <c r="AM145" i="1"/>
  <c r="AL145" i="1"/>
  <c r="AK145" i="1"/>
  <c r="AJ145" i="1"/>
  <c r="AI145" i="1"/>
  <c r="AH145" i="1"/>
  <c r="J145" i="1" s="1"/>
  <c r="AB145" i="1"/>
  <c r="Z145" i="1"/>
  <c r="Y145" i="1"/>
  <c r="X145" i="1" s="1"/>
  <c r="T145" i="1"/>
  <c r="Q145" i="1"/>
  <c r="O145" i="1"/>
  <c r="L145" i="1"/>
  <c r="K145" i="1"/>
  <c r="I145" i="1"/>
  <c r="AN144" i="1"/>
  <c r="AM144" i="1"/>
  <c r="AK144" i="1"/>
  <c r="AJ144" i="1"/>
  <c r="AH144" i="1" s="1"/>
  <c r="Z144" i="1"/>
  <c r="Y144" i="1"/>
  <c r="X144" i="1" s="1"/>
  <c r="Q144" i="1"/>
  <c r="O144" i="1"/>
  <c r="L144" i="1"/>
  <c r="AN143" i="1"/>
  <c r="AM143" i="1"/>
  <c r="AK143" i="1"/>
  <c r="AJ143" i="1"/>
  <c r="AH143" i="1" s="1"/>
  <c r="J143" i="1" s="1"/>
  <c r="I143" i="1" s="1"/>
  <c r="Z143" i="1"/>
  <c r="Y143" i="1"/>
  <c r="X143" i="1" s="1"/>
  <c r="T143" i="1"/>
  <c r="Q143" i="1"/>
  <c r="K143" i="1"/>
  <c r="AN142" i="1"/>
  <c r="AM142" i="1"/>
  <c r="AK142" i="1"/>
  <c r="AJ142" i="1"/>
  <c r="AH142" i="1"/>
  <c r="Z142" i="1"/>
  <c r="Y142" i="1"/>
  <c r="X142" i="1" s="1"/>
  <c r="Q142" i="1"/>
  <c r="J142" i="1"/>
  <c r="I142" i="1" s="1"/>
  <c r="AN141" i="1"/>
  <c r="AM141" i="1"/>
  <c r="AK141" i="1"/>
  <c r="AJ141" i="1"/>
  <c r="AH141" i="1"/>
  <c r="Z141" i="1"/>
  <c r="Y141" i="1"/>
  <c r="X141" i="1"/>
  <c r="Q141" i="1"/>
  <c r="O141" i="1"/>
  <c r="L141" i="1"/>
  <c r="AN140" i="1"/>
  <c r="AM140" i="1"/>
  <c r="AL140" i="1"/>
  <c r="AK140" i="1"/>
  <c r="AJ140" i="1"/>
  <c r="AH140" i="1" s="1"/>
  <c r="J140" i="1" s="1"/>
  <c r="AI140" i="1"/>
  <c r="Z140" i="1"/>
  <c r="Y140" i="1"/>
  <c r="X140" i="1" s="1"/>
  <c r="T140" i="1"/>
  <c r="Q140" i="1"/>
  <c r="K140" i="1"/>
  <c r="I140" i="1"/>
  <c r="AN139" i="1"/>
  <c r="AM139" i="1"/>
  <c r="AL139" i="1" s="1"/>
  <c r="AK139" i="1"/>
  <c r="AJ139" i="1"/>
  <c r="AH139" i="1" s="1"/>
  <c r="Z139" i="1"/>
  <c r="Y139" i="1"/>
  <c r="T139" i="1"/>
  <c r="Q139" i="1"/>
  <c r="AN138" i="1"/>
  <c r="AM138" i="1"/>
  <c r="AK138" i="1"/>
  <c r="AJ138" i="1"/>
  <c r="AH138" i="1"/>
  <c r="Z138" i="1"/>
  <c r="Y138" i="1"/>
  <c r="X138" i="1"/>
  <c r="Q138" i="1"/>
  <c r="O138" i="1"/>
  <c r="J138" i="1"/>
  <c r="I138" i="1" s="1"/>
  <c r="AB138" i="1" s="1"/>
  <c r="AN137" i="1"/>
  <c r="AM137" i="1"/>
  <c r="AK137" i="1"/>
  <c r="AJ137" i="1"/>
  <c r="AH137" i="1"/>
  <c r="Z137" i="1"/>
  <c r="Y137" i="1"/>
  <c r="X137" i="1" s="1"/>
  <c r="Q137" i="1"/>
  <c r="AN136" i="1"/>
  <c r="AM136" i="1"/>
  <c r="AL136" i="1"/>
  <c r="AK136" i="1"/>
  <c r="T136" i="1" s="1"/>
  <c r="AJ136" i="1"/>
  <c r="AH136" i="1" s="1"/>
  <c r="J136" i="1" s="1"/>
  <c r="AI136" i="1"/>
  <c r="Z136" i="1"/>
  <c r="Y136" i="1"/>
  <c r="X136" i="1" s="1"/>
  <c r="Q136" i="1"/>
  <c r="O136" i="1"/>
  <c r="K136" i="1"/>
  <c r="I136" i="1"/>
  <c r="AB136" i="1" s="1"/>
  <c r="AN135" i="1"/>
  <c r="AM135" i="1"/>
  <c r="AL135" i="1"/>
  <c r="AK135" i="1"/>
  <c r="AJ135" i="1"/>
  <c r="AH135" i="1" s="1"/>
  <c r="K135" i="1" s="1"/>
  <c r="Z135" i="1"/>
  <c r="Y135" i="1"/>
  <c r="X135" i="1" s="1"/>
  <c r="T135" i="1"/>
  <c r="Q135" i="1"/>
  <c r="L135" i="1"/>
  <c r="AN134" i="1"/>
  <c r="AM134" i="1"/>
  <c r="AK134" i="1"/>
  <c r="AJ134" i="1"/>
  <c r="AH134" i="1"/>
  <c r="Z134" i="1"/>
  <c r="Y134" i="1"/>
  <c r="X134" i="1"/>
  <c r="Q134" i="1"/>
  <c r="J134" i="1"/>
  <c r="I134" i="1" s="1"/>
  <c r="AB134" i="1" s="1"/>
  <c r="AN133" i="1"/>
  <c r="AM133" i="1"/>
  <c r="AK133" i="1"/>
  <c r="AJ133" i="1"/>
  <c r="AH133" i="1"/>
  <c r="Z133" i="1"/>
  <c r="Y133" i="1"/>
  <c r="X133" i="1" s="1"/>
  <c r="Q133" i="1"/>
  <c r="AN132" i="1"/>
  <c r="AM132" i="1"/>
  <c r="AK132" i="1"/>
  <c r="AJ132" i="1"/>
  <c r="AH132" i="1" s="1"/>
  <c r="J132" i="1" s="1"/>
  <c r="AI132" i="1"/>
  <c r="AB132" i="1"/>
  <c r="Z132" i="1"/>
  <c r="Y132" i="1"/>
  <c r="X132" i="1" s="1"/>
  <c r="Q132" i="1"/>
  <c r="L132" i="1"/>
  <c r="K132" i="1"/>
  <c r="I132" i="1"/>
  <c r="AN131" i="1"/>
  <c r="AM131" i="1"/>
  <c r="AL131" i="1"/>
  <c r="AK131" i="1"/>
  <c r="AJ131" i="1"/>
  <c r="AH131" i="1" s="1"/>
  <c r="K131" i="1" s="1"/>
  <c r="AI131" i="1"/>
  <c r="Z131" i="1"/>
  <c r="Y131" i="1"/>
  <c r="X131" i="1" s="1"/>
  <c r="T131" i="1"/>
  <c r="Q131" i="1"/>
  <c r="L131" i="1"/>
  <c r="AN130" i="1"/>
  <c r="AM130" i="1"/>
  <c r="AK130" i="1"/>
  <c r="AJ130" i="1"/>
  <c r="AH130" i="1"/>
  <c r="J130" i="1" s="1"/>
  <c r="I130" i="1" s="1"/>
  <c r="Z130" i="1"/>
  <c r="X130" i="1" s="1"/>
  <c r="Y130" i="1"/>
  <c r="Q130" i="1"/>
  <c r="O130" i="1"/>
  <c r="K130" i="1"/>
  <c r="AN129" i="1"/>
  <c r="AM129" i="1"/>
  <c r="AK129" i="1"/>
  <c r="AJ129" i="1"/>
  <c r="AH129" i="1"/>
  <c r="Z129" i="1"/>
  <c r="Y129" i="1"/>
  <c r="X129" i="1"/>
  <c r="Q129" i="1"/>
  <c r="L129" i="1"/>
  <c r="AN128" i="1"/>
  <c r="T128" i="1" s="1"/>
  <c r="AM128" i="1"/>
  <c r="AL128" i="1"/>
  <c r="AK128" i="1"/>
  <c r="AJ128" i="1"/>
  <c r="AH128" i="1" s="1"/>
  <c r="AI128" i="1"/>
  <c r="Z128" i="1"/>
  <c r="Y128" i="1"/>
  <c r="X128" i="1" s="1"/>
  <c r="Q128" i="1"/>
  <c r="O128" i="1"/>
  <c r="L128" i="1"/>
  <c r="K128" i="1"/>
  <c r="J128" i="1"/>
  <c r="I128" i="1"/>
  <c r="AB128" i="1" s="1"/>
  <c r="AN127" i="1"/>
  <c r="AM127" i="1"/>
  <c r="AL127" i="1"/>
  <c r="AK127" i="1"/>
  <c r="AJ127" i="1"/>
  <c r="AH127" i="1" s="1"/>
  <c r="AI127" i="1" s="1"/>
  <c r="Z127" i="1"/>
  <c r="Y127" i="1"/>
  <c r="X127" i="1"/>
  <c r="T127" i="1"/>
  <c r="Q127" i="1"/>
  <c r="AN126" i="1"/>
  <c r="AM126" i="1"/>
  <c r="AK126" i="1"/>
  <c r="AJ126" i="1"/>
  <c r="AH126" i="1" s="1"/>
  <c r="Z126" i="1"/>
  <c r="X126" i="1" s="1"/>
  <c r="Y126" i="1"/>
  <c r="Q126" i="1"/>
  <c r="K126" i="1"/>
  <c r="AN125" i="1"/>
  <c r="T125" i="1" s="1"/>
  <c r="AM125" i="1"/>
  <c r="AL125" i="1"/>
  <c r="AK125" i="1"/>
  <c r="AJ125" i="1"/>
  <c r="AI125" i="1"/>
  <c r="AH125" i="1"/>
  <c r="J125" i="1" s="1"/>
  <c r="I125" i="1" s="1"/>
  <c r="Z125" i="1"/>
  <c r="Y125" i="1"/>
  <c r="X125" i="1" s="1"/>
  <c r="Q125" i="1"/>
  <c r="O125" i="1"/>
  <c r="L125" i="1"/>
  <c r="K125" i="1"/>
  <c r="AN124" i="1"/>
  <c r="AM124" i="1"/>
  <c r="AK124" i="1"/>
  <c r="T124" i="1" s="1"/>
  <c r="AJ124" i="1"/>
  <c r="AH124" i="1" s="1"/>
  <c r="AB124" i="1"/>
  <c r="Z124" i="1"/>
  <c r="Y124" i="1"/>
  <c r="X124" i="1" s="1"/>
  <c r="Q124" i="1"/>
  <c r="J124" i="1"/>
  <c r="I124" i="1" s="1"/>
  <c r="AN123" i="1"/>
  <c r="AM123" i="1"/>
  <c r="AK123" i="1"/>
  <c r="AL123" i="1" s="1"/>
  <c r="AJ123" i="1"/>
  <c r="AH123" i="1"/>
  <c r="Z123" i="1"/>
  <c r="X123" i="1" s="1"/>
  <c r="Y123" i="1"/>
  <c r="T123" i="1"/>
  <c r="Q123" i="1"/>
  <c r="J123" i="1"/>
  <c r="I123" i="1" s="1"/>
  <c r="AN122" i="1"/>
  <c r="AM122" i="1"/>
  <c r="AK122" i="1"/>
  <c r="AJ122" i="1"/>
  <c r="AH122" i="1" s="1"/>
  <c r="Z122" i="1"/>
  <c r="Y122" i="1"/>
  <c r="X122" i="1" s="1"/>
  <c r="Q122" i="1"/>
  <c r="AN121" i="1"/>
  <c r="AM121" i="1"/>
  <c r="AK121" i="1"/>
  <c r="AJ121" i="1"/>
  <c r="AH121" i="1"/>
  <c r="J121" i="1" s="1"/>
  <c r="I121" i="1" s="1"/>
  <c r="Z121" i="1"/>
  <c r="Y121" i="1"/>
  <c r="X121" i="1"/>
  <c r="Q121" i="1"/>
  <c r="O121" i="1"/>
  <c r="L121" i="1"/>
  <c r="AN120" i="1"/>
  <c r="AM120" i="1"/>
  <c r="AL120" i="1"/>
  <c r="AK120" i="1"/>
  <c r="AJ120" i="1"/>
  <c r="AH120" i="1" s="1"/>
  <c r="J120" i="1" s="1"/>
  <c r="I120" i="1" s="1"/>
  <c r="AI120" i="1"/>
  <c r="Z120" i="1"/>
  <c r="Y120" i="1"/>
  <c r="X120" i="1" s="1"/>
  <c r="T120" i="1"/>
  <c r="Q120" i="1"/>
  <c r="O120" i="1"/>
  <c r="L120" i="1"/>
  <c r="K120" i="1"/>
  <c r="AN119" i="1"/>
  <c r="AM119" i="1"/>
  <c r="AL119" i="1"/>
  <c r="AK119" i="1"/>
  <c r="AJ119" i="1"/>
  <c r="AH119" i="1" s="1"/>
  <c r="Z119" i="1"/>
  <c r="Y119" i="1"/>
  <c r="X119" i="1"/>
  <c r="T119" i="1"/>
  <c r="Q119" i="1"/>
  <c r="AN118" i="1"/>
  <c r="AM118" i="1"/>
  <c r="AK118" i="1"/>
  <c r="AJ118" i="1"/>
  <c r="AH118" i="1" s="1"/>
  <c r="Z118" i="1"/>
  <c r="X118" i="1" s="1"/>
  <c r="Y118" i="1"/>
  <c r="Q118" i="1"/>
  <c r="AN117" i="1"/>
  <c r="T117" i="1" s="1"/>
  <c r="AM117" i="1"/>
  <c r="AL117" i="1"/>
  <c r="AK117" i="1"/>
  <c r="AJ117" i="1"/>
  <c r="AI117" i="1"/>
  <c r="AH117" i="1"/>
  <c r="J117" i="1" s="1"/>
  <c r="I117" i="1" s="1"/>
  <c r="Z117" i="1"/>
  <c r="Y117" i="1"/>
  <c r="X117" i="1" s="1"/>
  <c r="Q117" i="1"/>
  <c r="O117" i="1"/>
  <c r="L117" i="1"/>
  <c r="K117" i="1"/>
  <c r="AN116" i="1"/>
  <c r="AM116" i="1"/>
  <c r="AK116" i="1"/>
  <c r="T116" i="1" s="1"/>
  <c r="AJ116" i="1"/>
  <c r="AH116" i="1" s="1"/>
  <c r="Z116" i="1"/>
  <c r="Y116" i="1"/>
  <c r="X116" i="1" s="1"/>
  <c r="Q116" i="1"/>
  <c r="J116" i="1"/>
  <c r="I116" i="1" s="1"/>
  <c r="AN115" i="1"/>
  <c r="AM115" i="1"/>
  <c r="AK115" i="1"/>
  <c r="AL115" i="1" s="1"/>
  <c r="AJ115" i="1"/>
  <c r="AH115" i="1"/>
  <c r="Z115" i="1"/>
  <c r="X115" i="1" s="1"/>
  <c r="Y115" i="1"/>
  <c r="Q115" i="1"/>
  <c r="K115" i="1"/>
  <c r="AN114" i="1"/>
  <c r="AM114" i="1"/>
  <c r="AL114" i="1"/>
  <c r="AK114" i="1"/>
  <c r="AJ114" i="1"/>
  <c r="AH114" i="1" s="1"/>
  <c r="AI114" i="1"/>
  <c r="Z114" i="1"/>
  <c r="Y114" i="1"/>
  <c r="X114" i="1" s="1"/>
  <c r="T114" i="1"/>
  <c r="Q114" i="1"/>
  <c r="L114" i="1"/>
  <c r="AN113" i="1"/>
  <c r="AM113" i="1"/>
  <c r="AK113" i="1"/>
  <c r="AL113" i="1" s="1"/>
  <c r="AJ113" i="1"/>
  <c r="AH113" i="1" s="1"/>
  <c r="Z113" i="1"/>
  <c r="X113" i="1" s="1"/>
  <c r="Y113" i="1"/>
  <c r="Q113" i="1"/>
  <c r="O113" i="1"/>
  <c r="J113" i="1"/>
  <c r="I113" i="1" s="1"/>
  <c r="AB113" i="1" s="1"/>
  <c r="AN112" i="1"/>
  <c r="AM112" i="1"/>
  <c r="AK112" i="1"/>
  <c r="AJ112" i="1"/>
  <c r="AH112" i="1"/>
  <c r="Z112" i="1"/>
  <c r="Y112" i="1"/>
  <c r="X112" i="1"/>
  <c r="Q112" i="1"/>
  <c r="AN111" i="1"/>
  <c r="AM111" i="1"/>
  <c r="AK111" i="1"/>
  <c r="AJ111" i="1"/>
  <c r="AH111" i="1" s="1"/>
  <c r="Z111" i="1"/>
  <c r="Y111" i="1"/>
  <c r="X111" i="1" s="1"/>
  <c r="Q111" i="1"/>
  <c r="K111" i="1"/>
  <c r="AN110" i="1"/>
  <c r="AM110" i="1"/>
  <c r="AL110" i="1"/>
  <c r="AK110" i="1"/>
  <c r="AJ110" i="1"/>
  <c r="AH110" i="1" s="1"/>
  <c r="AI110" i="1" s="1"/>
  <c r="Z110" i="1"/>
  <c r="Y110" i="1"/>
  <c r="X110" i="1" s="1"/>
  <c r="T110" i="1"/>
  <c r="Q110" i="1"/>
  <c r="AN109" i="1"/>
  <c r="AM109" i="1"/>
  <c r="AK109" i="1"/>
  <c r="AL109" i="1" s="1"/>
  <c r="AJ109" i="1"/>
  <c r="AH109" i="1" s="1"/>
  <c r="Z109" i="1"/>
  <c r="X109" i="1" s="1"/>
  <c r="Y109" i="1"/>
  <c r="Q109" i="1"/>
  <c r="O109" i="1"/>
  <c r="J109" i="1"/>
  <c r="I109" i="1" s="1"/>
  <c r="AB109" i="1" s="1"/>
  <c r="AN108" i="1"/>
  <c r="AM108" i="1"/>
  <c r="AK108" i="1"/>
  <c r="AJ108" i="1"/>
  <c r="AH108" i="1"/>
  <c r="Z108" i="1"/>
  <c r="Y108" i="1"/>
  <c r="X108" i="1"/>
  <c r="Q108" i="1"/>
  <c r="K108" i="1"/>
  <c r="AN107" i="1"/>
  <c r="AM107" i="1"/>
  <c r="AK107" i="1"/>
  <c r="AJ107" i="1"/>
  <c r="AH107" i="1" s="1"/>
  <c r="AI107" i="1" s="1"/>
  <c r="Z107" i="1"/>
  <c r="Y107" i="1"/>
  <c r="X107" i="1" s="1"/>
  <c r="Q107" i="1"/>
  <c r="K107" i="1"/>
  <c r="AN106" i="1"/>
  <c r="AM106" i="1"/>
  <c r="AL106" i="1"/>
  <c r="AK106" i="1"/>
  <c r="AJ106" i="1"/>
  <c r="AH106" i="1" s="1"/>
  <c r="AI106" i="1" s="1"/>
  <c r="Z106" i="1"/>
  <c r="Y106" i="1"/>
  <c r="X106" i="1" s="1"/>
  <c r="T106" i="1"/>
  <c r="Q106" i="1"/>
  <c r="L106" i="1"/>
  <c r="AN105" i="1"/>
  <c r="AM105" i="1"/>
  <c r="AK105" i="1"/>
  <c r="AL105" i="1" s="1"/>
  <c r="AJ105" i="1"/>
  <c r="AH105" i="1" s="1"/>
  <c r="Z105" i="1"/>
  <c r="X105" i="1" s="1"/>
  <c r="Y105" i="1"/>
  <c r="Q105" i="1"/>
  <c r="O105" i="1"/>
  <c r="J105" i="1"/>
  <c r="I105" i="1" s="1"/>
  <c r="AB105" i="1" s="1"/>
  <c r="AN104" i="1"/>
  <c r="AM104" i="1"/>
  <c r="AK104" i="1"/>
  <c r="AJ104" i="1"/>
  <c r="AH104" i="1"/>
  <c r="Z104" i="1"/>
  <c r="Y104" i="1"/>
  <c r="X104" i="1"/>
  <c r="Q104" i="1"/>
  <c r="K104" i="1"/>
  <c r="AN103" i="1"/>
  <c r="AM103" i="1"/>
  <c r="AK103" i="1"/>
  <c r="AJ103" i="1"/>
  <c r="AH103" i="1" s="1"/>
  <c r="AI103" i="1" s="1"/>
  <c r="Z103" i="1"/>
  <c r="Y103" i="1"/>
  <c r="X103" i="1" s="1"/>
  <c r="Q103" i="1"/>
  <c r="K103" i="1"/>
  <c r="AN102" i="1"/>
  <c r="AM102" i="1"/>
  <c r="AL102" i="1"/>
  <c r="AK102" i="1"/>
  <c r="AJ102" i="1"/>
  <c r="AH102" i="1" s="1"/>
  <c r="AI102" i="1" s="1"/>
  <c r="Z102" i="1"/>
  <c r="Y102" i="1"/>
  <c r="X102" i="1" s="1"/>
  <c r="T102" i="1"/>
  <c r="Q102" i="1"/>
  <c r="L102" i="1"/>
  <c r="AN101" i="1"/>
  <c r="AM101" i="1"/>
  <c r="AK101" i="1"/>
  <c r="AJ101" i="1"/>
  <c r="AH101" i="1" s="1"/>
  <c r="Z101" i="1"/>
  <c r="X101" i="1" s="1"/>
  <c r="Y101" i="1"/>
  <c r="Q101" i="1"/>
  <c r="O101" i="1"/>
  <c r="J101" i="1"/>
  <c r="I101" i="1" s="1"/>
  <c r="AB101" i="1" s="1"/>
  <c r="AN100" i="1"/>
  <c r="AM100" i="1"/>
  <c r="AK100" i="1"/>
  <c r="AJ100" i="1"/>
  <c r="AH100" i="1"/>
  <c r="Z100" i="1"/>
  <c r="Y100" i="1"/>
  <c r="X100" i="1"/>
  <c r="Q100" i="1"/>
  <c r="K100" i="1"/>
  <c r="AN99" i="1"/>
  <c r="AM99" i="1"/>
  <c r="AK99" i="1"/>
  <c r="AL99" i="1" s="1"/>
  <c r="AJ99" i="1"/>
  <c r="AH99" i="1" s="1"/>
  <c r="AI99" i="1"/>
  <c r="Z99" i="1"/>
  <c r="Y99" i="1"/>
  <c r="X99" i="1" s="1"/>
  <c r="Q99" i="1"/>
  <c r="K99" i="1"/>
  <c r="AN98" i="1"/>
  <c r="AM98" i="1"/>
  <c r="AL98" i="1"/>
  <c r="AK98" i="1"/>
  <c r="AJ98" i="1"/>
  <c r="AH98" i="1" s="1"/>
  <c r="K98" i="1" s="1"/>
  <c r="Z98" i="1"/>
  <c r="Y98" i="1"/>
  <c r="T98" i="1"/>
  <c r="Q98" i="1"/>
  <c r="AN97" i="1"/>
  <c r="AM97" i="1"/>
  <c r="AK97" i="1"/>
  <c r="AJ97" i="1"/>
  <c r="AH97" i="1"/>
  <c r="O97" i="1" s="1"/>
  <c r="Z97" i="1"/>
  <c r="Y97" i="1"/>
  <c r="X97" i="1"/>
  <c r="Q97" i="1"/>
  <c r="J97" i="1"/>
  <c r="I97" i="1" s="1"/>
  <c r="AN96" i="1"/>
  <c r="AM96" i="1"/>
  <c r="AK96" i="1"/>
  <c r="AJ96" i="1"/>
  <c r="AH96" i="1"/>
  <c r="Z96" i="1"/>
  <c r="Y96" i="1"/>
  <c r="X96" i="1"/>
  <c r="Q96" i="1"/>
  <c r="AN95" i="1"/>
  <c r="AM95" i="1"/>
  <c r="AK95" i="1"/>
  <c r="AJ95" i="1"/>
  <c r="AH95" i="1" s="1"/>
  <c r="J95" i="1" s="1"/>
  <c r="I95" i="1" s="1"/>
  <c r="Z95" i="1"/>
  <c r="Y95" i="1"/>
  <c r="X95" i="1" s="1"/>
  <c r="Q95" i="1"/>
  <c r="L95" i="1"/>
  <c r="K95" i="1"/>
  <c r="AN94" i="1"/>
  <c r="AM94" i="1"/>
  <c r="AL94" i="1"/>
  <c r="AK94" i="1"/>
  <c r="AJ94" i="1"/>
  <c r="AH94" i="1" s="1"/>
  <c r="K94" i="1" s="1"/>
  <c r="AI94" i="1"/>
  <c r="Z94" i="1"/>
  <c r="Y94" i="1"/>
  <c r="X94" i="1" s="1"/>
  <c r="T94" i="1"/>
  <c r="Q94" i="1"/>
  <c r="L94" i="1"/>
  <c r="AN93" i="1"/>
  <c r="AM93" i="1"/>
  <c r="AK93" i="1"/>
  <c r="AJ93" i="1"/>
  <c r="AH93" i="1" s="1"/>
  <c r="Z93" i="1"/>
  <c r="X93" i="1" s="1"/>
  <c r="Y93" i="1"/>
  <c r="Q93" i="1"/>
  <c r="AN92" i="1"/>
  <c r="AM92" i="1"/>
  <c r="AK92" i="1"/>
  <c r="AJ92" i="1"/>
  <c r="AI92" i="1"/>
  <c r="AH92" i="1"/>
  <c r="Z92" i="1"/>
  <c r="Y92" i="1"/>
  <c r="X92" i="1"/>
  <c r="Q92" i="1"/>
  <c r="K92" i="1"/>
  <c r="AN91" i="1"/>
  <c r="AM91" i="1"/>
  <c r="AK91" i="1"/>
  <c r="AL91" i="1" s="1"/>
  <c r="AJ91" i="1"/>
  <c r="AH91" i="1" s="1"/>
  <c r="J91" i="1" s="1"/>
  <c r="AI91" i="1"/>
  <c r="Z91" i="1"/>
  <c r="Y91" i="1"/>
  <c r="X91" i="1" s="1"/>
  <c r="T91" i="1"/>
  <c r="U91" i="1" s="1"/>
  <c r="V91" i="1" s="1"/>
  <c r="Q91" i="1"/>
  <c r="O91" i="1"/>
  <c r="L91" i="1"/>
  <c r="K91" i="1"/>
  <c r="I91" i="1"/>
  <c r="AN90" i="1"/>
  <c r="AM90" i="1"/>
  <c r="AL90" i="1" s="1"/>
  <c r="AK90" i="1"/>
  <c r="AJ90" i="1"/>
  <c r="AH90" i="1" s="1"/>
  <c r="K90" i="1" s="1"/>
  <c r="AI90" i="1"/>
  <c r="AB90" i="1"/>
  <c r="Z90" i="1"/>
  <c r="Y90" i="1"/>
  <c r="X90" i="1" s="1"/>
  <c r="T90" i="1"/>
  <c r="Q90" i="1"/>
  <c r="O90" i="1"/>
  <c r="L90" i="1"/>
  <c r="J90" i="1"/>
  <c r="I90" i="1"/>
  <c r="AN89" i="1"/>
  <c r="AM89" i="1"/>
  <c r="AK89" i="1"/>
  <c r="AL89" i="1" s="1"/>
  <c r="AJ89" i="1"/>
  <c r="AH89" i="1"/>
  <c r="AI89" i="1" s="1"/>
  <c r="Z89" i="1"/>
  <c r="X89" i="1" s="1"/>
  <c r="Y89" i="1"/>
  <c r="T89" i="1"/>
  <c r="Q89" i="1"/>
  <c r="J89" i="1"/>
  <c r="I89" i="1" s="1"/>
  <c r="AB89" i="1" s="1"/>
  <c r="AN88" i="1"/>
  <c r="AM88" i="1"/>
  <c r="AK88" i="1"/>
  <c r="AJ88" i="1"/>
  <c r="AI88" i="1"/>
  <c r="AH88" i="1"/>
  <c r="Z88" i="1"/>
  <c r="Y88" i="1"/>
  <c r="X88" i="1" s="1"/>
  <c r="Q88" i="1"/>
  <c r="K88" i="1"/>
  <c r="J88" i="1"/>
  <c r="I88" i="1"/>
  <c r="AB88" i="1" s="1"/>
  <c r="AN87" i="1"/>
  <c r="T87" i="1" s="1"/>
  <c r="AM87" i="1"/>
  <c r="AK87" i="1"/>
  <c r="AL87" i="1" s="1"/>
  <c r="AJ87" i="1"/>
  <c r="AI87" i="1"/>
  <c r="AH87" i="1"/>
  <c r="Z87" i="1"/>
  <c r="Y87" i="1"/>
  <c r="X87" i="1"/>
  <c r="Q87" i="1"/>
  <c r="O87" i="1"/>
  <c r="L87" i="1"/>
  <c r="K87" i="1"/>
  <c r="J87" i="1"/>
  <c r="I87" i="1" s="1"/>
  <c r="AN86" i="1"/>
  <c r="T86" i="1" s="1"/>
  <c r="AM86" i="1"/>
  <c r="AL86" i="1"/>
  <c r="AK86" i="1"/>
  <c r="AJ86" i="1"/>
  <c r="AI86" i="1"/>
  <c r="AH86" i="1"/>
  <c r="K86" i="1" s="1"/>
  <c r="Z86" i="1"/>
  <c r="Y86" i="1"/>
  <c r="X86" i="1"/>
  <c r="Q86" i="1"/>
  <c r="O86" i="1"/>
  <c r="AN85" i="1"/>
  <c r="AM85" i="1"/>
  <c r="AL85" i="1"/>
  <c r="AK85" i="1"/>
  <c r="T85" i="1" s="1"/>
  <c r="AJ85" i="1"/>
  <c r="AH85" i="1"/>
  <c r="AI85" i="1" s="1"/>
  <c r="Z85" i="1"/>
  <c r="X85" i="1" s="1"/>
  <c r="Y85" i="1"/>
  <c r="Q85" i="1"/>
  <c r="L85" i="1"/>
  <c r="K85" i="1"/>
  <c r="J85" i="1"/>
  <c r="I85" i="1" s="1"/>
  <c r="AB85" i="1" s="1"/>
  <c r="AN84" i="1"/>
  <c r="AM84" i="1"/>
  <c r="AK84" i="1"/>
  <c r="T84" i="1" s="1"/>
  <c r="AJ84" i="1"/>
  <c r="AH84" i="1"/>
  <c r="Z84" i="1"/>
  <c r="X84" i="1" s="1"/>
  <c r="Y84" i="1"/>
  <c r="Q84" i="1"/>
  <c r="AN83" i="1"/>
  <c r="AM83" i="1"/>
  <c r="AK83" i="1"/>
  <c r="AJ83" i="1"/>
  <c r="AH83" i="1" s="1"/>
  <c r="Z83" i="1"/>
  <c r="Y83" i="1"/>
  <c r="X83" i="1" s="1"/>
  <c r="Q83" i="1"/>
  <c r="AN82" i="1"/>
  <c r="AM82" i="1"/>
  <c r="AL82" i="1" s="1"/>
  <c r="AK82" i="1"/>
  <c r="AJ82" i="1"/>
  <c r="AI82" i="1"/>
  <c r="AH82" i="1"/>
  <c r="K82" i="1" s="1"/>
  <c r="Z82" i="1"/>
  <c r="Y82" i="1"/>
  <c r="X82" i="1"/>
  <c r="U82" i="1"/>
  <c r="V82" i="1" s="1"/>
  <c r="W82" i="1" s="1"/>
  <c r="AA82" i="1" s="1"/>
  <c r="T82" i="1"/>
  <c r="Q82" i="1"/>
  <c r="O82" i="1"/>
  <c r="L82" i="1"/>
  <c r="J82" i="1"/>
  <c r="I82" i="1" s="1"/>
  <c r="AN81" i="1"/>
  <c r="AM81" i="1"/>
  <c r="AL81" i="1"/>
  <c r="AK81" i="1"/>
  <c r="T81" i="1" s="1"/>
  <c r="AJ81" i="1"/>
  <c r="AH81" i="1"/>
  <c r="Z81" i="1"/>
  <c r="Y81" i="1"/>
  <c r="X81" i="1"/>
  <c r="Q81" i="1"/>
  <c r="O81" i="1"/>
  <c r="K81" i="1"/>
  <c r="AN80" i="1"/>
  <c r="AM80" i="1"/>
  <c r="AK80" i="1"/>
  <c r="AJ80" i="1"/>
  <c r="AI80" i="1"/>
  <c r="AH80" i="1"/>
  <c r="L80" i="1" s="1"/>
  <c r="Z80" i="1"/>
  <c r="Y80" i="1"/>
  <c r="X80" i="1" s="1"/>
  <c r="Q80" i="1"/>
  <c r="O80" i="1"/>
  <c r="AN79" i="1"/>
  <c r="AM79" i="1"/>
  <c r="AL79" i="1"/>
  <c r="AK79" i="1"/>
  <c r="AJ79" i="1"/>
  <c r="AI79" i="1"/>
  <c r="AH79" i="1"/>
  <c r="AB79" i="1"/>
  <c r="Z79" i="1"/>
  <c r="Y79" i="1"/>
  <c r="X79" i="1" s="1"/>
  <c r="W79" i="1"/>
  <c r="AA79" i="1" s="1"/>
  <c r="T79" i="1"/>
  <c r="U79" i="1" s="1"/>
  <c r="V79" i="1" s="1"/>
  <c r="Q79" i="1"/>
  <c r="O79" i="1"/>
  <c r="L79" i="1"/>
  <c r="K79" i="1"/>
  <c r="J79" i="1"/>
  <c r="I79" i="1"/>
  <c r="R79" i="1" s="1"/>
  <c r="P79" i="1" s="1"/>
  <c r="S79" i="1" s="1"/>
  <c r="M79" i="1" s="1"/>
  <c r="N79" i="1" s="1"/>
  <c r="AN78" i="1"/>
  <c r="AM78" i="1"/>
  <c r="AK78" i="1"/>
  <c r="AL78" i="1" s="1"/>
  <c r="AJ78" i="1"/>
  <c r="AH78" i="1" s="1"/>
  <c r="Z78" i="1"/>
  <c r="Y78" i="1"/>
  <c r="X78" i="1" s="1"/>
  <c r="Q78" i="1"/>
  <c r="AN77" i="1"/>
  <c r="AM77" i="1"/>
  <c r="AK77" i="1"/>
  <c r="AJ77" i="1"/>
  <c r="AH77" i="1"/>
  <c r="Z77" i="1"/>
  <c r="Y77" i="1"/>
  <c r="X77" i="1"/>
  <c r="Q77" i="1"/>
  <c r="AN76" i="1"/>
  <c r="AM76" i="1"/>
  <c r="AK76" i="1"/>
  <c r="AJ76" i="1"/>
  <c r="AI76" i="1"/>
  <c r="AH76" i="1"/>
  <c r="L76" i="1" s="1"/>
  <c r="Z76" i="1"/>
  <c r="Y76" i="1"/>
  <c r="X76" i="1" s="1"/>
  <c r="Q76" i="1"/>
  <c r="O76" i="1"/>
  <c r="K76" i="1"/>
  <c r="AN75" i="1"/>
  <c r="AM75" i="1"/>
  <c r="AL75" i="1"/>
  <c r="AK75" i="1"/>
  <c r="AJ75" i="1"/>
  <c r="AH75" i="1" s="1"/>
  <c r="Z75" i="1"/>
  <c r="Y75" i="1"/>
  <c r="X75" i="1" s="1"/>
  <c r="T75" i="1"/>
  <c r="Q75" i="1"/>
  <c r="O75" i="1"/>
  <c r="L75" i="1"/>
  <c r="K75" i="1"/>
  <c r="AN74" i="1"/>
  <c r="AM74" i="1"/>
  <c r="AK74" i="1"/>
  <c r="AJ74" i="1"/>
  <c r="AH74" i="1" s="1"/>
  <c r="AI74" i="1" s="1"/>
  <c r="Z74" i="1"/>
  <c r="Y74" i="1"/>
  <c r="Q74" i="1"/>
  <c r="AN73" i="1"/>
  <c r="AM73" i="1"/>
  <c r="AK73" i="1"/>
  <c r="AJ73" i="1"/>
  <c r="AH73" i="1"/>
  <c r="Z73" i="1"/>
  <c r="Y73" i="1"/>
  <c r="X73" i="1"/>
  <c r="Q73" i="1"/>
  <c r="AN72" i="1"/>
  <c r="AM72" i="1"/>
  <c r="AK72" i="1"/>
  <c r="AJ72" i="1"/>
  <c r="AI72" i="1"/>
  <c r="AH72" i="1"/>
  <c r="L72" i="1" s="1"/>
  <c r="Z72" i="1"/>
  <c r="Y72" i="1"/>
  <c r="X72" i="1" s="1"/>
  <c r="Q72" i="1"/>
  <c r="O72" i="1"/>
  <c r="K72" i="1"/>
  <c r="AN71" i="1"/>
  <c r="AM71" i="1"/>
  <c r="AL71" i="1" s="1"/>
  <c r="AK71" i="1"/>
  <c r="AJ71" i="1"/>
  <c r="AH71" i="1" s="1"/>
  <c r="Z71" i="1"/>
  <c r="Y71" i="1"/>
  <c r="X71" i="1" s="1"/>
  <c r="T71" i="1"/>
  <c r="Q71" i="1"/>
  <c r="O71" i="1"/>
  <c r="L71" i="1"/>
  <c r="K71" i="1"/>
  <c r="AN70" i="1"/>
  <c r="AM70" i="1"/>
  <c r="AK70" i="1"/>
  <c r="AJ70" i="1"/>
  <c r="AH70" i="1" s="1"/>
  <c r="AI70" i="1"/>
  <c r="Z70" i="1"/>
  <c r="Y70" i="1"/>
  <c r="Q70" i="1"/>
  <c r="AN69" i="1"/>
  <c r="AM69" i="1"/>
  <c r="AK69" i="1"/>
  <c r="AJ69" i="1"/>
  <c r="AI69" i="1"/>
  <c r="AH69" i="1"/>
  <c r="Z69" i="1"/>
  <c r="Y69" i="1"/>
  <c r="X69" i="1"/>
  <c r="Q69" i="1"/>
  <c r="O69" i="1"/>
  <c r="K69" i="1"/>
  <c r="AN68" i="1"/>
  <c r="AM68" i="1"/>
  <c r="AK68" i="1"/>
  <c r="AJ68" i="1"/>
  <c r="AI68" i="1"/>
  <c r="AH68" i="1"/>
  <c r="L68" i="1" s="1"/>
  <c r="Z68" i="1"/>
  <c r="Y68" i="1"/>
  <c r="X68" i="1" s="1"/>
  <c r="Q68" i="1"/>
  <c r="O68" i="1"/>
  <c r="K68" i="1"/>
  <c r="AN67" i="1"/>
  <c r="AM67" i="1"/>
  <c r="AL67" i="1" s="1"/>
  <c r="AK67" i="1"/>
  <c r="AJ67" i="1"/>
  <c r="AH67" i="1" s="1"/>
  <c r="J67" i="1" s="1"/>
  <c r="AI67" i="1"/>
  <c r="Z67" i="1"/>
  <c r="Y67" i="1"/>
  <c r="X67" i="1" s="1"/>
  <c r="T67" i="1"/>
  <c r="Q67" i="1"/>
  <c r="O67" i="1"/>
  <c r="L67" i="1"/>
  <c r="K67" i="1"/>
  <c r="I67" i="1"/>
  <c r="AN66" i="1"/>
  <c r="AM66" i="1"/>
  <c r="AL66" i="1" s="1"/>
  <c r="AK66" i="1"/>
  <c r="AJ66" i="1"/>
  <c r="AH66" i="1" s="1"/>
  <c r="O66" i="1" s="1"/>
  <c r="Z66" i="1"/>
  <c r="Y66" i="1"/>
  <c r="T66" i="1"/>
  <c r="Q66" i="1"/>
  <c r="L66" i="1"/>
  <c r="AN65" i="1"/>
  <c r="AM65" i="1"/>
  <c r="AK65" i="1"/>
  <c r="AJ65" i="1"/>
  <c r="AI65" i="1"/>
  <c r="AH65" i="1"/>
  <c r="L65" i="1" s="1"/>
  <c r="Z65" i="1"/>
  <c r="Y65" i="1"/>
  <c r="X65" i="1" s="1"/>
  <c r="Q65" i="1"/>
  <c r="K65" i="1"/>
  <c r="J65" i="1"/>
  <c r="I65" i="1" s="1"/>
  <c r="AB65" i="1" s="1"/>
  <c r="AN64" i="1"/>
  <c r="AM64" i="1"/>
  <c r="AK64" i="1"/>
  <c r="AJ64" i="1"/>
  <c r="AH64" i="1"/>
  <c r="K64" i="1" s="1"/>
  <c r="Z64" i="1"/>
  <c r="Y64" i="1"/>
  <c r="X64" i="1" s="1"/>
  <c r="Q64" i="1"/>
  <c r="AN63" i="1"/>
  <c r="AM63" i="1"/>
  <c r="AL63" i="1" s="1"/>
  <c r="AK63" i="1"/>
  <c r="AJ63" i="1"/>
  <c r="AH63" i="1" s="1"/>
  <c r="J63" i="1" s="1"/>
  <c r="AI63" i="1"/>
  <c r="Z63" i="1"/>
  <c r="Y63" i="1"/>
  <c r="X63" i="1" s="1"/>
  <c r="T63" i="1"/>
  <c r="Q63" i="1"/>
  <c r="O63" i="1"/>
  <c r="L63" i="1"/>
  <c r="K63" i="1"/>
  <c r="I63" i="1"/>
  <c r="AN62" i="1"/>
  <c r="AM62" i="1"/>
  <c r="AK62" i="1"/>
  <c r="AL62" i="1" s="1"/>
  <c r="AJ62" i="1"/>
  <c r="AH62" i="1" s="1"/>
  <c r="O62" i="1" s="1"/>
  <c r="Z62" i="1"/>
  <c r="Y62" i="1"/>
  <c r="X62" i="1" s="1"/>
  <c r="T62" i="1"/>
  <c r="Q62" i="1"/>
  <c r="L62" i="1"/>
  <c r="AN61" i="1"/>
  <c r="AM61" i="1"/>
  <c r="AK61" i="1"/>
  <c r="AJ61" i="1"/>
  <c r="AI61" i="1"/>
  <c r="AH61" i="1"/>
  <c r="L61" i="1" s="1"/>
  <c r="Z61" i="1"/>
  <c r="X61" i="1" s="1"/>
  <c r="Y61" i="1"/>
  <c r="Q61" i="1"/>
  <c r="K61" i="1"/>
  <c r="J61" i="1"/>
  <c r="I61" i="1" s="1"/>
  <c r="AB61" i="1" s="1"/>
  <c r="AN60" i="1"/>
  <c r="AM60" i="1"/>
  <c r="AK60" i="1"/>
  <c r="AJ60" i="1"/>
  <c r="AH60" i="1"/>
  <c r="K60" i="1" s="1"/>
  <c r="Z60" i="1"/>
  <c r="Y60" i="1"/>
  <c r="X60" i="1"/>
  <c r="Q60" i="1"/>
  <c r="AN59" i="1"/>
  <c r="T59" i="1" s="1"/>
  <c r="AM59" i="1"/>
  <c r="AL59" i="1" s="1"/>
  <c r="AK59" i="1"/>
  <c r="AJ59" i="1"/>
  <c r="AI59" i="1"/>
  <c r="AH59" i="1"/>
  <c r="Z59" i="1"/>
  <c r="Y59" i="1"/>
  <c r="X59" i="1" s="1"/>
  <c r="U59" i="1"/>
  <c r="V59" i="1" s="1"/>
  <c r="Q59" i="1"/>
  <c r="O59" i="1"/>
  <c r="L59" i="1"/>
  <c r="K59" i="1"/>
  <c r="J59" i="1"/>
  <c r="I59" i="1"/>
  <c r="AN58" i="1"/>
  <c r="AM58" i="1"/>
  <c r="AL58" i="1"/>
  <c r="AK58" i="1"/>
  <c r="AJ58" i="1"/>
  <c r="AH58" i="1" s="1"/>
  <c r="AI58" i="1"/>
  <c r="Z58" i="1"/>
  <c r="Y58" i="1"/>
  <c r="U58" i="1"/>
  <c r="V58" i="1" s="1"/>
  <c r="T58" i="1"/>
  <c r="Q58" i="1"/>
  <c r="O58" i="1"/>
  <c r="L58" i="1"/>
  <c r="K58" i="1"/>
  <c r="J58" i="1"/>
  <c r="I58" i="1" s="1"/>
  <c r="AN57" i="1"/>
  <c r="AM57" i="1"/>
  <c r="AK57" i="1"/>
  <c r="AJ57" i="1"/>
  <c r="AH57" i="1"/>
  <c r="Z57" i="1"/>
  <c r="Y57" i="1"/>
  <c r="X57" i="1" s="1"/>
  <c r="Q57" i="1"/>
  <c r="J57" i="1"/>
  <c r="I57" i="1" s="1"/>
  <c r="AN56" i="1"/>
  <c r="AM56" i="1"/>
  <c r="AK56" i="1"/>
  <c r="AJ56" i="1"/>
  <c r="AI56" i="1"/>
  <c r="AH56" i="1"/>
  <c r="Z56" i="1"/>
  <c r="Y56" i="1"/>
  <c r="X56" i="1" s="1"/>
  <c r="Q56" i="1"/>
  <c r="O56" i="1"/>
  <c r="K56" i="1"/>
  <c r="AN55" i="1"/>
  <c r="AM55" i="1"/>
  <c r="AK55" i="1"/>
  <c r="T55" i="1" s="1"/>
  <c r="U55" i="1" s="1"/>
  <c r="V55" i="1" s="1"/>
  <c r="AJ55" i="1"/>
  <c r="AH55" i="1" s="1"/>
  <c r="J55" i="1" s="1"/>
  <c r="Z55" i="1"/>
  <c r="Y55" i="1"/>
  <c r="X55" i="1" s="1"/>
  <c r="Q55" i="1"/>
  <c r="O55" i="1"/>
  <c r="L55" i="1"/>
  <c r="K55" i="1"/>
  <c r="I55" i="1"/>
  <c r="AB55" i="1" s="1"/>
  <c r="AN54" i="1"/>
  <c r="AM54" i="1"/>
  <c r="AL54" i="1"/>
  <c r="AK54" i="1"/>
  <c r="AJ54" i="1"/>
  <c r="AH54" i="1" s="1"/>
  <c r="AI54" i="1"/>
  <c r="Z54" i="1"/>
  <c r="Y54" i="1"/>
  <c r="T54" i="1"/>
  <c r="Q54" i="1"/>
  <c r="O54" i="1"/>
  <c r="L54" i="1"/>
  <c r="K54" i="1"/>
  <c r="J54" i="1"/>
  <c r="I54" i="1" s="1"/>
  <c r="AN53" i="1"/>
  <c r="AM53" i="1"/>
  <c r="AK53" i="1"/>
  <c r="AJ53" i="1"/>
  <c r="AH53" i="1"/>
  <c r="Z53" i="1"/>
  <c r="Y53" i="1"/>
  <c r="X53" i="1" s="1"/>
  <c r="Q53" i="1"/>
  <c r="J53" i="1"/>
  <c r="I53" i="1" s="1"/>
  <c r="AN52" i="1"/>
  <c r="AM52" i="1"/>
  <c r="AK52" i="1"/>
  <c r="AJ52" i="1"/>
  <c r="AI52" i="1"/>
  <c r="AH52" i="1"/>
  <c r="Z52" i="1"/>
  <c r="Y52" i="1"/>
  <c r="X52" i="1" s="1"/>
  <c r="Q52" i="1"/>
  <c r="O52" i="1"/>
  <c r="K52" i="1"/>
  <c r="AN51" i="1"/>
  <c r="AM51" i="1"/>
  <c r="AK51" i="1"/>
  <c r="T51" i="1" s="1"/>
  <c r="AJ51" i="1"/>
  <c r="AI51" i="1"/>
  <c r="AH51" i="1"/>
  <c r="Z51" i="1"/>
  <c r="Y51" i="1"/>
  <c r="X51" i="1" s="1"/>
  <c r="Q51" i="1"/>
  <c r="O51" i="1"/>
  <c r="L51" i="1"/>
  <c r="K51" i="1"/>
  <c r="J51" i="1"/>
  <c r="I51" i="1"/>
  <c r="AN50" i="1"/>
  <c r="AM50" i="1"/>
  <c r="AK50" i="1"/>
  <c r="AJ50" i="1"/>
  <c r="AH50" i="1" s="1"/>
  <c r="AI50" i="1" s="1"/>
  <c r="Z50" i="1"/>
  <c r="Y50" i="1"/>
  <c r="X50" i="1" s="1"/>
  <c r="Q50" i="1"/>
  <c r="L50" i="1"/>
  <c r="AN49" i="1"/>
  <c r="AM49" i="1"/>
  <c r="AK49" i="1"/>
  <c r="AJ49" i="1"/>
  <c r="AH49" i="1" s="1"/>
  <c r="Z49" i="1"/>
  <c r="Y49" i="1"/>
  <c r="T49" i="1"/>
  <c r="Q49" i="1"/>
  <c r="AN48" i="1"/>
  <c r="AM48" i="1"/>
  <c r="AK48" i="1"/>
  <c r="AL48" i="1" s="1"/>
  <c r="AJ48" i="1"/>
  <c r="AH48" i="1"/>
  <c r="Z48" i="1"/>
  <c r="Y48" i="1"/>
  <c r="X48" i="1"/>
  <c r="Q48" i="1"/>
  <c r="AN47" i="1"/>
  <c r="T47" i="1" s="1"/>
  <c r="AM47" i="1"/>
  <c r="AL47" i="1" s="1"/>
  <c r="AK47" i="1"/>
  <c r="AJ47" i="1"/>
  <c r="AI47" i="1"/>
  <c r="AH47" i="1"/>
  <c r="K47" i="1" s="1"/>
  <c r="Z47" i="1"/>
  <c r="Y47" i="1"/>
  <c r="X47" i="1" s="1"/>
  <c r="Q47" i="1"/>
  <c r="L47" i="1"/>
  <c r="AN46" i="1"/>
  <c r="AM46" i="1"/>
  <c r="AL46" i="1"/>
  <c r="AK46" i="1"/>
  <c r="AJ46" i="1"/>
  <c r="AH46" i="1" s="1"/>
  <c r="Z46" i="1"/>
  <c r="X46" i="1" s="1"/>
  <c r="Y46" i="1"/>
  <c r="T46" i="1"/>
  <c r="Q46" i="1"/>
  <c r="L46" i="1"/>
  <c r="AN45" i="1"/>
  <c r="AM45" i="1"/>
  <c r="AL45" i="1" s="1"/>
  <c r="AK45" i="1"/>
  <c r="AJ45" i="1"/>
  <c r="AH45" i="1" s="1"/>
  <c r="J45" i="1" s="1"/>
  <c r="I45" i="1" s="1"/>
  <c r="Z45" i="1"/>
  <c r="Y45" i="1"/>
  <c r="X45" i="1" s="1"/>
  <c r="T45" i="1"/>
  <c r="Q45" i="1"/>
  <c r="AN44" i="1"/>
  <c r="AM44" i="1"/>
  <c r="AK44" i="1"/>
  <c r="AL44" i="1" s="1"/>
  <c r="AJ44" i="1"/>
  <c r="AH44" i="1"/>
  <c r="Z44" i="1"/>
  <c r="Y44" i="1"/>
  <c r="X44" i="1"/>
  <c r="Q44" i="1"/>
  <c r="AN43" i="1"/>
  <c r="T43" i="1" s="1"/>
  <c r="AM43" i="1"/>
  <c r="AL43" i="1" s="1"/>
  <c r="AK43" i="1"/>
  <c r="AJ43" i="1"/>
  <c r="AI43" i="1"/>
  <c r="AH43" i="1"/>
  <c r="K43" i="1" s="1"/>
  <c r="Z43" i="1"/>
  <c r="Y43" i="1"/>
  <c r="X43" i="1" s="1"/>
  <c r="Q43" i="1"/>
  <c r="L43" i="1"/>
  <c r="AN42" i="1"/>
  <c r="AM42" i="1"/>
  <c r="AL42" i="1"/>
  <c r="AK42" i="1"/>
  <c r="AJ42" i="1"/>
  <c r="AH42" i="1" s="1"/>
  <c r="Z42" i="1"/>
  <c r="X42" i="1" s="1"/>
  <c r="Y42" i="1"/>
  <c r="T42" i="1"/>
  <c r="Q42" i="1"/>
  <c r="L42" i="1"/>
  <c r="AN41" i="1"/>
  <c r="AM41" i="1"/>
  <c r="AL41" i="1" s="1"/>
  <c r="AK41" i="1"/>
  <c r="AJ41" i="1"/>
  <c r="AH41" i="1" s="1"/>
  <c r="Z41" i="1"/>
  <c r="Y41" i="1"/>
  <c r="T41" i="1"/>
  <c r="Q41" i="1"/>
  <c r="AN40" i="1"/>
  <c r="AM40" i="1"/>
  <c r="AK40" i="1"/>
  <c r="AL40" i="1" s="1"/>
  <c r="AJ40" i="1"/>
  <c r="AH40" i="1"/>
  <c r="Z40" i="1"/>
  <c r="Y40" i="1"/>
  <c r="X40" i="1"/>
  <c r="Q40" i="1"/>
  <c r="AN39" i="1"/>
  <c r="T39" i="1" s="1"/>
  <c r="AM39" i="1"/>
  <c r="AL39" i="1" s="1"/>
  <c r="AK39" i="1"/>
  <c r="AJ39" i="1"/>
  <c r="AI39" i="1"/>
  <c r="AH39" i="1"/>
  <c r="K39" i="1" s="1"/>
  <c r="Z39" i="1"/>
  <c r="Y39" i="1"/>
  <c r="X39" i="1" s="1"/>
  <c r="Q39" i="1"/>
  <c r="L39" i="1"/>
  <c r="AN38" i="1"/>
  <c r="AM38" i="1"/>
  <c r="AL38" i="1"/>
  <c r="AK38" i="1"/>
  <c r="T38" i="1" s="1"/>
  <c r="AJ38" i="1"/>
  <c r="AH38" i="1" s="1"/>
  <c r="Z38" i="1"/>
  <c r="X38" i="1" s="1"/>
  <c r="Y38" i="1"/>
  <c r="Q38" i="1"/>
  <c r="L38" i="1"/>
  <c r="K38" i="1"/>
  <c r="AN37" i="1"/>
  <c r="AM37" i="1"/>
  <c r="AL37" i="1" s="1"/>
  <c r="AK37" i="1"/>
  <c r="AJ37" i="1"/>
  <c r="AH37" i="1" s="1"/>
  <c r="AI37" i="1"/>
  <c r="Z37" i="1"/>
  <c r="Y37" i="1"/>
  <c r="T37" i="1"/>
  <c r="Q37" i="1"/>
  <c r="J37" i="1"/>
  <c r="I37" i="1" s="1"/>
  <c r="AN36" i="1"/>
  <c r="AM36" i="1"/>
  <c r="AK36" i="1"/>
  <c r="AL36" i="1" s="1"/>
  <c r="AJ36" i="1"/>
  <c r="AH36" i="1"/>
  <c r="Z36" i="1"/>
  <c r="Y36" i="1"/>
  <c r="X36" i="1"/>
  <c r="Q36" i="1"/>
  <c r="AN35" i="1"/>
  <c r="T35" i="1" s="1"/>
  <c r="AM35" i="1"/>
  <c r="AL35" i="1" s="1"/>
  <c r="AK35" i="1"/>
  <c r="AJ35" i="1"/>
  <c r="AI35" i="1"/>
  <c r="AH35" i="1"/>
  <c r="K35" i="1" s="1"/>
  <c r="Z35" i="1"/>
  <c r="Y35" i="1"/>
  <c r="X35" i="1" s="1"/>
  <c r="Q35" i="1"/>
  <c r="L35" i="1"/>
  <c r="AN34" i="1"/>
  <c r="AM34" i="1"/>
  <c r="AK34" i="1"/>
  <c r="AL34" i="1" s="1"/>
  <c r="AJ34" i="1"/>
  <c r="AH34" i="1" s="1"/>
  <c r="Z34" i="1"/>
  <c r="X34" i="1" s="1"/>
  <c r="Y34" i="1"/>
  <c r="T34" i="1"/>
  <c r="Q34" i="1"/>
  <c r="L34" i="1"/>
  <c r="K34" i="1"/>
  <c r="AN33" i="1"/>
  <c r="AM33" i="1"/>
  <c r="AL33" i="1" s="1"/>
  <c r="AK33" i="1"/>
  <c r="AJ33" i="1"/>
  <c r="AH33" i="1" s="1"/>
  <c r="AI33" i="1" s="1"/>
  <c r="Z33" i="1"/>
  <c r="Y33" i="1"/>
  <c r="T33" i="1"/>
  <c r="Q33" i="1"/>
  <c r="AN32" i="1"/>
  <c r="AM32" i="1"/>
  <c r="AK32" i="1"/>
  <c r="AL32" i="1" s="1"/>
  <c r="AJ32" i="1"/>
  <c r="AH32" i="1"/>
  <c r="Z32" i="1"/>
  <c r="Y32" i="1"/>
  <c r="X32" i="1"/>
  <c r="Q32" i="1"/>
  <c r="O32" i="1"/>
  <c r="AN31" i="1"/>
  <c r="T31" i="1" s="1"/>
  <c r="AM31" i="1"/>
  <c r="AL31" i="1" s="1"/>
  <c r="AK31" i="1"/>
  <c r="AJ31" i="1"/>
  <c r="AI31" i="1"/>
  <c r="AH31" i="1"/>
  <c r="K31" i="1" s="1"/>
  <c r="Z31" i="1"/>
  <c r="Y31" i="1"/>
  <c r="X31" i="1" s="1"/>
  <c r="Q31" i="1"/>
  <c r="L31" i="1"/>
  <c r="AN30" i="1"/>
  <c r="AM30" i="1"/>
  <c r="AL30" i="1"/>
  <c r="AK30" i="1"/>
  <c r="AJ30" i="1"/>
  <c r="AH30" i="1" s="1"/>
  <c r="Z30" i="1"/>
  <c r="X30" i="1" s="1"/>
  <c r="Y30" i="1"/>
  <c r="T30" i="1"/>
  <c r="Q30" i="1"/>
  <c r="L30" i="1"/>
  <c r="K30" i="1"/>
  <c r="AN29" i="1"/>
  <c r="AM29" i="1"/>
  <c r="AL29" i="1" s="1"/>
  <c r="AK29" i="1"/>
  <c r="AJ29" i="1"/>
  <c r="AH29" i="1" s="1"/>
  <c r="Z29" i="1"/>
  <c r="Y29" i="1"/>
  <c r="X29" i="1" s="1"/>
  <c r="T29" i="1"/>
  <c r="Q29" i="1"/>
  <c r="J29" i="1"/>
  <c r="I29" i="1" s="1"/>
  <c r="AN28" i="1"/>
  <c r="AM28" i="1"/>
  <c r="AK28" i="1"/>
  <c r="AL28" i="1" s="1"/>
  <c r="AJ28" i="1"/>
  <c r="AH28" i="1"/>
  <c r="Z28" i="1"/>
  <c r="Y28" i="1"/>
  <c r="X28" i="1"/>
  <c r="Q28" i="1"/>
  <c r="O28" i="1"/>
  <c r="AN27" i="1"/>
  <c r="T27" i="1" s="1"/>
  <c r="AM27" i="1"/>
  <c r="AL27" i="1" s="1"/>
  <c r="AK27" i="1"/>
  <c r="AJ27" i="1"/>
  <c r="AI27" i="1"/>
  <c r="AH27" i="1"/>
  <c r="K27" i="1" s="1"/>
  <c r="Z27" i="1"/>
  <c r="Y27" i="1"/>
  <c r="X27" i="1" s="1"/>
  <c r="Q27" i="1"/>
  <c r="L27" i="1"/>
  <c r="AN26" i="1"/>
  <c r="AM26" i="1"/>
  <c r="AL26" i="1"/>
  <c r="AK26" i="1"/>
  <c r="AJ26" i="1"/>
  <c r="AH26" i="1" s="1"/>
  <c r="Z26" i="1"/>
  <c r="X26" i="1" s="1"/>
  <c r="Y26" i="1"/>
  <c r="T26" i="1"/>
  <c r="Q26" i="1"/>
  <c r="L26" i="1"/>
  <c r="K26" i="1"/>
  <c r="AN25" i="1"/>
  <c r="AM25" i="1"/>
  <c r="AL25" i="1" s="1"/>
  <c r="AK25" i="1"/>
  <c r="AJ25" i="1"/>
  <c r="AH25" i="1" s="1"/>
  <c r="J25" i="1" s="1"/>
  <c r="I25" i="1" s="1"/>
  <c r="Z25" i="1"/>
  <c r="Y25" i="1"/>
  <c r="T25" i="1"/>
  <c r="Q25" i="1"/>
  <c r="AN24" i="1"/>
  <c r="AM24" i="1"/>
  <c r="AK24" i="1"/>
  <c r="AL24" i="1" s="1"/>
  <c r="AJ24" i="1"/>
  <c r="AH24" i="1"/>
  <c r="Z24" i="1"/>
  <c r="Y24" i="1"/>
  <c r="X24" i="1"/>
  <c r="Q24" i="1"/>
  <c r="O24" i="1"/>
  <c r="AN23" i="1"/>
  <c r="T23" i="1" s="1"/>
  <c r="AM23" i="1"/>
  <c r="AL23" i="1" s="1"/>
  <c r="AK23" i="1"/>
  <c r="AJ23" i="1"/>
  <c r="AI23" i="1"/>
  <c r="AH23" i="1"/>
  <c r="K23" i="1" s="1"/>
  <c r="Z23" i="1"/>
  <c r="Y23" i="1"/>
  <c r="X23" i="1" s="1"/>
  <c r="Q23" i="1"/>
  <c r="L23" i="1"/>
  <c r="AN22" i="1"/>
  <c r="AM22" i="1"/>
  <c r="AL22" i="1"/>
  <c r="AK22" i="1"/>
  <c r="AJ22" i="1"/>
  <c r="AH22" i="1" s="1"/>
  <c r="K22" i="1" s="1"/>
  <c r="Z22" i="1"/>
  <c r="Y22" i="1"/>
  <c r="X22" i="1" s="1"/>
  <c r="T22" i="1"/>
  <c r="Q22" i="1"/>
  <c r="L22" i="1"/>
  <c r="AN21" i="1"/>
  <c r="AM21" i="1"/>
  <c r="AL21" i="1" s="1"/>
  <c r="AK21" i="1"/>
  <c r="AJ21" i="1"/>
  <c r="AH21" i="1" s="1"/>
  <c r="AI21" i="1"/>
  <c r="Z21" i="1"/>
  <c r="Y21" i="1"/>
  <c r="X21" i="1" s="1"/>
  <c r="T21" i="1"/>
  <c r="Q21" i="1"/>
  <c r="AN20" i="1"/>
  <c r="AM20" i="1"/>
  <c r="AK20" i="1"/>
  <c r="AL20" i="1" s="1"/>
  <c r="AJ20" i="1"/>
  <c r="AH20" i="1"/>
  <c r="Z20" i="1"/>
  <c r="Y20" i="1"/>
  <c r="X20" i="1"/>
  <c r="Q20" i="1"/>
  <c r="O20" i="1"/>
  <c r="AN19" i="1"/>
  <c r="T19" i="1" s="1"/>
  <c r="AM19" i="1"/>
  <c r="AL19" i="1" s="1"/>
  <c r="AK19" i="1"/>
  <c r="AJ19" i="1"/>
  <c r="AI19" i="1"/>
  <c r="AH19" i="1"/>
  <c r="K19" i="1" s="1"/>
  <c r="Z19" i="1"/>
  <c r="Y19" i="1"/>
  <c r="X19" i="1" s="1"/>
  <c r="Q19" i="1"/>
  <c r="L19" i="1"/>
  <c r="AN18" i="1"/>
  <c r="AM18" i="1"/>
  <c r="AK18" i="1"/>
  <c r="T18" i="1" s="1"/>
  <c r="AJ18" i="1"/>
  <c r="AH18" i="1" s="1"/>
  <c r="Z18" i="1"/>
  <c r="Y18" i="1"/>
  <c r="X18" i="1" s="1"/>
  <c r="Q18" i="1"/>
  <c r="L18" i="1"/>
  <c r="K18" i="1"/>
  <c r="AN17" i="1"/>
  <c r="AM17" i="1"/>
  <c r="AL17" i="1" s="1"/>
  <c r="AK17" i="1"/>
  <c r="AJ17" i="1"/>
  <c r="AH17" i="1" s="1"/>
  <c r="AI17" i="1" s="1"/>
  <c r="Z17" i="1"/>
  <c r="Y17" i="1"/>
  <c r="T17" i="1"/>
  <c r="Q17" i="1"/>
  <c r="U25" i="1" l="1"/>
  <c r="V25" i="1" s="1"/>
  <c r="R25" i="1" s="1"/>
  <c r="P25" i="1" s="1"/>
  <c r="S25" i="1" s="1"/>
  <c r="M25" i="1" s="1"/>
  <c r="N25" i="1" s="1"/>
  <c r="AB25" i="1"/>
  <c r="U37" i="1"/>
  <c r="V37" i="1" s="1"/>
  <c r="AB37" i="1"/>
  <c r="R37" i="1"/>
  <c r="P37" i="1" s="1"/>
  <c r="S37" i="1" s="1"/>
  <c r="U45" i="1"/>
  <c r="V45" i="1" s="1"/>
  <c r="R45" i="1" s="1"/>
  <c r="P45" i="1" s="1"/>
  <c r="S45" i="1" s="1"/>
  <c r="M45" i="1" s="1"/>
  <c r="N45" i="1" s="1"/>
  <c r="AB45" i="1"/>
  <c r="AC55" i="1"/>
  <c r="W55" i="1"/>
  <c r="AA55" i="1" s="1"/>
  <c r="AD55" i="1"/>
  <c r="U29" i="1"/>
  <c r="V29" i="1" s="1"/>
  <c r="R29" i="1" s="1"/>
  <c r="P29" i="1" s="1"/>
  <c r="S29" i="1" s="1"/>
  <c r="M29" i="1" s="1"/>
  <c r="N29" i="1" s="1"/>
  <c r="AB29" i="1"/>
  <c r="X17" i="1"/>
  <c r="J18" i="1"/>
  <c r="I18" i="1" s="1"/>
  <c r="AI18" i="1"/>
  <c r="O18" i="1"/>
  <c r="AI25" i="1"/>
  <c r="O29" i="1"/>
  <c r="L29" i="1"/>
  <c r="K29" i="1"/>
  <c r="J33" i="1"/>
  <c r="I33" i="1" s="1"/>
  <c r="AE55" i="1"/>
  <c r="AB67" i="1"/>
  <c r="L36" i="1"/>
  <c r="K36" i="1"/>
  <c r="J36" i="1"/>
  <c r="I36" i="1" s="1"/>
  <c r="AI36" i="1"/>
  <c r="AB54" i="1"/>
  <c r="AL18" i="1"/>
  <c r="O21" i="1"/>
  <c r="L21" i="1"/>
  <c r="K21" i="1"/>
  <c r="AC29" i="1"/>
  <c r="L32" i="1"/>
  <c r="K32" i="1"/>
  <c r="J32" i="1"/>
  <c r="I32" i="1" s="1"/>
  <c r="AI32" i="1"/>
  <c r="L40" i="1"/>
  <c r="K40" i="1"/>
  <c r="J40" i="1"/>
  <c r="I40" i="1" s="1"/>
  <c r="AI40" i="1"/>
  <c r="O40" i="1"/>
  <c r="L48" i="1"/>
  <c r="K48" i="1"/>
  <c r="J48" i="1"/>
  <c r="I48" i="1" s="1"/>
  <c r="AI48" i="1"/>
  <c r="O48" i="1"/>
  <c r="AB57" i="1"/>
  <c r="AD58" i="1"/>
  <c r="AE58" i="1" s="1"/>
  <c r="AC58" i="1"/>
  <c r="W58" i="1"/>
  <c r="AA58" i="1" s="1"/>
  <c r="O36" i="1"/>
  <c r="W59" i="1"/>
  <c r="AA59" i="1" s="1"/>
  <c r="AC59" i="1"/>
  <c r="O17" i="1"/>
  <c r="L17" i="1"/>
  <c r="K17" i="1"/>
  <c r="J21" i="1"/>
  <c r="I21" i="1" s="1"/>
  <c r="AC25" i="1"/>
  <c r="L28" i="1"/>
  <c r="K28" i="1"/>
  <c r="J28" i="1"/>
  <c r="I28" i="1" s="1"/>
  <c r="AI28" i="1"/>
  <c r="X37" i="1"/>
  <c r="J38" i="1"/>
  <c r="I38" i="1" s="1"/>
  <c r="U38" i="1" s="1"/>
  <c r="V38" i="1" s="1"/>
  <c r="AI38" i="1"/>
  <c r="O38" i="1"/>
  <c r="X41" i="1"/>
  <c r="J46" i="1"/>
  <c r="I46" i="1" s="1"/>
  <c r="AI46" i="1"/>
  <c r="O46" i="1"/>
  <c r="K46" i="1"/>
  <c r="X49" i="1"/>
  <c r="O25" i="1"/>
  <c r="L25" i="1"/>
  <c r="K25" i="1"/>
  <c r="O45" i="1"/>
  <c r="L45" i="1"/>
  <c r="K45" i="1"/>
  <c r="AI45" i="1"/>
  <c r="J17" i="1"/>
  <c r="I17" i="1" s="1"/>
  <c r="L24" i="1"/>
  <c r="K24" i="1"/>
  <c r="J24" i="1"/>
  <c r="I24" i="1" s="1"/>
  <c r="AI24" i="1"/>
  <c r="X33" i="1"/>
  <c r="J34" i="1"/>
  <c r="I34" i="1" s="1"/>
  <c r="AI34" i="1"/>
  <c r="O34" i="1"/>
  <c r="AC45" i="1"/>
  <c r="U47" i="1"/>
  <c r="V47" i="1" s="1"/>
  <c r="L53" i="1"/>
  <c r="O53" i="1"/>
  <c r="AI53" i="1"/>
  <c r="K53" i="1"/>
  <c r="AB58" i="1"/>
  <c r="R58" i="1"/>
  <c r="P58" i="1" s="1"/>
  <c r="S58" i="1" s="1"/>
  <c r="M58" i="1" s="1"/>
  <c r="N58" i="1" s="1"/>
  <c r="AD59" i="1"/>
  <c r="AE59" i="1" s="1"/>
  <c r="U63" i="1"/>
  <c r="V63" i="1" s="1"/>
  <c r="O84" i="1"/>
  <c r="K84" i="1"/>
  <c r="J84" i="1"/>
  <c r="I84" i="1" s="1"/>
  <c r="AI84" i="1"/>
  <c r="L84" i="1"/>
  <c r="L20" i="1"/>
  <c r="K20" i="1"/>
  <c r="J20" i="1"/>
  <c r="I20" i="1" s="1"/>
  <c r="AI20" i="1"/>
  <c r="J30" i="1"/>
  <c r="I30" i="1" s="1"/>
  <c r="AI30" i="1"/>
  <c r="O30" i="1"/>
  <c r="O41" i="1"/>
  <c r="L41" i="1"/>
  <c r="K41" i="1"/>
  <c r="AI41" i="1"/>
  <c r="O49" i="1"/>
  <c r="L49" i="1"/>
  <c r="K49" i="1"/>
  <c r="AI49" i="1"/>
  <c r="U67" i="1"/>
  <c r="V67" i="1" s="1"/>
  <c r="L77" i="1"/>
  <c r="J77" i="1"/>
  <c r="I77" i="1" s="1"/>
  <c r="AI77" i="1"/>
  <c r="O77" i="1"/>
  <c r="K77" i="1"/>
  <c r="X25" i="1"/>
  <c r="J26" i="1"/>
  <c r="I26" i="1" s="1"/>
  <c r="U26" i="1" s="1"/>
  <c r="V26" i="1" s="1"/>
  <c r="AI26" i="1"/>
  <c r="O26" i="1"/>
  <c r="O37" i="1"/>
  <c r="L37" i="1"/>
  <c r="K37" i="1"/>
  <c r="L44" i="1"/>
  <c r="K44" i="1"/>
  <c r="J44" i="1"/>
  <c r="I44" i="1" s="1"/>
  <c r="AI44" i="1"/>
  <c r="O44" i="1"/>
  <c r="T83" i="1"/>
  <c r="AL83" i="1"/>
  <c r="K209" i="1"/>
  <c r="AI209" i="1"/>
  <c r="O209" i="1"/>
  <c r="L209" i="1"/>
  <c r="J209" i="1"/>
  <c r="I209" i="1" s="1"/>
  <c r="J22" i="1"/>
  <c r="I22" i="1" s="1"/>
  <c r="AI22" i="1"/>
  <c r="O22" i="1"/>
  <c r="U27" i="1"/>
  <c r="V27" i="1" s="1"/>
  <c r="AI29" i="1"/>
  <c r="O33" i="1"/>
  <c r="L33" i="1"/>
  <c r="K33" i="1"/>
  <c r="J41" i="1"/>
  <c r="I41" i="1" s="1"/>
  <c r="J42" i="1"/>
  <c r="I42" i="1" s="1"/>
  <c r="AI42" i="1"/>
  <c r="O42" i="1"/>
  <c r="K42" i="1"/>
  <c r="J49" i="1"/>
  <c r="I49" i="1" s="1"/>
  <c r="T50" i="1"/>
  <c r="AL50" i="1"/>
  <c r="U51" i="1"/>
  <c r="V51" i="1" s="1"/>
  <c r="AB53" i="1"/>
  <c r="U54" i="1"/>
  <c r="V54" i="1" s="1"/>
  <c r="R54" i="1" s="1"/>
  <c r="P54" i="1" s="1"/>
  <c r="S54" i="1" s="1"/>
  <c r="M54" i="1" s="1"/>
  <c r="N54" i="1" s="1"/>
  <c r="L57" i="1"/>
  <c r="O57" i="1"/>
  <c r="AI57" i="1"/>
  <c r="K57" i="1"/>
  <c r="R63" i="1"/>
  <c r="P63" i="1" s="1"/>
  <c r="S63" i="1" s="1"/>
  <c r="M63" i="1" s="1"/>
  <c r="N63" i="1" s="1"/>
  <c r="AB63" i="1"/>
  <c r="U87" i="1"/>
  <c r="V87" i="1" s="1"/>
  <c r="L73" i="1"/>
  <c r="J73" i="1"/>
  <c r="I73" i="1" s="1"/>
  <c r="AI73" i="1"/>
  <c r="AL74" i="1"/>
  <c r="O78" i="1"/>
  <c r="L78" i="1"/>
  <c r="K78" i="1"/>
  <c r="AI83" i="1"/>
  <c r="O83" i="1"/>
  <c r="L83" i="1"/>
  <c r="K83" i="1"/>
  <c r="J83" i="1"/>
  <c r="I83" i="1" s="1"/>
  <c r="U85" i="1"/>
  <c r="V85" i="1" s="1"/>
  <c r="R87" i="1"/>
  <c r="P87" i="1" s="1"/>
  <c r="S87" i="1" s="1"/>
  <c r="M87" i="1" s="1"/>
  <c r="N87" i="1" s="1"/>
  <c r="AB87" i="1"/>
  <c r="O19" i="1"/>
  <c r="O23" i="1"/>
  <c r="O27" i="1"/>
  <c r="O31" i="1"/>
  <c r="O35" i="1"/>
  <c r="O39" i="1"/>
  <c r="O43" i="1"/>
  <c r="O47" i="1"/>
  <c r="AL49" i="1"/>
  <c r="O50" i="1"/>
  <c r="L52" i="1"/>
  <c r="J52" i="1"/>
  <c r="I52" i="1" s="1"/>
  <c r="AI55" i="1"/>
  <c r="L56" i="1"/>
  <c r="J56" i="1"/>
  <c r="I56" i="1" s="1"/>
  <c r="J62" i="1"/>
  <c r="I62" i="1" s="1"/>
  <c r="J66" i="1"/>
  <c r="I66" i="1" s="1"/>
  <c r="AL69" i="1"/>
  <c r="T69" i="1"/>
  <c r="O70" i="1"/>
  <c r="L70" i="1"/>
  <c r="AL72" i="1"/>
  <c r="AL73" i="1"/>
  <c r="T73" i="1"/>
  <c r="AB97" i="1"/>
  <c r="U116" i="1"/>
  <c r="V116" i="1" s="1"/>
  <c r="AC136" i="1"/>
  <c r="X54" i="1"/>
  <c r="X58" i="1"/>
  <c r="K62" i="1"/>
  <c r="AI62" i="1"/>
  <c r="K66" i="1"/>
  <c r="AI66" i="1"/>
  <c r="AL70" i="1"/>
  <c r="T70" i="1"/>
  <c r="X74" i="1"/>
  <c r="AL76" i="1"/>
  <c r="AL77" i="1"/>
  <c r="T77" i="1"/>
  <c r="AD79" i="1"/>
  <c r="AC79" i="1"/>
  <c r="AB82" i="1"/>
  <c r="R82" i="1"/>
  <c r="P82" i="1" s="1"/>
  <c r="S82" i="1" s="1"/>
  <c r="M82" i="1" s="1"/>
  <c r="N82" i="1" s="1"/>
  <c r="U84" i="1"/>
  <c r="V84" i="1" s="1"/>
  <c r="AB95" i="1"/>
  <c r="AB120" i="1"/>
  <c r="AL53" i="1"/>
  <c r="T53" i="1"/>
  <c r="AL57" i="1"/>
  <c r="T57" i="1"/>
  <c r="L60" i="1"/>
  <c r="J60" i="1"/>
  <c r="I60" i="1" s="1"/>
  <c r="L64" i="1"/>
  <c r="J64" i="1"/>
  <c r="I64" i="1" s="1"/>
  <c r="AC82" i="1"/>
  <c r="AE82" i="1" s="1"/>
  <c r="T95" i="1"/>
  <c r="AL95" i="1"/>
  <c r="J19" i="1"/>
  <c r="I19" i="1" s="1"/>
  <c r="T20" i="1"/>
  <c r="J23" i="1"/>
  <c r="I23" i="1" s="1"/>
  <c r="U23" i="1" s="1"/>
  <c r="V23" i="1" s="1"/>
  <c r="T24" i="1"/>
  <c r="J27" i="1"/>
  <c r="I27" i="1" s="1"/>
  <c r="T28" i="1"/>
  <c r="J31" i="1"/>
  <c r="I31" i="1" s="1"/>
  <c r="U31" i="1" s="1"/>
  <c r="V31" i="1" s="1"/>
  <c r="T32" i="1"/>
  <c r="J35" i="1"/>
  <c r="I35" i="1" s="1"/>
  <c r="T36" i="1"/>
  <c r="J39" i="1"/>
  <c r="I39" i="1" s="1"/>
  <c r="U39" i="1" s="1"/>
  <c r="V39" i="1" s="1"/>
  <c r="T40" i="1"/>
  <c r="J43" i="1"/>
  <c r="I43" i="1" s="1"/>
  <c r="U43" i="1" s="1"/>
  <c r="V43" i="1" s="1"/>
  <c r="T44" i="1"/>
  <c r="J47" i="1"/>
  <c r="I47" i="1" s="1"/>
  <c r="T48" i="1"/>
  <c r="R51" i="1"/>
  <c r="P51" i="1" s="1"/>
  <c r="S51" i="1" s="1"/>
  <c r="M51" i="1" s="1"/>
  <c r="N51" i="1" s="1"/>
  <c r="AB51" i="1"/>
  <c r="AL51" i="1"/>
  <c r="AL52" i="1"/>
  <c r="T52" i="1"/>
  <c r="AL55" i="1"/>
  <c r="AL56" i="1"/>
  <c r="T56" i="1"/>
  <c r="AI60" i="1"/>
  <c r="AI64" i="1"/>
  <c r="X66" i="1"/>
  <c r="AL68" i="1"/>
  <c r="T68" i="1"/>
  <c r="X70" i="1"/>
  <c r="J71" i="1"/>
  <c r="I71" i="1" s="1"/>
  <c r="U71" i="1" s="1"/>
  <c r="V71" i="1" s="1"/>
  <c r="AI71" i="1"/>
  <c r="K73" i="1"/>
  <c r="AI81" i="1"/>
  <c r="L81" i="1"/>
  <c r="J81" i="1"/>
  <c r="I81" i="1" s="1"/>
  <c r="AD82" i="1"/>
  <c r="AC84" i="1"/>
  <c r="AB116" i="1"/>
  <c r="L133" i="1"/>
  <c r="J133" i="1"/>
  <c r="I133" i="1" s="1"/>
  <c r="O133" i="1"/>
  <c r="K133" i="1"/>
  <c r="AI133" i="1"/>
  <c r="J50" i="1"/>
  <c r="I50" i="1" s="1"/>
  <c r="O60" i="1"/>
  <c r="O61" i="1"/>
  <c r="AL61" i="1"/>
  <c r="T61" i="1"/>
  <c r="O64" i="1"/>
  <c r="O65" i="1"/>
  <c r="AL65" i="1"/>
  <c r="T65" i="1"/>
  <c r="J70" i="1"/>
  <c r="I70" i="1" s="1"/>
  <c r="O73" i="1"/>
  <c r="J74" i="1"/>
  <c r="I74" i="1" s="1"/>
  <c r="L119" i="1"/>
  <c r="K119" i="1"/>
  <c r="J119" i="1"/>
  <c r="I119" i="1" s="1"/>
  <c r="AI119" i="1"/>
  <c r="O119" i="1"/>
  <c r="U128" i="1"/>
  <c r="V128" i="1" s="1"/>
  <c r="L137" i="1"/>
  <c r="J137" i="1"/>
  <c r="I137" i="1" s="1"/>
  <c r="O137" i="1"/>
  <c r="K137" i="1"/>
  <c r="AI137" i="1"/>
  <c r="K149" i="1"/>
  <c r="J149" i="1"/>
  <c r="I149" i="1" s="1"/>
  <c r="O149" i="1"/>
  <c r="AI149" i="1"/>
  <c r="L149" i="1"/>
  <c r="K50" i="1"/>
  <c r="R55" i="1"/>
  <c r="P55" i="1" s="1"/>
  <c r="S55" i="1" s="1"/>
  <c r="M55" i="1" s="1"/>
  <c r="N55" i="1" s="1"/>
  <c r="R59" i="1"/>
  <c r="P59" i="1" s="1"/>
  <c r="S59" i="1" s="1"/>
  <c r="M59" i="1" s="1"/>
  <c r="N59" i="1" s="1"/>
  <c r="AB59" i="1"/>
  <c r="AL60" i="1"/>
  <c r="T60" i="1"/>
  <c r="AL64" i="1"/>
  <c r="T64" i="1"/>
  <c r="L69" i="1"/>
  <c r="J69" i="1"/>
  <c r="I69" i="1" s="1"/>
  <c r="K70" i="1"/>
  <c r="O74" i="1"/>
  <c r="L74" i="1"/>
  <c r="K74" i="1"/>
  <c r="J75" i="1"/>
  <c r="I75" i="1" s="1"/>
  <c r="AI75" i="1"/>
  <c r="J78" i="1"/>
  <c r="I78" i="1" s="1"/>
  <c r="AI78" i="1"/>
  <c r="AL80" i="1"/>
  <c r="U81" i="1"/>
  <c r="V81" i="1" s="1"/>
  <c r="AC81" i="1" s="1"/>
  <c r="U86" i="1"/>
  <c r="V86" i="1" s="1"/>
  <c r="AC86" i="1" s="1"/>
  <c r="W91" i="1"/>
  <c r="AA91" i="1" s="1"/>
  <c r="AD91" i="1"/>
  <c r="L93" i="1"/>
  <c r="AI93" i="1"/>
  <c r="K93" i="1"/>
  <c r="J93" i="1"/>
  <c r="I93" i="1" s="1"/>
  <c r="O93" i="1"/>
  <c r="R125" i="1"/>
  <c r="P125" i="1" s="1"/>
  <c r="S125" i="1" s="1"/>
  <c r="M125" i="1" s="1"/>
  <c r="N125" i="1" s="1"/>
  <c r="AB125" i="1"/>
  <c r="T157" i="1"/>
  <c r="AL157" i="1"/>
  <c r="R85" i="1"/>
  <c r="P85" i="1" s="1"/>
  <c r="S85" i="1" s="1"/>
  <c r="M85" i="1" s="1"/>
  <c r="N85" i="1" s="1"/>
  <c r="AL97" i="1"/>
  <c r="AL100" i="1"/>
  <c r="T100" i="1"/>
  <c r="AL101" i="1"/>
  <c r="L109" i="1"/>
  <c r="K109" i="1"/>
  <c r="AI109" i="1"/>
  <c r="AL112" i="1"/>
  <c r="AI116" i="1"/>
  <c r="L116" i="1"/>
  <c r="K116" i="1"/>
  <c r="AL121" i="1"/>
  <c r="T132" i="1"/>
  <c r="AL132" i="1"/>
  <c r="AL134" i="1"/>
  <c r="T134" i="1"/>
  <c r="U136" i="1"/>
  <c r="V136" i="1" s="1"/>
  <c r="AL138" i="1"/>
  <c r="T138" i="1"/>
  <c r="AB166" i="1"/>
  <c r="K89" i="1"/>
  <c r="R91" i="1"/>
  <c r="P91" i="1" s="1"/>
  <c r="S91" i="1" s="1"/>
  <c r="M91" i="1" s="1"/>
  <c r="N91" i="1" s="1"/>
  <c r="AL92" i="1"/>
  <c r="T92" i="1"/>
  <c r="J111" i="1"/>
  <c r="I111" i="1" s="1"/>
  <c r="AI111" i="1"/>
  <c r="O111" i="1"/>
  <c r="L111" i="1"/>
  <c r="O116" i="1"/>
  <c r="L122" i="1"/>
  <c r="K122" i="1"/>
  <c r="J122" i="1"/>
  <c r="I122" i="1" s="1"/>
  <c r="AI122" i="1"/>
  <c r="O122" i="1"/>
  <c r="K139" i="1"/>
  <c r="O139" i="1"/>
  <c r="L139" i="1"/>
  <c r="J139" i="1"/>
  <c r="I139" i="1" s="1"/>
  <c r="AI139" i="1"/>
  <c r="AB142" i="1"/>
  <c r="AB143" i="1"/>
  <c r="U147" i="1"/>
  <c r="V147" i="1" s="1"/>
  <c r="T74" i="1"/>
  <c r="T78" i="1"/>
  <c r="L88" i="1"/>
  <c r="O88" i="1"/>
  <c r="L89" i="1"/>
  <c r="U89" i="1"/>
  <c r="V89" i="1" s="1"/>
  <c r="R89" i="1" s="1"/>
  <c r="P89" i="1" s="1"/>
  <c r="S89" i="1" s="1"/>
  <c r="M89" i="1" s="1"/>
  <c r="N89" i="1" s="1"/>
  <c r="U90" i="1"/>
  <c r="V90" i="1" s="1"/>
  <c r="J94" i="1"/>
  <c r="I94" i="1" s="1"/>
  <c r="U94" i="1" s="1"/>
  <c r="V94" i="1" s="1"/>
  <c r="O95" i="1"/>
  <c r="X98" i="1"/>
  <c r="T99" i="1"/>
  <c r="J99" i="1"/>
  <c r="I99" i="1" s="1"/>
  <c r="O99" i="1"/>
  <c r="O106" i="1"/>
  <c r="L108" i="1"/>
  <c r="J108" i="1"/>
  <c r="I108" i="1" s="1"/>
  <c r="AI108" i="1"/>
  <c r="O108" i="1"/>
  <c r="AL111" i="1"/>
  <c r="T111" i="1"/>
  <c r="L113" i="1"/>
  <c r="K113" i="1"/>
  <c r="AI113" i="1"/>
  <c r="AC116" i="1"/>
  <c r="L118" i="1"/>
  <c r="AI118" i="1"/>
  <c r="O118" i="1"/>
  <c r="J118" i="1"/>
  <c r="I118" i="1" s="1"/>
  <c r="U120" i="1"/>
  <c r="V120" i="1" s="1"/>
  <c r="R120" i="1" s="1"/>
  <c r="P120" i="1" s="1"/>
  <c r="S120" i="1" s="1"/>
  <c r="M120" i="1" s="1"/>
  <c r="N120" i="1" s="1"/>
  <c r="AI124" i="1"/>
  <c r="L124" i="1"/>
  <c r="K124" i="1"/>
  <c r="O127" i="1"/>
  <c r="J129" i="1"/>
  <c r="I129" i="1" s="1"/>
  <c r="O129" i="1"/>
  <c r="AI129" i="1"/>
  <c r="K129" i="1"/>
  <c r="AL137" i="1"/>
  <c r="T137" i="1"/>
  <c r="AD153" i="1"/>
  <c r="AC153" i="1"/>
  <c r="W153" i="1"/>
  <c r="AA153" i="1" s="1"/>
  <c r="R153" i="1"/>
  <c r="P153" i="1" s="1"/>
  <c r="S153" i="1" s="1"/>
  <c r="M153" i="1" s="1"/>
  <c r="N153" i="1" s="1"/>
  <c r="AB180" i="1"/>
  <c r="L96" i="1"/>
  <c r="J96" i="1"/>
  <c r="I96" i="1" s="1"/>
  <c r="AI96" i="1"/>
  <c r="O96" i="1"/>
  <c r="J98" i="1"/>
  <c r="I98" i="1" s="1"/>
  <c r="K106" i="1"/>
  <c r="J106" i="1"/>
  <c r="I106" i="1" s="1"/>
  <c r="J107" i="1"/>
  <c r="I107" i="1" s="1"/>
  <c r="O107" i="1"/>
  <c r="L107" i="1"/>
  <c r="O110" i="1"/>
  <c r="K110" i="1"/>
  <c r="J110" i="1"/>
  <c r="I110" i="1" s="1"/>
  <c r="J115" i="1"/>
  <c r="I115" i="1" s="1"/>
  <c r="AI115" i="1"/>
  <c r="O115" i="1"/>
  <c r="L115" i="1"/>
  <c r="U117" i="1"/>
  <c r="V117" i="1" s="1"/>
  <c r="AL118" i="1"/>
  <c r="T118" i="1"/>
  <c r="U124" i="1"/>
  <c r="V124" i="1" s="1"/>
  <c r="L127" i="1"/>
  <c r="K127" i="1"/>
  <c r="J127" i="1"/>
  <c r="I127" i="1" s="1"/>
  <c r="T146" i="1"/>
  <c r="AL146" i="1"/>
  <c r="AB158" i="1"/>
  <c r="U158" i="1"/>
  <c r="V158" i="1" s="1"/>
  <c r="R158" i="1" s="1"/>
  <c r="P158" i="1" s="1"/>
  <c r="S158" i="1" s="1"/>
  <c r="M158" i="1" s="1"/>
  <c r="N158" i="1" s="1"/>
  <c r="O170" i="1"/>
  <c r="K170" i="1"/>
  <c r="AI170" i="1"/>
  <c r="J170" i="1"/>
  <c r="I170" i="1" s="1"/>
  <c r="U171" i="1"/>
  <c r="V171" i="1" s="1"/>
  <c r="J68" i="1"/>
  <c r="I68" i="1" s="1"/>
  <c r="J72" i="1"/>
  <c r="I72" i="1" s="1"/>
  <c r="J76" i="1"/>
  <c r="I76" i="1" s="1"/>
  <c r="J80" i="1"/>
  <c r="I80" i="1" s="1"/>
  <c r="AL84" i="1"/>
  <c r="O85" i="1"/>
  <c r="J86" i="1"/>
  <c r="I86" i="1" s="1"/>
  <c r="O89" i="1"/>
  <c r="L98" i="1"/>
  <c r="O102" i="1"/>
  <c r="L104" i="1"/>
  <c r="J104" i="1"/>
  <c r="I104" i="1" s="1"/>
  <c r="AI104" i="1"/>
  <c r="O104" i="1"/>
  <c r="L105" i="1"/>
  <c r="K105" i="1"/>
  <c r="AI105" i="1"/>
  <c r="U106" i="1"/>
  <c r="V106" i="1" s="1"/>
  <c r="AL107" i="1"/>
  <c r="T107" i="1"/>
  <c r="AL108" i="1"/>
  <c r="L110" i="1"/>
  <c r="K118" i="1"/>
  <c r="O124" i="1"/>
  <c r="AL129" i="1"/>
  <c r="T144" i="1"/>
  <c r="AL144" i="1"/>
  <c r="J151" i="1"/>
  <c r="I151" i="1" s="1"/>
  <c r="O151" i="1"/>
  <c r="AI151" i="1"/>
  <c r="K151" i="1"/>
  <c r="K80" i="1"/>
  <c r="L86" i="1"/>
  <c r="AC87" i="1"/>
  <c r="AL88" i="1"/>
  <c r="T88" i="1"/>
  <c r="O94" i="1"/>
  <c r="K96" i="1"/>
  <c r="AL96" i="1"/>
  <c r="T96" i="1"/>
  <c r="L97" i="1"/>
  <c r="K97" i="1"/>
  <c r="AI97" i="1"/>
  <c r="O98" i="1"/>
  <c r="L100" i="1"/>
  <c r="J100" i="1"/>
  <c r="I100" i="1" s="1"/>
  <c r="AI100" i="1"/>
  <c r="O100" i="1"/>
  <c r="K102" i="1"/>
  <c r="J102" i="1"/>
  <c r="I102" i="1" s="1"/>
  <c r="U102" i="1" s="1"/>
  <c r="V102" i="1" s="1"/>
  <c r="J103" i="1"/>
  <c r="I103" i="1" s="1"/>
  <c r="O103" i="1"/>
  <c r="L103" i="1"/>
  <c r="AC110" i="1"/>
  <c r="L112" i="1"/>
  <c r="K112" i="1"/>
  <c r="J112" i="1"/>
  <c r="I112" i="1" s="1"/>
  <c r="AI112" i="1"/>
  <c r="O112" i="1"/>
  <c r="R117" i="1"/>
  <c r="P117" i="1" s="1"/>
  <c r="S117" i="1" s="1"/>
  <c r="M117" i="1" s="1"/>
  <c r="N117" i="1" s="1"/>
  <c r="AB117" i="1"/>
  <c r="AB121" i="1"/>
  <c r="AB123" i="1"/>
  <c r="L126" i="1"/>
  <c r="AI126" i="1"/>
  <c r="O126" i="1"/>
  <c r="J126" i="1"/>
  <c r="I126" i="1" s="1"/>
  <c r="R136" i="1"/>
  <c r="P136" i="1" s="1"/>
  <c r="S136" i="1" s="1"/>
  <c r="M136" i="1" s="1"/>
  <c r="N136" i="1" s="1"/>
  <c r="AB140" i="1"/>
  <c r="T72" i="1"/>
  <c r="T76" i="1"/>
  <c r="T80" i="1"/>
  <c r="AC91" i="1"/>
  <c r="AB91" i="1"/>
  <c r="L92" i="1"/>
  <c r="J92" i="1"/>
  <c r="I92" i="1" s="1"/>
  <c r="O92" i="1"/>
  <c r="AL93" i="1"/>
  <c r="T93" i="1"/>
  <c r="AI95" i="1"/>
  <c r="AI98" i="1"/>
  <c r="L99" i="1"/>
  <c r="L101" i="1"/>
  <c r="K101" i="1"/>
  <c r="AI101" i="1"/>
  <c r="AL103" i="1"/>
  <c r="T103" i="1"/>
  <c r="AL104" i="1"/>
  <c r="T104" i="1"/>
  <c r="U110" i="1"/>
  <c r="V110" i="1" s="1"/>
  <c r="O114" i="1"/>
  <c r="K114" i="1"/>
  <c r="J114" i="1"/>
  <c r="I114" i="1" s="1"/>
  <c r="U114" i="1" s="1"/>
  <c r="V114" i="1" s="1"/>
  <c r="AI123" i="1"/>
  <c r="O123" i="1"/>
  <c r="L123" i="1"/>
  <c r="K123" i="1"/>
  <c r="U125" i="1"/>
  <c r="V125" i="1" s="1"/>
  <c r="AC125" i="1" s="1"/>
  <c r="AL126" i="1"/>
  <c r="T126" i="1"/>
  <c r="AB130" i="1"/>
  <c r="L151" i="1"/>
  <c r="L170" i="1"/>
  <c r="T115" i="1"/>
  <c r="T129" i="1"/>
  <c r="L134" i="1"/>
  <c r="AI134" i="1"/>
  <c r="T159" i="1"/>
  <c r="AL159" i="1"/>
  <c r="U167" i="1"/>
  <c r="V167" i="1" s="1"/>
  <c r="T175" i="1"/>
  <c r="AL175" i="1"/>
  <c r="AL116" i="1"/>
  <c r="K121" i="1"/>
  <c r="T121" i="1"/>
  <c r="U123" i="1"/>
  <c r="V123" i="1" s="1"/>
  <c r="AL124" i="1"/>
  <c r="J131" i="1"/>
  <c r="I131" i="1" s="1"/>
  <c r="O132" i="1"/>
  <c r="K134" i="1"/>
  <c r="O135" i="1"/>
  <c r="L140" i="1"/>
  <c r="J141" i="1"/>
  <c r="I141" i="1" s="1"/>
  <c r="K141" i="1"/>
  <c r="AI141" i="1"/>
  <c r="K144" i="1"/>
  <c r="J144" i="1"/>
  <c r="I144" i="1" s="1"/>
  <c r="AI144" i="1"/>
  <c r="U150" i="1"/>
  <c r="V150" i="1" s="1"/>
  <c r="AB162" i="1"/>
  <c r="AL122" i="1"/>
  <c r="T122" i="1"/>
  <c r="L130" i="1"/>
  <c r="AI130" i="1"/>
  <c r="O134" i="1"/>
  <c r="O140" i="1"/>
  <c r="AL141" i="1"/>
  <c r="T141" i="1"/>
  <c r="AI143" i="1"/>
  <c r="O143" i="1"/>
  <c r="L143" i="1"/>
  <c r="T97" i="1"/>
  <c r="T101" i="1"/>
  <c r="T105" i="1"/>
  <c r="T109" i="1"/>
  <c r="T113" i="1"/>
  <c r="O131" i="1"/>
  <c r="AI135" i="1"/>
  <c r="L136" i="1"/>
  <c r="X139" i="1"/>
  <c r="AC140" i="1"/>
  <c r="L142" i="1"/>
  <c r="AI142" i="1"/>
  <c r="O142" i="1"/>
  <c r="K142" i="1"/>
  <c r="AL143" i="1"/>
  <c r="X146" i="1"/>
  <c r="J152" i="1"/>
  <c r="I152" i="1" s="1"/>
  <c r="X157" i="1"/>
  <c r="AB165" i="1"/>
  <c r="AB173" i="1"/>
  <c r="R173" i="1"/>
  <c r="P173" i="1" s="1"/>
  <c r="S173" i="1" s="1"/>
  <c r="R128" i="1"/>
  <c r="P128" i="1" s="1"/>
  <c r="S128" i="1" s="1"/>
  <c r="M128" i="1" s="1"/>
  <c r="N128" i="1" s="1"/>
  <c r="AL130" i="1"/>
  <c r="T130" i="1"/>
  <c r="AL133" i="1"/>
  <c r="T133" i="1"/>
  <c r="L138" i="1"/>
  <c r="AI138" i="1"/>
  <c r="R145" i="1"/>
  <c r="P145" i="1" s="1"/>
  <c r="S145" i="1" s="1"/>
  <c r="M145" i="1" s="1"/>
  <c r="N145" i="1" s="1"/>
  <c r="U145" i="1"/>
  <c r="V145" i="1" s="1"/>
  <c r="K152" i="1"/>
  <c r="AL160" i="1"/>
  <c r="T160" i="1"/>
  <c r="T108" i="1"/>
  <c r="T112" i="1"/>
  <c r="AI121" i="1"/>
  <c r="J135" i="1"/>
  <c r="I135" i="1" s="1"/>
  <c r="K138" i="1"/>
  <c r="U140" i="1"/>
  <c r="V140" i="1" s="1"/>
  <c r="U143" i="1"/>
  <c r="V143" i="1" s="1"/>
  <c r="R143" i="1" s="1"/>
  <c r="P143" i="1" s="1"/>
  <c r="S143" i="1" s="1"/>
  <c r="M143" i="1" s="1"/>
  <c r="N143" i="1" s="1"/>
  <c r="L156" i="1"/>
  <c r="AI156" i="1"/>
  <c r="O156" i="1"/>
  <c r="K156" i="1"/>
  <c r="L157" i="1"/>
  <c r="K157" i="1"/>
  <c r="J157" i="1"/>
  <c r="I157" i="1" s="1"/>
  <c r="AI157" i="1"/>
  <c r="O157" i="1"/>
  <c r="U163" i="1"/>
  <c r="V163" i="1" s="1"/>
  <c r="J155" i="1"/>
  <c r="I155" i="1" s="1"/>
  <c r="K155" i="1"/>
  <c r="AI155" i="1"/>
  <c r="AL156" i="1"/>
  <c r="T156" i="1"/>
  <c r="L168" i="1"/>
  <c r="K168" i="1"/>
  <c r="J168" i="1"/>
  <c r="I168" i="1" s="1"/>
  <c r="AI168" i="1"/>
  <c r="O168" i="1"/>
  <c r="R171" i="1"/>
  <c r="P171" i="1" s="1"/>
  <c r="S171" i="1" s="1"/>
  <c r="M171" i="1" s="1"/>
  <c r="N171" i="1" s="1"/>
  <c r="R174" i="1"/>
  <c r="P174" i="1" s="1"/>
  <c r="S174" i="1" s="1"/>
  <c r="M174" i="1" s="1"/>
  <c r="N174" i="1" s="1"/>
  <c r="AB174" i="1"/>
  <c r="AC193" i="1"/>
  <c r="J185" i="1"/>
  <c r="I185" i="1" s="1"/>
  <c r="O185" i="1"/>
  <c r="L185" i="1"/>
  <c r="K185" i="1"/>
  <c r="AI185" i="1"/>
  <c r="J187" i="1"/>
  <c r="I187" i="1" s="1"/>
  <c r="AI187" i="1"/>
  <c r="O187" i="1"/>
  <c r="L187" i="1"/>
  <c r="L223" i="1"/>
  <c r="O223" i="1"/>
  <c r="K223" i="1"/>
  <c r="J223" i="1"/>
  <c r="I223" i="1" s="1"/>
  <c r="AI223" i="1"/>
  <c r="AB231" i="1"/>
  <c r="J146" i="1"/>
  <c r="I146" i="1" s="1"/>
  <c r="L147" i="1"/>
  <c r="AI148" i="1"/>
  <c r="X156" i="1"/>
  <c r="AB167" i="1"/>
  <c r="L169" i="1"/>
  <c r="K169" i="1"/>
  <c r="AI169" i="1"/>
  <c r="O169" i="1"/>
  <c r="J169" i="1"/>
  <c r="I169" i="1" s="1"/>
  <c r="K187" i="1"/>
  <c r="R147" i="1"/>
  <c r="P147" i="1" s="1"/>
  <c r="S147" i="1" s="1"/>
  <c r="AE153" i="1"/>
  <c r="O162" i="1"/>
  <c r="AI162" i="1"/>
  <c r="L162" i="1"/>
  <c r="K162" i="1"/>
  <c r="L177" i="1"/>
  <c r="K177" i="1"/>
  <c r="AI177" i="1"/>
  <c r="O177" i="1"/>
  <c r="J177" i="1"/>
  <c r="I177" i="1" s="1"/>
  <c r="AL187" i="1"/>
  <c r="T187" i="1"/>
  <c r="AL142" i="1"/>
  <c r="T142" i="1"/>
  <c r="AI147" i="1"/>
  <c r="K148" i="1"/>
  <c r="AL148" i="1"/>
  <c r="T148" i="1"/>
  <c r="L154" i="1"/>
  <c r="K154" i="1"/>
  <c r="J154" i="1"/>
  <c r="I154" i="1" s="1"/>
  <c r="U154" i="1" s="1"/>
  <c r="V154" i="1" s="1"/>
  <c r="O155" i="1"/>
  <c r="AL162" i="1"/>
  <c r="T162" i="1"/>
  <c r="AC185" i="1"/>
  <c r="U198" i="1"/>
  <c r="V198" i="1" s="1"/>
  <c r="L164" i="1"/>
  <c r="K164" i="1"/>
  <c r="J164" i="1"/>
  <c r="I164" i="1" s="1"/>
  <c r="AI164" i="1"/>
  <c r="L165" i="1"/>
  <c r="K165" i="1"/>
  <c r="AB181" i="1"/>
  <c r="U185" i="1"/>
  <c r="V185" i="1" s="1"/>
  <c r="X188" i="1"/>
  <c r="L197" i="1"/>
  <c r="K197" i="1"/>
  <c r="J197" i="1"/>
  <c r="I197" i="1" s="1"/>
  <c r="AI197" i="1"/>
  <c r="U205" i="1"/>
  <c r="V205" i="1" s="1"/>
  <c r="R205" i="1" s="1"/>
  <c r="P205" i="1" s="1"/>
  <c r="S205" i="1" s="1"/>
  <c r="M205" i="1" s="1"/>
  <c r="N205" i="1" s="1"/>
  <c r="AB205" i="1"/>
  <c r="U170" i="1"/>
  <c r="V170" i="1" s="1"/>
  <c r="L172" i="1"/>
  <c r="K172" i="1"/>
  <c r="J172" i="1"/>
  <c r="I172" i="1" s="1"/>
  <c r="AI172" i="1"/>
  <c r="O172" i="1"/>
  <c r="L173" i="1"/>
  <c r="K173" i="1"/>
  <c r="AI173" i="1"/>
  <c r="O174" i="1"/>
  <c r="K174" i="1"/>
  <c r="K179" i="1"/>
  <c r="J179" i="1"/>
  <c r="I179" i="1" s="1"/>
  <c r="AI179" i="1"/>
  <c r="O179" i="1"/>
  <c r="T181" i="1"/>
  <c r="AL181" i="1"/>
  <c r="L184" i="1"/>
  <c r="K184" i="1"/>
  <c r="AI184" i="1"/>
  <c r="O184" i="1"/>
  <c r="O194" i="1"/>
  <c r="L194" i="1"/>
  <c r="AI194" i="1"/>
  <c r="J194" i="1"/>
  <c r="I194" i="1" s="1"/>
  <c r="O197" i="1"/>
  <c r="O203" i="1"/>
  <c r="L203" i="1"/>
  <c r="J203" i="1"/>
  <c r="I203" i="1" s="1"/>
  <c r="K203" i="1"/>
  <c r="AB208" i="1"/>
  <c r="AL152" i="1"/>
  <c r="T152" i="1"/>
  <c r="O153" i="1"/>
  <c r="J161" i="1"/>
  <c r="I161" i="1" s="1"/>
  <c r="AI161" i="1"/>
  <c r="R163" i="1"/>
  <c r="P163" i="1" s="1"/>
  <c r="S163" i="1" s="1"/>
  <c r="M163" i="1" s="1"/>
  <c r="N163" i="1" s="1"/>
  <c r="L180" i="1"/>
  <c r="O180" i="1"/>
  <c r="AI180" i="1"/>
  <c r="K180" i="1"/>
  <c r="J184" i="1"/>
  <c r="I184" i="1" s="1"/>
  <c r="AB186" i="1"/>
  <c r="AI203" i="1"/>
  <c r="L160" i="1"/>
  <c r="J160" i="1"/>
  <c r="I160" i="1" s="1"/>
  <c r="K161" i="1"/>
  <c r="O164" i="1"/>
  <c r="AL172" i="1"/>
  <c r="U173" i="1"/>
  <c r="V173" i="1" s="1"/>
  <c r="J178" i="1"/>
  <c r="I178" i="1" s="1"/>
  <c r="AL186" i="1"/>
  <c r="T186" i="1"/>
  <c r="O190" i="1"/>
  <c r="L190" i="1"/>
  <c r="K190" i="1"/>
  <c r="J190" i="1"/>
  <c r="I190" i="1" s="1"/>
  <c r="U213" i="1"/>
  <c r="V213" i="1" s="1"/>
  <c r="AL161" i="1"/>
  <c r="T161" i="1"/>
  <c r="U166" i="1"/>
  <c r="V166" i="1" s="1"/>
  <c r="R166" i="1" s="1"/>
  <c r="P166" i="1" s="1"/>
  <c r="S166" i="1" s="1"/>
  <c r="M166" i="1" s="1"/>
  <c r="N166" i="1" s="1"/>
  <c r="U174" i="1"/>
  <c r="V174" i="1" s="1"/>
  <c r="L176" i="1"/>
  <c r="K176" i="1"/>
  <c r="J176" i="1"/>
  <c r="I176" i="1" s="1"/>
  <c r="AI176" i="1"/>
  <c r="O176" i="1"/>
  <c r="O178" i="1"/>
  <c r="K178" i="1"/>
  <c r="W191" i="1"/>
  <c r="AA191" i="1" s="1"/>
  <c r="AD191" i="1"/>
  <c r="K194" i="1"/>
  <c r="AL195" i="1"/>
  <c r="R198" i="1"/>
  <c r="P198" i="1" s="1"/>
  <c r="S198" i="1" s="1"/>
  <c r="M198" i="1" s="1"/>
  <c r="N198" i="1" s="1"/>
  <c r="AB198" i="1"/>
  <c r="O207" i="1"/>
  <c r="L207" i="1"/>
  <c r="J207" i="1"/>
  <c r="I207" i="1" s="1"/>
  <c r="K207" i="1"/>
  <c r="AI207" i="1"/>
  <c r="L227" i="1"/>
  <c r="K227" i="1"/>
  <c r="AI227" i="1"/>
  <c r="O227" i="1"/>
  <c r="J227" i="1"/>
  <c r="I227" i="1" s="1"/>
  <c r="AL178" i="1"/>
  <c r="J183" i="1"/>
  <c r="I183" i="1" s="1"/>
  <c r="AI183" i="1"/>
  <c r="X184" i="1"/>
  <c r="X186" i="1"/>
  <c r="AL190" i="1"/>
  <c r="T190" i="1"/>
  <c r="AE191" i="1"/>
  <c r="R191" i="1"/>
  <c r="P191" i="1" s="1"/>
  <c r="S191" i="1" s="1"/>
  <c r="M191" i="1" s="1"/>
  <c r="N191" i="1" s="1"/>
  <c r="L193" i="1"/>
  <c r="K193" i="1"/>
  <c r="J193" i="1"/>
  <c r="I193" i="1" s="1"/>
  <c r="AB199" i="1"/>
  <c r="AI212" i="1"/>
  <c r="O212" i="1"/>
  <c r="L212" i="1"/>
  <c r="K212" i="1"/>
  <c r="O228" i="1"/>
  <c r="AI228" i="1"/>
  <c r="L228" i="1"/>
  <c r="K228" i="1"/>
  <c r="J228" i="1"/>
  <c r="I228" i="1" s="1"/>
  <c r="AB251" i="1"/>
  <c r="O171" i="1"/>
  <c r="O175" i="1"/>
  <c r="X180" i="1"/>
  <c r="AL180" i="1"/>
  <c r="O183" i="1"/>
  <c r="X190" i="1"/>
  <c r="L192" i="1"/>
  <c r="K192" i="1"/>
  <c r="J192" i="1"/>
  <c r="I192" i="1" s="1"/>
  <c r="AI192" i="1"/>
  <c r="U193" i="1"/>
  <c r="V193" i="1" s="1"/>
  <c r="AL194" i="1"/>
  <c r="T194" i="1"/>
  <c r="R195" i="1"/>
  <c r="P195" i="1" s="1"/>
  <c r="S195" i="1" s="1"/>
  <c r="M195" i="1" s="1"/>
  <c r="N195" i="1" s="1"/>
  <c r="AL199" i="1"/>
  <c r="T199" i="1"/>
  <c r="J212" i="1"/>
  <c r="I212" i="1" s="1"/>
  <c r="T165" i="1"/>
  <c r="O182" i="1"/>
  <c r="L182" i="1"/>
  <c r="L188" i="1"/>
  <c r="K188" i="1"/>
  <c r="AI188" i="1"/>
  <c r="K189" i="1"/>
  <c r="J189" i="1"/>
  <c r="I189" i="1" s="1"/>
  <c r="W195" i="1"/>
  <c r="AA195" i="1" s="1"/>
  <c r="AD195" i="1"/>
  <c r="AE195" i="1" s="1"/>
  <c r="AI204" i="1"/>
  <c r="O204" i="1"/>
  <c r="L204" i="1"/>
  <c r="K204" i="1"/>
  <c r="J204" i="1"/>
  <c r="I204" i="1" s="1"/>
  <c r="AI167" i="1"/>
  <c r="AI171" i="1"/>
  <c r="AI175" i="1"/>
  <c r="J182" i="1"/>
  <c r="I182" i="1" s="1"/>
  <c r="AL182" i="1"/>
  <c r="T182" i="1"/>
  <c r="AI189" i="1"/>
  <c r="L196" i="1"/>
  <c r="K196" i="1"/>
  <c r="J196" i="1"/>
  <c r="I196" i="1" s="1"/>
  <c r="AI196" i="1"/>
  <c r="AI200" i="1"/>
  <c r="O200" i="1"/>
  <c r="L200" i="1"/>
  <c r="K200" i="1"/>
  <c r="J200" i="1"/>
  <c r="I200" i="1" s="1"/>
  <c r="K206" i="1"/>
  <c r="J206" i="1"/>
  <c r="I206" i="1" s="1"/>
  <c r="O206" i="1"/>
  <c r="L206" i="1"/>
  <c r="T164" i="1"/>
  <c r="T168" i="1"/>
  <c r="T172" i="1"/>
  <c r="T176" i="1"/>
  <c r="AI181" i="1"/>
  <c r="K182" i="1"/>
  <c r="X182" i="1"/>
  <c r="O186" i="1"/>
  <c r="L186" i="1"/>
  <c r="J188" i="1"/>
  <c r="I188" i="1" s="1"/>
  <c r="X194" i="1"/>
  <c r="AL196" i="1"/>
  <c r="L219" i="1"/>
  <c r="K219" i="1"/>
  <c r="J219" i="1"/>
  <c r="I219" i="1" s="1"/>
  <c r="AI219" i="1"/>
  <c r="O219" i="1"/>
  <c r="AL237" i="1"/>
  <c r="T237" i="1"/>
  <c r="K199" i="1"/>
  <c r="AL200" i="1"/>
  <c r="T200" i="1"/>
  <c r="AL203" i="1"/>
  <c r="T203" i="1"/>
  <c r="L214" i="1"/>
  <c r="K214" i="1"/>
  <c r="J214" i="1"/>
  <c r="I214" i="1" s="1"/>
  <c r="O214" i="1"/>
  <c r="AB221" i="1"/>
  <c r="O191" i="1"/>
  <c r="O195" i="1"/>
  <c r="L199" i="1"/>
  <c r="K201" i="1"/>
  <c r="AI201" i="1"/>
  <c r="O211" i="1"/>
  <c r="L211" i="1"/>
  <c r="J211" i="1"/>
  <c r="I211" i="1" s="1"/>
  <c r="AI211" i="1"/>
  <c r="AL204" i="1"/>
  <c r="T204" i="1"/>
  <c r="AL207" i="1"/>
  <c r="T207" i="1"/>
  <c r="AI208" i="1"/>
  <c r="O208" i="1"/>
  <c r="L208" i="1"/>
  <c r="AD217" i="1"/>
  <c r="AE217" i="1" s="1"/>
  <c r="AC217" i="1"/>
  <c r="W217" i="1"/>
  <c r="AA217" i="1" s="1"/>
  <c r="O224" i="1"/>
  <c r="J224" i="1"/>
  <c r="I224" i="1" s="1"/>
  <c r="AI224" i="1"/>
  <c r="L224" i="1"/>
  <c r="T225" i="1"/>
  <c r="AL225" i="1"/>
  <c r="U232" i="1"/>
  <c r="V232" i="1" s="1"/>
  <c r="AI191" i="1"/>
  <c r="AI195" i="1"/>
  <c r="U197" i="1"/>
  <c r="V197" i="1" s="1"/>
  <c r="AI199" i="1"/>
  <c r="J201" i="1"/>
  <c r="I201" i="1" s="1"/>
  <c r="K205" i="1"/>
  <c r="AI205" i="1"/>
  <c r="L210" i="1"/>
  <c r="AL211" i="1"/>
  <c r="T211" i="1"/>
  <c r="K213" i="1"/>
  <c r="J213" i="1"/>
  <c r="I213" i="1" s="1"/>
  <c r="AI213" i="1"/>
  <c r="AI215" i="1"/>
  <c r="O215" i="1"/>
  <c r="L215" i="1"/>
  <c r="J215" i="1"/>
  <c r="I215" i="1" s="1"/>
  <c r="T221" i="1"/>
  <c r="AL221" i="1"/>
  <c r="T180" i="1"/>
  <c r="T184" i="1"/>
  <c r="T188" i="1"/>
  <c r="T192" i="1"/>
  <c r="T196" i="1"/>
  <c r="O199" i="1"/>
  <c r="L201" i="1"/>
  <c r="K202" i="1"/>
  <c r="J202" i="1"/>
  <c r="I202" i="1" s="1"/>
  <c r="U202" i="1" s="1"/>
  <c r="V202" i="1" s="1"/>
  <c r="AL208" i="1"/>
  <c r="T208" i="1"/>
  <c r="K210" i="1"/>
  <c r="J210" i="1"/>
  <c r="I210" i="1" s="1"/>
  <c r="O210" i="1"/>
  <c r="U214" i="1"/>
  <c r="V214" i="1" s="1"/>
  <c r="AC214" i="1" s="1"/>
  <c r="K224" i="1"/>
  <c r="AC232" i="1"/>
  <c r="O232" i="1"/>
  <c r="J232" i="1"/>
  <c r="I232" i="1" s="1"/>
  <c r="AI232" i="1"/>
  <c r="L235" i="1"/>
  <c r="O235" i="1"/>
  <c r="K235" i="1"/>
  <c r="J235" i="1"/>
  <c r="I235" i="1" s="1"/>
  <c r="L243" i="1"/>
  <c r="AI243" i="1"/>
  <c r="K243" i="1"/>
  <c r="J243" i="1"/>
  <c r="I243" i="1" s="1"/>
  <c r="T212" i="1"/>
  <c r="O216" i="1"/>
  <c r="X216" i="1"/>
  <c r="AL218" i="1"/>
  <c r="J220" i="1"/>
  <c r="I220" i="1" s="1"/>
  <c r="U220" i="1"/>
  <c r="V220" i="1" s="1"/>
  <c r="T228" i="1"/>
  <c r="L232" i="1"/>
  <c r="J237" i="1"/>
  <c r="I237" i="1" s="1"/>
  <c r="AI237" i="1"/>
  <c r="L237" i="1"/>
  <c r="O237" i="1"/>
  <c r="X259" i="1"/>
  <c r="L220" i="1"/>
  <c r="O243" i="1"/>
  <c r="J216" i="1"/>
  <c r="I216" i="1" s="1"/>
  <c r="T224" i="1"/>
  <c r="L226" i="1"/>
  <c r="K226" i="1"/>
  <c r="J226" i="1"/>
  <c r="I226" i="1" s="1"/>
  <c r="AI226" i="1"/>
  <c r="U229" i="1"/>
  <c r="V229" i="1" s="1"/>
  <c r="R229" i="1" s="1"/>
  <c r="P229" i="1" s="1"/>
  <c r="S229" i="1" s="1"/>
  <c r="M229" i="1" s="1"/>
  <c r="N229" i="1" s="1"/>
  <c r="L239" i="1"/>
  <c r="AI239" i="1"/>
  <c r="O239" i="1"/>
  <c r="K239" i="1"/>
  <c r="J239" i="1"/>
  <c r="I239" i="1" s="1"/>
  <c r="R217" i="1"/>
  <c r="P217" i="1" s="1"/>
  <c r="S217" i="1" s="1"/>
  <c r="M217" i="1" s="1"/>
  <c r="N217" i="1" s="1"/>
  <c r="AL219" i="1"/>
  <c r="T219" i="1"/>
  <c r="L222" i="1"/>
  <c r="K222" i="1"/>
  <c r="J222" i="1"/>
  <c r="I222" i="1" s="1"/>
  <c r="AB225" i="1"/>
  <c r="AC231" i="1"/>
  <c r="U231" i="1"/>
  <c r="V231" i="1" s="1"/>
  <c r="R231" i="1" s="1"/>
  <c r="P231" i="1" s="1"/>
  <c r="S231" i="1" s="1"/>
  <c r="M231" i="1" s="1"/>
  <c r="N231" i="1" s="1"/>
  <c r="AB233" i="1"/>
  <c r="AL239" i="1"/>
  <c r="T239" i="1"/>
  <c r="L242" i="1"/>
  <c r="K242" i="1"/>
  <c r="J242" i="1"/>
  <c r="I242" i="1" s="1"/>
  <c r="O242" i="1"/>
  <c r="L246" i="1"/>
  <c r="K246" i="1"/>
  <c r="J246" i="1"/>
  <c r="I246" i="1" s="1"/>
  <c r="O246" i="1"/>
  <c r="AI246" i="1"/>
  <c r="AB255" i="1"/>
  <c r="U216" i="1"/>
  <c r="V216" i="1" s="1"/>
  <c r="AC216" i="1" s="1"/>
  <c r="L218" i="1"/>
  <c r="K218" i="1"/>
  <c r="J218" i="1"/>
  <c r="I218" i="1" s="1"/>
  <c r="AI222" i="1"/>
  <c r="AL226" i="1"/>
  <c r="AI242" i="1"/>
  <c r="AB259" i="1"/>
  <c r="O230" i="1"/>
  <c r="AL235" i="1"/>
  <c r="T235" i="1"/>
  <c r="J241" i="1"/>
  <c r="I241" i="1" s="1"/>
  <c r="AI241" i="1"/>
  <c r="L241" i="1"/>
  <c r="AL243" i="1"/>
  <c r="T243" i="1"/>
  <c r="L247" i="1"/>
  <c r="AI247" i="1"/>
  <c r="L250" i="1"/>
  <c r="K250" i="1"/>
  <c r="J250" i="1"/>
  <c r="I250" i="1" s="1"/>
  <c r="O250" i="1"/>
  <c r="K255" i="1"/>
  <c r="AI233" i="1"/>
  <c r="L233" i="1"/>
  <c r="AL241" i="1"/>
  <c r="T241" i="1"/>
  <c r="J245" i="1"/>
  <c r="I245" i="1" s="1"/>
  <c r="AI245" i="1"/>
  <c r="L245" i="1"/>
  <c r="AL247" i="1"/>
  <c r="T247" i="1"/>
  <c r="L251" i="1"/>
  <c r="AI251" i="1"/>
  <c r="L254" i="1"/>
  <c r="K254" i="1"/>
  <c r="J254" i="1"/>
  <c r="I254" i="1" s="1"/>
  <c r="O254" i="1"/>
  <c r="L258" i="1"/>
  <c r="K258" i="1"/>
  <c r="J258" i="1"/>
  <c r="I258" i="1" s="1"/>
  <c r="O258" i="1"/>
  <c r="AI230" i="1"/>
  <c r="K231" i="1"/>
  <c r="AL231" i="1"/>
  <c r="O233" i="1"/>
  <c r="AL245" i="1"/>
  <c r="T245" i="1"/>
  <c r="U248" i="1"/>
  <c r="V248" i="1" s="1"/>
  <c r="J249" i="1"/>
  <c r="I249" i="1" s="1"/>
  <c r="AI249" i="1"/>
  <c r="L249" i="1"/>
  <c r="AL251" i="1"/>
  <c r="T251" i="1"/>
  <c r="AI254" i="1"/>
  <c r="L255" i="1"/>
  <c r="AI255" i="1"/>
  <c r="AI258" i="1"/>
  <c r="L259" i="1"/>
  <c r="AI259" i="1"/>
  <c r="T223" i="1"/>
  <c r="T227" i="1"/>
  <c r="J230" i="1"/>
  <c r="I230" i="1" s="1"/>
  <c r="AL232" i="1"/>
  <c r="AL233" i="1"/>
  <c r="T233" i="1"/>
  <c r="X243" i="1"/>
  <c r="AL249" i="1"/>
  <c r="T249" i="1"/>
  <c r="J253" i="1"/>
  <c r="I253" i="1" s="1"/>
  <c r="AI253" i="1"/>
  <c r="L253" i="1"/>
  <c r="AL255" i="1"/>
  <c r="T255" i="1"/>
  <c r="U256" i="1"/>
  <c r="V256" i="1" s="1"/>
  <c r="J257" i="1"/>
  <c r="I257" i="1" s="1"/>
  <c r="AI257" i="1"/>
  <c r="L257" i="1"/>
  <c r="AL259" i="1"/>
  <c r="T259" i="1"/>
  <c r="AI225" i="1"/>
  <c r="AI229" i="1"/>
  <c r="K230" i="1"/>
  <c r="K234" i="1"/>
  <c r="J234" i="1"/>
  <c r="I234" i="1" s="1"/>
  <c r="K241" i="1"/>
  <c r="X247" i="1"/>
  <c r="AL253" i="1"/>
  <c r="T253" i="1"/>
  <c r="AL257" i="1"/>
  <c r="T257" i="1"/>
  <c r="T218" i="1"/>
  <c r="T222" i="1"/>
  <c r="T226" i="1"/>
  <c r="T230" i="1"/>
  <c r="L238" i="1"/>
  <c r="K238" i="1"/>
  <c r="J238" i="1"/>
  <c r="I238" i="1" s="1"/>
  <c r="K245" i="1"/>
  <c r="J247" i="1"/>
  <c r="I247" i="1" s="1"/>
  <c r="X251" i="1"/>
  <c r="J236" i="1"/>
  <c r="I236" i="1" s="1"/>
  <c r="J240" i="1"/>
  <c r="I240" i="1" s="1"/>
  <c r="J244" i="1"/>
  <c r="I244" i="1" s="1"/>
  <c r="J248" i="1"/>
  <c r="I248" i="1" s="1"/>
  <c r="J252" i="1"/>
  <c r="I252" i="1" s="1"/>
  <c r="U252" i="1" s="1"/>
  <c r="V252" i="1" s="1"/>
  <c r="J256" i="1"/>
  <c r="I256" i="1" s="1"/>
  <c r="K256" i="1"/>
  <c r="AD154" i="1" l="1"/>
  <c r="W154" i="1"/>
  <c r="AA154" i="1" s="1"/>
  <c r="AC154" i="1"/>
  <c r="W114" i="1"/>
  <c r="AA114" i="1" s="1"/>
  <c r="AD114" i="1"/>
  <c r="AE114" i="1" s="1"/>
  <c r="AC114" i="1"/>
  <c r="W43" i="1"/>
  <c r="AA43" i="1" s="1"/>
  <c r="AC43" i="1"/>
  <c r="AD43" i="1"/>
  <c r="AD202" i="1"/>
  <c r="W202" i="1"/>
  <c r="AA202" i="1" s="1"/>
  <c r="AC202" i="1"/>
  <c r="AD94" i="1"/>
  <c r="W94" i="1"/>
  <c r="AA94" i="1" s="1"/>
  <c r="AC94" i="1"/>
  <c r="W39" i="1"/>
  <c r="AA39" i="1" s="1"/>
  <c r="AC39" i="1"/>
  <c r="AD39" i="1"/>
  <c r="W23" i="1"/>
  <c r="AA23" i="1" s="1"/>
  <c r="AD23" i="1"/>
  <c r="AC23" i="1"/>
  <c r="W252" i="1"/>
  <c r="AA252" i="1" s="1"/>
  <c r="AD252" i="1"/>
  <c r="AC252" i="1"/>
  <c r="AD102" i="1"/>
  <c r="W102" i="1"/>
  <c r="AA102" i="1" s="1"/>
  <c r="AC102" i="1"/>
  <c r="W26" i="1"/>
  <c r="AA26" i="1" s="1"/>
  <c r="AD26" i="1"/>
  <c r="AC26" i="1"/>
  <c r="AD71" i="1"/>
  <c r="W71" i="1"/>
  <c r="AA71" i="1" s="1"/>
  <c r="AC71" i="1"/>
  <c r="W31" i="1"/>
  <c r="AA31" i="1" s="1"/>
  <c r="AD31" i="1"/>
  <c r="AC31" i="1"/>
  <c r="W38" i="1"/>
  <c r="AA38" i="1" s="1"/>
  <c r="AD38" i="1"/>
  <c r="AC38" i="1"/>
  <c r="U222" i="1"/>
  <c r="V222" i="1" s="1"/>
  <c r="AB234" i="1"/>
  <c r="R234" i="1"/>
  <c r="P234" i="1" s="1"/>
  <c r="S234" i="1" s="1"/>
  <c r="M234" i="1" s="1"/>
  <c r="N234" i="1" s="1"/>
  <c r="U234" i="1"/>
  <c r="V234" i="1" s="1"/>
  <c r="R253" i="1"/>
  <c r="P253" i="1" s="1"/>
  <c r="S253" i="1" s="1"/>
  <c r="M253" i="1" s="1"/>
  <c r="N253" i="1" s="1"/>
  <c r="AB253" i="1"/>
  <c r="AB230" i="1"/>
  <c r="AB246" i="1"/>
  <c r="U246" i="1"/>
  <c r="V246" i="1" s="1"/>
  <c r="AB222" i="1"/>
  <c r="R222" i="1"/>
  <c r="P222" i="1" s="1"/>
  <c r="S222" i="1" s="1"/>
  <c r="M222" i="1" s="1"/>
  <c r="N222" i="1" s="1"/>
  <c r="AB239" i="1"/>
  <c r="R239" i="1"/>
  <c r="P239" i="1" s="1"/>
  <c r="S239" i="1" s="1"/>
  <c r="M239" i="1" s="1"/>
  <c r="N239" i="1" s="1"/>
  <c r="AB226" i="1"/>
  <c r="AB235" i="1"/>
  <c r="U221" i="1"/>
  <c r="V221" i="1" s="1"/>
  <c r="U211" i="1"/>
  <c r="V211" i="1" s="1"/>
  <c r="AD197" i="1"/>
  <c r="AE197" i="1" s="1"/>
  <c r="W197" i="1"/>
  <c r="AA197" i="1" s="1"/>
  <c r="U203" i="1"/>
  <c r="V203" i="1" s="1"/>
  <c r="U164" i="1"/>
  <c r="V164" i="1" s="1"/>
  <c r="AB204" i="1"/>
  <c r="R189" i="1"/>
  <c r="P189" i="1" s="1"/>
  <c r="S189" i="1" s="1"/>
  <c r="M189" i="1" s="1"/>
  <c r="N189" i="1" s="1"/>
  <c r="AB189" i="1"/>
  <c r="U165" i="1"/>
  <c r="V165" i="1" s="1"/>
  <c r="AB227" i="1"/>
  <c r="R227" i="1"/>
  <c r="P227" i="1" s="1"/>
  <c r="S227" i="1" s="1"/>
  <c r="M227" i="1" s="1"/>
  <c r="N227" i="1" s="1"/>
  <c r="AB176" i="1"/>
  <c r="R176" i="1"/>
  <c r="P176" i="1" s="1"/>
  <c r="S176" i="1" s="1"/>
  <c r="M176" i="1" s="1"/>
  <c r="N176" i="1" s="1"/>
  <c r="U161" i="1"/>
  <c r="V161" i="1" s="1"/>
  <c r="U186" i="1"/>
  <c r="V186" i="1" s="1"/>
  <c r="AB172" i="1"/>
  <c r="AD185" i="1"/>
  <c r="AE185" i="1" s="1"/>
  <c r="W185" i="1"/>
  <c r="AA185" i="1" s="1"/>
  <c r="U162" i="1"/>
  <c r="V162" i="1" s="1"/>
  <c r="U130" i="1"/>
  <c r="V130" i="1" s="1"/>
  <c r="U109" i="1"/>
  <c r="V109" i="1" s="1"/>
  <c r="AB131" i="1"/>
  <c r="U175" i="1"/>
  <c r="V175" i="1" s="1"/>
  <c r="U129" i="1"/>
  <c r="V129" i="1" s="1"/>
  <c r="U93" i="1"/>
  <c r="V93" i="1" s="1"/>
  <c r="U76" i="1"/>
  <c r="V76" i="1" s="1"/>
  <c r="AB126" i="1"/>
  <c r="AB112" i="1"/>
  <c r="U88" i="1"/>
  <c r="V88" i="1" s="1"/>
  <c r="AB68" i="1"/>
  <c r="W117" i="1"/>
  <c r="AA117" i="1" s="1"/>
  <c r="AD117" i="1"/>
  <c r="AB129" i="1"/>
  <c r="W136" i="1"/>
  <c r="AA136" i="1" s="1"/>
  <c r="AD136" i="1"/>
  <c r="AE136" i="1" s="1"/>
  <c r="U60" i="1"/>
  <c r="V60" i="1" s="1"/>
  <c r="AD128" i="1"/>
  <c r="AE128" i="1" s="1"/>
  <c r="AC128" i="1"/>
  <c r="W128" i="1"/>
  <c r="AA128" i="1" s="1"/>
  <c r="U36" i="1"/>
  <c r="V36" i="1" s="1"/>
  <c r="U20" i="1"/>
  <c r="V20" i="1" s="1"/>
  <c r="AD51" i="1"/>
  <c r="AE51" i="1" s="1"/>
  <c r="W51" i="1"/>
  <c r="AA51" i="1" s="1"/>
  <c r="AB46" i="1"/>
  <c r="U33" i="1"/>
  <c r="V33" i="1" s="1"/>
  <c r="AB33" i="1"/>
  <c r="R33" i="1"/>
  <c r="P33" i="1" s="1"/>
  <c r="S33" i="1" s="1"/>
  <c r="M33" i="1" s="1"/>
  <c r="N33" i="1" s="1"/>
  <c r="AB247" i="1"/>
  <c r="R247" i="1"/>
  <c r="P247" i="1" s="1"/>
  <c r="S247" i="1" s="1"/>
  <c r="M247" i="1" s="1"/>
  <c r="N247" i="1" s="1"/>
  <c r="U218" i="1"/>
  <c r="V218" i="1" s="1"/>
  <c r="U227" i="1"/>
  <c r="V227" i="1" s="1"/>
  <c r="AB249" i="1"/>
  <c r="U243" i="1"/>
  <c r="V243" i="1" s="1"/>
  <c r="U228" i="1"/>
  <c r="V228" i="1" s="1"/>
  <c r="U212" i="1"/>
  <c r="V212" i="1" s="1"/>
  <c r="AB210" i="1"/>
  <c r="R210" i="1"/>
  <c r="P210" i="1" s="1"/>
  <c r="S210" i="1" s="1"/>
  <c r="M210" i="1" s="1"/>
  <c r="N210" i="1" s="1"/>
  <c r="AB215" i="1"/>
  <c r="AB224" i="1"/>
  <c r="AB219" i="1"/>
  <c r="R219" i="1"/>
  <c r="P219" i="1" s="1"/>
  <c r="S219" i="1" s="1"/>
  <c r="M219" i="1" s="1"/>
  <c r="N219" i="1" s="1"/>
  <c r="AB196" i="1"/>
  <c r="R196" i="1"/>
  <c r="P196" i="1" s="1"/>
  <c r="S196" i="1" s="1"/>
  <c r="M196" i="1" s="1"/>
  <c r="N196" i="1" s="1"/>
  <c r="AB182" i="1"/>
  <c r="R182" i="1"/>
  <c r="P182" i="1" s="1"/>
  <c r="S182" i="1" s="1"/>
  <c r="M182" i="1" s="1"/>
  <c r="N182" i="1" s="1"/>
  <c r="AB212" i="1"/>
  <c r="AD193" i="1"/>
  <c r="W193" i="1"/>
  <c r="AA193" i="1" s="1"/>
  <c r="U190" i="1"/>
  <c r="V190" i="1" s="1"/>
  <c r="R190" i="1" s="1"/>
  <c r="P190" i="1" s="1"/>
  <c r="S190" i="1" s="1"/>
  <c r="M190" i="1" s="1"/>
  <c r="N190" i="1" s="1"/>
  <c r="AB160" i="1"/>
  <c r="U152" i="1"/>
  <c r="V152" i="1" s="1"/>
  <c r="AD205" i="1"/>
  <c r="AC205" i="1"/>
  <c r="W205" i="1"/>
  <c r="AA205" i="1" s="1"/>
  <c r="AB164" i="1"/>
  <c r="R164" i="1"/>
  <c r="P164" i="1" s="1"/>
  <c r="S164" i="1" s="1"/>
  <c r="M164" i="1" s="1"/>
  <c r="N164" i="1" s="1"/>
  <c r="AB177" i="1"/>
  <c r="AB146" i="1"/>
  <c r="R185" i="1"/>
  <c r="P185" i="1" s="1"/>
  <c r="S185" i="1" s="1"/>
  <c r="M185" i="1" s="1"/>
  <c r="N185" i="1" s="1"/>
  <c r="AB185" i="1"/>
  <c r="AB157" i="1"/>
  <c r="AD143" i="1"/>
  <c r="AE143" i="1" s="1"/>
  <c r="W143" i="1"/>
  <c r="AA143" i="1" s="1"/>
  <c r="AC143" i="1"/>
  <c r="U112" i="1"/>
  <c r="V112" i="1" s="1"/>
  <c r="AC145" i="1"/>
  <c r="AD145" i="1"/>
  <c r="AE145" i="1" s="1"/>
  <c r="W145" i="1"/>
  <c r="AA145" i="1" s="1"/>
  <c r="U105" i="1"/>
  <c r="V105" i="1" s="1"/>
  <c r="W167" i="1"/>
  <c r="AA167" i="1" s="1"/>
  <c r="AC167" i="1"/>
  <c r="AD167" i="1"/>
  <c r="AE167" i="1" s="1"/>
  <c r="U115" i="1"/>
  <c r="V115" i="1" s="1"/>
  <c r="U72" i="1"/>
  <c r="V72" i="1" s="1"/>
  <c r="R102" i="1"/>
  <c r="P102" i="1" s="1"/>
  <c r="S102" i="1" s="1"/>
  <c r="M102" i="1" s="1"/>
  <c r="N102" i="1" s="1"/>
  <c r="AB102" i="1"/>
  <c r="W171" i="1"/>
  <c r="AA171" i="1" s="1"/>
  <c r="AC171" i="1"/>
  <c r="AD171" i="1"/>
  <c r="R99" i="1"/>
  <c r="P99" i="1" s="1"/>
  <c r="S99" i="1" s="1"/>
  <c r="M99" i="1" s="1"/>
  <c r="N99" i="1" s="1"/>
  <c r="AB99" i="1"/>
  <c r="U134" i="1"/>
  <c r="V134" i="1" s="1"/>
  <c r="AB93" i="1"/>
  <c r="R93" i="1"/>
  <c r="P93" i="1" s="1"/>
  <c r="S93" i="1" s="1"/>
  <c r="M93" i="1" s="1"/>
  <c r="N93" i="1" s="1"/>
  <c r="AB149" i="1"/>
  <c r="U149" i="1"/>
  <c r="V149" i="1" s="1"/>
  <c r="R149" i="1"/>
  <c r="P149" i="1" s="1"/>
  <c r="S149" i="1" s="1"/>
  <c r="M149" i="1" s="1"/>
  <c r="N149" i="1" s="1"/>
  <c r="U61" i="1"/>
  <c r="V61" i="1" s="1"/>
  <c r="AB133" i="1"/>
  <c r="AB35" i="1"/>
  <c r="AB19" i="1"/>
  <c r="R19" i="1"/>
  <c r="P19" i="1" s="1"/>
  <c r="S19" i="1" s="1"/>
  <c r="M19" i="1" s="1"/>
  <c r="N19" i="1" s="1"/>
  <c r="U19" i="1"/>
  <c r="V19" i="1" s="1"/>
  <c r="AB64" i="1"/>
  <c r="R64" i="1"/>
  <c r="P64" i="1" s="1"/>
  <c r="S64" i="1" s="1"/>
  <c r="M64" i="1" s="1"/>
  <c r="N64" i="1" s="1"/>
  <c r="W116" i="1"/>
  <c r="AA116" i="1" s="1"/>
  <c r="AD116" i="1"/>
  <c r="AE116" i="1" s="1"/>
  <c r="AB42" i="1"/>
  <c r="W27" i="1"/>
  <c r="AA27" i="1" s="1"/>
  <c r="AD27" i="1"/>
  <c r="AC27" i="1"/>
  <c r="R30" i="1"/>
  <c r="P30" i="1" s="1"/>
  <c r="S30" i="1" s="1"/>
  <c r="M30" i="1" s="1"/>
  <c r="N30" i="1" s="1"/>
  <c r="AB30" i="1"/>
  <c r="U17" i="1"/>
  <c r="V17" i="1" s="1"/>
  <c r="R17" i="1" s="1"/>
  <c r="P17" i="1" s="1"/>
  <c r="S17" i="1" s="1"/>
  <c r="M17" i="1" s="1"/>
  <c r="N17" i="1" s="1"/>
  <c r="AB17" i="1"/>
  <c r="U42" i="1"/>
  <c r="V42" i="1" s="1"/>
  <c r="AC51" i="1"/>
  <c r="U30" i="1"/>
  <c r="V30" i="1" s="1"/>
  <c r="R18" i="1"/>
  <c r="P18" i="1" s="1"/>
  <c r="S18" i="1" s="1"/>
  <c r="M18" i="1" s="1"/>
  <c r="N18" i="1" s="1"/>
  <c r="AB18" i="1"/>
  <c r="W37" i="1"/>
  <c r="AA37" i="1" s="1"/>
  <c r="AD37" i="1"/>
  <c r="AB254" i="1"/>
  <c r="R254" i="1"/>
  <c r="P254" i="1" s="1"/>
  <c r="S254" i="1" s="1"/>
  <c r="M254" i="1" s="1"/>
  <c r="N254" i="1" s="1"/>
  <c r="U254" i="1"/>
  <c r="V254" i="1" s="1"/>
  <c r="AB218" i="1"/>
  <c r="R218" i="1"/>
  <c r="P218" i="1" s="1"/>
  <c r="S218" i="1" s="1"/>
  <c r="M218" i="1" s="1"/>
  <c r="N218" i="1" s="1"/>
  <c r="AB188" i="1"/>
  <c r="U168" i="1"/>
  <c r="V168" i="1" s="1"/>
  <c r="AB228" i="1"/>
  <c r="R228" i="1"/>
  <c r="P228" i="1" s="1"/>
  <c r="S228" i="1" s="1"/>
  <c r="M228" i="1" s="1"/>
  <c r="N228" i="1" s="1"/>
  <c r="U187" i="1"/>
  <c r="V187" i="1" s="1"/>
  <c r="AB103" i="1"/>
  <c r="AB72" i="1"/>
  <c r="AB98" i="1"/>
  <c r="U111" i="1"/>
  <c r="V111" i="1" s="1"/>
  <c r="AB75" i="1"/>
  <c r="AB23" i="1"/>
  <c r="R23" i="1"/>
  <c r="P23" i="1" s="1"/>
  <c r="S23" i="1" s="1"/>
  <c r="M23" i="1" s="1"/>
  <c r="N23" i="1" s="1"/>
  <c r="AB56" i="1"/>
  <c r="AB73" i="1"/>
  <c r="R73" i="1"/>
  <c r="P73" i="1" s="1"/>
  <c r="S73" i="1" s="1"/>
  <c r="M73" i="1" s="1"/>
  <c r="N73" i="1" s="1"/>
  <c r="AB209" i="1"/>
  <c r="AB77" i="1"/>
  <c r="AB34" i="1"/>
  <c r="U21" i="1"/>
  <c r="V21" i="1" s="1"/>
  <c r="AB21" i="1"/>
  <c r="AB32" i="1"/>
  <c r="R32" i="1"/>
  <c r="P32" i="1" s="1"/>
  <c r="S32" i="1" s="1"/>
  <c r="M32" i="1" s="1"/>
  <c r="N32" i="1" s="1"/>
  <c r="R256" i="1"/>
  <c r="P256" i="1" s="1"/>
  <c r="S256" i="1" s="1"/>
  <c r="M256" i="1" s="1"/>
  <c r="N256" i="1" s="1"/>
  <c r="AB256" i="1"/>
  <c r="U257" i="1"/>
  <c r="V257" i="1" s="1"/>
  <c r="R257" i="1"/>
  <c r="P257" i="1" s="1"/>
  <c r="S257" i="1" s="1"/>
  <c r="M257" i="1" s="1"/>
  <c r="N257" i="1" s="1"/>
  <c r="AB257" i="1"/>
  <c r="U249" i="1"/>
  <c r="V249" i="1" s="1"/>
  <c r="R249" i="1" s="1"/>
  <c r="P249" i="1" s="1"/>
  <c r="S249" i="1" s="1"/>
  <c r="M249" i="1" s="1"/>
  <c r="N249" i="1" s="1"/>
  <c r="U223" i="1"/>
  <c r="V223" i="1" s="1"/>
  <c r="W248" i="1"/>
  <c r="AA248" i="1" s="1"/>
  <c r="AD248" i="1"/>
  <c r="AC248" i="1"/>
  <c r="AB245" i="1"/>
  <c r="AB250" i="1"/>
  <c r="U250" i="1"/>
  <c r="V250" i="1" s="1"/>
  <c r="AD216" i="1"/>
  <c r="AE216" i="1" s="1"/>
  <c r="W216" i="1"/>
  <c r="AA216" i="1" s="1"/>
  <c r="AB243" i="1"/>
  <c r="U196" i="1"/>
  <c r="V196" i="1" s="1"/>
  <c r="AB211" i="1"/>
  <c r="R211" i="1"/>
  <c r="P211" i="1" s="1"/>
  <c r="S211" i="1" s="1"/>
  <c r="M211" i="1" s="1"/>
  <c r="N211" i="1" s="1"/>
  <c r="U200" i="1"/>
  <c r="V200" i="1" s="1"/>
  <c r="U215" i="1"/>
  <c r="V215" i="1" s="1"/>
  <c r="R215" i="1" s="1"/>
  <c r="P215" i="1" s="1"/>
  <c r="S215" i="1" s="1"/>
  <c r="M215" i="1" s="1"/>
  <c r="N215" i="1" s="1"/>
  <c r="AB200" i="1"/>
  <c r="U199" i="1"/>
  <c r="V199" i="1" s="1"/>
  <c r="AB194" i="1"/>
  <c r="R194" i="1"/>
  <c r="P194" i="1" s="1"/>
  <c r="S194" i="1" s="1"/>
  <c r="M194" i="1" s="1"/>
  <c r="N194" i="1" s="1"/>
  <c r="R155" i="1"/>
  <c r="P155" i="1" s="1"/>
  <c r="S155" i="1" s="1"/>
  <c r="M155" i="1" s="1"/>
  <c r="N155" i="1" s="1"/>
  <c r="AB155" i="1"/>
  <c r="U155" i="1"/>
  <c r="V155" i="1" s="1"/>
  <c r="U108" i="1"/>
  <c r="V108" i="1" s="1"/>
  <c r="U101" i="1"/>
  <c r="V101" i="1" s="1"/>
  <c r="R141" i="1"/>
  <c r="P141" i="1" s="1"/>
  <c r="S141" i="1" s="1"/>
  <c r="M141" i="1" s="1"/>
  <c r="N141" i="1" s="1"/>
  <c r="AB141" i="1"/>
  <c r="AD123" i="1"/>
  <c r="AE123" i="1" s="1"/>
  <c r="W123" i="1"/>
  <c r="AA123" i="1" s="1"/>
  <c r="W125" i="1"/>
  <c r="AA125" i="1" s="1"/>
  <c r="AD125" i="1"/>
  <c r="AE125" i="1" s="1"/>
  <c r="W110" i="1"/>
  <c r="AA110" i="1" s="1"/>
  <c r="AD110" i="1"/>
  <c r="R151" i="1"/>
  <c r="P151" i="1" s="1"/>
  <c r="S151" i="1" s="1"/>
  <c r="M151" i="1" s="1"/>
  <c r="N151" i="1" s="1"/>
  <c r="AB151" i="1"/>
  <c r="AB86" i="1"/>
  <c r="R86" i="1"/>
  <c r="P86" i="1" s="1"/>
  <c r="S86" i="1" s="1"/>
  <c r="M86" i="1" s="1"/>
  <c r="N86" i="1" s="1"/>
  <c r="W124" i="1"/>
  <c r="AA124" i="1" s="1"/>
  <c r="AD124" i="1"/>
  <c r="AB107" i="1"/>
  <c r="AB96" i="1"/>
  <c r="U99" i="1"/>
  <c r="V99" i="1" s="1"/>
  <c r="AD81" i="1"/>
  <c r="W81" i="1"/>
  <c r="AA81" i="1" s="1"/>
  <c r="AB74" i="1"/>
  <c r="U56" i="1"/>
  <c r="V56" i="1" s="1"/>
  <c r="U48" i="1"/>
  <c r="V48" i="1" s="1"/>
  <c r="R48" i="1" s="1"/>
  <c r="P48" i="1" s="1"/>
  <c r="S48" i="1" s="1"/>
  <c r="M48" i="1" s="1"/>
  <c r="N48" i="1" s="1"/>
  <c r="U32" i="1"/>
  <c r="V32" i="1" s="1"/>
  <c r="U151" i="1"/>
  <c r="V151" i="1" s="1"/>
  <c r="AE79" i="1"/>
  <c r="AB52" i="1"/>
  <c r="W85" i="1"/>
  <c r="AA85" i="1" s="1"/>
  <c r="AD85" i="1"/>
  <c r="AC85" i="1"/>
  <c r="U50" i="1"/>
  <c r="V50" i="1" s="1"/>
  <c r="U41" i="1"/>
  <c r="V41" i="1" s="1"/>
  <c r="AB41" i="1"/>
  <c r="R41" i="1"/>
  <c r="P41" i="1" s="1"/>
  <c r="S41" i="1" s="1"/>
  <c r="M41" i="1" s="1"/>
  <c r="N41" i="1" s="1"/>
  <c r="AB28" i="1"/>
  <c r="AB40" i="1"/>
  <c r="U239" i="1"/>
  <c r="V239" i="1" s="1"/>
  <c r="R206" i="1"/>
  <c r="P206" i="1" s="1"/>
  <c r="S206" i="1" s="1"/>
  <c r="M206" i="1" s="1"/>
  <c r="N206" i="1" s="1"/>
  <c r="AB206" i="1"/>
  <c r="U148" i="1"/>
  <c r="V148" i="1" s="1"/>
  <c r="U141" i="1"/>
  <c r="V141" i="1" s="1"/>
  <c r="AD106" i="1"/>
  <c r="W106" i="1"/>
  <c r="AA106" i="1" s="1"/>
  <c r="U70" i="1"/>
  <c r="V70" i="1" s="1"/>
  <c r="R70" i="1" s="1"/>
  <c r="P70" i="1" s="1"/>
  <c r="S70" i="1" s="1"/>
  <c r="M70" i="1" s="1"/>
  <c r="N70" i="1" s="1"/>
  <c r="W47" i="1"/>
  <c r="AA47" i="1" s="1"/>
  <c r="AC47" i="1"/>
  <c r="AD47" i="1"/>
  <c r="M37" i="1"/>
  <c r="N37" i="1" s="1"/>
  <c r="R252" i="1"/>
  <c r="P252" i="1" s="1"/>
  <c r="S252" i="1" s="1"/>
  <c r="M252" i="1" s="1"/>
  <c r="N252" i="1" s="1"/>
  <c r="AB252" i="1"/>
  <c r="AB238" i="1"/>
  <c r="U238" i="1"/>
  <c r="V238" i="1" s="1"/>
  <c r="W256" i="1"/>
  <c r="AA256" i="1" s="1"/>
  <c r="AD256" i="1"/>
  <c r="AC256" i="1"/>
  <c r="AB258" i="1"/>
  <c r="R258" i="1"/>
  <c r="P258" i="1" s="1"/>
  <c r="S258" i="1" s="1"/>
  <c r="M258" i="1" s="1"/>
  <c r="N258" i="1" s="1"/>
  <c r="U258" i="1"/>
  <c r="V258" i="1" s="1"/>
  <c r="U241" i="1"/>
  <c r="V241" i="1" s="1"/>
  <c r="U219" i="1"/>
  <c r="V219" i="1" s="1"/>
  <c r="U224" i="1"/>
  <c r="V224" i="1" s="1"/>
  <c r="W220" i="1"/>
  <c r="AA220" i="1" s="1"/>
  <c r="AD220" i="1"/>
  <c r="U208" i="1"/>
  <c r="V208" i="1" s="1"/>
  <c r="U192" i="1"/>
  <c r="V192" i="1" s="1"/>
  <c r="W232" i="1"/>
  <c r="AA232" i="1" s="1"/>
  <c r="AD232" i="1"/>
  <c r="U207" i="1"/>
  <c r="V207" i="1" s="1"/>
  <c r="AB192" i="1"/>
  <c r="R192" i="1"/>
  <c r="P192" i="1" s="1"/>
  <c r="S192" i="1" s="1"/>
  <c r="M192" i="1" s="1"/>
  <c r="N192" i="1" s="1"/>
  <c r="U206" i="1"/>
  <c r="V206" i="1" s="1"/>
  <c r="W174" i="1"/>
  <c r="AA174" i="1" s="1"/>
  <c r="AD174" i="1"/>
  <c r="AD213" i="1"/>
  <c r="AC213" i="1"/>
  <c r="W213" i="1"/>
  <c r="AA213" i="1" s="1"/>
  <c r="AB178" i="1"/>
  <c r="R178" i="1"/>
  <c r="P178" i="1" s="1"/>
  <c r="S178" i="1" s="1"/>
  <c r="M178" i="1" s="1"/>
  <c r="N178" i="1" s="1"/>
  <c r="U181" i="1"/>
  <c r="V181" i="1" s="1"/>
  <c r="W170" i="1"/>
  <c r="AA170" i="1" s="1"/>
  <c r="AD170" i="1"/>
  <c r="AB197" i="1"/>
  <c r="R197" i="1"/>
  <c r="P197" i="1" s="1"/>
  <c r="S197" i="1" s="1"/>
  <c r="M197" i="1" s="1"/>
  <c r="N197" i="1" s="1"/>
  <c r="U178" i="1"/>
  <c r="V178" i="1" s="1"/>
  <c r="AB154" i="1"/>
  <c r="R154" i="1"/>
  <c r="P154" i="1" s="1"/>
  <c r="S154" i="1" s="1"/>
  <c r="M154" i="1" s="1"/>
  <c r="N154" i="1" s="1"/>
  <c r="U142" i="1"/>
  <c r="V142" i="1" s="1"/>
  <c r="AB168" i="1"/>
  <c r="R168" i="1"/>
  <c r="P168" i="1" s="1"/>
  <c r="S168" i="1" s="1"/>
  <c r="M168" i="1" s="1"/>
  <c r="N168" i="1" s="1"/>
  <c r="U160" i="1"/>
  <c r="V160" i="1" s="1"/>
  <c r="R160" i="1" s="1"/>
  <c r="P160" i="1" s="1"/>
  <c r="S160" i="1" s="1"/>
  <c r="M160" i="1" s="1"/>
  <c r="N160" i="1" s="1"/>
  <c r="M173" i="1"/>
  <c r="N173" i="1" s="1"/>
  <c r="AB152" i="1"/>
  <c r="R152" i="1"/>
  <c r="P152" i="1" s="1"/>
  <c r="S152" i="1" s="1"/>
  <c r="M152" i="1" s="1"/>
  <c r="N152" i="1" s="1"/>
  <c r="U97" i="1"/>
  <c r="V97" i="1" s="1"/>
  <c r="AD150" i="1"/>
  <c r="W150" i="1"/>
  <c r="AA150" i="1" s="1"/>
  <c r="AC150" i="1"/>
  <c r="U121" i="1"/>
  <c r="V121" i="1" s="1"/>
  <c r="AB92" i="1"/>
  <c r="AB170" i="1"/>
  <c r="R170" i="1"/>
  <c r="P170" i="1" s="1"/>
  <c r="S170" i="1" s="1"/>
  <c r="M170" i="1" s="1"/>
  <c r="N170" i="1" s="1"/>
  <c r="U146" i="1"/>
  <c r="V146" i="1" s="1"/>
  <c r="U137" i="1"/>
  <c r="V137" i="1" s="1"/>
  <c r="U78" i="1"/>
  <c r="V78" i="1" s="1"/>
  <c r="R71" i="1"/>
  <c r="P71" i="1" s="1"/>
  <c r="S71" i="1" s="1"/>
  <c r="M71" i="1" s="1"/>
  <c r="N71" i="1" s="1"/>
  <c r="AB71" i="1"/>
  <c r="AB47" i="1"/>
  <c r="R47" i="1"/>
  <c r="P47" i="1" s="1"/>
  <c r="S47" i="1" s="1"/>
  <c r="M47" i="1" s="1"/>
  <c r="N47" i="1" s="1"/>
  <c r="AB31" i="1"/>
  <c r="R31" i="1"/>
  <c r="P31" i="1" s="1"/>
  <c r="S31" i="1" s="1"/>
  <c r="M31" i="1" s="1"/>
  <c r="N31" i="1" s="1"/>
  <c r="AB60" i="1"/>
  <c r="U77" i="1"/>
  <c r="V77" i="1" s="1"/>
  <c r="U69" i="1"/>
  <c r="V69" i="1" s="1"/>
  <c r="W87" i="1"/>
  <c r="AA87" i="1" s="1"/>
  <c r="AD87" i="1"/>
  <c r="AE87" i="1" s="1"/>
  <c r="U49" i="1"/>
  <c r="V49" i="1" s="1"/>
  <c r="R49" i="1" s="1"/>
  <c r="P49" i="1" s="1"/>
  <c r="S49" i="1" s="1"/>
  <c r="M49" i="1" s="1"/>
  <c r="N49" i="1" s="1"/>
  <c r="AB49" i="1"/>
  <c r="U34" i="1"/>
  <c r="V34" i="1" s="1"/>
  <c r="W67" i="1"/>
  <c r="AA67" i="1" s="1"/>
  <c r="AD67" i="1"/>
  <c r="AC67" i="1"/>
  <c r="AB84" i="1"/>
  <c r="R84" i="1"/>
  <c r="P84" i="1" s="1"/>
  <c r="S84" i="1" s="1"/>
  <c r="M84" i="1" s="1"/>
  <c r="N84" i="1" s="1"/>
  <c r="AB48" i="1"/>
  <c r="R236" i="1"/>
  <c r="P236" i="1" s="1"/>
  <c r="S236" i="1" s="1"/>
  <c r="M236" i="1" s="1"/>
  <c r="N236" i="1" s="1"/>
  <c r="AB236" i="1"/>
  <c r="AB169" i="1"/>
  <c r="R169" i="1"/>
  <c r="P169" i="1" s="1"/>
  <c r="S169" i="1" s="1"/>
  <c r="M169" i="1" s="1"/>
  <c r="N169" i="1" s="1"/>
  <c r="U113" i="1"/>
  <c r="V113" i="1" s="1"/>
  <c r="U126" i="1"/>
  <c r="V126" i="1" s="1"/>
  <c r="U80" i="1"/>
  <c r="V80" i="1" s="1"/>
  <c r="U245" i="1"/>
  <c r="V245" i="1" s="1"/>
  <c r="R248" i="1"/>
  <c r="P248" i="1" s="1"/>
  <c r="S248" i="1" s="1"/>
  <c r="M248" i="1" s="1"/>
  <c r="N248" i="1" s="1"/>
  <c r="AB248" i="1"/>
  <c r="U253" i="1"/>
  <c r="V253" i="1" s="1"/>
  <c r="U255" i="1"/>
  <c r="V255" i="1" s="1"/>
  <c r="AB242" i="1"/>
  <c r="R242" i="1"/>
  <c r="P242" i="1" s="1"/>
  <c r="S242" i="1" s="1"/>
  <c r="M242" i="1" s="1"/>
  <c r="N242" i="1" s="1"/>
  <c r="U242" i="1"/>
  <c r="V242" i="1" s="1"/>
  <c r="AD231" i="1"/>
  <c r="AE231" i="1" s="1"/>
  <c r="W231" i="1"/>
  <c r="AA231" i="1" s="1"/>
  <c r="AB216" i="1"/>
  <c r="R216" i="1"/>
  <c r="P216" i="1" s="1"/>
  <c r="S216" i="1" s="1"/>
  <c r="M216" i="1" s="1"/>
  <c r="N216" i="1" s="1"/>
  <c r="R220" i="1"/>
  <c r="P220" i="1" s="1"/>
  <c r="S220" i="1" s="1"/>
  <c r="M220" i="1" s="1"/>
  <c r="N220" i="1" s="1"/>
  <c r="AB220" i="1"/>
  <c r="U188" i="1"/>
  <c r="V188" i="1" s="1"/>
  <c r="U209" i="1"/>
  <c r="V209" i="1" s="1"/>
  <c r="AB193" i="1"/>
  <c r="R193" i="1"/>
  <c r="P193" i="1" s="1"/>
  <c r="S193" i="1" s="1"/>
  <c r="M193" i="1" s="1"/>
  <c r="N193" i="1" s="1"/>
  <c r="AB190" i="1"/>
  <c r="AC174" i="1"/>
  <c r="W198" i="1"/>
  <c r="AA198" i="1" s="1"/>
  <c r="AD198" i="1"/>
  <c r="AE198" i="1" s="1"/>
  <c r="AC198" i="1"/>
  <c r="M147" i="1"/>
  <c r="N147" i="1" s="1"/>
  <c r="AB187" i="1"/>
  <c r="AD140" i="1"/>
  <c r="AE140" i="1" s="1"/>
  <c r="W140" i="1"/>
  <c r="AA140" i="1" s="1"/>
  <c r="R150" i="1"/>
  <c r="P150" i="1" s="1"/>
  <c r="S150" i="1" s="1"/>
  <c r="M150" i="1" s="1"/>
  <c r="N150" i="1" s="1"/>
  <c r="U159" i="1"/>
  <c r="V159" i="1" s="1"/>
  <c r="U104" i="1"/>
  <c r="V104" i="1" s="1"/>
  <c r="R140" i="1"/>
  <c r="P140" i="1" s="1"/>
  <c r="S140" i="1" s="1"/>
  <c r="M140" i="1" s="1"/>
  <c r="N140" i="1" s="1"/>
  <c r="AC124" i="1"/>
  <c r="U96" i="1"/>
  <c r="V96" i="1" s="1"/>
  <c r="R96" i="1" s="1"/>
  <c r="P96" i="1" s="1"/>
  <c r="S96" i="1" s="1"/>
  <c r="M96" i="1" s="1"/>
  <c r="N96" i="1" s="1"/>
  <c r="R124" i="1"/>
  <c r="P124" i="1" s="1"/>
  <c r="S124" i="1" s="1"/>
  <c r="M124" i="1" s="1"/>
  <c r="N124" i="1" s="1"/>
  <c r="AB115" i="1"/>
  <c r="R106" i="1"/>
  <c r="P106" i="1" s="1"/>
  <c r="S106" i="1" s="1"/>
  <c r="M106" i="1" s="1"/>
  <c r="N106" i="1" s="1"/>
  <c r="AB106" i="1"/>
  <c r="U74" i="1"/>
  <c r="V74" i="1" s="1"/>
  <c r="AB139" i="1"/>
  <c r="R139" i="1"/>
  <c r="P139" i="1" s="1"/>
  <c r="S139" i="1" s="1"/>
  <c r="M139" i="1" s="1"/>
  <c r="N139" i="1" s="1"/>
  <c r="U139" i="1"/>
  <c r="V139" i="1" s="1"/>
  <c r="AB122" i="1"/>
  <c r="U132" i="1"/>
  <c r="V132" i="1" s="1"/>
  <c r="U157" i="1"/>
  <c r="V157" i="1" s="1"/>
  <c r="R157" i="1" s="1"/>
  <c r="P157" i="1" s="1"/>
  <c r="S157" i="1" s="1"/>
  <c r="M157" i="1" s="1"/>
  <c r="N157" i="1" s="1"/>
  <c r="AB69" i="1"/>
  <c r="U119" i="1"/>
  <c r="V119" i="1" s="1"/>
  <c r="AB119" i="1"/>
  <c r="R119" i="1"/>
  <c r="P119" i="1" s="1"/>
  <c r="S119" i="1" s="1"/>
  <c r="M119" i="1" s="1"/>
  <c r="N119" i="1" s="1"/>
  <c r="AB70" i="1"/>
  <c r="R116" i="1"/>
  <c r="P116" i="1" s="1"/>
  <c r="S116" i="1" s="1"/>
  <c r="M116" i="1" s="1"/>
  <c r="N116" i="1" s="1"/>
  <c r="U44" i="1"/>
  <c r="V44" i="1" s="1"/>
  <c r="U28" i="1"/>
  <c r="V28" i="1" s="1"/>
  <c r="AB83" i="1"/>
  <c r="R83" i="1"/>
  <c r="P83" i="1" s="1"/>
  <c r="S83" i="1" s="1"/>
  <c r="M83" i="1" s="1"/>
  <c r="N83" i="1" s="1"/>
  <c r="U75" i="1"/>
  <c r="V75" i="1" s="1"/>
  <c r="AD54" i="1"/>
  <c r="AE54" i="1" s="1"/>
  <c r="AC54" i="1"/>
  <c r="W54" i="1"/>
  <c r="AA54" i="1" s="1"/>
  <c r="U46" i="1"/>
  <c r="V46" i="1" s="1"/>
  <c r="AB22" i="1"/>
  <c r="AB44" i="1"/>
  <c r="R44" i="1"/>
  <c r="P44" i="1" s="1"/>
  <c r="S44" i="1" s="1"/>
  <c r="M44" i="1" s="1"/>
  <c r="N44" i="1" s="1"/>
  <c r="AB24" i="1"/>
  <c r="U22" i="1"/>
  <c r="V22" i="1" s="1"/>
  <c r="R22" i="1" s="1"/>
  <c r="P22" i="1" s="1"/>
  <c r="S22" i="1" s="1"/>
  <c r="M22" i="1" s="1"/>
  <c r="N22" i="1" s="1"/>
  <c r="W45" i="1"/>
  <c r="AA45" i="1" s="1"/>
  <c r="AD45" i="1"/>
  <c r="AE45" i="1" s="1"/>
  <c r="W25" i="1"/>
  <c r="AA25" i="1" s="1"/>
  <c r="AD25" i="1"/>
  <c r="AE25" i="1" s="1"/>
  <c r="U226" i="1"/>
  <c r="V226" i="1" s="1"/>
  <c r="AB237" i="1"/>
  <c r="U182" i="1"/>
  <c r="V182" i="1" s="1"/>
  <c r="AB118" i="1"/>
  <c r="R118" i="1"/>
  <c r="P118" i="1" s="1"/>
  <c r="S118" i="1" s="1"/>
  <c r="M118" i="1" s="1"/>
  <c r="N118" i="1" s="1"/>
  <c r="AD86" i="1"/>
  <c r="W86" i="1"/>
  <c r="AA86" i="1" s="1"/>
  <c r="AB39" i="1"/>
  <c r="R39" i="1"/>
  <c r="P39" i="1" s="1"/>
  <c r="S39" i="1" s="1"/>
  <c r="M39" i="1" s="1"/>
  <c r="N39" i="1" s="1"/>
  <c r="U53" i="1"/>
  <c r="V53" i="1" s="1"/>
  <c r="AB244" i="1"/>
  <c r="U244" i="1"/>
  <c r="V244" i="1" s="1"/>
  <c r="R244" i="1" s="1"/>
  <c r="P244" i="1" s="1"/>
  <c r="S244" i="1" s="1"/>
  <c r="M244" i="1" s="1"/>
  <c r="N244" i="1" s="1"/>
  <c r="U259" i="1"/>
  <c r="V259" i="1" s="1"/>
  <c r="U233" i="1"/>
  <c r="V233" i="1" s="1"/>
  <c r="U251" i="1"/>
  <c r="V251" i="1" s="1"/>
  <c r="U236" i="1"/>
  <c r="V236" i="1" s="1"/>
  <c r="R241" i="1"/>
  <c r="P241" i="1" s="1"/>
  <c r="S241" i="1" s="1"/>
  <c r="M241" i="1" s="1"/>
  <c r="N241" i="1" s="1"/>
  <c r="AB241" i="1"/>
  <c r="AC220" i="1"/>
  <c r="U184" i="1"/>
  <c r="V184" i="1" s="1"/>
  <c r="U204" i="1"/>
  <c r="V204" i="1" s="1"/>
  <c r="R204" i="1" s="1"/>
  <c r="P204" i="1" s="1"/>
  <c r="S204" i="1" s="1"/>
  <c r="M204" i="1" s="1"/>
  <c r="N204" i="1" s="1"/>
  <c r="AB214" i="1"/>
  <c r="R214" i="1"/>
  <c r="P214" i="1" s="1"/>
  <c r="S214" i="1" s="1"/>
  <c r="M214" i="1" s="1"/>
  <c r="N214" i="1" s="1"/>
  <c r="U237" i="1"/>
  <c r="V237" i="1" s="1"/>
  <c r="U176" i="1"/>
  <c r="V176" i="1" s="1"/>
  <c r="U189" i="1"/>
  <c r="V189" i="1" s="1"/>
  <c r="AC197" i="1"/>
  <c r="W166" i="1"/>
  <c r="AA166" i="1" s="1"/>
  <c r="AD166" i="1"/>
  <c r="AE166" i="1" s="1"/>
  <c r="AD173" i="1"/>
  <c r="AE173" i="1" s="1"/>
  <c r="W173" i="1"/>
  <c r="AA173" i="1" s="1"/>
  <c r="AC173" i="1"/>
  <c r="AC166" i="1"/>
  <c r="AC170" i="1"/>
  <c r="R167" i="1"/>
  <c r="P167" i="1" s="1"/>
  <c r="S167" i="1" s="1"/>
  <c r="M167" i="1" s="1"/>
  <c r="N167" i="1" s="1"/>
  <c r="AB223" i="1"/>
  <c r="R223" i="1"/>
  <c r="P223" i="1" s="1"/>
  <c r="S223" i="1" s="1"/>
  <c r="M223" i="1" s="1"/>
  <c r="N223" i="1" s="1"/>
  <c r="U177" i="1"/>
  <c r="V177" i="1" s="1"/>
  <c r="W163" i="1"/>
  <c r="AA163" i="1" s="1"/>
  <c r="AD163" i="1"/>
  <c r="AC163" i="1"/>
  <c r="U133" i="1"/>
  <c r="V133" i="1" s="1"/>
  <c r="U169" i="1"/>
  <c r="V169" i="1" s="1"/>
  <c r="U144" i="1"/>
  <c r="V144" i="1" s="1"/>
  <c r="U107" i="1"/>
  <c r="V107" i="1" s="1"/>
  <c r="R107" i="1" s="1"/>
  <c r="P107" i="1" s="1"/>
  <c r="S107" i="1" s="1"/>
  <c r="M107" i="1" s="1"/>
  <c r="N107" i="1" s="1"/>
  <c r="AB104" i="1"/>
  <c r="R104" i="1"/>
  <c r="P104" i="1" s="1"/>
  <c r="S104" i="1" s="1"/>
  <c r="M104" i="1" s="1"/>
  <c r="N104" i="1" s="1"/>
  <c r="AB80" i="1"/>
  <c r="R80" i="1"/>
  <c r="P80" i="1" s="1"/>
  <c r="S80" i="1" s="1"/>
  <c r="M80" i="1" s="1"/>
  <c r="N80" i="1" s="1"/>
  <c r="U127" i="1"/>
  <c r="V127" i="1" s="1"/>
  <c r="AB127" i="1"/>
  <c r="U118" i="1"/>
  <c r="V118" i="1" s="1"/>
  <c r="R110" i="1"/>
  <c r="P110" i="1" s="1"/>
  <c r="S110" i="1" s="1"/>
  <c r="M110" i="1" s="1"/>
  <c r="N110" i="1" s="1"/>
  <c r="AB110" i="1"/>
  <c r="AD120" i="1"/>
  <c r="AC120" i="1"/>
  <c r="W120" i="1"/>
  <c r="AA120" i="1" s="1"/>
  <c r="AB108" i="1"/>
  <c r="R108" i="1"/>
  <c r="P108" i="1" s="1"/>
  <c r="S108" i="1" s="1"/>
  <c r="M108" i="1" s="1"/>
  <c r="N108" i="1" s="1"/>
  <c r="AB94" i="1"/>
  <c r="R94" i="1"/>
  <c r="P94" i="1" s="1"/>
  <c r="S94" i="1" s="1"/>
  <c r="M94" i="1" s="1"/>
  <c r="N94" i="1" s="1"/>
  <c r="W147" i="1"/>
  <c r="AA147" i="1" s="1"/>
  <c r="AC147" i="1"/>
  <c r="AD147" i="1"/>
  <c r="AE147" i="1" s="1"/>
  <c r="R111" i="1"/>
  <c r="P111" i="1" s="1"/>
  <c r="S111" i="1" s="1"/>
  <c r="M111" i="1" s="1"/>
  <c r="N111" i="1" s="1"/>
  <c r="AB111" i="1"/>
  <c r="U138" i="1"/>
  <c r="V138" i="1" s="1"/>
  <c r="AC123" i="1"/>
  <c r="AE91" i="1"/>
  <c r="AB78" i="1"/>
  <c r="R78" i="1"/>
  <c r="P78" i="1" s="1"/>
  <c r="S78" i="1" s="1"/>
  <c r="M78" i="1" s="1"/>
  <c r="N78" i="1" s="1"/>
  <c r="U65" i="1"/>
  <c r="V65" i="1" s="1"/>
  <c r="AB50" i="1"/>
  <c r="R50" i="1"/>
  <c r="P50" i="1" s="1"/>
  <c r="S50" i="1" s="1"/>
  <c r="M50" i="1" s="1"/>
  <c r="N50" i="1" s="1"/>
  <c r="AB81" i="1"/>
  <c r="R81" i="1"/>
  <c r="P81" i="1" s="1"/>
  <c r="S81" i="1" s="1"/>
  <c r="M81" i="1" s="1"/>
  <c r="N81" i="1" s="1"/>
  <c r="U68" i="1"/>
  <c r="V68" i="1" s="1"/>
  <c r="R68" i="1" s="1"/>
  <c r="P68" i="1" s="1"/>
  <c r="S68" i="1" s="1"/>
  <c r="M68" i="1" s="1"/>
  <c r="N68" i="1" s="1"/>
  <c r="U52" i="1"/>
  <c r="V52" i="1" s="1"/>
  <c r="R52" i="1" s="1"/>
  <c r="P52" i="1" s="1"/>
  <c r="S52" i="1" s="1"/>
  <c r="M52" i="1" s="1"/>
  <c r="N52" i="1" s="1"/>
  <c r="AB43" i="1"/>
  <c r="R43" i="1"/>
  <c r="P43" i="1" s="1"/>
  <c r="S43" i="1" s="1"/>
  <c r="M43" i="1" s="1"/>
  <c r="N43" i="1" s="1"/>
  <c r="AB27" i="1"/>
  <c r="R27" i="1"/>
  <c r="P27" i="1" s="1"/>
  <c r="S27" i="1" s="1"/>
  <c r="M27" i="1" s="1"/>
  <c r="N27" i="1" s="1"/>
  <c r="U95" i="1"/>
  <c r="V95" i="1" s="1"/>
  <c r="U57" i="1"/>
  <c r="V57" i="1" s="1"/>
  <c r="W84" i="1"/>
  <c r="AA84" i="1" s="1"/>
  <c r="AD84" i="1"/>
  <c r="AE84" i="1" s="1"/>
  <c r="U66" i="1"/>
  <c r="V66" i="1" s="1"/>
  <c r="AB66" i="1"/>
  <c r="R66" i="1"/>
  <c r="P66" i="1" s="1"/>
  <c r="S66" i="1" s="1"/>
  <c r="M66" i="1" s="1"/>
  <c r="N66" i="1" s="1"/>
  <c r="U35" i="1"/>
  <c r="V35" i="1" s="1"/>
  <c r="AB20" i="1"/>
  <c r="W29" i="1"/>
  <c r="AA29" i="1" s="1"/>
  <c r="AD29" i="1"/>
  <c r="AE29" i="1" s="1"/>
  <c r="U18" i="1"/>
  <c r="V18" i="1" s="1"/>
  <c r="W214" i="1"/>
  <c r="AA214" i="1" s="1"/>
  <c r="AD214" i="1"/>
  <c r="AE214" i="1" s="1"/>
  <c r="AB207" i="1"/>
  <c r="R207" i="1"/>
  <c r="P207" i="1" s="1"/>
  <c r="S207" i="1" s="1"/>
  <c r="M207" i="1" s="1"/>
  <c r="N207" i="1" s="1"/>
  <c r="AB161" i="1"/>
  <c r="R114" i="1"/>
  <c r="P114" i="1" s="1"/>
  <c r="S114" i="1" s="1"/>
  <c r="M114" i="1" s="1"/>
  <c r="N114" i="1" s="1"/>
  <c r="AB114" i="1"/>
  <c r="W158" i="1"/>
  <c r="AA158" i="1" s="1"/>
  <c r="AD158" i="1"/>
  <c r="AC158" i="1"/>
  <c r="AD89" i="1"/>
  <c r="AE89" i="1" s="1"/>
  <c r="W89" i="1"/>
  <c r="AA89" i="1" s="1"/>
  <c r="AC89" i="1"/>
  <c r="U100" i="1"/>
  <c r="V100" i="1" s="1"/>
  <c r="AB240" i="1"/>
  <c r="U230" i="1"/>
  <c r="V230" i="1" s="1"/>
  <c r="U247" i="1"/>
  <c r="V247" i="1" s="1"/>
  <c r="U235" i="1"/>
  <c r="V235" i="1" s="1"/>
  <c r="R235" i="1" s="1"/>
  <c r="P235" i="1" s="1"/>
  <c r="S235" i="1" s="1"/>
  <c r="M235" i="1" s="1"/>
  <c r="N235" i="1" s="1"/>
  <c r="W229" i="1"/>
  <c r="AA229" i="1" s="1"/>
  <c r="AC229" i="1"/>
  <c r="AD229" i="1"/>
  <c r="AE229" i="1" s="1"/>
  <c r="U240" i="1"/>
  <c r="V240" i="1" s="1"/>
  <c r="R232" i="1"/>
  <c r="P232" i="1" s="1"/>
  <c r="S232" i="1" s="1"/>
  <c r="M232" i="1" s="1"/>
  <c r="N232" i="1" s="1"/>
  <c r="AB232" i="1"/>
  <c r="R202" i="1"/>
  <c r="P202" i="1" s="1"/>
  <c r="S202" i="1" s="1"/>
  <c r="M202" i="1" s="1"/>
  <c r="N202" i="1" s="1"/>
  <c r="AB202" i="1"/>
  <c r="U180" i="1"/>
  <c r="V180" i="1" s="1"/>
  <c r="R213" i="1"/>
  <c r="P213" i="1" s="1"/>
  <c r="S213" i="1" s="1"/>
  <c r="M213" i="1" s="1"/>
  <c r="N213" i="1" s="1"/>
  <c r="AB213" i="1"/>
  <c r="U201" i="1"/>
  <c r="V201" i="1" s="1"/>
  <c r="R201" i="1" s="1"/>
  <c r="P201" i="1" s="1"/>
  <c r="S201" i="1" s="1"/>
  <c r="M201" i="1" s="1"/>
  <c r="N201" i="1" s="1"/>
  <c r="AB201" i="1"/>
  <c r="U225" i="1"/>
  <c r="V225" i="1" s="1"/>
  <c r="U172" i="1"/>
  <c r="V172" i="1" s="1"/>
  <c r="U194" i="1"/>
  <c r="V194" i="1" s="1"/>
  <c r="R183" i="1"/>
  <c r="P183" i="1" s="1"/>
  <c r="S183" i="1" s="1"/>
  <c r="M183" i="1" s="1"/>
  <c r="N183" i="1" s="1"/>
  <c r="AB183" i="1"/>
  <c r="U183" i="1"/>
  <c r="V183" i="1" s="1"/>
  <c r="AB184" i="1"/>
  <c r="R184" i="1"/>
  <c r="P184" i="1" s="1"/>
  <c r="S184" i="1" s="1"/>
  <c r="M184" i="1" s="1"/>
  <c r="N184" i="1" s="1"/>
  <c r="AB203" i="1"/>
  <c r="R203" i="1"/>
  <c r="P203" i="1" s="1"/>
  <c r="S203" i="1" s="1"/>
  <c r="M203" i="1" s="1"/>
  <c r="N203" i="1" s="1"/>
  <c r="AB179" i="1"/>
  <c r="U179" i="1"/>
  <c r="V179" i="1" s="1"/>
  <c r="U210" i="1"/>
  <c r="V210" i="1" s="1"/>
  <c r="U156" i="1"/>
  <c r="V156" i="1" s="1"/>
  <c r="U135" i="1"/>
  <c r="V135" i="1" s="1"/>
  <c r="R135" i="1"/>
  <c r="P135" i="1" s="1"/>
  <c r="S135" i="1" s="1"/>
  <c r="M135" i="1" s="1"/>
  <c r="N135" i="1" s="1"/>
  <c r="AB135" i="1"/>
  <c r="U122" i="1"/>
  <c r="V122" i="1" s="1"/>
  <c r="R122" i="1" s="1"/>
  <c r="P122" i="1" s="1"/>
  <c r="S122" i="1" s="1"/>
  <c r="M122" i="1" s="1"/>
  <c r="N122" i="1" s="1"/>
  <c r="AB144" i="1"/>
  <c r="U103" i="1"/>
  <c r="V103" i="1" s="1"/>
  <c r="U131" i="1"/>
  <c r="V131" i="1" s="1"/>
  <c r="R123" i="1"/>
  <c r="P123" i="1" s="1"/>
  <c r="S123" i="1" s="1"/>
  <c r="M123" i="1" s="1"/>
  <c r="N123" i="1" s="1"/>
  <c r="AB100" i="1"/>
  <c r="R100" i="1"/>
  <c r="P100" i="1" s="1"/>
  <c r="S100" i="1" s="1"/>
  <c r="M100" i="1" s="1"/>
  <c r="N100" i="1" s="1"/>
  <c r="AB76" i="1"/>
  <c r="R76" i="1"/>
  <c r="P76" i="1" s="1"/>
  <c r="S76" i="1" s="1"/>
  <c r="M76" i="1" s="1"/>
  <c r="N76" i="1" s="1"/>
  <c r="AC106" i="1"/>
  <c r="W90" i="1"/>
  <c r="AA90" i="1" s="1"/>
  <c r="AD90" i="1"/>
  <c r="AE90" i="1" s="1"/>
  <c r="R90" i="1"/>
  <c r="P90" i="1" s="1"/>
  <c r="S90" i="1" s="1"/>
  <c r="M90" i="1" s="1"/>
  <c r="N90" i="1" s="1"/>
  <c r="AC90" i="1"/>
  <c r="U92" i="1"/>
  <c r="V92" i="1" s="1"/>
  <c r="U64" i="1"/>
  <c r="V64" i="1" s="1"/>
  <c r="AB137" i="1"/>
  <c r="R137" i="1"/>
  <c r="P137" i="1" s="1"/>
  <c r="S137" i="1" s="1"/>
  <c r="M137" i="1" s="1"/>
  <c r="N137" i="1" s="1"/>
  <c r="U98" i="1"/>
  <c r="V98" i="1" s="1"/>
  <c r="R98" i="1" s="1"/>
  <c r="P98" i="1" s="1"/>
  <c r="S98" i="1" s="1"/>
  <c r="M98" i="1" s="1"/>
  <c r="N98" i="1" s="1"/>
  <c r="U40" i="1"/>
  <c r="V40" i="1" s="1"/>
  <c r="R40" i="1" s="1"/>
  <c r="P40" i="1" s="1"/>
  <c r="S40" i="1" s="1"/>
  <c r="M40" i="1" s="1"/>
  <c r="N40" i="1" s="1"/>
  <c r="U24" i="1"/>
  <c r="V24" i="1" s="1"/>
  <c r="U73" i="1"/>
  <c r="V73" i="1" s="1"/>
  <c r="U62" i="1"/>
  <c r="V62" i="1" s="1"/>
  <c r="AB62" i="1"/>
  <c r="AC117" i="1"/>
  <c r="U83" i="1"/>
  <c r="V83" i="1" s="1"/>
  <c r="R26" i="1"/>
  <c r="P26" i="1" s="1"/>
  <c r="S26" i="1" s="1"/>
  <c r="M26" i="1" s="1"/>
  <c r="N26" i="1" s="1"/>
  <c r="AB26" i="1"/>
  <c r="W63" i="1"/>
  <c r="AA63" i="1" s="1"/>
  <c r="AD63" i="1"/>
  <c r="AE63" i="1" s="1"/>
  <c r="AC63" i="1"/>
  <c r="R38" i="1"/>
  <c r="P38" i="1" s="1"/>
  <c r="S38" i="1" s="1"/>
  <c r="M38" i="1" s="1"/>
  <c r="N38" i="1" s="1"/>
  <c r="AB38" i="1"/>
  <c r="AB36" i="1"/>
  <c r="R36" i="1"/>
  <c r="P36" i="1" s="1"/>
  <c r="S36" i="1" s="1"/>
  <c r="M36" i="1" s="1"/>
  <c r="N36" i="1" s="1"/>
  <c r="R67" i="1"/>
  <c r="P67" i="1" s="1"/>
  <c r="S67" i="1" s="1"/>
  <c r="M67" i="1" s="1"/>
  <c r="N67" i="1" s="1"/>
  <c r="AC37" i="1"/>
  <c r="AD177" i="1" l="1"/>
  <c r="W177" i="1"/>
  <c r="AA177" i="1" s="1"/>
  <c r="AC177" i="1"/>
  <c r="AD135" i="1"/>
  <c r="W135" i="1"/>
  <c r="AA135" i="1" s="1"/>
  <c r="AC135" i="1"/>
  <c r="W74" i="1"/>
  <c r="AA74" i="1" s="1"/>
  <c r="AD74" i="1"/>
  <c r="AE74" i="1" s="1"/>
  <c r="AC74" i="1"/>
  <c r="W200" i="1"/>
  <c r="AA200" i="1" s="1"/>
  <c r="AD200" i="1"/>
  <c r="AE200" i="1" s="1"/>
  <c r="AC200" i="1"/>
  <c r="AE248" i="1"/>
  <c r="W21" i="1"/>
  <c r="AA21" i="1" s="1"/>
  <c r="AD21" i="1"/>
  <c r="AC21" i="1"/>
  <c r="W30" i="1"/>
  <c r="AA30" i="1" s="1"/>
  <c r="AD30" i="1"/>
  <c r="AC30" i="1"/>
  <c r="AD134" i="1"/>
  <c r="AC134" i="1"/>
  <c r="W134" i="1"/>
  <c r="AA134" i="1" s="1"/>
  <c r="R134" i="1"/>
  <c r="P134" i="1" s="1"/>
  <c r="S134" i="1" s="1"/>
  <c r="M134" i="1" s="1"/>
  <c r="N134" i="1" s="1"/>
  <c r="AD72" i="1"/>
  <c r="AE72" i="1" s="1"/>
  <c r="W72" i="1"/>
  <c r="AA72" i="1" s="1"/>
  <c r="AC72" i="1"/>
  <c r="AD105" i="1"/>
  <c r="AE105" i="1" s="1"/>
  <c r="AC105" i="1"/>
  <c r="W105" i="1"/>
  <c r="AA105" i="1" s="1"/>
  <c r="R105" i="1"/>
  <c r="P105" i="1" s="1"/>
  <c r="S105" i="1" s="1"/>
  <c r="M105" i="1" s="1"/>
  <c r="N105" i="1" s="1"/>
  <c r="W60" i="1"/>
  <c r="AA60" i="1" s="1"/>
  <c r="AD60" i="1"/>
  <c r="AE60" i="1" s="1"/>
  <c r="AC60" i="1"/>
  <c r="W76" i="1"/>
  <c r="AA76" i="1" s="1"/>
  <c r="AD76" i="1"/>
  <c r="AE76" i="1" s="1"/>
  <c r="AC76" i="1"/>
  <c r="W211" i="1"/>
  <c r="AA211" i="1" s="1"/>
  <c r="AD211" i="1"/>
  <c r="AC211" i="1"/>
  <c r="AE71" i="1"/>
  <c r="AE252" i="1"/>
  <c r="AD131" i="1"/>
  <c r="AE131" i="1" s="1"/>
  <c r="W131" i="1"/>
  <c r="AA131" i="1" s="1"/>
  <c r="AC131" i="1"/>
  <c r="W240" i="1"/>
  <c r="AA240" i="1" s="1"/>
  <c r="AD240" i="1"/>
  <c r="AE240" i="1" s="1"/>
  <c r="AC240" i="1"/>
  <c r="AC52" i="1"/>
  <c r="W52" i="1"/>
  <c r="AA52" i="1" s="1"/>
  <c r="AD52" i="1"/>
  <c r="AD259" i="1"/>
  <c r="AE259" i="1" s="1"/>
  <c r="W259" i="1"/>
  <c r="AA259" i="1" s="1"/>
  <c r="AC259" i="1"/>
  <c r="R259" i="1"/>
  <c r="P259" i="1" s="1"/>
  <c r="S259" i="1" s="1"/>
  <c r="M259" i="1" s="1"/>
  <c r="N259" i="1" s="1"/>
  <c r="AD75" i="1"/>
  <c r="AC75" i="1"/>
  <c r="W75" i="1"/>
  <c r="AA75" i="1" s="1"/>
  <c r="AC241" i="1"/>
  <c r="W241" i="1"/>
  <c r="AA241" i="1" s="1"/>
  <c r="AD241" i="1"/>
  <c r="AD73" i="1"/>
  <c r="W73" i="1"/>
  <c r="AA73" i="1" s="1"/>
  <c r="AC73" i="1"/>
  <c r="W64" i="1"/>
  <c r="AA64" i="1" s="1"/>
  <c r="AD64" i="1"/>
  <c r="AC64" i="1"/>
  <c r="W156" i="1"/>
  <c r="AA156" i="1" s="1"/>
  <c r="AD156" i="1"/>
  <c r="AC156" i="1"/>
  <c r="R156" i="1"/>
  <c r="P156" i="1" s="1"/>
  <c r="S156" i="1" s="1"/>
  <c r="M156" i="1" s="1"/>
  <c r="N156" i="1" s="1"/>
  <c r="AE158" i="1"/>
  <c r="AD95" i="1"/>
  <c r="AE95" i="1" s="1"/>
  <c r="W95" i="1"/>
  <c r="AA95" i="1" s="1"/>
  <c r="R95" i="1"/>
  <c r="P95" i="1" s="1"/>
  <c r="S95" i="1" s="1"/>
  <c r="M95" i="1" s="1"/>
  <c r="N95" i="1" s="1"/>
  <c r="AC95" i="1"/>
  <c r="W68" i="1"/>
  <c r="AA68" i="1" s="1"/>
  <c r="AD68" i="1"/>
  <c r="AC68" i="1"/>
  <c r="AE120" i="1"/>
  <c r="AD169" i="1"/>
  <c r="AE169" i="1" s="1"/>
  <c r="W169" i="1"/>
  <c r="AA169" i="1" s="1"/>
  <c r="AC169" i="1"/>
  <c r="W236" i="1"/>
  <c r="AA236" i="1" s="1"/>
  <c r="AD236" i="1"/>
  <c r="AC236" i="1"/>
  <c r="W80" i="1"/>
  <c r="AA80" i="1" s="1"/>
  <c r="AD80" i="1"/>
  <c r="AC80" i="1"/>
  <c r="AD69" i="1"/>
  <c r="W69" i="1"/>
  <c r="AA69" i="1" s="1"/>
  <c r="AC69" i="1"/>
  <c r="AD146" i="1"/>
  <c r="W146" i="1"/>
  <c r="AA146" i="1" s="1"/>
  <c r="AC146" i="1"/>
  <c r="W207" i="1"/>
  <c r="AA207" i="1" s="1"/>
  <c r="AD207" i="1"/>
  <c r="AE207" i="1" s="1"/>
  <c r="AC207" i="1"/>
  <c r="AE220" i="1"/>
  <c r="W258" i="1"/>
  <c r="AA258" i="1" s="1"/>
  <c r="AD258" i="1"/>
  <c r="AC258" i="1"/>
  <c r="AC56" i="1"/>
  <c r="W56" i="1"/>
  <c r="AA56" i="1" s="1"/>
  <c r="AD56" i="1"/>
  <c r="AE56" i="1" s="1"/>
  <c r="AC257" i="1"/>
  <c r="W257" i="1"/>
  <c r="AA257" i="1" s="1"/>
  <c r="AD257" i="1"/>
  <c r="AE257" i="1" s="1"/>
  <c r="R56" i="1"/>
  <c r="P56" i="1" s="1"/>
  <c r="S56" i="1" s="1"/>
  <c r="M56" i="1" s="1"/>
  <c r="N56" i="1" s="1"/>
  <c r="W254" i="1"/>
  <c r="AA254" i="1" s="1"/>
  <c r="AD254" i="1"/>
  <c r="AE254" i="1" s="1"/>
  <c r="AC254" i="1"/>
  <c r="AE27" i="1"/>
  <c r="W19" i="1"/>
  <c r="AA19" i="1" s="1"/>
  <c r="AD19" i="1"/>
  <c r="AE19" i="1" s="1"/>
  <c r="AC19" i="1"/>
  <c r="AD61" i="1"/>
  <c r="W61" i="1"/>
  <c r="AA61" i="1" s="1"/>
  <c r="AC61" i="1"/>
  <c r="R61" i="1"/>
  <c r="P61" i="1" s="1"/>
  <c r="S61" i="1" s="1"/>
  <c r="M61" i="1" s="1"/>
  <c r="N61" i="1" s="1"/>
  <c r="AD243" i="1"/>
  <c r="AE243" i="1" s="1"/>
  <c r="W243" i="1"/>
  <c r="AA243" i="1" s="1"/>
  <c r="AC243" i="1"/>
  <c r="R131" i="1"/>
  <c r="P131" i="1" s="1"/>
  <c r="S131" i="1" s="1"/>
  <c r="M131" i="1" s="1"/>
  <c r="N131" i="1" s="1"/>
  <c r="AE38" i="1"/>
  <c r="AD62" i="1"/>
  <c r="W62" i="1"/>
  <c r="AA62" i="1" s="1"/>
  <c r="AC62" i="1"/>
  <c r="W208" i="1"/>
  <c r="AA208" i="1" s="1"/>
  <c r="AD208" i="1"/>
  <c r="AC208" i="1"/>
  <c r="R208" i="1"/>
  <c r="P208" i="1" s="1"/>
  <c r="S208" i="1" s="1"/>
  <c r="M208" i="1" s="1"/>
  <c r="N208" i="1" s="1"/>
  <c r="W144" i="1"/>
  <c r="AA144" i="1" s="1"/>
  <c r="AD144" i="1"/>
  <c r="AC144" i="1"/>
  <c r="W230" i="1"/>
  <c r="AA230" i="1" s="1"/>
  <c r="AD230" i="1"/>
  <c r="AE230" i="1" s="1"/>
  <c r="AC230" i="1"/>
  <c r="AD65" i="1"/>
  <c r="W65" i="1"/>
  <c r="AA65" i="1" s="1"/>
  <c r="AC65" i="1"/>
  <c r="R65" i="1"/>
  <c r="P65" i="1" s="1"/>
  <c r="S65" i="1" s="1"/>
  <c r="M65" i="1" s="1"/>
  <c r="N65" i="1" s="1"/>
  <c r="AD215" i="1"/>
  <c r="W215" i="1"/>
  <c r="AA215" i="1" s="1"/>
  <c r="AC215" i="1"/>
  <c r="W111" i="1"/>
  <c r="AA111" i="1" s="1"/>
  <c r="AD111" i="1"/>
  <c r="AC111" i="1"/>
  <c r="W187" i="1"/>
  <c r="AA187" i="1" s="1"/>
  <c r="AD187" i="1"/>
  <c r="AC187" i="1"/>
  <c r="W172" i="1"/>
  <c r="AA172" i="1" s="1"/>
  <c r="AC172" i="1"/>
  <c r="AD172" i="1"/>
  <c r="W35" i="1"/>
  <c r="AA35" i="1" s="1"/>
  <c r="AD35" i="1"/>
  <c r="AE35" i="1" s="1"/>
  <c r="AC35" i="1"/>
  <c r="AE67" i="1"/>
  <c r="W160" i="1"/>
  <c r="AA160" i="1" s="1"/>
  <c r="AD160" i="1"/>
  <c r="AC160" i="1"/>
  <c r="R144" i="1"/>
  <c r="P144" i="1" s="1"/>
  <c r="S144" i="1" s="1"/>
  <c r="M144" i="1" s="1"/>
  <c r="N144" i="1" s="1"/>
  <c r="W133" i="1"/>
  <c r="AA133" i="1" s="1"/>
  <c r="AD133" i="1"/>
  <c r="AE133" i="1" s="1"/>
  <c r="AC133" i="1"/>
  <c r="W132" i="1"/>
  <c r="AA132" i="1" s="1"/>
  <c r="AD132" i="1"/>
  <c r="R132" i="1"/>
  <c r="P132" i="1" s="1"/>
  <c r="S132" i="1" s="1"/>
  <c r="M132" i="1" s="1"/>
  <c r="N132" i="1" s="1"/>
  <c r="AC132" i="1"/>
  <c r="W34" i="1"/>
  <c r="AA34" i="1" s="1"/>
  <c r="AD34" i="1"/>
  <c r="AC34" i="1"/>
  <c r="AE150" i="1"/>
  <c r="R74" i="1"/>
  <c r="P74" i="1" s="1"/>
  <c r="S74" i="1" s="1"/>
  <c r="M74" i="1" s="1"/>
  <c r="N74" i="1" s="1"/>
  <c r="AD101" i="1"/>
  <c r="AC101" i="1"/>
  <c r="W101" i="1"/>
  <c r="AA101" i="1" s="1"/>
  <c r="R101" i="1"/>
  <c r="P101" i="1" s="1"/>
  <c r="S101" i="1" s="1"/>
  <c r="M101" i="1" s="1"/>
  <c r="N101" i="1" s="1"/>
  <c r="W250" i="1"/>
  <c r="AA250" i="1" s="1"/>
  <c r="AD250" i="1"/>
  <c r="AE250" i="1" s="1"/>
  <c r="AC250" i="1"/>
  <c r="R34" i="1"/>
  <c r="P34" i="1" s="1"/>
  <c r="S34" i="1" s="1"/>
  <c r="M34" i="1" s="1"/>
  <c r="N34" i="1" s="1"/>
  <c r="AD20" i="1"/>
  <c r="W20" i="1"/>
  <c r="AA20" i="1" s="1"/>
  <c r="AC20" i="1"/>
  <c r="W88" i="1"/>
  <c r="AA88" i="1" s="1"/>
  <c r="AD88" i="1"/>
  <c r="AC88" i="1"/>
  <c r="R88" i="1"/>
  <c r="P88" i="1" s="1"/>
  <c r="S88" i="1" s="1"/>
  <c r="M88" i="1" s="1"/>
  <c r="N88" i="1" s="1"/>
  <c r="AE26" i="1"/>
  <c r="AE94" i="1"/>
  <c r="W83" i="1"/>
  <c r="AA83" i="1" s="1"/>
  <c r="AD83" i="1"/>
  <c r="AE83" i="1" s="1"/>
  <c r="AC83" i="1"/>
  <c r="AD24" i="1"/>
  <c r="W24" i="1"/>
  <c r="AA24" i="1" s="1"/>
  <c r="AC24" i="1"/>
  <c r="W92" i="1"/>
  <c r="AA92" i="1" s="1"/>
  <c r="AD92" i="1"/>
  <c r="AE92" i="1" s="1"/>
  <c r="AC92" i="1"/>
  <c r="W210" i="1"/>
  <c r="AA210" i="1" s="1"/>
  <c r="AD210" i="1"/>
  <c r="AE210" i="1" s="1"/>
  <c r="AC210" i="1"/>
  <c r="AD183" i="1"/>
  <c r="W183" i="1"/>
  <c r="AA183" i="1" s="1"/>
  <c r="AC183" i="1"/>
  <c r="W100" i="1"/>
  <c r="AA100" i="1" s="1"/>
  <c r="AD100" i="1"/>
  <c r="AC100" i="1"/>
  <c r="W18" i="1"/>
  <c r="AA18" i="1" s="1"/>
  <c r="AD18" i="1"/>
  <c r="AC18" i="1"/>
  <c r="AD66" i="1"/>
  <c r="W66" i="1"/>
  <c r="AA66" i="1" s="1"/>
  <c r="AC66" i="1"/>
  <c r="AD189" i="1"/>
  <c r="W189" i="1"/>
  <c r="AA189" i="1" s="1"/>
  <c r="AC189" i="1"/>
  <c r="AD251" i="1"/>
  <c r="W251" i="1"/>
  <c r="AA251" i="1" s="1"/>
  <c r="R251" i="1"/>
  <c r="P251" i="1" s="1"/>
  <c r="S251" i="1" s="1"/>
  <c r="M251" i="1" s="1"/>
  <c r="N251" i="1" s="1"/>
  <c r="AC251" i="1"/>
  <c r="AD53" i="1"/>
  <c r="AE53" i="1" s="1"/>
  <c r="AC53" i="1"/>
  <c r="W53" i="1"/>
  <c r="AA53" i="1" s="1"/>
  <c r="R53" i="1"/>
  <c r="P53" i="1" s="1"/>
  <c r="S53" i="1" s="1"/>
  <c r="M53" i="1" s="1"/>
  <c r="N53" i="1" s="1"/>
  <c r="W182" i="1"/>
  <c r="AA182" i="1" s="1"/>
  <c r="AD182" i="1"/>
  <c r="AC182" i="1"/>
  <c r="W104" i="1"/>
  <c r="AA104" i="1" s="1"/>
  <c r="AD104" i="1"/>
  <c r="AE104" i="1" s="1"/>
  <c r="AC104" i="1"/>
  <c r="R187" i="1"/>
  <c r="P187" i="1" s="1"/>
  <c r="S187" i="1" s="1"/>
  <c r="M187" i="1" s="1"/>
  <c r="N187" i="1" s="1"/>
  <c r="W126" i="1"/>
  <c r="AA126" i="1" s="1"/>
  <c r="AD126" i="1"/>
  <c r="AC126" i="1"/>
  <c r="AD77" i="1"/>
  <c r="AE77" i="1" s="1"/>
  <c r="W77" i="1"/>
  <c r="AA77" i="1" s="1"/>
  <c r="AC77" i="1"/>
  <c r="AE170" i="1"/>
  <c r="AE213" i="1"/>
  <c r="AE232" i="1"/>
  <c r="W224" i="1"/>
  <c r="AA224" i="1" s="1"/>
  <c r="AD224" i="1"/>
  <c r="AC224" i="1"/>
  <c r="AE106" i="1"/>
  <c r="AD239" i="1"/>
  <c r="W239" i="1"/>
  <c r="AA239" i="1" s="1"/>
  <c r="AC239" i="1"/>
  <c r="W151" i="1"/>
  <c r="AA151" i="1" s="1"/>
  <c r="AD151" i="1"/>
  <c r="AC151" i="1"/>
  <c r="W199" i="1"/>
  <c r="AA199" i="1" s="1"/>
  <c r="AD199" i="1"/>
  <c r="AE199" i="1" s="1"/>
  <c r="AC199" i="1"/>
  <c r="R199" i="1"/>
  <c r="P199" i="1" s="1"/>
  <c r="S199" i="1" s="1"/>
  <c r="M199" i="1" s="1"/>
  <c r="N199" i="1" s="1"/>
  <c r="R250" i="1"/>
  <c r="P250" i="1" s="1"/>
  <c r="S250" i="1" s="1"/>
  <c r="M250" i="1" s="1"/>
  <c r="N250" i="1" s="1"/>
  <c r="AD223" i="1"/>
  <c r="AE223" i="1" s="1"/>
  <c r="W223" i="1"/>
  <c r="AA223" i="1" s="1"/>
  <c r="AC223" i="1"/>
  <c r="R77" i="1"/>
  <c r="P77" i="1" s="1"/>
  <c r="S77" i="1" s="1"/>
  <c r="M77" i="1" s="1"/>
  <c r="N77" i="1" s="1"/>
  <c r="R72" i="1"/>
  <c r="P72" i="1" s="1"/>
  <c r="S72" i="1" s="1"/>
  <c r="M72" i="1" s="1"/>
  <c r="N72" i="1" s="1"/>
  <c r="W168" i="1"/>
  <c r="AA168" i="1" s="1"/>
  <c r="AC168" i="1"/>
  <c r="AD168" i="1"/>
  <c r="AE168" i="1" s="1"/>
  <c r="AD149" i="1"/>
  <c r="AE149" i="1" s="1"/>
  <c r="W149" i="1"/>
  <c r="AA149" i="1" s="1"/>
  <c r="AC149" i="1"/>
  <c r="AE171" i="1"/>
  <c r="AD93" i="1"/>
  <c r="AE93" i="1" s="1"/>
  <c r="W93" i="1"/>
  <c r="AA93" i="1" s="1"/>
  <c r="AC93" i="1"/>
  <c r="AD109" i="1"/>
  <c r="AE109" i="1" s="1"/>
  <c r="AC109" i="1"/>
  <c r="W109" i="1"/>
  <c r="AA109" i="1" s="1"/>
  <c r="R109" i="1"/>
  <c r="P109" i="1" s="1"/>
  <c r="S109" i="1" s="1"/>
  <c r="M109" i="1" s="1"/>
  <c r="N109" i="1" s="1"/>
  <c r="AC164" i="1"/>
  <c r="W164" i="1"/>
  <c r="AA164" i="1" s="1"/>
  <c r="AD164" i="1"/>
  <c r="AD234" i="1"/>
  <c r="AC234" i="1"/>
  <c r="W234" i="1"/>
  <c r="AA234" i="1" s="1"/>
  <c r="AE23" i="1"/>
  <c r="W226" i="1"/>
  <c r="AA226" i="1" s="1"/>
  <c r="AC226" i="1"/>
  <c r="AD226" i="1"/>
  <c r="AE226" i="1" s="1"/>
  <c r="AD157" i="1"/>
  <c r="W157" i="1"/>
  <c r="AA157" i="1" s="1"/>
  <c r="AC157" i="1"/>
  <c r="W188" i="1"/>
  <c r="AA188" i="1" s="1"/>
  <c r="AC188" i="1"/>
  <c r="AD188" i="1"/>
  <c r="AE188" i="1" s="1"/>
  <c r="W238" i="1"/>
  <c r="AA238" i="1" s="1"/>
  <c r="AD238" i="1"/>
  <c r="AE238" i="1" s="1"/>
  <c r="AC238" i="1"/>
  <c r="W204" i="1"/>
  <c r="AA204" i="1" s="1"/>
  <c r="AD204" i="1"/>
  <c r="AE204" i="1" s="1"/>
  <c r="AC204" i="1"/>
  <c r="W42" i="1"/>
  <c r="AA42" i="1" s="1"/>
  <c r="AD42" i="1"/>
  <c r="AE42" i="1" s="1"/>
  <c r="AC42" i="1"/>
  <c r="AD115" i="1"/>
  <c r="AE115" i="1" s="1"/>
  <c r="W115" i="1"/>
  <c r="AA115" i="1" s="1"/>
  <c r="AC115" i="1"/>
  <c r="W118" i="1"/>
  <c r="AA118" i="1" s="1"/>
  <c r="AD118" i="1"/>
  <c r="AE118" i="1" s="1"/>
  <c r="AC118" i="1"/>
  <c r="W176" i="1"/>
  <c r="AA176" i="1" s="1"/>
  <c r="AD176" i="1"/>
  <c r="AC176" i="1"/>
  <c r="W233" i="1"/>
  <c r="AA233" i="1" s="1"/>
  <c r="AD233" i="1"/>
  <c r="AC233" i="1"/>
  <c r="R233" i="1"/>
  <c r="P233" i="1" s="1"/>
  <c r="S233" i="1" s="1"/>
  <c r="M233" i="1" s="1"/>
  <c r="N233" i="1" s="1"/>
  <c r="W46" i="1"/>
  <c r="AA46" i="1" s="1"/>
  <c r="AD46" i="1"/>
  <c r="AE46" i="1" s="1"/>
  <c r="AC46" i="1"/>
  <c r="AD28" i="1"/>
  <c r="AE28" i="1" s="1"/>
  <c r="W28" i="1"/>
  <c r="AA28" i="1" s="1"/>
  <c r="AC28" i="1"/>
  <c r="AD119" i="1"/>
  <c r="AE119" i="1" s="1"/>
  <c r="W119" i="1"/>
  <c r="AA119" i="1" s="1"/>
  <c r="AC119" i="1"/>
  <c r="AC253" i="1"/>
  <c r="W253" i="1"/>
  <c r="AA253" i="1" s="1"/>
  <c r="AD253" i="1"/>
  <c r="AE253" i="1" s="1"/>
  <c r="R60" i="1"/>
  <c r="P60" i="1" s="1"/>
  <c r="S60" i="1" s="1"/>
  <c r="M60" i="1" s="1"/>
  <c r="N60" i="1" s="1"/>
  <c r="W78" i="1"/>
  <c r="AA78" i="1" s="1"/>
  <c r="AD78" i="1"/>
  <c r="AE78" i="1" s="1"/>
  <c r="AC78" i="1"/>
  <c r="R92" i="1"/>
  <c r="P92" i="1" s="1"/>
  <c r="S92" i="1" s="1"/>
  <c r="M92" i="1" s="1"/>
  <c r="N92" i="1" s="1"/>
  <c r="AD97" i="1"/>
  <c r="AE97" i="1" s="1"/>
  <c r="AC97" i="1"/>
  <c r="W97" i="1"/>
  <c r="AA97" i="1" s="1"/>
  <c r="R97" i="1"/>
  <c r="P97" i="1" s="1"/>
  <c r="S97" i="1" s="1"/>
  <c r="M97" i="1" s="1"/>
  <c r="N97" i="1" s="1"/>
  <c r="AE174" i="1"/>
  <c r="AD50" i="1"/>
  <c r="AE50" i="1" s="1"/>
  <c r="W50" i="1"/>
  <c r="AA50" i="1" s="1"/>
  <c r="AC50" i="1"/>
  <c r="AE124" i="1"/>
  <c r="W108" i="1"/>
  <c r="AA108" i="1" s="1"/>
  <c r="AD108" i="1"/>
  <c r="AE108" i="1" s="1"/>
  <c r="AC108" i="1"/>
  <c r="AE37" i="1"/>
  <c r="R42" i="1"/>
  <c r="P42" i="1" s="1"/>
  <c r="S42" i="1" s="1"/>
  <c r="M42" i="1" s="1"/>
  <c r="N42" i="1" s="1"/>
  <c r="R35" i="1"/>
  <c r="P35" i="1" s="1"/>
  <c r="S35" i="1" s="1"/>
  <c r="M35" i="1" s="1"/>
  <c r="N35" i="1" s="1"/>
  <c r="W112" i="1"/>
  <c r="AA112" i="1" s="1"/>
  <c r="AD112" i="1"/>
  <c r="AE112" i="1" s="1"/>
  <c r="AC112" i="1"/>
  <c r="W212" i="1"/>
  <c r="AA212" i="1" s="1"/>
  <c r="AD212" i="1"/>
  <c r="AE212" i="1" s="1"/>
  <c r="AC212" i="1"/>
  <c r="W33" i="1"/>
  <c r="AA33" i="1" s="1"/>
  <c r="AD33" i="1"/>
  <c r="AE33" i="1" s="1"/>
  <c r="AC33" i="1"/>
  <c r="AD36" i="1"/>
  <c r="AE36" i="1" s="1"/>
  <c r="AC36" i="1"/>
  <c r="W36" i="1"/>
  <c r="AA36" i="1" s="1"/>
  <c r="R112" i="1"/>
  <c r="P112" i="1" s="1"/>
  <c r="S112" i="1" s="1"/>
  <c r="M112" i="1" s="1"/>
  <c r="N112" i="1" s="1"/>
  <c r="W129" i="1"/>
  <c r="AA129" i="1" s="1"/>
  <c r="AD129" i="1"/>
  <c r="AE129" i="1" s="1"/>
  <c r="AC129" i="1"/>
  <c r="AD130" i="1"/>
  <c r="W130" i="1"/>
  <c r="AA130" i="1" s="1"/>
  <c r="AC130" i="1"/>
  <c r="R130" i="1"/>
  <c r="P130" i="1" s="1"/>
  <c r="S130" i="1" s="1"/>
  <c r="M130" i="1" s="1"/>
  <c r="N130" i="1" s="1"/>
  <c r="W186" i="1"/>
  <c r="AA186" i="1" s="1"/>
  <c r="AD186" i="1"/>
  <c r="AC186" i="1"/>
  <c r="R186" i="1"/>
  <c r="P186" i="1" s="1"/>
  <c r="S186" i="1" s="1"/>
  <c r="M186" i="1" s="1"/>
  <c r="N186" i="1" s="1"/>
  <c r="W203" i="1"/>
  <c r="AA203" i="1" s="1"/>
  <c r="AD203" i="1"/>
  <c r="AE203" i="1" s="1"/>
  <c r="AC203" i="1"/>
  <c r="W246" i="1"/>
  <c r="AA246" i="1" s="1"/>
  <c r="AD246" i="1"/>
  <c r="AE246" i="1" s="1"/>
  <c r="AC246" i="1"/>
  <c r="AE31" i="1"/>
  <c r="AD48" i="1"/>
  <c r="AE48" i="1" s="1"/>
  <c r="AC48" i="1"/>
  <c r="W48" i="1"/>
  <c r="AA48" i="1" s="1"/>
  <c r="AD161" i="1"/>
  <c r="W161" i="1"/>
  <c r="AA161" i="1" s="1"/>
  <c r="AC161" i="1"/>
  <c r="W103" i="1"/>
  <c r="AA103" i="1" s="1"/>
  <c r="AD103" i="1"/>
  <c r="AE103" i="1" s="1"/>
  <c r="AC103" i="1"/>
  <c r="AD127" i="1"/>
  <c r="W127" i="1"/>
  <c r="AA127" i="1" s="1"/>
  <c r="AC127" i="1"/>
  <c r="W244" i="1"/>
  <c r="AA244" i="1" s="1"/>
  <c r="AD244" i="1"/>
  <c r="AE244" i="1" s="1"/>
  <c r="AC244" i="1"/>
  <c r="AC245" i="1"/>
  <c r="W245" i="1"/>
  <c r="AA245" i="1" s="1"/>
  <c r="AD245" i="1"/>
  <c r="W178" i="1"/>
  <c r="AA178" i="1" s="1"/>
  <c r="AD178" i="1"/>
  <c r="AC178" i="1"/>
  <c r="R238" i="1"/>
  <c r="P238" i="1" s="1"/>
  <c r="S238" i="1" s="1"/>
  <c r="M238" i="1" s="1"/>
  <c r="N238" i="1" s="1"/>
  <c r="W225" i="1"/>
  <c r="AA225" i="1" s="1"/>
  <c r="AC225" i="1"/>
  <c r="AD225" i="1"/>
  <c r="R225" i="1"/>
  <c r="P225" i="1" s="1"/>
  <c r="S225" i="1" s="1"/>
  <c r="M225" i="1" s="1"/>
  <c r="N225" i="1" s="1"/>
  <c r="W41" i="1"/>
  <c r="AA41" i="1" s="1"/>
  <c r="AD41" i="1"/>
  <c r="AC41" i="1"/>
  <c r="AE110" i="1"/>
  <c r="W190" i="1"/>
  <c r="AA190" i="1" s="1"/>
  <c r="AD190" i="1"/>
  <c r="AE190" i="1" s="1"/>
  <c r="AC190" i="1"/>
  <c r="AD221" i="1"/>
  <c r="AC221" i="1"/>
  <c r="W221" i="1"/>
  <c r="AA221" i="1" s="1"/>
  <c r="R221" i="1"/>
  <c r="P221" i="1" s="1"/>
  <c r="S221" i="1" s="1"/>
  <c r="M221" i="1" s="1"/>
  <c r="N221" i="1" s="1"/>
  <c r="AD179" i="1"/>
  <c r="W179" i="1"/>
  <c r="AA179" i="1" s="1"/>
  <c r="AC179" i="1"/>
  <c r="R62" i="1"/>
  <c r="P62" i="1" s="1"/>
  <c r="S62" i="1" s="1"/>
  <c r="M62" i="1" s="1"/>
  <c r="N62" i="1" s="1"/>
  <c r="AD40" i="1"/>
  <c r="AC40" i="1"/>
  <c r="W40" i="1"/>
  <c r="AA40" i="1" s="1"/>
  <c r="AD122" i="1"/>
  <c r="AE122" i="1" s="1"/>
  <c r="AC122" i="1"/>
  <c r="W122" i="1"/>
  <c r="AA122" i="1" s="1"/>
  <c r="R179" i="1"/>
  <c r="P179" i="1" s="1"/>
  <c r="S179" i="1" s="1"/>
  <c r="M179" i="1" s="1"/>
  <c r="N179" i="1" s="1"/>
  <c r="R161" i="1"/>
  <c r="P161" i="1" s="1"/>
  <c r="S161" i="1" s="1"/>
  <c r="M161" i="1" s="1"/>
  <c r="N161" i="1" s="1"/>
  <c r="AD138" i="1"/>
  <c r="AE138" i="1" s="1"/>
  <c r="W138" i="1"/>
  <c r="AA138" i="1" s="1"/>
  <c r="AC138" i="1"/>
  <c r="R138" i="1"/>
  <c r="P138" i="1" s="1"/>
  <c r="S138" i="1" s="1"/>
  <c r="M138" i="1" s="1"/>
  <c r="N138" i="1" s="1"/>
  <c r="W107" i="1"/>
  <c r="AA107" i="1" s="1"/>
  <c r="AD107" i="1"/>
  <c r="AC107" i="1"/>
  <c r="AE163" i="1"/>
  <c r="AD184" i="1"/>
  <c r="AE184" i="1" s="1"/>
  <c r="W184" i="1"/>
  <c r="AA184" i="1" s="1"/>
  <c r="AC184" i="1"/>
  <c r="W22" i="1"/>
  <c r="AA22" i="1" s="1"/>
  <c r="AD22" i="1"/>
  <c r="AE22" i="1" s="1"/>
  <c r="AC22" i="1"/>
  <c r="R69" i="1"/>
  <c r="P69" i="1" s="1"/>
  <c r="S69" i="1" s="1"/>
  <c r="M69" i="1" s="1"/>
  <c r="N69" i="1" s="1"/>
  <c r="AD139" i="1"/>
  <c r="AE139" i="1" s="1"/>
  <c r="W139" i="1"/>
  <c r="AA139" i="1" s="1"/>
  <c r="AC139" i="1"/>
  <c r="R115" i="1"/>
  <c r="P115" i="1" s="1"/>
  <c r="S115" i="1" s="1"/>
  <c r="M115" i="1" s="1"/>
  <c r="N115" i="1" s="1"/>
  <c r="W159" i="1"/>
  <c r="AA159" i="1" s="1"/>
  <c r="AD159" i="1"/>
  <c r="AE159" i="1" s="1"/>
  <c r="AC159" i="1"/>
  <c r="R159" i="1"/>
  <c r="P159" i="1" s="1"/>
  <c r="S159" i="1" s="1"/>
  <c r="M159" i="1" s="1"/>
  <c r="N159" i="1" s="1"/>
  <c r="AD209" i="1"/>
  <c r="AE209" i="1" s="1"/>
  <c r="AC209" i="1"/>
  <c r="W209" i="1"/>
  <c r="AA209" i="1" s="1"/>
  <c r="W49" i="1"/>
  <c r="AA49" i="1" s="1"/>
  <c r="AD49" i="1"/>
  <c r="AE49" i="1" s="1"/>
  <c r="AC49" i="1"/>
  <c r="AD142" i="1"/>
  <c r="W142" i="1"/>
  <c r="AA142" i="1" s="1"/>
  <c r="AC142" i="1"/>
  <c r="R142" i="1"/>
  <c r="P142" i="1" s="1"/>
  <c r="S142" i="1" s="1"/>
  <c r="M142" i="1" s="1"/>
  <c r="N142" i="1" s="1"/>
  <c r="AE256" i="1"/>
  <c r="AE47" i="1"/>
  <c r="AD141" i="1"/>
  <c r="AE141" i="1" s="1"/>
  <c r="W141" i="1"/>
  <c r="AA141" i="1" s="1"/>
  <c r="AC141" i="1"/>
  <c r="AD32" i="1"/>
  <c r="AE32" i="1" s="1"/>
  <c r="W32" i="1"/>
  <c r="AA32" i="1" s="1"/>
  <c r="AC32" i="1"/>
  <c r="AE81" i="1"/>
  <c r="R200" i="1"/>
  <c r="P200" i="1" s="1"/>
  <c r="S200" i="1" s="1"/>
  <c r="M200" i="1" s="1"/>
  <c r="N200" i="1" s="1"/>
  <c r="AD196" i="1"/>
  <c r="AE196" i="1" s="1"/>
  <c r="AC196" i="1"/>
  <c r="W196" i="1"/>
  <c r="AA196" i="1" s="1"/>
  <c r="AC249" i="1"/>
  <c r="W249" i="1"/>
  <c r="AA249" i="1" s="1"/>
  <c r="AD249" i="1"/>
  <c r="R188" i="1"/>
  <c r="P188" i="1" s="1"/>
  <c r="S188" i="1" s="1"/>
  <c r="M188" i="1" s="1"/>
  <c r="N188" i="1" s="1"/>
  <c r="W17" i="1"/>
  <c r="AA17" i="1" s="1"/>
  <c r="AD17" i="1"/>
  <c r="AE17" i="1" s="1"/>
  <c r="AC17" i="1"/>
  <c r="R146" i="1"/>
  <c r="P146" i="1" s="1"/>
  <c r="S146" i="1" s="1"/>
  <c r="M146" i="1" s="1"/>
  <c r="N146" i="1" s="1"/>
  <c r="AE205" i="1"/>
  <c r="AE193" i="1"/>
  <c r="AD227" i="1"/>
  <c r="W227" i="1"/>
  <c r="AA227" i="1" s="1"/>
  <c r="AC227" i="1"/>
  <c r="R129" i="1"/>
  <c r="P129" i="1" s="1"/>
  <c r="S129" i="1" s="1"/>
  <c r="M129" i="1" s="1"/>
  <c r="N129" i="1" s="1"/>
  <c r="AD165" i="1"/>
  <c r="W165" i="1"/>
  <c r="AA165" i="1" s="1"/>
  <c r="R165" i="1"/>
  <c r="P165" i="1" s="1"/>
  <c r="S165" i="1" s="1"/>
  <c r="M165" i="1" s="1"/>
  <c r="N165" i="1" s="1"/>
  <c r="AC165" i="1"/>
  <c r="R246" i="1"/>
  <c r="P246" i="1" s="1"/>
  <c r="S246" i="1" s="1"/>
  <c r="M246" i="1" s="1"/>
  <c r="N246" i="1" s="1"/>
  <c r="AE39" i="1"/>
  <c r="AE202" i="1"/>
  <c r="W96" i="1"/>
  <c r="AA96" i="1" s="1"/>
  <c r="AD96" i="1"/>
  <c r="AE96" i="1" s="1"/>
  <c r="AC96" i="1"/>
  <c r="R177" i="1"/>
  <c r="P177" i="1" s="1"/>
  <c r="S177" i="1" s="1"/>
  <c r="M177" i="1" s="1"/>
  <c r="N177" i="1" s="1"/>
  <c r="R230" i="1"/>
  <c r="P230" i="1" s="1"/>
  <c r="S230" i="1" s="1"/>
  <c r="M230" i="1" s="1"/>
  <c r="N230" i="1" s="1"/>
  <c r="AE86" i="1"/>
  <c r="W70" i="1"/>
  <c r="AA70" i="1" s="1"/>
  <c r="AD70" i="1"/>
  <c r="AC70" i="1"/>
  <c r="AD180" i="1"/>
  <c r="W180" i="1"/>
  <c r="AA180" i="1" s="1"/>
  <c r="R180" i="1"/>
  <c r="P180" i="1" s="1"/>
  <c r="S180" i="1" s="1"/>
  <c r="M180" i="1" s="1"/>
  <c r="N180" i="1" s="1"/>
  <c r="AC180" i="1"/>
  <c r="R240" i="1"/>
  <c r="P240" i="1" s="1"/>
  <c r="S240" i="1" s="1"/>
  <c r="M240" i="1" s="1"/>
  <c r="N240" i="1" s="1"/>
  <c r="AD255" i="1"/>
  <c r="AE255" i="1" s="1"/>
  <c r="W255" i="1"/>
  <c r="AA255" i="1" s="1"/>
  <c r="R255" i="1"/>
  <c r="P255" i="1" s="1"/>
  <c r="S255" i="1" s="1"/>
  <c r="M255" i="1" s="1"/>
  <c r="N255" i="1" s="1"/>
  <c r="AC255" i="1"/>
  <c r="R172" i="1"/>
  <c r="P172" i="1" s="1"/>
  <c r="S172" i="1" s="1"/>
  <c r="M172" i="1" s="1"/>
  <c r="N172" i="1" s="1"/>
  <c r="AD235" i="1"/>
  <c r="AE235" i="1" s="1"/>
  <c r="W235" i="1"/>
  <c r="AA235" i="1" s="1"/>
  <c r="AC235" i="1"/>
  <c r="AD98" i="1"/>
  <c r="W98" i="1"/>
  <c r="AA98" i="1" s="1"/>
  <c r="AC98" i="1"/>
  <c r="W194" i="1"/>
  <c r="AA194" i="1" s="1"/>
  <c r="AD194" i="1"/>
  <c r="AC194" i="1"/>
  <c r="AD201" i="1"/>
  <c r="AE201" i="1" s="1"/>
  <c r="W201" i="1"/>
  <c r="AA201" i="1" s="1"/>
  <c r="AC201" i="1"/>
  <c r="AD247" i="1"/>
  <c r="W247" i="1"/>
  <c r="AA247" i="1" s="1"/>
  <c r="AC247" i="1"/>
  <c r="R20" i="1"/>
  <c r="P20" i="1" s="1"/>
  <c r="S20" i="1" s="1"/>
  <c r="M20" i="1" s="1"/>
  <c r="N20" i="1" s="1"/>
  <c r="AD57" i="1"/>
  <c r="AE57" i="1" s="1"/>
  <c r="AC57" i="1"/>
  <c r="W57" i="1"/>
  <c r="AA57" i="1" s="1"/>
  <c r="R57" i="1"/>
  <c r="P57" i="1" s="1"/>
  <c r="S57" i="1" s="1"/>
  <c r="M57" i="1" s="1"/>
  <c r="N57" i="1" s="1"/>
  <c r="R127" i="1"/>
  <c r="P127" i="1" s="1"/>
  <c r="S127" i="1" s="1"/>
  <c r="M127" i="1" s="1"/>
  <c r="N127" i="1" s="1"/>
  <c r="AD237" i="1"/>
  <c r="AE237" i="1" s="1"/>
  <c r="AC237" i="1"/>
  <c r="W237" i="1"/>
  <c r="AA237" i="1" s="1"/>
  <c r="R237" i="1"/>
  <c r="P237" i="1" s="1"/>
  <c r="S237" i="1" s="1"/>
  <c r="M237" i="1" s="1"/>
  <c r="N237" i="1" s="1"/>
  <c r="R24" i="1"/>
  <c r="P24" i="1" s="1"/>
  <c r="S24" i="1" s="1"/>
  <c r="M24" i="1" s="1"/>
  <c r="N24" i="1" s="1"/>
  <c r="AD44" i="1"/>
  <c r="AC44" i="1"/>
  <c r="W44" i="1"/>
  <c r="AA44" i="1" s="1"/>
  <c r="W242" i="1"/>
  <c r="AA242" i="1" s="1"/>
  <c r="AD242" i="1"/>
  <c r="AE242" i="1" s="1"/>
  <c r="AC242" i="1"/>
  <c r="AD113" i="1"/>
  <c r="AE113" i="1" s="1"/>
  <c r="AC113" i="1"/>
  <c r="W113" i="1"/>
  <c r="AA113" i="1" s="1"/>
  <c r="R113" i="1"/>
  <c r="P113" i="1" s="1"/>
  <c r="S113" i="1" s="1"/>
  <c r="M113" i="1" s="1"/>
  <c r="N113" i="1" s="1"/>
  <c r="W137" i="1"/>
  <c r="AA137" i="1" s="1"/>
  <c r="AD137" i="1"/>
  <c r="AE137" i="1" s="1"/>
  <c r="AC137" i="1"/>
  <c r="W121" i="1"/>
  <c r="AA121" i="1" s="1"/>
  <c r="AD121" i="1"/>
  <c r="AE121" i="1" s="1"/>
  <c r="AC121" i="1"/>
  <c r="R121" i="1"/>
  <c r="P121" i="1" s="1"/>
  <c r="S121" i="1" s="1"/>
  <c r="M121" i="1" s="1"/>
  <c r="N121" i="1" s="1"/>
  <c r="AD181" i="1"/>
  <c r="AE181" i="1" s="1"/>
  <c r="W181" i="1"/>
  <c r="AA181" i="1" s="1"/>
  <c r="R181" i="1"/>
  <c r="P181" i="1" s="1"/>
  <c r="S181" i="1" s="1"/>
  <c r="M181" i="1" s="1"/>
  <c r="N181" i="1" s="1"/>
  <c r="AC181" i="1"/>
  <c r="AD206" i="1"/>
  <c r="W206" i="1"/>
  <c r="AA206" i="1" s="1"/>
  <c r="AC206" i="1"/>
  <c r="W192" i="1"/>
  <c r="AA192" i="1" s="1"/>
  <c r="AD192" i="1"/>
  <c r="AE192" i="1" s="1"/>
  <c r="AC192" i="1"/>
  <c r="AD219" i="1"/>
  <c r="AE219" i="1" s="1"/>
  <c r="W219" i="1"/>
  <c r="AA219" i="1" s="1"/>
  <c r="AC219" i="1"/>
  <c r="W148" i="1"/>
  <c r="AA148" i="1" s="1"/>
  <c r="AD148" i="1"/>
  <c r="AE148" i="1" s="1"/>
  <c r="R148" i="1"/>
  <c r="P148" i="1" s="1"/>
  <c r="S148" i="1" s="1"/>
  <c r="M148" i="1" s="1"/>
  <c r="N148" i="1" s="1"/>
  <c r="AC148" i="1"/>
  <c r="R28" i="1"/>
  <c r="P28" i="1" s="1"/>
  <c r="S28" i="1" s="1"/>
  <c r="M28" i="1" s="1"/>
  <c r="N28" i="1" s="1"/>
  <c r="AE85" i="1"/>
  <c r="W99" i="1"/>
  <c r="AA99" i="1" s="1"/>
  <c r="AD99" i="1"/>
  <c r="AC99" i="1"/>
  <c r="AC155" i="1"/>
  <c r="W155" i="1"/>
  <c r="AA155" i="1" s="1"/>
  <c r="AD155" i="1"/>
  <c r="R243" i="1"/>
  <c r="P243" i="1" s="1"/>
  <c r="S243" i="1" s="1"/>
  <c r="M243" i="1" s="1"/>
  <c r="N243" i="1" s="1"/>
  <c r="R245" i="1"/>
  <c r="P245" i="1" s="1"/>
  <c r="S245" i="1" s="1"/>
  <c r="M245" i="1" s="1"/>
  <c r="N245" i="1" s="1"/>
  <c r="R21" i="1"/>
  <c r="P21" i="1" s="1"/>
  <c r="S21" i="1" s="1"/>
  <c r="M21" i="1" s="1"/>
  <c r="N21" i="1" s="1"/>
  <c r="R209" i="1"/>
  <c r="P209" i="1" s="1"/>
  <c r="S209" i="1" s="1"/>
  <c r="M209" i="1" s="1"/>
  <c r="N209" i="1" s="1"/>
  <c r="R75" i="1"/>
  <c r="P75" i="1" s="1"/>
  <c r="S75" i="1" s="1"/>
  <c r="M75" i="1" s="1"/>
  <c r="N75" i="1" s="1"/>
  <c r="R103" i="1"/>
  <c r="P103" i="1" s="1"/>
  <c r="S103" i="1" s="1"/>
  <c r="M103" i="1" s="1"/>
  <c r="N103" i="1" s="1"/>
  <c r="R133" i="1"/>
  <c r="P133" i="1" s="1"/>
  <c r="S133" i="1" s="1"/>
  <c r="M133" i="1" s="1"/>
  <c r="N133" i="1" s="1"/>
  <c r="AC152" i="1"/>
  <c r="AD152" i="1"/>
  <c r="W152" i="1"/>
  <c r="AA152" i="1" s="1"/>
  <c r="R212" i="1"/>
  <c r="P212" i="1" s="1"/>
  <c r="S212" i="1" s="1"/>
  <c r="M212" i="1" s="1"/>
  <c r="N212" i="1" s="1"/>
  <c r="R224" i="1"/>
  <c r="P224" i="1" s="1"/>
  <c r="S224" i="1" s="1"/>
  <c r="M224" i="1" s="1"/>
  <c r="N224" i="1" s="1"/>
  <c r="W228" i="1"/>
  <c r="AA228" i="1" s="1"/>
  <c r="AD228" i="1"/>
  <c r="AE228" i="1" s="1"/>
  <c r="AC228" i="1"/>
  <c r="AD218" i="1"/>
  <c r="AE218" i="1" s="1"/>
  <c r="AC218" i="1"/>
  <c r="W218" i="1"/>
  <c r="AA218" i="1" s="1"/>
  <c r="R46" i="1"/>
  <c r="P46" i="1" s="1"/>
  <c r="S46" i="1" s="1"/>
  <c r="M46" i="1" s="1"/>
  <c r="N46" i="1" s="1"/>
  <c r="AE117" i="1"/>
  <c r="R126" i="1"/>
  <c r="P126" i="1" s="1"/>
  <c r="S126" i="1" s="1"/>
  <c r="M126" i="1" s="1"/>
  <c r="N126" i="1" s="1"/>
  <c r="W175" i="1"/>
  <c r="AA175" i="1" s="1"/>
  <c r="AC175" i="1"/>
  <c r="AD175" i="1"/>
  <c r="AE175" i="1" s="1"/>
  <c r="R175" i="1"/>
  <c r="P175" i="1" s="1"/>
  <c r="S175" i="1" s="1"/>
  <c r="M175" i="1" s="1"/>
  <c r="N175" i="1" s="1"/>
  <c r="W162" i="1"/>
  <c r="AA162" i="1" s="1"/>
  <c r="AD162" i="1"/>
  <c r="AE162" i="1" s="1"/>
  <c r="AC162" i="1"/>
  <c r="R162" i="1"/>
  <c r="P162" i="1" s="1"/>
  <c r="S162" i="1" s="1"/>
  <c r="M162" i="1" s="1"/>
  <c r="N162" i="1" s="1"/>
  <c r="R226" i="1"/>
  <c r="P226" i="1" s="1"/>
  <c r="S226" i="1" s="1"/>
  <c r="M226" i="1" s="1"/>
  <c r="N226" i="1" s="1"/>
  <c r="W222" i="1"/>
  <c r="AA222" i="1" s="1"/>
  <c r="AD222" i="1"/>
  <c r="AC222" i="1"/>
  <c r="AE102" i="1"/>
  <c r="AE43" i="1"/>
  <c r="AE154" i="1"/>
  <c r="AE99" i="1" l="1"/>
  <c r="AE206" i="1"/>
  <c r="AE194" i="1"/>
  <c r="AE142" i="1"/>
  <c r="AE107" i="1"/>
  <c r="AE186" i="1"/>
  <c r="AE233" i="1"/>
  <c r="AE234" i="1"/>
  <c r="AE189" i="1"/>
  <c r="AE100" i="1"/>
  <c r="AE160" i="1"/>
  <c r="AE80" i="1"/>
  <c r="AE75" i="1"/>
  <c r="AE21" i="1"/>
  <c r="AE180" i="1"/>
  <c r="AE165" i="1"/>
  <c r="AE179" i="1"/>
  <c r="AE157" i="1"/>
  <c r="AE164" i="1"/>
  <c r="AE239" i="1"/>
  <c r="AE20" i="1"/>
  <c r="AE101" i="1"/>
  <c r="AE132" i="1"/>
  <c r="AE215" i="1"/>
  <c r="AE211" i="1"/>
  <c r="AE187" i="1"/>
  <c r="AE144" i="1"/>
  <c r="AE62" i="1"/>
  <c r="AE68" i="1"/>
  <c r="AE73" i="1"/>
  <c r="AE152" i="1"/>
  <c r="AE247" i="1"/>
  <c r="AE70" i="1"/>
  <c r="AE41" i="1"/>
  <c r="AE178" i="1"/>
  <c r="AE161" i="1"/>
  <c r="AE176" i="1"/>
  <c r="AE66" i="1"/>
  <c r="AE61" i="1"/>
  <c r="AE258" i="1"/>
  <c r="AE146" i="1"/>
  <c r="AE236" i="1"/>
  <c r="AE156" i="1"/>
  <c r="AE241" i="1"/>
  <c r="AE134" i="1"/>
  <c r="AE135" i="1"/>
  <c r="AE222" i="1"/>
  <c r="AE155" i="1"/>
  <c r="AE98" i="1"/>
  <c r="AE224" i="1"/>
  <c r="AE182" i="1"/>
  <c r="AE183" i="1"/>
  <c r="AE44" i="1"/>
  <c r="AE227" i="1"/>
  <c r="AE249" i="1"/>
  <c r="AE40" i="1"/>
  <c r="AE221" i="1"/>
  <c r="AE245" i="1"/>
  <c r="AE127" i="1"/>
  <c r="AE130" i="1"/>
  <c r="AE151" i="1"/>
  <c r="AE126" i="1"/>
  <c r="AE251" i="1"/>
  <c r="AE18" i="1"/>
  <c r="AE24" i="1"/>
  <c r="AE88" i="1"/>
  <c r="AE34" i="1"/>
  <c r="AE111" i="1"/>
  <c r="AE65" i="1"/>
  <c r="AE52" i="1"/>
  <c r="AE30" i="1"/>
  <c r="AE225" i="1"/>
  <c r="AE172" i="1"/>
  <c r="AE208" i="1"/>
  <c r="AE69" i="1"/>
  <c r="AE64" i="1"/>
  <c r="AE177" i="1"/>
</calcChain>
</file>

<file path=xl/sharedStrings.xml><?xml version="1.0" encoding="utf-8"?>
<sst xmlns="http://schemas.openxmlformats.org/spreadsheetml/2006/main" count="3561" uniqueCount="821">
  <si>
    <t>File opened</t>
  </si>
  <si>
    <t>2023-07-26 11:05:40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</si>
  <si>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</si>
  <si>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</si>
  <si>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</si>
  <si>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</si>
  <si>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</si>
  <si>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</si>
  <si>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</si>
  <si>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</si>
  <si>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</si>
  <si>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</si>
  <si>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</si>
  <si>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</si>
  <si>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</si>
  <si>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</si>
  <si>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</si>
  <si>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</si>
  <si>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</si>
  <si>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</si>
  <si>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</si>
  <si>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</si>
  <si>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</si>
  <si>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</si>
  <si>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</si>
  <si>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</si>
  <si>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</si>
  <si>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</si>
  <si>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</si>
  <si>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</si>
  <si>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</si>
  <si>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</si>
  <si>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</si>
  <si>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</si>
  <si>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11:05:40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</si>
  <si>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</si>
  <si>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</si>
  <si>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</si>
  <si>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</si>
  <si>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</si>
  <si>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</si>
  <si>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</si>
  <si>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</si>
  <si>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</si>
  <si>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</si>
  <si>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</si>
  <si>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</si>
  <si>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</si>
  <si>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</si>
  <si>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</si>
  <si>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</si>
  <si>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</si>
  <si>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</si>
  <si>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</si>
  <si>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</si>
  <si>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</si>
  <si>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</si>
  <si>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</si>
  <si>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</si>
  <si>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</si>
  <si>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</si>
  <si>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</si>
  <si>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</si>
  <si>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</si>
  <si>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</si>
  <si>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</si>
  <si>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</si>
  <si>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</si>
  <si>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</si>
  <si>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</si>
  <si>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</si>
  <si>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</si>
  <si>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</si>
  <si>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</si>
  <si>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</si>
  <si>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</si>
  <si>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</si>
  <si>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</si>
  <si>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</si>
  <si>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</si>
  <si>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</si>
  <si>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</si>
  <si>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</si>
  <si>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</si>
  <si>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</si>
  <si>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</si>
  <si>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</si>
  <si>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9.91589 89.2799 373.467 608.908 843.11 1054.96 1243.37 1426.36</t>
  </si>
  <si>
    <t>Fs_true</t>
  </si>
  <si>
    <t>-0.0224448 102.496 401.746 601.314 801.108 1000.34 1201.96 1401.15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</si>
  <si>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</si>
  <si>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</si>
  <si>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</si>
  <si>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</si>
  <si>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</si>
  <si>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</si>
  <si>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</si>
  <si>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</si>
  <si>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</si>
  <si>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</si>
  <si>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</si>
  <si>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</si>
  <si>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</si>
  <si>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</si>
  <si>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</si>
  <si>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</si>
  <si>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</si>
  <si>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</si>
  <si>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</si>
  <si>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</si>
  <si>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</si>
  <si>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</si>
  <si>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</si>
  <si>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</si>
  <si>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</si>
  <si>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</si>
  <si>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</si>
  <si>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</si>
  <si>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</si>
  <si>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</si>
  <si>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</si>
  <si>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</si>
  <si>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</si>
  <si>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</si>
  <si>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</si>
  <si>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</si>
  <si>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</si>
  <si>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</si>
  <si>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</si>
  <si>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</si>
  <si>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</si>
  <si>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</si>
  <si>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</si>
  <si>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</si>
  <si>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</si>
  <si>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</si>
  <si>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</si>
  <si>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</si>
  <si>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</si>
  <si>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</si>
  <si>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</si>
  <si>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</si>
  <si>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</si>
  <si>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</si>
  <si>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</si>
  <si>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</si>
  <si>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</si>
  <si>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</si>
  <si>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</si>
  <si>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</si>
  <si>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</si>
  <si>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</si>
  <si>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</si>
  <si>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</si>
  <si>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</si>
  <si>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</si>
  <si>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</si>
  <si>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</si>
  <si>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</si>
  <si>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</si>
  <si>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</si>
  <si>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</si>
  <si>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</si>
  <si>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</si>
  <si>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</si>
  <si>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</si>
  <si>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</si>
  <si>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</si>
  <si>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</si>
  <si>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</si>
  <si>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</si>
  <si>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</si>
  <si>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</si>
  <si>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</si>
  <si>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</si>
  <si>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</si>
  <si>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</si>
  <si>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</si>
  <si>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</si>
  <si>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</si>
  <si>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</si>
  <si>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</si>
  <si>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</si>
  <si>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</si>
  <si>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</si>
  <si>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</si>
  <si>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</si>
  <si>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</si>
  <si>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</si>
  <si>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</si>
  <si>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</si>
  <si>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</si>
  <si>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</si>
  <si>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</si>
  <si>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</si>
  <si>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</si>
  <si>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</si>
  <si>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</si>
  <si>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</si>
  <si>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</si>
  <si>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</si>
  <si>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</si>
  <si>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</si>
  <si>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</si>
  <si>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</si>
  <si>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</si>
  <si>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</si>
  <si>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</si>
  <si>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</si>
  <si>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</si>
  <si>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</si>
  <si>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</si>
  <si>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</si>
  <si>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</si>
  <si>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</si>
  <si>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</si>
  <si>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</si>
  <si>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</si>
  <si>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</si>
  <si>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</si>
  <si>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</si>
  <si>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</si>
  <si>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</si>
  <si>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</si>
  <si>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</si>
  <si>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</si>
  <si>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</si>
  <si>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</si>
  <si>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</si>
  <si>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</si>
  <si>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</si>
  <si>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</si>
  <si>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</si>
  <si>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</si>
  <si>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</si>
  <si>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</si>
  <si>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</si>
  <si>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</si>
  <si>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</si>
  <si>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</si>
  <si>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</si>
  <si>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</si>
  <si>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</si>
  <si>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</si>
  <si>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</si>
  <si>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</si>
  <si>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</si>
  <si>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</si>
  <si>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</si>
  <si>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</si>
  <si>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</si>
  <si>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</si>
  <si>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</si>
  <si>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</si>
  <si>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</si>
  <si>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</si>
  <si>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</si>
  <si>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</si>
  <si>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</si>
  <si>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</si>
  <si>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</si>
  <si>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</si>
  <si>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</si>
  <si>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</si>
  <si>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</si>
  <si>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</si>
  <si>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</si>
  <si>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</si>
  <si>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</si>
  <si>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</si>
  <si>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</si>
  <si>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</si>
  <si>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</si>
  <si>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</si>
  <si>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</si>
  <si>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</si>
  <si>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</si>
  <si>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</si>
  <si>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</si>
  <si>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</si>
  <si>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</si>
  <si>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</si>
  <si>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</si>
  <si>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</si>
  <si>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</si>
  <si>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</si>
  <si>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</si>
  <si>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</si>
  <si>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</si>
  <si>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</si>
  <si>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</si>
  <si>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</si>
  <si>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</si>
  <si>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</si>
  <si>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</si>
  <si>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</si>
  <si>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</si>
  <si>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</si>
  <si>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</si>
  <si>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</si>
  <si>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</si>
  <si>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</si>
  <si>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</si>
  <si>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</si>
  <si>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</si>
  <si>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</si>
  <si>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</si>
  <si>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</si>
  <si>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</si>
  <si>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</si>
  <si>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</si>
  <si>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</si>
  <si>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</si>
  <si>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</si>
  <si>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</si>
  <si>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</si>
  <si>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</si>
  <si>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</si>
  <si>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</si>
  <si>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</si>
  <si>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</si>
  <si>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</si>
  <si>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</si>
  <si>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</si>
  <si>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</si>
  <si>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</si>
  <si>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</si>
  <si>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</si>
  <si>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20230726 11:17:38</t>
  </si>
  <si>
    <t>11:17:38</t>
  </si>
  <si>
    <t>none</t>
  </si>
  <si>
    <t>0: Broadleaf</t>
  </si>
  <si>
    <t>11:07:18</t>
  </si>
  <si>
    <t>0/0</t>
  </si>
  <si>
    <t>00000000</t>
  </si>
  <si>
    <t>iiiiiiii</t>
  </si>
  <si>
    <t>off</t>
  </si>
  <si>
    <t>20230726 11:17:39</t>
  </si>
  <si>
    <t>11:17:39</t>
  </si>
  <si>
    <t>20230726 11:17:40</t>
  </si>
  <si>
    <t>11:17:40</t>
  </si>
  <si>
    <t>20230726 11:17:41</t>
  </si>
  <si>
    <t>11:17:41</t>
  </si>
  <si>
    <t>20230726 11:17:42</t>
  </si>
  <si>
    <t>11:17:42</t>
  </si>
  <si>
    <t>20230726 11:18:55</t>
  </si>
  <si>
    <t>11:18:55</t>
  </si>
  <si>
    <t>20230726 11:19:05</t>
  </si>
  <si>
    <t>11:19:05</t>
  </si>
  <si>
    <t>20230726 11:19:15</t>
  </si>
  <si>
    <t>11:19:15</t>
  </si>
  <si>
    <t>20230726 11:19:25</t>
  </si>
  <si>
    <t>11:19:25</t>
  </si>
  <si>
    <t>20230726 11:19:35</t>
  </si>
  <si>
    <t>11:19:35</t>
  </si>
  <si>
    <t>20230726 11:19:45</t>
  </si>
  <si>
    <t>11:19:45</t>
  </si>
  <si>
    <t>20230726 11:19:55</t>
  </si>
  <si>
    <t>11:19:55</t>
  </si>
  <si>
    <t>20230726 11:20:05</t>
  </si>
  <si>
    <t>11:20:05</t>
  </si>
  <si>
    <t>20230726 11:20:15</t>
  </si>
  <si>
    <t>11:20:15</t>
  </si>
  <si>
    <t>20230726 11:20:25</t>
  </si>
  <si>
    <t>11:20:25</t>
  </si>
  <si>
    <t>20230726 11:20:35</t>
  </si>
  <si>
    <t>11:20:35</t>
  </si>
  <si>
    <t>20230726 11:20:45</t>
  </si>
  <si>
    <t>11:20:45</t>
  </si>
  <si>
    <t>20230726 11:20:55</t>
  </si>
  <si>
    <t>11:20:55</t>
  </si>
  <si>
    <t>20230726 11:21:05</t>
  </si>
  <si>
    <t>11:21:05</t>
  </si>
  <si>
    <t>20230726 11:21:15</t>
  </si>
  <si>
    <t>11:21:15</t>
  </si>
  <si>
    <t>20230726 11:21:25</t>
  </si>
  <si>
    <t>11:21:25</t>
  </si>
  <si>
    <t>20230726 11:21:35</t>
  </si>
  <si>
    <t>11:21:35</t>
  </si>
  <si>
    <t>20230726 11:21:45</t>
  </si>
  <si>
    <t>11:21:45</t>
  </si>
  <si>
    <t>20230726 11:21:55</t>
  </si>
  <si>
    <t>11:21:55</t>
  </si>
  <si>
    <t>20230726 11:22:05</t>
  </si>
  <si>
    <t>11:22:05</t>
  </si>
  <si>
    <t>20230726 11:22:15</t>
  </si>
  <si>
    <t>11:22:15</t>
  </si>
  <si>
    <t>20230726 11:22:25</t>
  </si>
  <si>
    <t>11:22:25</t>
  </si>
  <si>
    <t>20230726 11:22:35</t>
  </si>
  <si>
    <t>11:22:35</t>
  </si>
  <si>
    <t>20230726 11:22:45</t>
  </si>
  <si>
    <t>11:22:45</t>
  </si>
  <si>
    <t>20230726 11:22:55</t>
  </si>
  <si>
    <t>11:22:55</t>
  </si>
  <si>
    <t>20230726 11:23:05</t>
  </si>
  <si>
    <t>11:23:05</t>
  </si>
  <si>
    <t>20230726 11:23:15</t>
  </si>
  <si>
    <t>11:23:15</t>
  </si>
  <si>
    <t>20230726 11:23:25</t>
  </si>
  <si>
    <t>11:23:25</t>
  </si>
  <si>
    <t>20230726 11:23:35</t>
  </si>
  <si>
    <t>11:23:35</t>
  </si>
  <si>
    <t>20230726 11:23:45</t>
  </si>
  <si>
    <t>11:23:45</t>
  </si>
  <si>
    <t>20230726 11:23:55</t>
  </si>
  <si>
    <t>11:23:55</t>
  </si>
  <si>
    <t>20230726 11:24:05</t>
  </si>
  <si>
    <t>11:24:05</t>
  </si>
  <si>
    <t>20230726 11:24:15</t>
  </si>
  <si>
    <t>11:24:15</t>
  </si>
  <si>
    <t>20230726 11:24:25</t>
  </si>
  <si>
    <t>11:24:25</t>
  </si>
  <si>
    <t>20230726 11:24:35</t>
  </si>
  <si>
    <t>11:24:35</t>
  </si>
  <si>
    <t>20230726 11:24:45</t>
  </si>
  <si>
    <t>11:24:45</t>
  </si>
  <si>
    <t>20230726 11:24:55</t>
  </si>
  <si>
    <t>11:24:55</t>
  </si>
  <si>
    <t>20230726 11:25:05</t>
  </si>
  <si>
    <t>11:25:05</t>
  </si>
  <si>
    <t>20230726 11:25:15</t>
  </si>
  <si>
    <t>11:25:15</t>
  </si>
  <si>
    <t>20230726 11:25:25</t>
  </si>
  <si>
    <t>11:25:25</t>
  </si>
  <si>
    <t>20230726 11:25:35</t>
  </si>
  <si>
    <t>11:25:35</t>
  </si>
  <si>
    <t>20230726 11:25:45</t>
  </si>
  <si>
    <t>11:25:45</t>
  </si>
  <si>
    <t>20230726 11:25:55</t>
  </si>
  <si>
    <t>11:25:55</t>
  </si>
  <si>
    <t>20230726 11:26:05</t>
  </si>
  <si>
    <t>11:26:05</t>
  </si>
  <si>
    <t>20230726 11:26:15</t>
  </si>
  <si>
    <t>11:26:15</t>
  </si>
  <si>
    <t>20230726 11:26:25</t>
  </si>
  <si>
    <t>11:26:25</t>
  </si>
  <si>
    <t>20230726 11:26:35</t>
  </si>
  <si>
    <t>11:26:35</t>
  </si>
  <si>
    <t>20230726 11:26:45</t>
  </si>
  <si>
    <t>11:26:45</t>
  </si>
  <si>
    <t>20230726 11:26:55</t>
  </si>
  <si>
    <t>11:26:55</t>
  </si>
  <si>
    <t>20230726 11:27:05</t>
  </si>
  <si>
    <t>11:27:05</t>
  </si>
  <si>
    <t>20230726 11:27:15</t>
  </si>
  <si>
    <t>11:27:15</t>
  </si>
  <si>
    <t>20230726 11:27:25</t>
  </si>
  <si>
    <t>11:27:25</t>
  </si>
  <si>
    <t>20230726 11:27:35</t>
  </si>
  <si>
    <t>11:27:35</t>
  </si>
  <si>
    <t>20230726 11:27:45</t>
  </si>
  <si>
    <t>11:27:45</t>
  </si>
  <si>
    <t>20230726 11:27:55</t>
  </si>
  <si>
    <t>11:27:55</t>
  </si>
  <si>
    <t>20230726 11:28:05</t>
  </si>
  <si>
    <t>11:28:05</t>
  </si>
  <si>
    <t>20230726 11:28:15</t>
  </si>
  <si>
    <t>11:28:15</t>
  </si>
  <si>
    <t>20230726 11:28:25</t>
  </si>
  <si>
    <t>11:28:25</t>
  </si>
  <si>
    <t>20230726 11:28:35</t>
  </si>
  <si>
    <t>11:28:35</t>
  </si>
  <si>
    <t>20230726 11:28:45</t>
  </si>
  <si>
    <t>11:28:45</t>
  </si>
  <si>
    <t>20230726 11:28:55</t>
  </si>
  <si>
    <t>11:28:55</t>
  </si>
  <si>
    <t>20230726 11:29:05</t>
  </si>
  <si>
    <t>11:29:05</t>
  </si>
  <si>
    <t>20230726 11:29:15</t>
  </si>
  <si>
    <t>11:29:15</t>
  </si>
  <si>
    <t>20230726 11:29:25</t>
  </si>
  <si>
    <t>11:29:25</t>
  </si>
  <si>
    <t>20230726 11:29:35</t>
  </si>
  <si>
    <t>11:29:35</t>
  </si>
  <si>
    <t>20230726 11:29:45</t>
  </si>
  <si>
    <t>11:29:45</t>
  </si>
  <si>
    <t>20230726 11:29:55</t>
  </si>
  <si>
    <t>11:29:55</t>
  </si>
  <si>
    <t>20230726 11:30:05</t>
  </si>
  <si>
    <t>11:30:05</t>
  </si>
  <si>
    <t>20230726 11:30:15</t>
  </si>
  <si>
    <t>11:30:15</t>
  </si>
  <si>
    <t>20230726 11:30:25</t>
  </si>
  <si>
    <t>11:30:25</t>
  </si>
  <si>
    <t>20230726 11:30:35</t>
  </si>
  <si>
    <t>11:30:35</t>
  </si>
  <si>
    <t>20230726 11:30:45</t>
  </si>
  <si>
    <t>11:30:45</t>
  </si>
  <si>
    <t>20230726 11:30:55</t>
  </si>
  <si>
    <t>11:30:55</t>
  </si>
  <si>
    <t>20230726 11:31:05</t>
  </si>
  <si>
    <t>11:31:05</t>
  </si>
  <si>
    <t>20230726 11:31:15</t>
  </si>
  <si>
    <t>11:31:15</t>
  </si>
  <si>
    <t>20230726 11:31:25</t>
  </si>
  <si>
    <t>11:31:25</t>
  </si>
  <si>
    <t>20230726 11:31:35</t>
  </si>
  <si>
    <t>11:31:35</t>
  </si>
  <si>
    <t>20230726 11:31:45</t>
  </si>
  <si>
    <t>11:31:45</t>
  </si>
  <si>
    <t>20230726 11:31:55</t>
  </si>
  <si>
    <t>11:31:55</t>
  </si>
  <si>
    <t>20230726 11:32:05</t>
  </si>
  <si>
    <t>11:32:05</t>
  </si>
  <si>
    <t>20230726 11:32:15</t>
  </si>
  <si>
    <t>11:32:15</t>
  </si>
  <si>
    <t>20230726 11:32:25</t>
  </si>
  <si>
    <t>11:32:25</t>
  </si>
  <si>
    <t>20230726 11:32:35</t>
  </si>
  <si>
    <t>11:32:35</t>
  </si>
  <si>
    <t>20230726 11:32:45</t>
  </si>
  <si>
    <t>11:32:45</t>
  </si>
  <si>
    <t>20230726 11:32:55</t>
  </si>
  <si>
    <t>11:32:55</t>
  </si>
  <si>
    <t>20230726 11:33:05</t>
  </si>
  <si>
    <t>11:33:05</t>
  </si>
  <si>
    <t>20230726 11:33:15</t>
  </si>
  <si>
    <t>11:33:15</t>
  </si>
  <si>
    <t>20230726 11:33:25</t>
  </si>
  <si>
    <t>11:33:25</t>
  </si>
  <si>
    <t>20230726 11:33:35</t>
  </si>
  <si>
    <t>11:33:35</t>
  </si>
  <si>
    <t>20230726 11:33:45</t>
  </si>
  <si>
    <t>11:33:45</t>
  </si>
  <si>
    <t>20230726 11:33:55</t>
  </si>
  <si>
    <t>11:33:55</t>
  </si>
  <si>
    <t>20230726 11:34:05</t>
  </si>
  <si>
    <t>11:34:05</t>
  </si>
  <si>
    <t>20230726 11:34:15</t>
  </si>
  <si>
    <t>11:34:15</t>
  </si>
  <si>
    <t>20230726 11:34:25</t>
  </si>
  <si>
    <t>11:34:25</t>
  </si>
  <si>
    <t>20230726 11:34:35</t>
  </si>
  <si>
    <t>11:34:35</t>
  </si>
  <si>
    <t>20230726 11:34:45</t>
  </si>
  <si>
    <t>11:34:45</t>
  </si>
  <si>
    <t>20230726 11:34:55</t>
  </si>
  <si>
    <t>11:34:55</t>
  </si>
  <si>
    <t>20230726 11:35:05</t>
  </si>
  <si>
    <t>11:35:05</t>
  </si>
  <si>
    <t>20230726 11:35:15</t>
  </si>
  <si>
    <t>11:35:15</t>
  </si>
  <si>
    <t>20230726 11:35:25</t>
  </si>
  <si>
    <t>11:35:25</t>
  </si>
  <si>
    <t>20230726 11:35:35</t>
  </si>
  <si>
    <t>11:35:35</t>
  </si>
  <si>
    <t>20230726 11:35:45</t>
  </si>
  <si>
    <t>11:35:45</t>
  </si>
  <si>
    <t>20230726 11:35:55</t>
  </si>
  <si>
    <t>11:35:55</t>
  </si>
  <si>
    <t>20230726 11:36:05</t>
  </si>
  <si>
    <t>11:36:05</t>
  </si>
  <si>
    <t>20230726 11:36:15</t>
  </si>
  <si>
    <t>11:36:15</t>
  </si>
  <si>
    <t>20230726 11:36:25</t>
  </si>
  <si>
    <t>11:36:25</t>
  </si>
  <si>
    <t>20230726 11:36:35</t>
  </si>
  <si>
    <t>11:36:35</t>
  </si>
  <si>
    <t>20230726 11:36:45</t>
  </si>
  <si>
    <t>11:36:45</t>
  </si>
  <si>
    <t>20230726 11:36:55</t>
  </si>
  <si>
    <t>11:36:55</t>
  </si>
  <si>
    <t>20230726 11:37:05</t>
  </si>
  <si>
    <t>11:37:05</t>
  </si>
  <si>
    <t>20230726 11:37:15</t>
  </si>
  <si>
    <t>11:37:15</t>
  </si>
  <si>
    <t>20230726 11:37:25</t>
  </si>
  <si>
    <t>11:37:25</t>
  </si>
  <si>
    <t>20230726 11:37:35</t>
  </si>
  <si>
    <t>11:37:35</t>
  </si>
  <si>
    <t>20230726 11:37:45</t>
  </si>
  <si>
    <t>11:37:45</t>
  </si>
  <si>
    <t>20230726 11:37:55</t>
  </si>
  <si>
    <t>11:37:55</t>
  </si>
  <si>
    <t>20230726 11:38:05</t>
  </si>
  <si>
    <t>11:38:05</t>
  </si>
  <si>
    <t>20230726 11:38:15</t>
  </si>
  <si>
    <t>11:38:15</t>
  </si>
  <si>
    <t>20230726 11:38:25</t>
  </si>
  <si>
    <t>11:38:25</t>
  </si>
  <si>
    <t>20230726 11:38:35</t>
  </si>
  <si>
    <t>11:38:35</t>
  </si>
  <si>
    <t>20230726 11:38:45</t>
  </si>
  <si>
    <t>11:38:45</t>
  </si>
  <si>
    <t>20230726 11:38:55</t>
  </si>
  <si>
    <t>11:38:55</t>
  </si>
  <si>
    <t>20230726 11:39:05</t>
  </si>
  <si>
    <t>11:39:05</t>
  </si>
  <si>
    <t>20230726 11:39:15</t>
  </si>
  <si>
    <t>11:39:15</t>
  </si>
  <si>
    <t>20230726 11:39:25</t>
  </si>
  <si>
    <t>11:39:25</t>
  </si>
  <si>
    <t>20230726 11:39:35</t>
  </si>
  <si>
    <t>11:39:35</t>
  </si>
  <si>
    <t>20230726 11:39:45</t>
  </si>
  <si>
    <t>11:39:45</t>
  </si>
  <si>
    <t>20230726 11:39:55</t>
  </si>
  <si>
    <t>11:39:55</t>
  </si>
  <si>
    <t>20230726 11:40:05</t>
  </si>
  <si>
    <t>11:40:05</t>
  </si>
  <si>
    <t>20230726 11:40:15</t>
  </si>
  <si>
    <t>11:40:15</t>
  </si>
  <si>
    <t>20230726 11:40:25</t>
  </si>
  <si>
    <t>11:40:25</t>
  </si>
  <si>
    <t>20230726 11:40:35</t>
  </si>
  <si>
    <t>11:40:35</t>
  </si>
  <si>
    <t>20230726 11:40:45</t>
  </si>
  <si>
    <t>11:40:45</t>
  </si>
  <si>
    <t>20230726 11:40:55</t>
  </si>
  <si>
    <t>11:40:55</t>
  </si>
  <si>
    <t>20230726 11:41:05</t>
  </si>
  <si>
    <t>11:41:05</t>
  </si>
  <si>
    <t>20230726 11:41:15</t>
  </si>
  <si>
    <t>11:41:15</t>
  </si>
  <si>
    <t>20230726 11:41:25</t>
  </si>
  <si>
    <t>11:41:25</t>
  </si>
  <si>
    <t>20230726 11:41:35</t>
  </si>
  <si>
    <t>11:41:35</t>
  </si>
  <si>
    <t>20230726 11:41:45</t>
  </si>
  <si>
    <t>11:41:45</t>
  </si>
  <si>
    <t>20230726 11:41:55</t>
  </si>
  <si>
    <t>11:41:55</t>
  </si>
  <si>
    <t>20230726 11:42:05</t>
  </si>
  <si>
    <t>11:42:05</t>
  </si>
  <si>
    <t>20230726 11:42:15</t>
  </si>
  <si>
    <t>11:42:15</t>
  </si>
  <si>
    <t>20230726 11:42:25</t>
  </si>
  <si>
    <t>11:42:25</t>
  </si>
  <si>
    <t>20230726 11:42:35</t>
  </si>
  <si>
    <t>11:42:35</t>
  </si>
  <si>
    <t>20230726 11:42:45</t>
  </si>
  <si>
    <t>11:42:45</t>
  </si>
  <si>
    <t>20230726 11:42:55</t>
  </si>
  <si>
    <t>11:42:55</t>
  </si>
  <si>
    <t>20230726 11:43:05</t>
  </si>
  <si>
    <t>11:43:05</t>
  </si>
  <si>
    <t>20230726 11:43:15</t>
  </si>
  <si>
    <t>11:43:15</t>
  </si>
  <si>
    <t>20230726 11:43:25</t>
  </si>
  <si>
    <t>11:43:25</t>
  </si>
  <si>
    <t>20230726 11:43:35</t>
  </si>
  <si>
    <t>11:43:35</t>
  </si>
  <si>
    <t>20230726 11:43:45</t>
  </si>
  <si>
    <t>11:43:45</t>
  </si>
  <si>
    <t>20230726 11:43:55</t>
  </si>
  <si>
    <t>11:43:55</t>
  </si>
  <si>
    <t>20230726 11:44:05</t>
  </si>
  <si>
    <t>11:44:05</t>
  </si>
  <si>
    <t>20230726 11:44:15</t>
  </si>
  <si>
    <t>11:44:15</t>
  </si>
  <si>
    <t>20230726 11:44:25</t>
  </si>
  <si>
    <t>11:44:25</t>
  </si>
  <si>
    <t>20230726 11:44:35</t>
  </si>
  <si>
    <t>11:44:35</t>
  </si>
  <si>
    <t>20230726 11:44:45</t>
  </si>
  <si>
    <t>11:44:45</t>
  </si>
  <si>
    <t>20230726 11:44:55</t>
  </si>
  <si>
    <t>11:44:55</t>
  </si>
  <si>
    <t>20230726 11:45:05</t>
  </si>
  <si>
    <t>11:45:05</t>
  </si>
  <si>
    <t>20230726 11:45:15</t>
  </si>
  <si>
    <t>11:45:15</t>
  </si>
  <si>
    <t>20230726 11:45:26</t>
  </si>
  <si>
    <t>11:45:26</t>
  </si>
  <si>
    <t>20230726 11:45:36</t>
  </si>
  <si>
    <t>11:45:36</t>
  </si>
  <si>
    <t>20230726 11:45:46</t>
  </si>
  <si>
    <t>11:45:46</t>
  </si>
  <si>
    <t>20230726 11:45:56</t>
  </si>
  <si>
    <t>11:45:56</t>
  </si>
  <si>
    <t>20230726 11:46:06</t>
  </si>
  <si>
    <t>11:46:06</t>
  </si>
  <si>
    <t>20230726 11:46:16</t>
  </si>
  <si>
    <t>11:46:16</t>
  </si>
  <si>
    <t>20230726 11:46:26</t>
  </si>
  <si>
    <t>11:46:26</t>
  </si>
  <si>
    <t>20230726 11:46:36</t>
  </si>
  <si>
    <t>11:46:36</t>
  </si>
  <si>
    <t>20230726 11:46:46</t>
  </si>
  <si>
    <t>11:46:46</t>
  </si>
  <si>
    <t>20230726 11:46:56</t>
  </si>
  <si>
    <t>11:46:56</t>
  </si>
  <si>
    <t>20230726 11:47:06</t>
  </si>
  <si>
    <t>11:47:06</t>
  </si>
  <si>
    <t>20230726 11:47:16</t>
  </si>
  <si>
    <t>11:47:16</t>
  </si>
  <si>
    <t>20230726 11:47:26</t>
  </si>
  <si>
    <t>11:47:26</t>
  </si>
  <si>
    <t>20230726 11:47:36</t>
  </si>
  <si>
    <t>11:47:36</t>
  </si>
  <si>
    <t>20230726 11:47:46</t>
  </si>
  <si>
    <t>11:47:46</t>
  </si>
  <si>
    <t>20230726 11:47:56</t>
  </si>
  <si>
    <t>11:47:56</t>
  </si>
  <si>
    <t>20230726 11:48:06</t>
  </si>
  <si>
    <t>11:48:06</t>
  </si>
  <si>
    <t>20230726 11:48:16</t>
  </si>
  <si>
    <t>11:48:16</t>
  </si>
  <si>
    <t>20230726 11:48:26</t>
  </si>
  <si>
    <t>11:48:26</t>
  </si>
  <si>
    <t>20230726 11:48:36</t>
  </si>
  <si>
    <t>11:48:36</t>
  </si>
  <si>
    <t>20230726 11:48:46</t>
  </si>
  <si>
    <t>11:48:46</t>
  </si>
  <si>
    <t>20230726 11:48:56</t>
  </si>
  <si>
    <t>11:48:56</t>
  </si>
  <si>
    <t>20230726 11:49:06</t>
  </si>
  <si>
    <t>11:49:06</t>
  </si>
  <si>
    <t>20230726 11:49:16</t>
  </si>
  <si>
    <t>11:49:16</t>
  </si>
  <si>
    <t>20230726 11:49:26</t>
  </si>
  <si>
    <t>11:49:26</t>
  </si>
  <si>
    <t>20230726 11:49:36</t>
  </si>
  <si>
    <t>11:49:36</t>
  </si>
  <si>
    <t>20230726 11:49:46</t>
  </si>
  <si>
    <t>11:49:46</t>
  </si>
  <si>
    <t>20230726 11:49:56</t>
  </si>
  <si>
    <t>11:49:56</t>
  </si>
  <si>
    <t>20230726 11:50:06</t>
  </si>
  <si>
    <t>11:50:06</t>
  </si>
  <si>
    <t>20230726 11:50:16</t>
  </si>
  <si>
    <t>11:50:16</t>
  </si>
  <si>
    <t>20230726 11:50:26</t>
  </si>
  <si>
    <t>11:50:26</t>
  </si>
  <si>
    <t>20230726 11:50:36</t>
  </si>
  <si>
    <t>11:50:36</t>
  </si>
  <si>
    <t>20230726 11:50:46</t>
  </si>
  <si>
    <t>11:50:46</t>
  </si>
  <si>
    <t>20230726 11:50:56</t>
  </si>
  <si>
    <t>11:50:56</t>
  </si>
  <si>
    <t>20230726 11:51:06</t>
  </si>
  <si>
    <t>11:51:06</t>
  </si>
  <si>
    <t>20230726 11:51:16</t>
  </si>
  <si>
    <t>11:51:16</t>
  </si>
  <si>
    <t>20230726 11:51:26</t>
  </si>
  <si>
    <t>11:51:26</t>
  </si>
  <si>
    <t>20230726 11:51:36</t>
  </si>
  <si>
    <t>11:51:36</t>
  </si>
  <si>
    <t>20230726 11:51:46</t>
  </si>
  <si>
    <t>11:51:46</t>
  </si>
  <si>
    <t>20230726 11:51:56</t>
  </si>
  <si>
    <t>11:51:56</t>
  </si>
  <si>
    <t>20230726 11:52:06</t>
  </si>
  <si>
    <t>11:52:06</t>
  </si>
  <si>
    <t>20230726 11:52:16</t>
  </si>
  <si>
    <t>11:52:16</t>
  </si>
  <si>
    <t>20230726 11:52:26</t>
  </si>
  <si>
    <t>11:52:26</t>
  </si>
  <si>
    <t>20230726 11:52:36</t>
  </si>
  <si>
    <t>11:52:36</t>
  </si>
  <si>
    <t>20230726 11:52:46</t>
  </si>
  <si>
    <t>11:52:46</t>
  </si>
  <si>
    <t>20230726 11:52:56</t>
  </si>
  <si>
    <t>11:52:56</t>
  </si>
  <si>
    <t>20230726 11:53:06</t>
  </si>
  <si>
    <t>11:53:06</t>
  </si>
  <si>
    <t>20230726 11:53:16</t>
  </si>
  <si>
    <t>11:53:16</t>
  </si>
  <si>
    <t>20230726 11:53:26</t>
  </si>
  <si>
    <t>11:53:26</t>
  </si>
  <si>
    <t>20230726 11:53:36</t>
  </si>
  <si>
    <t>11:53:36</t>
  </si>
  <si>
    <t>20230726 11:53:46</t>
  </si>
  <si>
    <t>11:53:46</t>
  </si>
  <si>
    <t>20230726 11:53:56</t>
  </si>
  <si>
    <t>11:53:56</t>
  </si>
  <si>
    <t>20230726 11:54:06</t>
  </si>
  <si>
    <t>11:54:06</t>
  </si>
  <si>
    <t>20230726 11:54:16</t>
  </si>
  <si>
    <t>11:54:16</t>
  </si>
  <si>
    <t>20230726 11:54:26</t>
  </si>
  <si>
    <t>11:54:26</t>
  </si>
  <si>
    <t>20230726 11:54:36</t>
  </si>
  <si>
    <t>11:54:36</t>
  </si>
  <si>
    <t>20230726 11:54:46</t>
  </si>
  <si>
    <t>11:54:46</t>
  </si>
  <si>
    <t>20230726 11:54:56</t>
  </si>
  <si>
    <t>11:54:56</t>
  </si>
  <si>
    <t>20230726 11:55:06</t>
  </si>
  <si>
    <t>11:55:06</t>
  </si>
  <si>
    <t>20230726 11:55:16</t>
  </si>
  <si>
    <t>11:55:16</t>
  </si>
  <si>
    <t>20230726 11:55:26</t>
  </si>
  <si>
    <t>11:55:26</t>
  </si>
  <si>
    <t>20230726 11:55:36</t>
  </si>
  <si>
    <t>11:55:36</t>
  </si>
  <si>
    <t>20230726 11:55:46</t>
  </si>
  <si>
    <t>11:55:46</t>
  </si>
  <si>
    <t>20230726 11:55:56</t>
  </si>
  <si>
    <t>11:55:56</t>
  </si>
  <si>
    <t>20230726 11:56:06</t>
  </si>
  <si>
    <t>11:56:06</t>
  </si>
  <si>
    <t>20230726 11:56:16</t>
  </si>
  <si>
    <t>11:56:16</t>
  </si>
  <si>
    <t>20230726 11:56:26</t>
  </si>
  <si>
    <t>11:56:26</t>
  </si>
  <si>
    <t>20230726 11:56:36</t>
  </si>
  <si>
    <t>11:56:36</t>
  </si>
  <si>
    <t>20230726 11:56:46</t>
  </si>
  <si>
    <t>11:56:46</t>
  </si>
  <si>
    <t>20230726 11:56:56</t>
  </si>
  <si>
    <t>11:56:56</t>
  </si>
  <si>
    <t>20230726 11:57:06</t>
  </si>
  <si>
    <t>11:57:06</t>
  </si>
  <si>
    <t>20230726 11:57:16</t>
  </si>
  <si>
    <t>11:57:16</t>
  </si>
  <si>
    <t>20230726 11:57:26</t>
  </si>
  <si>
    <t>11:57:26</t>
  </si>
  <si>
    <t>20230726 11:57:36</t>
  </si>
  <si>
    <t>11:57:36</t>
  </si>
  <si>
    <t>20230726 11:57:46</t>
  </si>
  <si>
    <t>11:57:46</t>
  </si>
  <si>
    <t>20230726 11:57:56</t>
  </si>
  <si>
    <t>11:57:56</t>
  </si>
  <si>
    <t>20230726 11:58:06</t>
  </si>
  <si>
    <t>11:58:06</t>
  </si>
  <si>
    <t>20230726 11:58:16</t>
  </si>
  <si>
    <t>11:58:16</t>
  </si>
  <si>
    <t>20230726 11:58:26</t>
  </si>
  <si>
    <t>11:58:26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</si>
</sst>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59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1690388258.5</v>
      </c>
      <c r="C17">
        <v>0</v>
      </c>
      <c r="D17" t="s">
        <v>328</v>
      </c>
      <c r="E17" t="s">
        <v>329</v>
      </c>
      <c r="F17" t="s">
        <v>330</v>
      </c>
      <c r="H17">
        <v>1690388258.5</v>
      </c>
      <c r="I17">
        <f t="shared" ref="I17:I80" si="0">(J17)/1000</f>
        <v>1.2897560840772565E-4</v>
      </c>
      <c r="J17">
        <f t="shared" ref="J17:J80" si="1">1000*AZ17*AH17*(AV17-AW17)/(100*AO17*(1000-AH17*AV17))</f>
        <v>0.12897560840772565</v>
      </c>
      <c r="K17">
        <f t="shared" ref="K17:K80" si="2">AZ17*AH17*(AU17-AT17*(1000-AH17*AW17)/(1000-AH17*AV17))/(100*AO17)</f>
        <v>-0.72507705728430016</v>
      </c>
      <c r="L17">
        <f t="shared" ref="L17:L80" si="3">AT17 - IF(AH17&gt;1, K17*AO17*100/(AJ17*BH17), 0)</f>
        <v>806.553</v>
      </c>
      <c r="M17">
        <f t="shared" ref="M17:M80" si="4">((S17-I17/2)*L17-K17)/(S17+I17/2)</f>
        <v>904.65544285525959</v>
      </c>
      <c r="N17">
        <f t="shared" ref="N17:N80" si="5">M17*(BA17+BB17)/1000</f>
        <v>89.34042250193599</v>
      </c>
      <c r="O17">
        <f t="shared" ref="O17:O80" si="6">(AT17 - IF(AH17&gt;1, K17*AO17*100/(AJ17*BH17), 0))*(BA17+BB17)/1000</f>
        <v>79.652188420794005</v>
      </c>
      <c r="P17">
        <f t="shared" ref="P17:P80" si="7">2/((1/R17-1/Q17)+SIGN(R17)*SQRT((1/R17-1/Q17)*(1/R17-1/Q17) + 4*AP17/((AP17+1)*(AP17+1))*(2*1/R17*1/Q17-1/Q17*1/Q17)))</f>
        <v>1.0048025163898057E-2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2.1602567735849583</v>
      </c>
      <c r="R17">
        <f t="shared" ref="R17:R80" si="9">I17*(1000-(1000*0.61365*EXP(17.502*V17/(240.97+V17))/(BA17+BB17)+AV17)/2)/(1000*0.61365*EXP(17.502*V17/(240.97+V17))/(BA17+BB17)-AV17)</f>
        <v>1.002213270004355E-2</v>
      </c>
      <c r="S17">
        <f t="shared" ref="S17:S80" si="10">1/((AP17+1)/(P17/1.6)+1/(Q17/1.37)) + AP17/((AP17+1)/(P17/1.6) + AP17/(Q17/1.37))</f>
        <v>6.2661536693476563E-3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26.904296008252459</v>
      </c>
      <c r="V17">
        <f t="shared" ref="V17:V80" si="13">($C$7*BD17+$D$7*BE17+$E$7*U17)</f>
        <v>26.904296008252459</v>
      </c>
      <c r="W17">
        <f t="shared" ref="W17:W80" si="14">0.61365*EXP(17.502*V17/(240.97+V17))</f>
        <v>3.5590907667342404</v>
      </c>
      <c r="X17">
        <f t="shared" ref="X17:X80" si="15">(Y17/Z17*100)</f>
        <v>65.185041519808678</v>
      </c>
      <c r="Y17">
        <f t="shared" ref="Y17:Y80" si="16">AV17*(BA17+BB17)/1000</f>
        <v>2.326056464943</v>
      </c>
      <c r="Z17">
        <f t="shared" ref="Z17:Z80" si="17">0.61365*EXP(17.502*BC17/(240.97+BC17))</f>
        <v>3.5683899414808979</v>
      </c>
      <c r="AA17">
        <f t="shared" ref="AA17:AA80" si="18">(W17-AV17*(BA17+BB17)/1000)</f>
        <v>1.2330343017912404</v>
      </c>
      <c r="AB17">
        <f t="shared" ref="AB17:AB80" si="19">(-I17*44100)</f>
        <v>-5.6878243307807015</v>
      </c>
      <c r="AC17">
        <f t="shared" ref="AC17:AC80" si="20">2*29.3*Q17*0.92*(BC17-V17)</f>
        <v>5.1714559790217152</v>
      </c>
      <c r="AD17">
        <f t="shared" ref="AD17:AD80" si="21">2*0.95*0.0000000567*(((BC17+$B$7)+273)^4-(V17+273)^4)</f>
        <v>0.51625369938724763</v>
      </c>
      <c r="AE17">
        <f t="shared" ref="AE17:AE80" si="22">T17+AD17+AB17+AC17</f>
        <v>-1.1465237173879927E-4</v>
      </c>
      <c r="AF17">
        <v>2</v>
      </c>
      <c r="AG17">
        <v>1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52275.692708839975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31.8</v>
      </c>
      <c r="AP17">
        <v>0.5</v>
      </c>
      <c r="AQ17" t="s">
        <v>331</v>
      </c>
      <c r="AR17">
        <v>2</v>
      </c>
      <c r="AS17">
        <v>1690388258.5</v>
      </c>
      <c r="AT17">
        <v>806.553</v>
      </c>
      <c r="AU17">
        <v>799.97400000000005</v>
      </c>
      <c r="AV17">
        <v>23.5535</v>
      </c>
      <c r="AW17">
        <v>22.2194</v>
      </c>
      <c r="AX17">
        <v>806.41499999999996</v>
      </c>
      <c r="AY17">
        <v>23.3551</v>
      </c>
      <c r="AZ17">
        <v>300.18900000000002</v>
      </c>
      <c r="BA17">
        <v>98.656400000000005</v>
      </c>
      <c r="BB17">
        <v>9.9898000000000001E-2</v>
      </c>
      <c r="BC17">
        <v>26.948699999999999</v>
      </c>
      <c r="BD17">
        <v>27.000900000000001</v>
      </c>
      <c r="BE17">
        <v>27.080400000000001</v>
      </c>
      <c r="BF17">
        <v>0</v>
      </c>
      <c r="BG17">
        <v>0</v>
      </c>
      <c r="BH17">
        <v>10020</v>
      </c>
      <c r="BI17">
        <v>0.70784899999999995</v>
      </c>
      <c r="BJ17">
        <v>1.4212800000000001</v>
      </c>
      <c r="BK17">
        <v>6.5791599999999999</v>
      </c>
      <c r="BL17">
        <v>826.00800000000004</v>
      </c>
      <c r="BM17">
        <v>818.15200000000004</v>
      </c>
      <c r="BN17">
        <v>1.3341099999999999</v>
      </c>
      <c r="BO17">
        <v>799.97400000000005</v>
      </c>
      <c r="BP17">
        <v>22.2194</v>
      </c>
      <c r="BQ17">
        <v>2.3237100000000002</v>
      </c>
      <c r="BR17">
        <v>2.1920899999999999</v>
      </c>
      <c r="BS17">
        <v>19.841699999999999</v>
      </c>
      <c r="BT17">
        <v>18.904599999999999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1690387638</v>
      </c>
      <c r="CC17" t="s">
        <v>332</v>
      </c>
      <c r="CD17">
        <v>1690387638</v>
      </c>
      <c r="CE17">
        <v>1690387638</v>
      </c>
      <c r="CF17">
        <v>6</v>
      </c>
      <c r="CG17">
        <v>0.43</v>
      </c>
      <c r="CH17">
        <v>-8.1000000000000003E-2</v>
      </c>
      <c r="CI17">
        <v>0.14199999999999999</v>
      </c>
      <c r="CJ17">
        <v>-2.7E-2</v>
      </c>
      <c r="CK17">
        <v>800</v>
      </c>
      <c r="CL17">
        <v>0</v>
      </c>
      <c r="CM17">
        <v>0.01</v>
      </c>
      <c r="CN17">
        <v>0.01</v>
      </c>
      <c r="CO17">
        <v>6.5504314634146326</v>
      </c>
      <c r="CP17">
        <v>0.1050880139372718</v>
      </c>
      <c r="CQ17">
        <v>3.6834414486202241E-2</v>
      </c>
      <c r="CR17">
        <v>-1</v>
      </c>
      <c r="CS17">
        <v>1.3332797560975611</v>
      </c>
      <c r="CT17">
        <v>-6.1112195121931527E-3</v>
      </c>
      <c r="CU17">
        <v>8.9356913228364637E-4</v>
      </c>
      <c r="CV17">
        <v>-1</v>
      </c>
      <c r="CW17">
        <v>0</v>
      </c>
      <c r="CX17">
        <v>0</v>
      </c>
      <c r="CY17" t="s">
        <v>333</v>
      </c>
      <c r="CZ17">
        <v>2.36476</v>
      </c>
      <c r="DA17">
        <v>2.7137099999999998</v>
      </c>
      <c r="DB17">
        <v>0.146985</v>
      </c>
      <c r="DC17">
        <v>0.145872</v>
      </c>
      <c r="DD17">
        <v>0.11195099999999999</v>
      </c>
      <c r="DE17">
        <v>0.105904</v>
      </c>
      <c r="DF17">
        <v>31167.200000000001</v>
      </c>
      <c r="DG17">
        <v>27552</v>
      </c>
      <c r="DH17">
        <v>31191.3</v>
      </c>
      <c r="DI17">
        <v>28106.7</v>
      </c>
      <c r="DJ17">
        <v>37609.599999999999</v>
      </c>
      <c r="DK17">
        <v>35733.599999999999</v>
      </c>
      <c r="DL17">
        <v>44391.6</v>
      </c>
      <c r="DM17">
        <v>42602.6</v>
      </c>
      <c r="DN17">
        <v>1.45977</v>
      </c>
      <c r="DO17">
        <v>2.06582</v>
      </c>
      <c r="DP17">
        <v>8.5048399999999996E-2</v>
      </c>
      <c r="DQ17">
        <v>8.1583900000000001E-2</v>
      </c>
      <c r="DR17">
        <v>25.608499999999999</v>
      </c>
      <c r="DS17">
        <v>25.744900000000001</v>
      </c>
      <c r="DT17">
        <v>56.1</v>
      </c>
      <c r="DU17">
        <v>29</v>
      </c>
      <c r="DV17">
        <v>22.8719</v>
      </c>
      <c r="DW17">
        <v>61.232199999999999</v>
      </c>
      <c r="DX17">
        <v>35.789299999999997</v>
      </c>
      <c r="DY17">
        <v>1</v>
      </c>
      <c r="DZ17">
        <v>-0.10728699999999999</v>
      </c>
      <c r="EA17">
        <v>-1.67506</v>
      </c>
      <c r="EB17">
        <v>20.295000000000002</v>
      </c>
      <c r="EC17">
        <v>5.2430500000000002</v>
      </c>
      <c r="ED17">
        <v>12.039899999999999</v>
      </c>
      <c r="EE17">
        <v>5.0171000000000001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1.8689100000000001</v>
      </c>
      <c r="EL17">
        <v>1.8646199999999999</v>
      </c>
      <c r="EM17">
        <v>1.8692</v>
      </c>
      <c r="EN17">
        <v>1.8672299999999999</v>
      </c>
      <c r="EO17">
        <v>1.8633599999999999</v>
      </c>
      <c r="EP17">
        <v>1.86446</v>
      </c>
      <c r="EQ17">
        <v>1.8701300000000001</v>
      </c>
      <c r="ER17">
        <v>1.86937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0.13800000000000001</v>
      </c>
      <c r="FG17">
        <v>0.19839999999999999</v>
      </c>
      <c r="FH17">
        <v>0.69281559908863044</v>
      </c>
      <c r="FI17">
        <v>-6.1462078757559423E-4</v>
      </c>
      <c r="FJ17">
        <v>-1.8861989874597051E-7</v>
      </c>
      <c r="FK17">
        <v>1.1980462299894961E-10</v>
      </c>
      <c r="FL17">
        <v>0.19840465858211129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10.3</v>
      </c>
      <c r="FU17">
        <v>10.3</v>
      </c>
      <c r="FV17">
        <v>1.79688</v>
      </c>
      <c r="FW17">
        <v>2.5769000000000002</v>
      </c>
      <c r="FX17">
        <v>1.5490699999999999</v>
      </c>
      <c r="FY17">
        <v>2.3327599999999999</v>
      </c>
      <c r="FZ17">
        <v>1.50146</v>
      </c>
      <c r="GA17">
        <v>2.4133300000000002</v>
      </c>
      <c r="GB17">
        <v>33.445599999999999</v>
      </c>
      <c r="GC17">
        <v>24.026199999999999</v>
      </c>
      <c r="GD17">
        <v>19</v>
      </c>
      <c r="GE17">
        <v>275.08699999999999</v>
      </c>
      <c r="GF17">
        <v>605.36</v>
      </c>
      <c r="GG17">
        <v>28.740300000000001</v>
      </c>
      <c r="GH17">
        <v>26.078800000000001</v>
      </c>
      <c r="GI17">
        <v>30.000399999999999</v>
      </c>
      <c r="GJ17">
        <v>26.152100000000001</v>
      </c>
      <c r="GK17">
        <v>26.124300000000002</v>
      </c>
      <c r="GL17">
        <v>35.914999999999999</v>
      </c>
      <c r="GM17">
        <v>10.2986</v>
      </c>
      <c r="GN17">
        <v>100</v>
      </c>
      <c r="GO17">
        <v>28.730599999999999</v>
      </c>
      <c r="GP17">
        <v>800</v>
      </c>
      <c r="GQ17">
        <v>22.262</v>
      </c>
      <c r="GR17">
        <v>99.803399999999996</v>
      </c>
      <c r="GS17">
        <v>99.659800000000004</v>
      </c>
    </row>
    <row r="18" spans="1:201" x14ac:dyDescent="0.25">
      <c r="A18">
        <v>2</v>
      </c>
      <c r="B18">
        <v>1690388259.5</v>
      </c>
      <c r="C18">
        <v>1</v>
      </c>
      <c r="D18" t="s">
        <v>337</v>
      </c>
      <c r="E18" t="s">
        <v>338</v>
      </c>
      <c r="F18" t="s">
        <v>330</v>
      </c>
      <c r="H18">
        <v>1690388259.5</v>
      </c>
      <c r="I18">
        <f t="shared" si="0"/>
        <v>1.2903529388469452E-4</v>
      </c>
      <c r="J18">
        <f t="shared" si="1"/>
        <v>0.12903529388469451</v>
      </c>
      <c r="K18">
        <f t="shared" si="2"/>
        <v>-0.72579558997415416</v>
      </c>
      <c r="L18">
        <f t="shared" si="3"/>
        <v>806.54499999999996</v>
      </c>
      <c r="M18">
        <f t="shared" si="4"/>
        <v>904.69247871980212</v>
      </c>
      <c r="N18">
        <f t="shared" si="5"/>
        <v>89.345337549356856</v>
      </c>
      <c r="O18">
        <f t="shared" si="6"/>
        <v>79.652519467959991</v>
      </c>
      <c r="P18">
        <f t="shared" si="7"/>
        <v>1.0054368471116095E-2</v>
      </c>
      <c r="Q18">
        <f t="shared" si="8"/>
        <v>2.1539084598919525</v>
      </c>
      <c r="R18">
        <f t="shared" si="9"/>
        <v>1.0028367153759899E-2</v>
      </c>
      <c r="S18">
        <f t="shared" si="10"/>
        <v>6.270059939537065E-3</v>
      </c>
      <c r="T18">
        <f t="shared" si="11"/>
        <v>0</v>
      </c>
      <c r="U18">
        <f t="shared" si="12"/>
        <v>26.903556419499502</v>
      </c>
      <c r="V18">
        <f t="shared" si="13"/>
        <v>26.903556419499502</v>
      </c>
      <c r="W18">
        <f t="shared" si="14"/>
        <v>3.5589360598307365</v>
      </c>
      <c r="X18">
        <f t="shared" si="15"/>
        <v>65.187980280944913</v>
      </c>
      <c r="Y18">
        <f t="shared" si="16"/>
        <v>2.3260793285392003</v>
      </c>
      <c r="Z18">
        <f t="shared" si="17"/>
        <v>3.5682641470319276</v>
      </c>
      <c r="AA18">
        <f t="shared" si="18"/>
        <v>1.2328567312915362</v>
      </c>
      <c r="AB18">
        <f t="shared" si="19"/>
        <v>-5.6904564603150281</v>
      </c>
      <c r="AC18">
        <f t="shared" si="20"/>
        <v>5.1724679572417829</v>
      </c>
      <c r="AD18">
        <f t="shared" si="21"/>
        <v>0.5178731292214046</v>
      </c>
      <c r="AE18">
        <f t="shared" si="22"/>
        <v>-1.1537385184023918E-4</v>
      </c>
      <c r="AF18">
        <v>2</v>
      </c>
      <c r="AG18">
        <v>1</v>
      </c>
      <c r="AH18">
        <f t="shared" si="23"/>
        <v>1</v>
      </c>
      <c r="AI18">
        <f t="shared" si="24"/>
        <v>0</v>
      </c>
      <c r="AJ18">
        <f t="shared" si="25"/>
        <v>52010.549595273129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31.8</v>
      </c>
      <c r="AP18">
        <v>0.5</v>
      </c>
      <c r="AQ18" t="s">
        <v>331</v>
      </c>
      <c r="AR18">
        <v>2</v>
      </c>
      <c r="AS18">
        <v>1690388259.5</v>
      </c>
      <c r="AT18">
        <v>806.54499999999996</v>
      </c>
      <c r="AU18">
        <v>799.95699999999999</v>
      </c>
      <c r="AV18">
        <v>23.5534</v>
      </c>
      <c r="AW18">
        <v>22.218299999999999</v>
      </c>
      <c r="AX18">
        <v>806.40800000000002</v>
      </c>
      <c r="AY18">
        <v>23.355</v>
      </c>
      <c r="AZ18">
        <v>300.10300000000001</v>
      </c>
      <c r="BA18">
        <v>98.657600000000002</v>
      </c>
      <c r="BB18">
        <v>0.100088</v>
      </c>
      <c r="BC18">
        <v>26.9481</v>
      </c>
      <c r="BD18">
        <v>27.001999999999999</v>
      </c>
      <c r="BE18">
        <v>27.082100000000001</v>
      </c>
      <c r="BF18">
        <v>0</v>
      </c>
      <c r="BG18">
        <v>0</v>
      </c>
      <c r="BH18">
        <v>9966.8799999999992</v>
      </c>
      <c r="BI18">
        <v>0.71269899999999997</v>
      </c>
      <c r="BJ18">
        <v>1.39324</v>
      </c>
      <c r="BK18">
        <v>6.5880099999999997</v>
      </c>
      <c r="BL18">
        <v>826</v>
      </c>
      <c r="BM18">
        <v>818.13499999999999</v>
      </c>
      <c r="BN18">
        <v>1.3351599999999999</v>
      </c>
      <c r="BO18">
        <v>799.95699999999999</v>
      </c>
      <c r="BP18">
        <v>22.218299999999999</v>
      </c>
      <c r="BQ18">
        <v>2.3237199999999998</v>
      </c>
      <c r="BR18">
        <v>2.1920000000000002</v>
      </c>
      <c r="BS18">
        <v>19.841799999999999</v>
      </c>
      <c r="BT18">
        <v>18.904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1690387638</v>
      </c>
      <c r="CC18" t="s">
        <v>332</v>
      </c>
      <c r="CD18">
        <v>1690387638</v>
      </c>
      <c r="CE18">
        <v>1690387638</v>
      </c>
      <c r="CF18">
        <v>6</v>
      </c>
      <c r="CG18">
        <v>0.43</v>
      </c>
      <c r="CH18">
        <v>-8.1000000000000003E-2</v>
      </c>
      <c r="CI18">
        <v>0.14199999999999999</v>
      </c>
      <c r="CJ18">
        <v>-2.7E-2</v>
      </c>
      <c r="CK18">
        <v>800</v>
      </c>
      <c r="CL18">
        <v>0</v>
      </c>
      <c r="CM18">
        <v>0.01</v>
      </c>
      <c r="CN18">
        <v>0.01</v>
      </c>
      <c r="CO18">
        <v>6.5545209999999994</v>
      </c>
      <c r="CP18">
        <v>0.15024472795495589</v>
      </c>
      <c r="CQ18">
        <v>3.8672362211274347E-2</v>
      </c>
      <c r="CR18">
        <v>-1</v>
      </c>
      <c r="CS18">
        <v>1.3332774999999999</v>
      </c>
      <c r="CT18">
        <v>-5.7244277673576547E-3</v>
      </c>
      <c r="CU18">
        <v>9.0471197073986381E-4</v>
      </c>
      <c r="CV18">
        <v>-1</v>
      </c>
      <c r="CW18">
        <v>0</v>
      </c>
      <c r="CX18">
        <v>0</v>
      </c>
      <c r="CY18" t="s">
        <v>333</v>
      </c>
      <c r="CZ18">
        <v>2.36449</v>
      </c>
      <c r="DA18">
        <v>2.7138499999999999</v>
      </c>
      <c r="DB18">
        <v>0.14698600000000001</v>
      </c>
      <c r="DC18">
        <v>0.145872</v>
      </c>
      <c r="DD18">
        <v>0.111952</v>
      </c>
      <c r="DE18">
        <v>0.105902</v>
      </c>
      <c r="DF18">
        <v>31167.200000000001</v>
      </c>
      <c r="DG18">
        <v>27552.1</v>
      </c>
      <c r="DH18">
        <v>31191.3</v>
      </c>
      <c r="DI18">
        <v>28106.799999999999</v>
      </c>
      <c r="DJ18">
        <v>37609.599999999999</v>
      </c>
      <c r="DK18">
        <v>35733.800000000003</v>
      </c>
      <c r="DL18">
        <v>44391.6</v>
      </c>
      <c r="DM18">
        <v>42602.7</v>
      </c>
      <c r="DN18">
        <v>1.4599500000000001</v>
      </c>
      <c r="DO18">
        <v>2.0657000000000001</v>
      </c>
      <c r="DP18">
        <v>8.5085599999999997E-2</v>
      </c>
      <c r="DQ18">
        <v>8.1658400000000006E-2</v>
      </c>
      <c r="DR18">
        <v>25.609000000000002</v>
      </c>
      <c r="DS18">
        <v>25.7454</v>
      </c>
      <c r="DT18">
        <v>56.1</v>
      </c>
      <c r="DU18">
        <v>29</v>
      </c>
      <c r="DV18">
        <v>22.8673</v>
      </c>
      <c r="DW18">
        <v>61.522199999999998</v>
      </c>
      <c r="DX18">
        <v>35.817300000000003</v>
      </c>
      <c r="DY18">
        <v>1</v>
      </c>
      <c r="DZ18">
        <v>-0.107279</v>
      </c>
      <c r="EA18">
        <v>-1.6686799999999999</v>
      </c>
      <c r="EB18">
        <v>20.294899999999998</v>
      </c>
      <c r="EC18">
        <v>5.2431999999999999</v>
      </c>
      <c r="ED18">
        <v>12.039899999999999</v>
      </c>
      <c r="EE18">
        <v>5.0173500000000004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1.8689100000000001</v>
      </c>
      <c r="EL18">
        <v>1.8646199999999999</v>
      </c>
      <c r="EM18">
        <v>1.8692</v>
      </c>
      <c r="EN18">
        <v>1.86724</v>
      </c>
      <c r="EO18">
        <v>1.8633500000000001</v>
      </c>
      <c r="EP18">
        <v>1.8644499999999999</v>
      </c>
      <c r="EQ18">
        <v>1.8701300000000001</v>
      </c>
      <c r="ER18">
        <v>1.8693599999999999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0.13700000000000001</v>
      </c>
      <c r="FG18">
        <v>0.19839999999999999</v>
      </c>
      <c r="FH18">
        <v>0.69281559908863044</v>
      </c>
      <c r="FI18">
        <v>-6.1462078757559423E-4</v>
      </c>
      <c r="FJ18">
        <v>-1.8861989874597051E-7</v>
      </c>
      <c r="FK18">
        <v>1.1980462299894961E-10</v>
      </c>
      <c r="FL18">
        <v>0.19840465858211129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10.4</v>
      </c>
      <c r="FU18">
        <v>10.4</v>
      </c>
      <c r="FV18">
        <v>1.79565</v>
      </c>
      <c r="FW18">
        <v>2.5805699999999998</v>
      </c>
      <c r="FX18">
        <v>1.5490699999999999</v>
      </c>
      <c r="FY18">
        <v>2.3327599999999999</v>
      </c>
      <c r="FZ18">
        <v>1.50024</v>
      </c>
      <c r="GA18">
        <v>2.3071299999999999</v>
      </c>
      <c r="GB18">
        <v>33.445599999999999</v>
      </c>
      <c r="GC18">
        <v>24.017499999999998</v>
      </c>
      <c r="GD18">
        <v>19</v>
      </c>
      <c r="GE18">
        <v>275.16000000000003</v>
      </c>
      <c r="GF18">
        <v>605.25400000000002</v>
      </c>
      <c r="GG18">
        <v>28.739699999999999</v>
      </c>
      <c r="GH18">
        <v>26.078800000000001</v>
      </c>
      <c r="GI18">
        <v>30.000299999999999</v>
      </c>
      <c r="GJ18">
        <v>26.152100000000001</v>
      </c>
      <c r="GK18">
        <v>26.124300000000002</v>
      </c>
      <c r="GL18">
        <v>35.913499999999999</v>
      </c>
      <c r="GM18">
        <v>10.2986</v>
      </c>
      <c r="GN18">
        <v>100</v>
      </c>
      <c r="GO18">
        <v>28.729399999999998</v>
      </c>
      <c r="GP18">
        <v>800</v>
      </c>
      <c r="GQ18">
        <v>22.262</v>
      </c>
      <c r="GR18">
        <v>99.8035</v>
      </c>
      <c r="GS18">
        <v>99.660200000000003</v>
      </c>
    </row>
    <row r="19" spans="1:201" x14ac:dyDescent="0.25">
      <c r="A19">
        <v>3</v>
      </c>
      <c r="B19">
        <v>1690388260</v>
      </c>
      <c r="C19">
        <v>1.5</v>
      </c>
      <c r="D19" t="s">
        <v>339</v>
      </c>
      <c r="E19" t="s">
        <v>340</v>
      </c>
      <c r="F19" t="s">
        <v>330</v>
      </c>
      <c r="H19">
        <v>1690388260</v>
      </c>
      <c r="I19">
        <f t="shared" si="0"/>
        <v>1.2911001867424587E-4</v>
      </c>
      <c r="J19">
        <f t="shared" si="1"/>
        <v>0.12911001867424587</v>
      </c>
      <c r="K19">
        <f t="shared" si="2"/>
        <v>-0.72479849141512198</v>
      </c>
      <c r="L19">
        <f t="shared" si="3"/>
        <v>806.52300000000002</v>
      </c>
      <c r="M19">
        <f t="shared" si="4"/>
        <v>904.43954338299216</v>
      </c>
      <c r="N19">
        <f t="shared" si="5"/>
        <v>89.321347697140453</v>
      </c>
      <c r="O19">
        <f t="shared" si="6"/>
        <v>79.651229134985996</v>
      </c>
      <c r="P19">
        <f t="shared" si="7"/>
        <v>1.0061027753510639E-2</v>
      </c>
      <c r="Q19">
        <f t="shared" si="8"/>
        <v>2.1522687004473084</v>
      </c>
      <c r="R19">
        <f t="shared" si="9"/>
        <v>1.0034972249635177E-2</v>
      </c>
      <c r="S19">
        <f t="shared" si="10"/>
        <v>6.2741929731791948E-3</v>
      </c>
      <c r="T19">
        <f t="shared" si="11"/>
        <v>0</v>
      </c>
      <c r="U19">
        <f t="shared" si="12"/>
        <v>26.902999740651222</v>
      </c>
      <c r="V19">
        <f t="shared" si="13"/>
        <v>26.902999740651222</v>
      </c>
      <c r="W19">
        <f t="shared" si="14"/>
        <v>3.5588196178261859</v>
      </c>
      <c r="X19">
        <f t="shared" si="15"/>
        <v>65.188956861212816</v>
      </c>
      <c r="Y19">
        <f t="shared" si="16"/>
        <v>2.3260458406895999</v>
      </c>
      <c r="Z19">
        <f t="shared" si="17"/>
        <v>3.5681593212815899</v>
      </c>
      <c r="AA19">
        <f t="shared" si="18"/>
        <v>1.2327737771365861</v>
      </c>
      <c r="AB19">
        <f t="shared" si="19"/>
        <v>-5.6937518235342424</v>
      </c>
      <c r="AC19">
        <f t="shared" si="20"/>
        <v>5.1751068070073192</v>
      </c>
      <c r="AD19">
        <f t="shared" si="21"/>
        <v>0.51852934927746352</v>
      </c>
      <c r="AE19">
        <f t="shared" si="22"/>
        <v>-1.1566724945932805E-4</v>
      </c>
      <c r="AF19">
        <v>2</v>
      </c>
      <c r="AG19">
        <v>1</v>
      </c>
      <c r="AH19">
        <f t="shared" si="23"/>
        <v>1</v>
      </c>
      <c r="AI19">
        <f t="shared" si="24"/>
        <v>0</v>
      </c>
      <c r="AJ19">
        <f t="shared" si="25"/>
        <v>51942.274589469082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31.8</v>
      </c>
      <c r="AP19">
        <v>0.5</v>
      </c>
      <c r="AQ19" t="s">
        <v>331</v>
      </c>
      <c r="AR19">
        <v>2</v>
      </c>
      <c r="AS19">
        <v>1690388260</v>
      </c>
      <c r="AT19">
        <v>806.52300000000002</v>
      </c>
      <c r="AU19">
        <v>799.94899999999996</v>
      </c>
      <c r="AV19">
        <v>23.552800000000001</v>
      </c>
      <c r="AW19">
        <v>22.217500000000001</v>
      </c>
      <c r="AX19">
        <v>806.38599999999997</v>
      </c>
      <c r="AY19">
        <v>23.354399999999998</v>
      </c>
      <c r="AZ19">
        <v>300.23200000000003</v>
      </c>
      <c r="BA19">
        <v>98.658699999999996</v>
      </c>
      <c r="BB19">
        <v>0.100082</v>
      </c>
      <c r="BC19">
        <v>26.947600000000001</v>
      </c>
      <c r="BD19">
        <v>27.0017</v>
      </c>
      <c r="BE19">
        <v>27.083600000000001</v>
      </c>
      <c r="BF19">
        <v>0</v>
      </c>
      <c r="BG19">
        <v>0</v>
      </c>
      <c r="BH19">
        <v>9953.1200000000008</v>
      </c>
      <c r="BI19">
        <v>0.71269899999999997</v>
      </c>
      <c r="BJ19">
        <v>1.37923</v>
      </c>
      <c r="BK19">
        <v>6.5742799999999999</v>
      </c>
      <c r="BL19">
        <v>825.97699999999998</v>
      </c>
      <c r="BM19">
        <v>818.12599999999998</v>
      </c>
      <c r="BN19">
        <v>1.3352599999999999</v>
      </c>
      <c r="BO19">
        <v>799.94899999999996</v>
      </c>
      <c r="BP19">
        <v>22.217500000000001</v>
      </c>
      <c r="BQ19">
        <v>2.32368</v>
      </c>
      <c r="BR19">
        <v>2.1919499999999998</v>
      </c>
      <c r="BS19">
        <v>19.8415</v>
      </c>
      <c r="BT19">
        <v>18.903600000000001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1690387638</v>
      </c>
      <c r="CC19" t="s">
        <v>332</v>
      </c>
      <c r="CD19">
        <v>1690387638</v>
      </c>
      <c r="CE19">
        <v>1690387638</v>
      </c>
      <c r="CF19">
        <v>6</v>
      </c>
      <c r="CG19">
        <v>0.43</v>
      </c>
      <c r="CH19">
        <v>-8.1000000000000003E-2</v>
      </c>
      <c r="CI19">
        <v>0.14199999999999999</v>
      </c>
      <c r="CJ19">
        <v>-2.7E-2</v>
      </c>
      <c r="CK19">
        <v>800</v>
      </c>
      <c r="CL19">
        <v>0</v>
      </c>
      <c r="CM19">
        <v>0.01</v>
      </c>
      <c r="CN19">
        <v>0.01</v>
      </c>
      <c r="CO19">
        <v>6.5545209999999994</v>
      </c>
      <c r="CP19">
        <v>0.15024472795495589</v>
      </c>
      <c r="CQ19">
        <v>3.8672362211274347E-2</v>
      </c>
      <c r="CR19">
        <v>-1</v>
      </c>
      <c r="CS19">
        <v>1.3332774999999999</v>
      </c>
      <c r="CT19">
        <v>-5.7244277673576547E-3</v>
      </c>
      <c r="CU19">
        <v>9.0471197073986381E-4</v>
      </c>
      <c r="CV19">
        <v>-1</v>
      </c>
      <c r="CW19">
        <v>0</v>
      </c>
      <c r="CX19">
        <v>0</v>
      </c>
      <c r="CY19" t="s">
        <v>333</v>
      </c>
      <c r="CZ19">
        <v>2.3649</v>
      </c>
      <c r="DA19">
        <v>2.7138300000000002</v>
      </c>
      <c r="DB19">
        <v>0.146985</v>
      </c>
      <c r="DC19">
        <v>0.145872</v>
      </c>
      <c r="DD19">
        <v>0.11195099999999999</v>
      </c>
      <c r="DE19">
        <v>0.10589999999999999</v>
      </c>
      <c r="DF19">
        <v>31167.3</v>
      </c>
      <c r="DG19">
        <v>27552.2</v>
      </c>
      <c r="DH19">
        <v>31191.4</v>
      </c>
      <c r="DI19">
        <v>28106.9</v>
      </c>
      <c r="DJ19">
        <v>37609.599999999999</v>
      </c>
      <c r="DK19">
        <v>35734</v>
      </c>
      <c r="DL19">
        <v>44391.7</v>
      </c>
      <c r="DM19">
        <v>42602.8</v>
      </c>
      <c r="DN19">
        <v>1.46</v>
      </c>
      <c r="DO19">
        <v>2.0657199999999998</v>
      </c>
      <c r="DP19">
        <v>8.5048399999999996E-2</v>
      </c>
      <c r="DQ19">
        <v>8.1732899999999997E-2</v>
      </c>
      <c r="DR19">
        <v>25.609300000000001</v>
      </c>
      <c r="DS19">
        <v>25.745699999999999</v>
      </c>
      <c r="DT19">
        <v>56.1</v>
      </c>
      <c r="DU19">
        <v>29</v>
      </c>
      <c r="DV19">
        <v>22.867799999999999</v>
      </c>
      <c r="DW19">
        <v>61.602200000000003</v>
      </c>
      <c r="DX19">
        <v>35.640999999999998</v>
      </c>
      <c r="DY19">
        <v>1</v>
      </c>
      <c r="DZ19">
        <v>-0.107317</v>
      </c>
      <c r="EA19">
        <v>-1.66533</v>
      </c>
      <c r="EB19">
        <v>20.294899999999998</v>
      </c>
      <c r="EC19">
        <v>5.2430500000000002</v>
      </c>
      <c r="ED19">
        <v>12.039899999999999</v>
      </c>
      <c r="EE19">
        <v>5.0173500000000004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1.8689100000000001</v>
      </c>
      <c r="EL19">
        <v>1.8646199999999999</v>
      </c>
      <c r="EM19">
        <v>1.8692</v>
      </c>
      <c r="EN19">
        <v>1.86724</v>
      </c>
      <c r="EO19">
        <v>1.8633500000000001</v>
      </c>
      <c r="EP19">
        <v>1.86446</v>
      </c>
      <c r="EQ19">
        <v>1.8701300000000001</v>
      </c>
      <c r="ER19">
        <v>1.8693599999999999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0.13700000000000001</v>
      </c>
      <c r="FG19">
        <v>0.19839999999999999</v>
      </c>
      <c r="FH19">
        <v>0.69281559908863044</v>
      </c>
      <c r="FI19">
        <v>-6.1462078757559423E-4</v>
      </c>
      <c r="FJ19">
        <v>-1.8861989874597051E-7</v>
      </c>
      <c r="FK19">
        <v>1.1980462299894961E-10</v>
      </c>
      <c r="FL19">
        <v>0.19840465858211129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10.4</v>
      </c>
      <c r="FU19">
        <v>10.4</v>
      </c>
      <c r="FV19">
        <v>1.79565</v>
      </c>
      <c r="FW19">
        <v>2.5805699999999998</v>
      </c>
      <c r="FX19">
        <v>1.5490699999999999</v>
      </c>
      <c r="FY19">
        <v>2.3315399999999999</v>
      </c>
      <c r="FZ19">
        <v>1.50146</v>
      </c>
      <c r="GA19">
        <v>2.4182100000000002</v>
      </c>
      <c r="GB19">
        <v>33.445599999999999</v>
      </c>
      <c r="GC19">
        <v>24.026199999999999</v>
      </c>
      <c r="GD19">
        <v>19</v>
      </c>
      <c r="GE19">
        <v>275.18099999999998</v>
      </c>
      <c r="GF19">
        <v>605.27599999999995</v>
      </c>
      <c r="GG19">
        <v>28.7393</v>
      </c>
      <c r="GH19">
        <v>26.078800000000001</v>
      </c>
      <c r="GI19">
        <v>30.000299999999999</v>
      </c>
      <c r="GJ19">
        <v>26.152100000000001</v>
      </c>
      <c r="GK19">
        <v>26.124300000000002</v>
      </c>
      <c r="GL19">
        <v>35.914400000000001</v>
      </c>
      <c r="GM19">
        <v>10.2986</v>
      </c>
      <c r="GN19">
        <v>100</v>
      </c>
      <c r="GO19">
        <v>28.729399999999998</v>
      </c>
      <c r="GP19">
        <v>800</v>
      </c>
      <c r="GQ19">
        <v>22.262</v>
      </c>
      <c r="GR19">
        <v>99.803600000000003</v>
      </c>
      <c r="GS19">
        <v>99.660499999999999</v>
      </c>
    </row>
    <row r="20" spans="1:201" x14ac:dyDescent="0.25">
      <c r="A20">
        <v>4</v>
      </c>
      <c r="B20">
        <v>1690388261</v>
      </c>
      <c r="C20">
        <v>2.5</v>
      </c>
      <c r="D20" t="s">
        <v>341</v>
      </c>
      <c r="E20" t="s">
        <v>342</v>
      </c>
      <c r="F20" t="s">
        <v>330</v>
      </c>
      <c r="H20">
        <v>1690388261</v>
      </c>
      <c r="I20">
        <f t="shared" si="0"/>
        <v>1.2915745294574707E-4</v>
      </c>
      <c r="J20">
        <f t="shared" si="1"/>
        <v>0.12915745294574707</v>
      </c>
      <c r="K20">
        <f t="shared" si="2"/>
        <v>-0.72077513612071564</v>
      </c>
      <c r="L20">
        <f t="shared" si="3"/>
        <v>806.52499999999998</v>
      </c>
      <c r="M20">
        <f t="shared" si="4"/>
        <v>903.74073300873295</v>
      </c>
      <c r="N20">
        <f t="shared" si="5"/>
        <v>89.252604886827342</v>
      </c>
      <c r="O20">
        <f t="shared" si="6"/>
        <v>79.651668368092487</v>
      </c>
      <c r="P20">
        <f t="shared" si="7"/>
        <v>1.0067278786229065E-2</v>
      </c>
      <c r="Q20">
        <f t="shared" si="8"/>
        <v>2.1521990183600228</v>
      </c>
      <c r="R20">
        <f t="shared" si="9"/>
        <v>1.0041190098159554E-2</v>
      </c>
      <c r="S20">
        <f t="shared" si="10"/>
        <v>6.2780820990979962E-3</v>
      </c>
      <c r="T20">
        <f t="shared" si="11"/>
        <v>0</v>
      </c>
      <c r="U20">
        <f t="shared" si="12"/>
        <v>26.901481980827679</v>
      </c>
      <c r="V20">
        <f t="shared" si="13"/>
        <v>26.901481980827679</v>
      </c>
      <c r="W20">
        <f t="shared" si="14"/>
        <v>3.5585021608368685</v>
      </c>
      <c r="X20">
        <f t="shared" si="15"/>
        <v>65.194346694301714</v>
      </c>
      <c r="Y20">
        <f t="shared" si="16"/>
        <v>2.3260331476474203</v>
      </c>
      <c r="Z20">
        <f t="shared" si="17"/>
        <v>3.5678448601598243</v>
      </c>
      <c r="AA20">
        <f t="shared" si="18"/>
        <v>1.2324690131894482</v>
      </c>
      <c r="AB20">
        <f t="shared" si="19"/>
        <v>-5.6958436749074455</v>
      </c>
      <c r="AC20">
        <f t="shared" si="20"/>
        <v>5.1769999180257731</v>
      </c>
      <c r="AD20">
        <f t="shared" si="21"/>
        <v>0.51872799865902264</v>
      </c>
      <c r="AE20">
        <f t="shared" si="22"/>
        <v>-1.157582226500864E-4</v>
      </c>
      <c r="AF20">
        <v>2</v>
      </c>
      <c r="AG20">
        <v>1</v>
      </c>
      <c r="AH20">
        <f t="shared" si="23"/>
        <v>1</v>
      </c>
      <c r="AI20">
        <f t="shared" si="24"/>
        <v>0</v>
      </c>
      <c r="AJ20">
        <f t="shared" si="25"/>
        <v>51939.63788124948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31.8</v>
      </c>
      <c r="AP20">
        <v>0.5</v>
      </c>
      <c r="AQ20" t="s">
        <v>331</v>
      </c>
      <c r="AR20">
        <v>2</v>
      </c>
      <c r="AS20">
        <v>1690388261</v>
      </c>
      <c r="AT20">
        <v>806.52499999999998</v>
      </c>
      <c r="AU20">
        <v>799.99300000000005</v>
      </c>
      <c r="AV20">
        <v>23.552600000000002</v>
      </c>
      <c r="AW20">
        <v>22.2166</v>
      </c>
      <c r="AX20">
        <v>806.38800000000003</v>
      </c>
      <c r="AY20">
        <v>23.354199999999999</v>
      </c>
      <c r="AZ20">
        <v>300.185</v>
      </c>
      <c r="BA20">
        <v>98.659099999999995</v>
      </c>
      <c r="BB20">
        <v>9.9981700000000007E-2</v>
      </c>
      <c r="BC20">
        <v>26.946100000000001</v>
      </c>
      <c r="BD20">
        <v>26.999500000000001</v>
      </c>
      <c r="BE20">
        <v>27.0838</v>
      </c>
      <c r="BF20">
        <v>0</v>
      </c>
      <c r="BG20">
        <v>0</v>
      </c>
      <c r="BH20">
        <v>9952.5</v>
      </c>
      <c r="BI20">
        <v>0.72724800000000001</v>
      </c>
      <c r="BJ20">
        <v>1.3553999999999999</v>
      </c>
      <c r="BK20">
        <v>6.5325899999999999</v>
      </c>
      <c r="BL20">
        <v>825.97900000000004</v>
      </c>
      <c r="BM20">
        <v>818.17</v>
      </c>
      <c r="BN20">
        <v>1.3360300000000001</v>
      </c>
      <c r="BO20">
        <v>799.99300000000005</v>
      </c>
      <c r="BP20">
        <v>22.2166</v>
      </c>
      <c r="BQ20">
        <v>2.32368</v>
      </c>
      <c r="BR20">
        <v>2.1918700000000002</v>
      </c>
      <c r="BS20">
        <v>19.8415</v>
      </c>
      <c r="BT20">
        <v>18.902999999999999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1690387638</v>
      </c>
      <c r="CC20" t="s">
        <v>332</v>
      </c>
      <c r="CD20">
        <v>1690387638</v>
      </c>
      <c r="CE20">
        <v>1690387638</v>
      </c>
      <c r="CF20">
        <v>6</v>
      </c>
      <c r="CG20">
        <v>0.43</v>
      </c>
      <c r="CH20">
        <v>-8.1000000000000003E-2</v>
      </c>
      <c r="CI20">
        <v>0.14199999999999999</v>
      </c>
      <c r="CJ20">
        <v>-2.7E-2</v>
      </c>
      <c r="CK20">
        <v>800</v>
      </c>
      <c r="CL20">
        <v>0</v>
      </c>
      <c r="CM20">
        <v>0.01</v>
      </c>
      <c r="CN20">
        <v>0.01</v>
      </c>
      <c r="CO20">
        <v>6.5586009756097567</v>
      </c>
      <c r="CP20">
        <v>0.129019233449473</v>
      </c>
      <c r="CQ20">
        <v>3.7146389431930972E-2</v>
      </c>
      <c r="CR20">
        <v>-1</v>
      </c>
      <c r="CS20">
        <v>1.333346341463415</v>
      </c>
      <c r="CT20">
        <v>-2.0105226480816888E-3</v>
      </c>
      <c r="CU20">
        <v>9.7407806592935905E-4</v>
      </c>
      <c r="CV20">
        <v>-1</v>
      </c>
      <c r="CW20">
        <v>0</v>
      </c>
      <c r="CX20">
        <v>0</v>
      </c>
      <c r="CY20" t="s">
        <v>333</v>
      </c>
      <c r="CZ20">
        <v>2.3647399999999998</v>
      </c>
      <c r="DA20">
        <v>2.71373</v>
      </c>
      <c r="DB20">
        <v>0.14698600000000001</v>
      </c>
      <c r="DC20">
        <v>0.14587800000000001</v>
      </c>
      <c r="DD20">
        <v>0.11195099999999999</v>
      </c>
      <c r="DE20">
        <v>0.10589800000000001</v>
      </c>
      <c r="DF20">
        <v>31167.3</v>
      </c>
      <c r="DG20">
        <v>27552.1</v>
      </c>
      <c r="DH20">
        <v>31191.4</v>
      </c>
      <c r="DI20">
        <v>28107</v>
      </c>
      <c r="DJ20">
        <v>37609.599999999999</v>
      </c>
      <c r="DK20">
        <v>35734.199999999997</v>
      </c>
      <c r="DL20">
        <v>44391.6</v>
      </c>
      <c r="DM20">
        <v>42603</v>
      </c>
      <c r="DN20">
        <v>1.4603299999999999</v>
      </c>
      <c r="DO20">
        <v>2.0653999999999999</v>
      </c>
      <c r="DP20">
        <v>8.4880700000000003E-2</v>
      </c>
      <c r="DQ20">
        <v>8.1714200000000001E-2</v>
      </c>
      <c r="DR20">
        <v>25.6098</v>
      </c>
      <c r="DS20">
        <v>25.746200000000002</v>
      </c>
      <c r="DT20">
        <v>56.1</v>
      </c>
      <c r="DU20">
        <v>29</v>
      </c>
      <c r="DV20">
        <v>22.8657</v>
      </c>
      <c r="DW20">
        <v>61.592199999999998</v>
      </c>
      <c r="DX20">
        <v>35.725200000000001</v>
      </c>
      <c r="DY20">
        <v>1</v>
      </c>
      <c r="DZ20">
        <v>-0.107114</v>
      </c>
      <c r="EA20">
        <v>-1.65764</v>
      </c>
      <c r="EB20">
        <v>20.294799999999999</v>
      </c>
      <c r="EC20">
        <v>5.24275</v>
      </c>
      <c r="ED20">
        <v>12.039899999999999</v>
      </c>
      <c r="EE20">
        <v>5.01715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1.8689100000000001</v>
      </c>
      <c r="EL20">
        <v>1.8646199999999999</v>
      </c>
      <c r="EM20">
        <v>1.8692</v>
      </c>
      <c r="EN20">
        <v>1.86724</v>
      </c>
      <c r="EO20">
        <v>1.8633500000000001</v>
      </c>
      <c r="EP20">
        <v>1.8644499999999999</v>
      </c>
      <c r="EQ20">
        <v>1.87012</v>
      </c>
      <c r="ER20">
        <v>1.8693500000000001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0.13700000000000001</v>
      </c>
      <c r="FG20">
        <v>0.19839999999999999</v>
      </c>
      <c r="FH20">
        <v>0.69281559908863044</v>
      </c>
      <c r="FI20">
        <v>-6.1462078757559423E-4</v>
      </c>
      <c r="FJ20">
        <v>-1.8861989874597051E-7</v>
      </c>
      <c r="FK20">
        <v>1.1980462299894961E-10</v>
      </c>
      <c r="FL20">
        <v>0.19840465858211129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10.4</v>
      </c>
      <c r="FU20">
        <v>10.4</v>
      </c>
      <c r="FV20">
        <v>1.79565</v>
      </c>
      <c r="FW20">
        <v>2.5805699999999998</v>
      </c>
      <c r="FX20">
        <v>1.5490699999999999</v>
      </c>
      <c r="FY20">
        <v>2.3327599999999999</v>
      </c>
      <c r="FZ20">
        <v>1.50146</v>
      </c>
      <c r="GA20">
        <v>2.3278799999999999</v>
      </c>
      <c r="GB20">
        <v>33.445599999999999</v>
      </c>
      <c r="GC20">
        <v>24.008700000000001</v>
      </c>
      <c r="GD20">
        <v>19</v>
      </c>
      <c r="GE20">
        <v>275.31599999999997</v>
      </c>
      <c r="GF20">
        <v>604.99900000000002</v>
      </c>
      <c r="GG20">
        <v>28.738900000000001</v>
      </c>
      <c r="GH20">
        <v>26.078800000000001</v>
      </c>
      <c r="GI20">
        <v>30.000399999999999</v>
      </c>
      <c r="GJ20">
        <v>26.152100000000001</v>
      </c>
      <c r="GK20">
        <v>26.124300000000002</v>
      </c>
      <c r="GL20">
        <v>35.914200000000001</v>
      </c>
      <c r="GM20">
        <v>10.2986</v>
      </c>
      <c r="GN20">
        <v>100</v>
      </c>
      <c r="GO20">
        <v>28.729399999999998</v>
      </c>
      <c r="GP20">
        <v>800</v>
      </c>
      <c r="GQ20">
        <v>22.262</v>
      </c>
      <c r="GR20">
        <v>99.8035</v>
      </c>
      <c r="GS20">
        <v>99.660899999999998</v>
      </c>
    </row>
    <row r="21" spans="1:201" x14ac:dyDescent="0.25">
      <c r="A21">
        <v>5</v>
      </c>
      <c r="B21">
        <v>1690388262</v>
      </c>
      <c r="C21">
        <v>3.5</v>
      </c>
      <c r="D21" t="s">
        <v>343</v>
      </c>
      <c r="E21" t="s">
        <v>344</v>
      </c>
      <c r="F21" t="s">
        <v>330</v>
      </c>
      <c r="H21">
        <v>1690388262</v>
      </c>
      <c r="I21">
        <f t="shared" si="0"/>
        <v>1.2908192683385613E-4</v>
      </c>
      <c r="J21">
        <f t="shared" si="1"/>
        <v>0.12908192683385614</v>
      </c>
      <c r="K21">
        <f t="shared" si="2"/>
        <v>-0.71917133945759393</v>
      </c>
      <c r="L21">
        <f t="shared" si="3"/>
        <v>806.54200000000003</v>
      </c>
      <c r="M21">
        <f t="shared" si="4"/>
        <v>903.56430918224873</v>
      </c>
      <c r="N21">
        <f t="shared" si="5"/>
        <v>89.23543650793826</v>
      </c>
      <c r="O21">
        <f t="shared" si="6"/>
        <v>79.653574959288008</v>
      </c>
      <c r="P21">
        <f t="shared" si="7"/>
        <v>1.0062017927942752E-2</v>
      </c>
      <c r="Q21">
        <f t="shared" si="8"/>
        <v>2.1570016684745683</v>
      </c>
      <c r="R21">
        <f t="shared" si="9"/>
        <v>1.0036014325958168E-2</v>
      </c>
      <c r="S21">
        <f t="shared" si="10"/>
        <v>6.2748396306876548E-3</v>
      </c>
      <c r="T21">
        <f t="shared" si="11"/>
        <v>0</v>
      </c>
      <c r="U21">
        <f t="shared" si="12"/>
        <v>26.900798299203323</v>
      </c>
      <c r="V21">
        <f t="shared" si="13"/>
        <v>26.900798299203323</v>
      </c>
      <c r="W21">
        <f t="shared" si="14"/>
        <v>3.558359169008209</v>
      </c>
      <c r="X21">
        <f t="shared" si="15"/>
        <v>65.195659874438903</v>
      </c>
      <c r="Y21">
        <f t="shared" si="16"/>
        <v>2.3259706649916003</v>
      </c>
      <c r="Z21">
        <f t="shared" si="17"/>
        <v>3.5676771574537551</v>
      </c>
      <c r="AA21">
        <f t="shared" si="18"/>
        <v>1.2323885040166087</v>
      </c>
      <c r="AB21">
        <f t="shared" si="19"/>
        <v>-5.6925129733730557</v>
      </c>
      <c r="AC21">
        <f t="shared" si="20"/>
        <v>5.1750259735204516</v>
      </c>
      <c r="AD21">
        <f t="shared" si="21"/>
        <v>0.51737184498646771</v>
      </c>
      <c r="AE21">
        <f t="shared" si="22"/>
        <v>-1.1515486613689063E-4</v>
      </c>
      <c r="AF21">
        <v>2</v>
      </c>
      <c r="AG21">
        <v>1</v>
      </c>
      <c r="AH21">
        <f t="shared" si="23"/>
        <v>1</v>
      </c>
      <c r="AI21">
        <f t="shared" si="24"/>
        <v>0</v>
      </c>
      <c r="AJ21">
        <f t="shared" si="25"/>
        <v>52140.222969983733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31.8</v>
      </c>
      <c r="AP21">
        <v>0.5</v>
      </c>
      <c r="AQ21" t="s">
        <v>331</v>
      </c>
      <c r="AR21">
        <v>2</v>
      </c>
      <c r="AS21">
        <v>1690388262</v>
      </c>
      <c r="AT21">
        <v>806.54200000000003</v>
      </c>
      <c r="AU21">
        <v>800.02499999999998</v>
      </c>
      <c r="AV21">
        <v>23.5519</v>
      </c>
      <c r="AW21">
        <v>22.2164</v>
      </c>
      <c r="AX21">
        <v>806.40499999999997</v>
      </c>
      <c r="AY21">
        <v>23.3535</v>
      </c>
      <c r="AZ21">
        <v>300.12200000000001</v>
      </c>
      <c r="BA21">
        <v>98.659300000000002</v>
      </c>
      <c r="BB21">
        <v>0.100064</v>
      </c>
      <c r="BC21">
        <v>26.9453</v>
      </c>
      <c r="BD21">
        <v>26.9953</v>
      </c>
      <c r="BE21">
        <v>27.082999999999998</v>
      </c>
      <c r="BF21">
        <v>0</v>
      </c>
      <c r="BG21">
        <v>0</v>
      </c>
      <c r="BH21">
        <v>9992.5</v>
      </c>
      <c r="BI21">
        <v>0.75392199999999998</v>
      </c>
      <c r="BJ21">
        <v>1.3455900000000001</v>
      </c>
      <c r="BK21">
        <v>6.5174599999999998</v>
      </c>
      <c r="BL21">
        <v>825.99599999999998</v>
      </c>
      <c r="BM21">
        <v>818.20299999999997</v>
      </c>
      <c r="BN21">
        <v>1.3354900000000001</v>
      </c>
      <c r="BO21">
        <v>800.02499999999998</v>
      </c>
      <c r="BP21">
        <v>22.2164</v>
      </c>
      <c r="BQ21">
        <v>2.32361</v>
      </c>
      <c r="BR21">
        <v>2.1918500000000001</v>
      </c>
      <c r="BS21">
        <v>19.841000000000001</v>
      </c>
      <c r="BT21">
        <v>18.902899999999999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1690387638</v>
      </c>
      <c r="CC21" t="s">
        <v>332</v>
      </c>
      <c r="CD21">
        <v>1690387638</v>
      </c>
      <c r="CE21">
        <v>1690387638</v>
      </c>
      <c r="CF21">
        <v>6</v>
      </c>
      <c r="CG21">
        <v>0.43</v>
      </c>
      <c r="CH21">
        <v>-8.1000000000000003E-2</v>
      </c>
      <c r="CI21">
        <v>0.14199999999999999</v>
      </c>
      <c r="CJ21">
        <v>-2.7E-2</v>
      </c>
      <c r="CK21">
        <v>800</v>
      </c>
      <c r="CL21">
        <v>0</v>
      </c>
      <c r="CM21">
        <v>0.01</v>
      </c>
      <c r="CN21">
        <v>0.01</v>
      </c>
      <c r="CO21">
        <v>6.5619842500000001</v>
      </c>
      <c r="CP21">
        <v>1.7498048780482819E-2</v>
      </c>
      <c r="CQ21">
        <v>3.4931703214093342E-2</v>
      </c>
      <c r="CR21">
        <v>-1</v>
      </c>
      <c r="CS21">
        <v>1.33338775</v>
      </c>
      <c r="CT21">
        <v>4.1172607879922454E-3</v>
      </c>
      <c r="CU21">
        <v>1.113780695424378E-3</v>
      </c>
      <c r="CV21">
        <v>-1</v>
      </c>
      <c r="CW21">
        <v>0</v>
      </c>
      <c r="CX21">
        <v>0</v>
      </c>
      <c r="CY21" t="s">
        <v>333</v>
      </c>
      <c r="CZ21">
        <v>2.3645299999999998</v>
      </c>
      <c r="DA21">
        <v>2.7138499999999999</v>
      </c>
      <c r="DB21">
        <v>0.14698800000000001</v>
      </c>
      <c r="DC21">
        <v>0.14588200000000001</v>
      </c>
      <c r="DD21">
        <v>0.11194900000000001</v>
      </c>
      <c r="DE21">
        <v>0.10589800000000001</v>
      </c>
      <c r="DF21">
        <v>31167.200000000001</v>
      </c>
      <c r="DG21">
        <v>27552</v>
      </c>
      <c r="DH21">
        <v>31191.4</v>
      </c>
      <c r="DI21">
        <v>28107.1</v>
      </c>
      <c r="DJ21">
        <v>37609.599999999999</v>
      </c>
      <c r="DK21">
        <v>35734.300000000003</v>
      </c>
      <c r="DL21">
        <v>44391.5</v>
      </c>
      <c r="DM21">
        <v>42603</v>
      </c>
      <c r="DN21">
        <v>1.4604299999999999</v>
      </c>
      <c r="DO21">
        <v>2.0655299999999999</v>
      </c>
      <c r="DP21">
        <v>8.4601300000000004E-2</v>
      </c>
      <c r="DQ21">
        <v>8.1639699999999996E-2</v>
      </c>
      <c r="DR21">
        <v>25.610199999999999</v>
      </c>
      <c r="DS21">
        <v>25.746600000000001</v>
      </c>
      <c r="DT21">
        <v>56.1</v>
      </c>
      <c r="DU21">
        <v>29</v>
      </c>
      <c r="DV21">
        <v>22.866099999999999</v>
      </c>
      <c r="DW21">
        <v>61.042200000000001</v>
      </c>
      <c r="DX21">
        <v>36.650599999999997</v>
      </c>
      <c r="DY21">
        <v>1</v>
      </c>
      <c r="DZ21">
        <v>-0.107307</v>
      </c>
      <c r="EA21">
        <v>-1.6508799999999999</v>
      </c>
      <c r="EB21">
        <v>20.294899999999998</v>
      </c>
      <c r="EC21">
        <v>5.2426000000000004</v>
      </c>
      <c r="ED21">
        <v>12.039899999999999</v>
      </c>
      <c r="EE21">
        <v>5.0172499999999998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1.8692</v>
      </c>
      <c r="EN21">
        <v>1.86724</v>
      </c>
      <c r="EO21">
        <v>1.8633500000000001</v>
      </c>
      <c r="EP21">
        <v>1.8644499999999999</v>
      </c>
      <c r="EQ21">
        <v>1.87012</v>
      </c>
      <c r="ER21">
        <v>1.8693500000000001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0.13700000000000001</v>
      </c>
      <c r="FG21">
        <v>0.19839999999999999</v>
      </c>
      <c r="FH21">
        <v>0.69281559908863044</v>
      </c>
      <c r="FI21">
        <v>-6.1462078757559423E-4</v>
      </c>
      <c r="FJ21">
        <v>-1.8861989874597051E-7</v>
      </c>
      <c r="FK21">
        <v>1.1980462299894961E-10</v>
      </c>
      <c r="FL21">
        <v>0.19840465858211129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10.4</v>
      </c>
      <c r="FU21">
        <v>10.4</v>
      </c>
      <c r="FV21">
        <v>1.79688</v>
      </c>
      <c r="FW21">
        <v>2.5878899999999998</v>
      </c>
      <c r="FX21">
        <v>1.5490699999999999</v>
      </c>
      <c r="FY21">
        <v>2.3315399999999999</v>
      </c>
      <c r="FZ21">
        <v>1.50146</v>
      </c>
      <c r="GA21">
        <v>2.36084</v>
      </c>
      <c r="GB21">
        <v>33.445599999999999</v>
      </c>
      <c r="GC21">
        <v>24.017499999999998</v>
      </c>
      <c r="GD21">
        <v>19</v>
      </c>
      <c r="GE21">
        <v>275.358</v>
      </c>
      <c r="GF21">
        <v>605.10599999999999</v>
      </c>
      <c r="GG21">
        <v>28.738299999999999</v>
      </c>
      <c r="GH21">
        <v>26.078800000000001</v>
      </c>
      <c r="GI21">
        <v>30.0002</v>
      </c>
      <c r="GJ21">
        <v>26.152100000000001</v>
      </c>
      <c r="GK21">
        <v>26.124300000000002</v>
      </c>
      <c r="GL21">
        <v>35.913400000000003</v>
      </c>
      <c r="GM21">
        <v>10.2986</v>
      </c>
      <c r="GN21">
        <v>100</v>
      </c>
      <c r="GO21">
        <v>28.729399999999998</v>
      </c>
      <c r="GP21">
        <v>800</v>
      </c>
      <c r="GQ21">
        <v>22.262</v>
      </c>
      <c r="GR21">
        <v>99.803399999999996</v>
      </c>
      <c r="GS21">
        <v>99.661000000000001</v>
      </c>
    </row>
    <row r="22" spans="1:201" x14ac:dyDescent="0.25">
      <c r="A22">
        <v>6</v>
      </c>
      <c r="B22">
        <v>1690388335.5</v>
      </c>
      <c r="C22">
        <v>77</v>
      </c>
      <c r="D22" t="s">
        <v>345</v>
      </c>
      <c r="E22" t="s">
        <v>346</v>
      </c>
      <c r="F22" t="s">
        <v>330</v>
      </c>
      <c r="H22">
        <v>1690388335.5</v>
      </c>
      <c r="I22">
        <f t="shared" si="0"/>
        <v>1.3300582116505209E-4</v>
      </c>
      <c r="J22">
        <f t="shared" si="1"/>
        <v>0.13300582116505208</v>
      </c>
      <c r="K22">
        <f t="shared" si="2"/>
        <v>-0.70780326361372514</v>
      </c>
      <c r="L22">
        <f t="shared" si="3"/>
        <v>806.30899999999997</v>
      </c>
      <c r="M22">
        <f t="shared" si="4"/>
        <v>941.74161956496675</v>
      </c>
      <c r="N22">
        <f t="shared" si="5"/>
        <v>93.003169820126956</v>
      </c>
      <c r="O22">
        <f t="shared" si="6"/>
        <v>79.628309184357491</v>
      </c>
      <c r="P22">
        <f t="shared" si="7"/>
        <v>6.9993976908591677E-3</v>
      </c>
      <c r="Q22">
        <f t="shared" si="8"/>
        <v>2.1548709071927932</v>
      </c>
      <c r="R22">
        <f t="shared" si="9"/>
        <v>6.986791552102592E-3</v>
      </c>
      <c r="S22">
        <f t="shared" si="10"/>
        <v>4.3678754163305501E-3</v>
      </c>
      <c r="T22">
        <f t="shared" si="11"/>
        <v>276.07110204692924</v>
      </c>
      <c r="U22">
        <f t="shared" si="12"/>
        <v>29.531043362942302</v>
      </c>
      <c r="V22">
        <f t="shared" si="13"/>
        <v>29.531043362942302</v>
      </c>
      <c r="W22">
        <f t="shared" si="14"/>
        <v>4.147026417519891</v>
      </c>
      <c r="X22">
        <f t="shared" si="15"/>
        <v>63.487358280261383</v>
      </c>
      <c r="Y22">
        <f t="shared" si="16"/>
        <v>2.3286601103365001</v>
      </c>
      <c r="Z22">
        <f t="shared" si="17"/>
        <v>3.667911492011938</v>
      </c>
      <c r="AA22">
        <f t="shared" si="18"/>
        <v>1.8183663071833909</v>
      </c>
      <c r="AB22">
        <f t="shared" si="19"/>
        <v>-5.8655567133787967</v>
      </c>
      <c r="AC22">
        <f t="shared" si="20"/>
        <v>-245.514284577106</v>
      </c>
      <c r="AD22">
        <f t="shared" si="21"/>
        <v>-24.953027593840751</v>
      </c>
      <c r="AE22">
        <f t="shared" si="22"/>
        <v>-0.26176683739629425</v>
      </c>
      <c r="AF22">
        <v>1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51969.328648437273</v>
      </c>
      <c r="AK22">
        <f t="shared" si="26"/>
        <v>1799.71</v>
      </c>
      <c r="AL22">
        <f t="shared" si="27"/>
        <v>1498.87073195882</v>
      </c>
      <c r="AM22">
        <f t="shared" si="28"/>
        <v>0.83284014200000001</v>
      </c>
      <c r="AN22">
        <f t="shared" si="29"/>
        <v>0.15339754852000001</v>
      </c>
      <c r="AO22">
        <v>31.8</v>
      </c>
      <c r="AP22">
        <v>0.5</v>
      </c>
      <c r="AQ22" t="s">
        <v>331</v>
      </c>
      <c r="AR22">
        <v>2</v>
      </c>
      <c r="AS22">
        <v>1690388335.5</v>
      </c>
      <c r="AT22">
        <v>806.30899999999997</v>
      </c>
      <c r="AU22">
        <v>799.94500000000005</v>
      </c>
      <c r="AV22">
        <v>23.579799999999999</v>
      </c>
      <c r="AW22">
        <v>22.203600000000002</v>
      </c>
      <c r="AX22">
        <v>806.17100000000005</v>
      </c>
      <c r="AY22">
        <v>23.381399999999999</v>
      </c>
      <c r="AZ22">
        <v>300.09100000000001</v>
      </c>
      <c r="BA22">
        <v>98.656599999999997</v>
      </c>
      <c r="BB22">
        <v>9.9967500000000001E-2</v>
      </c>
      <c r="BC22">
        <v>27.4177</v>
      </c>
      <c r="BD22">
        <v>28.385000000000002</v>
      </c>
      <c r="BE22">
        <v>28.609400000000001</v>
      </c>
      <c r="BF22">
        <v>0</v>
      </c>
      <c r="BG22">
        <v>0</v>
      </c>
      <c r="BH22">
        <v>9975</v>
      </c>
      <c r="BI22">
        <v>1079</v>
      </c>
      <c r="BJ22">
        <v>1.33718</v>
      </c>
      <c r="BK22">
        <v>6.3632200000000001</v>
      </c>
      <c r="BL22">
        <v>825.78</v>
      </c>
      <c r="BM22">
        <v>818.11</v>
      </c>
      <c r="BN22">
        <v>1.37618</v>
      </c>
      <c r="BO22">
        <v>799.94500000000005</v>
      </c>
      <c r="BP22">
        <v>22.203600000000002</v>
      </c>
      <c r="BQ22">
        <v>2.3262999999999998</v>
      </c>
      <c r="BR22">
        <v>2.1905399999999999</v>
      </c>
      <c r="BS22">
        <v>19.8597</v>
      </c>
      <c r="BT22">
        <v>18.8933</v>
      </c>
      <c r="BU22">
        <v>1799.71</v>
      </c>
      <c r="BV22">
        <v>0.909999</v>
      </c>
      <c r="BW22">
        <v>3.3998599999999997E-2</v>
      </c>
      <c r="BX22">
        <v>2.2002600000000001E-2</v>
      </c>
      <c r="BY22">
        <v>3.3999599999999998E-2</v>
      </c>
      <c r="BZ22">
        <v>26</v>
      </c>
      <c r="CA22">
        <v>33523</v>
      </c>
      <c r="CB22">
        <v>1690387638</v>
      </c>
      <c r="CC22" t="s">
        <v>332</v>
      </c>
      <c r="CD22">
        <v>1690387638</v>
      </c>
      <c r="CE22">
        <v>1690387638</v>
      </c>
      <c r="CF22">
        <v>6</v>
      </c>
      <c r="CG22">
        <v>0.43</v>
      </c>
      <c r="CH22">
        <v>-8.1000000000000003E-2</v>
      </c>
      <c r="CI22">
        <v>0.14199999999999999</v>
      </c>
      <c r="CJ22">
        <v>-2.7E-2</v>
      </c>
      <c r="CK22">
        <v>800</v>
      </c>
      <c r="CL22">
        <v>0</v>
      </c>
      <c r="CM22">
        <v>0.01</v>
      </c>
      <c r="CN22">
        <v>0.01</v>
      </c>
      <c r="CO22">
        <v>6.6358300000000003</v>
      </c>
      <c r="CP22">
        <v>-0.13654871080139661</v>
      </c>
      <c r="CQ22">
        <v>6.9575718220178384E-2</v>
      </c>
      <c r="CR22">
        <v>-1</v>
      </c>
      <c r="CS22">
        <v>1.3328014634146339</v>
      </c>
      <c r="CT22">
        <v>5.4223066202091462E-2</v>
      </c>
      <c r="CU22">
        <v>7.8170522049869108E-3</v>
      </c>
      <c r="CV22">
        <v>-1</v>
      </c>
      <c r="CW22">
        <v>0</v>
      </c>
      <c r="CX22">
        <v>0</v>
      </c>
      <c r="CY22" t="s">
        <v>333</v>
      </c>
      <c r="CZ22">
        <v>2.3644099999999999</v>
      </c>
      <c r="DA22">
        <v>2.71374</v>
      </c>
      <c r="DB22">
        <v>0.146956</v>
      </c>
      <c r="DC22">
        <v>0.145869</v>
      </c>
      <c r="DD22">
        <v>0.11204</v>
      </c>
      <c r="DE22">
        <v>0.105852</v>
      </c>
      <c r="DF22">
        <v>31168.3</v>
      </c>
      <c r="DG22">
        <v>27552.400000000001</v>
      </c>
      <c r="DH22">
        <v>31191.3</v>
      </c>
      <c r="DI22">
        <v>28107</v>
      </c>
      <c r="DJ22">
        <v>37605.699999999997</v>
      </c>
      <c r="DK22">
        <v>35736.199999999997</v>
      </c>
      <c r="DL22">
        <v>44391.6</v>
      </c>
      <c r="DM22">
        <v>42603.199999999997</v>
      </c>
      <c r="DN22">
        <v>1.4622999999999999</v>
      </c>
      <c r="DO22">
        <v>2.06582</v>
      </c>
      <c r="DP22">
        <v>0.167683</v>
      </c>
      <c r="DQ22">
        <v>0.173572</v>
      </c>
      <c r="DR22">
        <v>25.642800000000001</v>
      </c>
      <c r="DS22">
        <v>25.771699999999999</v>
      </c>
      <c r="DT22">
        <v>56.4</v>
      </c>
      <c r="DU22">
        <v>29</v>
      </c>
      <c r="DV22">
        <v>22.989799999999999</v>
      </c>
      <c r="DW22">
        <v>61.482199999999999</v>
      </c>
      <c r="DX22">
        <v>36.342100000000002</v>
      </c>
      <c r="DY22">
        <v>1</v>
      </c>
      <c r="DZ22">
        <v>-0.108168</v>
      </c>
      <c r="EA22">
        <v>-0.30660399999999999</v>
      </c>
      <c r="EB22">
        <v>20.1784</v>
      </c>
      <c r="EC22">
        <v>5.2418500000000003</v>
      </c>
      <c r="ED22">
        <v>12.039899999999999</v>
      </c>
      <c r="EE22">
        <v>5.0169499999999996</v>
      </c>
      <c r="EF22">
        <v>3.2879700000000001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1.8692</v>
      </c>
      <c r="EN22">
        <v>1.8672299999999999</v>
      </c>
      <c r="EO22">
        <v>1.8633200000000001</v>
      </c>
      <c r="EP22">
        <v>1.8644700000000001</v>
      </c>
      <c r="EQ22">
        <v>1.8701300000000001</v>
      </c>
      <c r="ER22">
        <v>1.8693599999999999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0.13800000000000001</v>
      </c>
      <c r="FG22">
        <v>0.19839999999999999</v>
      </c>
      <c r="FH22">
        <v>0.69281559908863044</v>
      </c>
      <c r="FI22">
        <v>-6.1462078757559423E-4</v>
      </c>
      <c r="FJ22">
        <v>-1.8861989874597051E-7</v>
      </c>
      <c r="FK22">
        <v>1.1980462299894961E-10</v>
      </c>
      <c r="FL22">
        <v>0.19840465858211129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11.6</v>
      </c>
      <c r="FU22">
        <v>11.6</v>
      </c>
      <c r="FV22">
        <v>1.79688</v>
      </c>
      <c r="FW22">
        <v>2.5756800000000002</v>
      </c>
      <c r="FX22">
        <v>1.5490699999999999</v>
      </c>
      <c r="FY22">
        <v>2.3327599999999999</v>
      </c>
      <c r="FZ22">
        <v>1.50146</v>
      </c>
      <c r="GA22">
        <v>2.3730500000000001</v>
      </c>
      <c r="GB22">
        <v>33.423200000000001</v>
      </c>
      <c r="GC22">
        <v>23.973700000000001</v>
      </c>
      <c r="GD22">
        <v>19</v>
      </c>
      <c r="GE22">
        <v>276.15100000000001</v>
      </c>
      <c r="GF22">
        <v>605.38599999999997</v>
      </c>
      <c r="GG22">
        <v>28.652999999999999</v>
      </c>
      <c r="GH22">
        <v>26.078800000000001</v>
      </c>
      <c r="GI22">
        <v>30.0002</v>
      </c>
      <c r="GJ22">
        <v>26.154299999999999</v>
      </c>
      <c r="GK22">
        <v>26.1265</v>
      </c>
      <c r="GL22">
        <v>35.928800000000003</v>
      </c>
      <c r="GM22">
        <v>9.0809599999999993</v>
      </c>
      <c r="GN22">
        <v>100</v>
      </c>
      <c r="GO22">
        <v>27.9984</v>
      </c>
      <c r="GP22">
        <v>800</v>
      </c>
      <c r="GQ22">
        <v>22.482199999999999</v>
      </c>
      <c r="GR22">
        <v>99.803299999999993</v>
      </c>
      <c r="GS22">
        <v>99.661100000000005</v>
      </c>
    </row>
    <row r="23" spans="1:201" x14ac:dyDescent="0.25">
      <c r="A23">
        <v>7</v>
      </c>
      <c r="B23">
        <v>1690388345.5999999</v>
      </c>
      <c r="C23">
        <v>87.099999904632568</v>
      </c>
      <c r="D23" t="s">
        <v>347</v>
      </c>
      <c r="E23" t="s">
        <v>348</v>
      </c>
      <c r="F23" t="s">
        <v>330</v>
      </c>
      <c r="H23">
        <v>1690388345.5999999</v>
      </c>
      <c r="I23">
        <f t="shared" si="0"/>
        <v>1.1771198808394455E-4</v>
      </c>
      <c r="J23">
        <f t="shared" si="1"/>
        <v>0.11771198808394455</v>
      </c>
      <c r="K23">
        <f t="shared" si="2"/>
        <v>-0.61679570334060108</v>
      </c>
      <c r="L23">
        <f t="shared" si="3"/>
        <v>805.25400000000002</v>
      </c>
      <c r="M23">
        <f t="shared" si="4"/>
        <v>942.34637984897449</v>
      </c>
      <c r="N23">
        <f t="shared" si="5"/>
        <v>93.063182699101318</v>
      </c>
      <c r="O23">
        <f t="shared" si="6"/>
        <v>79.524367815996015</v>
      </c>
      <c r="P23">
        <f t="shared" si="7"/>
        <v>6.0061123324981636E-3</v>
      </c>
      <c r="Q23">
        <f t="shared" si="8"/>
        <v>2.1553231789281337</v>
      </c>
      <c r="R23">
        <f t="shared" si="9"/>
        <v>5.9968295851775414E-3</v>
      </c>
      <c r="S23">
        <f t="shared" si="10"/>
        <v>3.7488512954741409E-3</v>
      </c>
      <c r="T23">
        <f t="shared" si="11"/>
        <v>276.10316649874244</v>
      </c>
      <c r="U23">
        <f t="shared" si="12"/>
        <v>29.797159504472333</v>
      </c>
      <c r="V23">
        <f t="shared" si="13"/>
        <v>29.797159504472333</v>
      </c>
      <c r="W23">
        <f t="shared" si="14"/>
        <v>4.2110626009898358</v>
      </c>
      <c r="X23">
        <f t="shared" si="15"/>
        <v>62.74286801147305</v>
      </c>
      <c r="Y23">
        <f t="shared" si="16"/>
        <v>2.3368246553376002</v>
      </c>
      <c r="Z23">
        <f t="shared" si="17"/>
        <v>3.7244466652533199</v>
      </c>
      <c r="AA23">
        <f t="shared" si="18"/>
        <v>1.8742379456522356</v>
      </c>
      <c r="AB23">
        <f t="shared" si="19"/>
        <v>-5.1910986745019549</v>
      </c>
      <c r="AC23">
        <f t="shared" si="20"/>
        <v>-246.10219937444168</v>
      </c>
      <c r="AD23">
        <f t="shared" si="21"/>
        <v>-25.073239606199923</v>
      </c>
      <c r="AE23">
        <f t="shared" si="22"/>
        <v>-0.26337115640112074</v>
      </c>
      <c r="AF23">
        <v>2</v>
      </c>
      <c r="AG23">
        <v>1</v>
      </c>
      <c r="AH23">
        <f t="shared" si="23"/>
        <v>1</v>
      </c>
      <c r="AI23">
        <f t="shared" si="24"/>
        <v>0</v>
      </c>
      <c r="AJ23">
        <f t="shared" si="25"/>
        <v>51942.969587344618</v>
      </c>
      <c r="AK23">
        <f t="shared" si="26"/>
        <v>1799.92</v>
      </c>
      <c r="AL23">
        <f t="shared" si="27"/>
        <v>1499.0454123982402</v>
      </c>
      <c r="AM23">
        <f t="shared" si="28"/>
        <v>0.83284002200000007</v>
      </c>
      <c r="AN23">
        <f t="shared" si="29"/>
        <v>0.15339746572000001</v>
      </c>
      <c r="AO23">
        <v>31.8</v>
      </c>
      <c r="AP23">
        <v>0.5</v>
      </c>
      <c r="AQ23" t="s">
        <v>331</v>
      </c>
      <c r="AR23">
        <v>2</v>
      </c>
      <c r="AS23">
        <v>1690388345.5999999</v>
      </c>
      <c r="AT23">
        <v>805.25400000000002</v>
      </c>
      <c r="AU23">
        <v>799.72400000000005</v>
      </c>
      <c r="AV23">
        <v>23.662400000000002</v>
      </c>
      <c r="AW23">
        <v>22.444900000000001</v>
      </c>
      <c r="AX23">
        <v>805.11599999999999</v>
      </c>
      <c r="AY23">
        <v>23.463999999999999</v>
      </c>
      <c r="AZ23">
        <v>300.178</v>
      </c>
      <c r="BA23">
        <v>98.656800000000004</v>
      </c>
      <c r="BB23">
        <v>0.100074</v>
      </c>
      <c r="BC23">
        <v>27.679200000000002</v>
      </c>
      <c r="BD23">
        <v>29.3767</v>
      </c>
      <c r="BE23">
        <v>29.388100000000001</v>
      </c>
      <c r="BF23">
        <v>0</v>
      </c>
      <c r="BG23">
        <v>0</v>
      </c>
      <c r="BH23">
        <v>9978.75</v>
      </c>
      <c r="BI23">
        <v>1082.2</v>
      </c>
      <c r="BJ23">
        <v>1.3455900000000001</v>
      </c>
      <c r="BK23">
        <v>5.5305200000000001</v>
      </c>
      <c r="BL23">
        <v>824.77</v>
      </c>
      <c r="BM23">
        <v>818.08500000000004</v>
      </c>
      <c r="BN23">
        <v>1.2174499999999999</v>
      </c>
      <c r="BO23">
        <v>799.72400000000005</v>
      </c>
      <c r="BP23">
        <v>22.444900000000001</v>
      </c>
      <c r="BQ23">
        <v>2.3344499999999999</v>
      </c>
      <c r="BR23">
        <v>2.21434</v>
      </c>
      <c r="BS23">
        <v>19.9161</v>
      </c>
      <c r="BT23">
        <v>19.066500000000001</v>
      </c>
      <c r="BU23">
        <v>1799.92</v>
      </c>
      <c r="BV23">
        <v>0.90999600000000003</v>
      </c>
      <c r="BW23">
        <v>3.3995299999999999E-2</v>
      </c>
      <c r="BX23">
        <v>2.2000599999999999E-2</v>
      </c>
      <c r="BY23">
        <v>3.4008200000000002E-2</v>
      </c>
      <c r="BZ23">
        <v>26</v>
      </c>
      <c r="CA23">
        <v>33527</v>
      </c>
      <c r="CB23">
        <v>1690387638</v>
      </c>
      <c r="CC23" t="s">
        <v>332</v>
      </c>
      <c r="CD23">
        <v>1690387638</v>
      </c>
      <c r="CE23">
        <v>1690387638</v>
      </c>
      <c r="CF23">
        <v>6</v>
      </c>
      <c r="CG23">
        <v>0.43</v>
      </c>
      <c r="CH23">
        <v>-8.1000000000000003E-2</v>
      </c>
      <c r="CI23">
        <v>0.14199999999999999</v>
      </c>
      <c r="CJ23">
        <v>-2.7E-2</v>
      </c>
      <c r="CK23">
        <v>800</v>
      </c>
      <c r="CL23">
        <v>0</v>
      </c>
      <c r="CM23">
        <v>0.01</v>
      </c>
      <c r="CN23">
        <v>0.01</v>
      </c>
      <c r="CO23">
        <v>6.266592682926829</v>
      </c>
      <c r="CP23">
        <v>-3.9420505605427731</v>
      </c>
      <c r="CQ23">
        <v>0.39339378144318421</v>
      </c>
      <c r="CR23">
        <v>-1</v>
      </c>
      <c r="CS23">
        <v>1.33606</v>
      </c>
      <c r="CT23">
        <v>-0.1314656020106823</v>
      </c>
      <c r="CU23">
        <v>3.5255212380582823E-2</v>
      </c>
      <c r="CV23">
        <v>-1</v>
      </c>
      <c r="CW23">
        <v>0</v>
      </c>
      <c r="CX23">
        <v>0</v>
      </c>
      <c r="CY23" t="s">
        <v>333</v>
      </c>
      <c r="CZ23">
        <v>2.3647200000000002</v>
      </c>
      <c r="DA23">
        <v>2.7138499999999999</v>
      </c>
      <c r="DB23">
        <v>0.14682700000000001</v>
      </c>
      <c r="DC23">
        <v>0.145844</v>
      </c>
      <c r="DD23">
        <v>0.112315</v>
      </c>
      <c r="DE23">
        <v>0.106654</v>
      </c>
      <c r="DF23">
        <v>31171.599999999999</v>
      </c>
      <c r="DG23">
        <v>27552.3</v>
      </c>
      <c r="DH23">
        <v>31189.9</v>
      </c>
      <c r="DI23">
        <v>28106.1</v>
      </c>
      <c r="DJ23">
        <v>37592.6</v>
      </c>
      <c r="DK23">
        <v>35702.800000000003</v>
      </c>
      <c r="DL23">
        <v>44390</v>
      </c>
      <c r="DM23">
        <v>42601.7</v>
      </c>
      <c r="DN23">
        <v>1.4589000000000001</v>
      </c>
      <c r="DO23">
        <v>2.0661700000000001</v>
      </c>
      <c r="DP23">
        <v>0.22686999999999999</v>
      </c>
      <c r="DQ23">
        <v>0.219531</v>
      </c>
      <c r="DR23">
        <v>25.669499999999999</v>
      </c>
      <c r="DS23">
        <v>25.801300000000001</v>
      </c>
      <c r="DT23">
        <v>56.4</v>
      </c>
      <c r="DU23">
        <v>28.9</v>
      </c>
      <c r="DV23">
        <v>22.8614</v>
      </c>
      <c r="DW23">
        <v>61.892200000000003</v>
      </c>
      <c r="DX23">
        <v>35.4407</v>
      </c>
      <c r="DY23">
        <v>1</v>
      </c>
      <c r="DZ23">
        <v>-9.3186000000000005E-2</v>
      </c>
      <c r="EA23">
        <v>6.6599199999999996</v>
      </c>
      <c r="EB23">
        <v>19.9956</v>
      </c>
      <c r="EC23">
        <v>5.2409499999999998</v>
      </c>
      <c r="ED23">
        <v>12.039899999999999</v>
      </c>
      <c r="EE23">
        <v>5.01715</v>
      </c>
      <c r="EF23">
        <v>3.2879700000000001</v>
      </c>
      <c r="EG23">
        <v>9999</v>
      </c>
      <c r="EH23">
        <v>9999</v>
      </c>
      <c r="EI23">
        <v>9999</v>
      </c>
      <c r="EJ23">
        <v>999.9</v>
      </c>
      <c r="EK23">
        <v>1.8688899999999999</v>
      </c>
      <c r="EL23">
        <v>1.8646</v>
      </c>
      <c r="EM23">
        <v>1.8692</v>
      </c>
      <c r="EN23">
        <v>1.8672200000000001</v>
      </c>
      <c r="EO23">
        <v>1.8633200000000001</v>
      </c>
      <c r="EP23">
        <v>1.86443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0.13800000000000001</v>
      </c>
      <c r="FG23">
        <v>0.19839999999999999</v>
      </c>
      <c r="FH23">
        <v>0.69281559908863044</v>
      </c>
      <c r="FI23">
        <v>-6.1462078757559423E-4</v>
      </c>
      <c r="FJ23">
        <v>-1.8861989874597051E-7</v>
      </c>
      <c r="FK23">
        <v>1.1980462299894961E-10</v>
      </c>
      <c r="FL23">
        <v>0.19840465858211129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11.8</v>
      </c>
      <c r="FU23">
        <v>11.8</v>
      </c>
      <c r="FV23">
        <v>1.7981</v>
      </c>
      <c r="FW23">
        <v>2.5793499999999998</v>
      </c>
      <c r="FX23">
        <v>1.5490699999999999</v>
      </c>
      <c r="FY23">
        <v>2.3327599999999999</v>
      </c>
      <c r="FZ23">
        <v>1.50146</v>
      </c>
      <c r="GA23">
        <v>2.3645</v>
      </c>
      <c r="GB23">
        <v>33.423200000000001</v>
      </c>
      <c r="GC23">
        <v>23.868600000000001</v>
      </c>
      <c r="GD23">
        <v>19</v>
      </c>
      <c r="GE23">
        <v>274.74099999999999</v>
      </c>
      <c r="GF23">
        <v>605.71</v>
      </c>
      <c r="GG23">
        <v>26.6191</v>
      </c>
      <c r="GH23">
        <v>26.078800000000001</v>
      </c>
      <c r="GI23">
        <v>30.007899999999999</v>
      </c>
      <c r="GJ23">
        <v>26.156500000000001</v>
      </c>
      <c r="GK23">
        <v>26.128699999999998</v>
      </c>
      <c r="GL23">
        <v>35.948900000000002</v>
      </c>
      <c r="GM23">
        <v>5.5868200000000003</v>
      </c>
      <c r="GN23">
        <v>100</v>
      </c>
      <c r="GO23">
        <v>24.281700000000001</v>
      </c>
      <c r="GP23">
        <v>800</v>
      </c>
      <c r="GQ23">
        <v>22.936199999999999</v>
      </c>
      <c r="GR23">
        <v>99.799400000000006</v>
      </c>
      <c r="GS23">
        <v>99.657700000000006</v>
      </c>
    </row>
    <row r="24" spans="1:201" x14ac:dyDescent="0.25">
      <c r="A24">
        <v>8</v>
      </c>
      <c r="B24">
        <v>1690388355.5999999</v>
      </c>
      <c r="C24">
        <v>97.099999904632568</v>
      </c>
      <c r="D24" t="s">
        <v>349</v>
      </c>
      <c r="E24" t="s">
        <v>350</v>
      </c>
      <c r="F24" t="s">
        <v>330</v>
      </c>
      <c r="H24">
        <v>1690388355.5999999</v>
      </c>
      <c r="I24">
        <f t="shared" si="0"/>
        <v>7.9106131537576293E-5</v>
      </c>
      <c r="J24">
        <f t="shared" si="1"/>
        <v>7.9106131537576299E-2</v>
      </c>
      <c r="K24">
        <f t="shared" si="2"/>
        <v>-0.5158721405294463</v>
      </c>
      <c r="L24">
        <f t="shared" si="3"/>
        <v>804.64800000000002</v>
      </c>
      <c r="M24">
        <f t="shared" si="4"/>
        <v>978.70297316468236</v>
      </c>
      <c r="N24">
        <f t="shared" si="5"/>
        <v>96.651713265877916</v>
      </c>
      <c r="O24">
        <f t="shared" si="6"/>
        <v>79.462931970552006</v>
      </c>
      <c r="P24">
        <f t="shared" si="7"/>
        <v>4.0974367323239926E-3</v>
      </c>
      <c r="Q24">
        <f t="shared" si="8"/>
        <v>2.1597138752232374</v>
      </c>
      <c r="R24">
        <f t="shared" si="9"/>
        <v>4.0931229152124946E-3</v>
      </c>
      <c r="S24">
        <f t="shared" si="10"/>
        <v>2.5585890141597762E-3</v>
      </c>
      <c r="T24">
        <f t="shared" si="11"/>
        <v>276.1054089258476</v>
      </c>
      <c r="U24">
        <f t="shared" si="12"/>
        <v>29.627198799395313</v>
      </c>
      <c r="V24">
        <f t="shared" si="13"/>
        <v>29.627198799395313</v>
      </c>
      <c r="W24">
        <f t="shared" si="14"/>
        <v>4.1700658976314031</v>
      </c>
      <c r="X24">
        <f t="shared" si="15"/>
        <v>63.063805681429962</v>
      </c>
      <c r="Y24">
        <f t="shared" si="16"/>
        <v>2.3242261744346999</v>
      </c>
      <c r="Z24">
        <f t="shared" si="17"/>
        <v>3.6855152481213187</v>
      </c>
      <c r="AA24">
        <f t="shared" si="18"/>
        <v>1.8458397231967032</v>
      </c>
      <c r="AB24">
        <f t="shared" si="19"/>
        <v>-3.4885804008071144</v>
      </c>
      <c r="AC24">
        <f t="shared" si="20"/>
        <v>-247.73753403039061</v>
      </c>
      <c r="AD24">
        <f t="shared" si="21"/>
        <v>-25.144782270746404</v>
      </c>
      <c r="AE24">
        <f t="shared" si="22"/>
        <v>-0.26548777609653484</v>
      </c>
      <c r="AF24">
        <v>3</v>
      </c>
      <c r="AG24">
        <v>1</v>
      </c>
      <c r="AH24">
        <f t="shared" si="23"/>
        <v>1</v>
      </c>
      <c r="AI24">
        <f t="shared" si="24"/>
        <v>0</v>
      </c>
      <c r="AJ24">
        <f t="shared" si="25"/>
        <v>52157.16674161132</v>
      </c>
      <c r="AK24">
        <f t="shared" si="26"/>
        <v>1799.93</v>
      </c>
      <c r="AL24">
        <f t="shared" si="27"/>
        <v>1499.0556037260098</v>
      </c>
      <c r="AM24">
        <f t="shared" si="28"/>
        <v>0.83284105699999988</v>
      </c>
      <c r="AN24">
        <f t="shared" si="29"/>
        <v>0.15339785932</v>
      </c>
      <c r="AO24">
        <v>31.8</v>
      </c>
      <c r="AP24">
        <v>0.5</v>
      </c>
      <c r="AQ24" t="s">
        <v>331</v>
      </c>
      <c r="AR24">
        <v>2</v>
      </c>
      <c r="AS24">
        <v>1690388355.5999999</v>
      </c>
      <c r="AT24">
        <v>804.64800000000002</v>
      </c>
      <c r="AU24">
        <v>799.85500000000002</v>
      </c>
      <c r="AV24">
        <v>23.535299999999999</v>
      </c>
      <c r="AW24">
        <v>22.7166</v>
      </c>
      <c r="AX24">
        <v>804.50900000000001</v>
      </c>
      <c r="AY24">
        <v>23.3369</v>
      </c>
      <c r="AZ24">
        <v>300.03300000000002</v>
      </c>
      <c r="BA24">
        <v>98.655000000000001</v>
      </c>
      <c r="BB24">
        <v>9.9899000000000002E-2</v>
      </c>
      <c r="BC24">
        <v>27.499500000000001</v>
      </c>
      <c r="BD24">
        <v>29.419699999999999</v>
      </c>
      <c r="BE24">
        <v>29.353000000000002</v>
      </c>
      <c r="BF24">
        <v>0</v>
      </c>
      <c r="BG24">
        <v>0</v>
      </c>
      <c r="BH24">
        <v>10015.6</v>
      </c>
      <c r="BI24">
        <v>1083.9000000000001</v>
      </c>
      <c r="BJ24">
        <v>1.3455900000000001</v>
      </c>
      <c r="BK24">
        <v>4.7927200000000001</v>
      </c>
      <c r="BL24">
        <v>824.04200000000003</v>
      </c>
      <c r="BM24">
        <v>818.447</v>
      </c>
      <c r="BN24">
        <v>0.81864899999999996</v>
      </c>
      <c r="BO24">
        <v>799.85500000000002</v>
      </c>
      <c r="BP24">
        <v>22.7166</v>
      </c>
      <c r="BQ24">
        <v>2.3218700000000001</v>
      </c>
      <c r="BR24">
        <v>2.2411099999999999</v>
      </c>
      <c r="BS24">
        <v>19.829000000000001</v>
      </c>
      <c r="BT24">
        <v>19.2593</v>
      </c>
      <c r="BU24">
        <v>1799.93</v>
      </c>
      <c r="BV24">
        <v>0.91</v>
      </c>
      <c r="BW24">
        <v>3.3998E-2</v>
      </c>
      <c r="BX24">
        <v>2.2006100000000001E-2</v>
      </c>
      <c r="BY24">
        <v>3.3996199999999997E-2</v>
      </c>
      <c r="BZ24">
        <v>26</v>
      </c>
      <c r="CA24">
        <v>33527</v>
      </c>
      <c r="CB24">
        <v>1690387638</v>
      </c>
      <c r="CC24" t="s">
        <v>332</v>
      </c>
      <c r="CD24">
        <v>1690387638</v>
      </c>
      <c r="CE24">
        <v>1690387638</v>
      </c>
      <c r="CF24">
        <v>6</v>
      </c>
      <c r="CG24">
        <v>0.43</v>
      </c>
      <c r="CH24">
        <v>-8.1000000000000003E-2</v>
      </c>
      <c r="CI24">
        <v>0.14199999999999999</v>
      </c>
      <c r="CJ24">
        <v>-2.7E-2</v>
      </c>
      <c r="CK24">
        <v>800</v>
      </c>
      <c r="CL24">
        <v>0</v>
      </c>
      <c r="CM24">
        <v>0.01</v>
      </c>
      <c r="CN24">
        <v>0.01</v>
      </c>
      <c r="CO24">
        <v>5.5495580487804874</v>
      </c>
      <c r="CP24">
        <v>-4.9341593935468486</v>
      </c>
      <c r="CQ24">
        <v>0.47513478054547598</v>
      </c>
      <c r="CR24">
        <v>-1</v>
      </c>
      <c r="CS24">
        <v>1.1910453658536579</v>
      </c>
      <c r="CT24">
        <v>-1.700014256634659</v>
      </c>
      <c r="CU24">
        <v>0.16708011689952471</v>
      </c>
      <c r="CV24">
        <v>-1</v>
      </c>
      <c r="CW24">
        <v>0</v>
      </c>
      <c r="CX24">
        <v>0</v>
      </c>
      <c r="CY24" t="s">
        <v>333</v>
      </c>
      <c r="CZ24">
        <v>2.3642599999999998</v>
      </c>
      <c r="DA24">
        <v>2.7136999999999998</v>
      </c>
      <c r="DB24">
        <v>0.14674899999999999</v>
      </c>
      <c r="DC24">
        <v>0.14586199999999999</v>
      </c>
      <c r="DD24">
        <v>0.111886</v>
      </c>
      <c r="DE24">
        <v>0.107554</v>
      </c>
      <c r="DF24">
        <v>31171.5</v>
      </c>
      <c r="DG24">
        <v>27549</v>
      </c>
      <c r="DH24">
        <v>31186.9</v>
      </c>
      <c r="DI24">
        <v>28103.200000000001</v>
      </c>
      <c r="DJ24">
        <v>37607.4</v>
      </c>
      <c r="DK24">
        <v>35663.5</v>
      </c>
      <c r="DL24">
        <v>44385.8</v>
      </c>
      <c r="DM24">
        <v>42597.8</v>
      </c>
      <c r="DN24">
        <v>1.4563200000000001</v>
      </c>
      <c r="DO24">
        <v>2.0667300000000002</v>
      </c>
      <c r="DP24">
        <v>0.22698199999999999</v>
      </c>
      <c r="DQ24">
        <v>0.21521000000000001</v>
      </c>
      <c r="DR24">
        <v>25.710999999999999</v>
      </c>
      <c r="DS24">
        <v>25.8368</v>
      </c>
      <c r="DT24">
        <v>56.5</v>
      </c>
      <c r="DU24">
        <v>28.9</v>
      </c>
      <c r="DV24">
        <v>22.8996</v>
      </c>
      <c r="DW24">
        <v>61.972200000000001</v>
      </c>
      <c r="DX24">
        <v>35.777200000000001</v>
      </c>
      <c r="DY24">
        <v>1</v>
      </c>
      <c r="DZ24">
        <v>-8.2959900000000003E-2</v>
      </c>
      <c r="EA24">
        <v>9.2810500000000005</v>
      </c>
      <c r="EB24">
        <v>19.863900000000001</v>
      </c>
      <c r="EC24">
        <v>5.24125</v>
      </c>
      <c r="ED24">
        <v>12.039899999999999</v>
      </c>
      <c r="EE24">
        <v>5.0170000000000003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1.8692</v>
      </c>
      <c r="EN24">
        <v>1.8672200000000001</v>
      </c>
      <c r="EO24">
        <v>1.86334</v>
      </c>
      <c r="EP24">
        <v>1.8644400000000001</v>
      </c>
      <c r="EQ24">
        <v>1.87012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0.13900000000000001</v>
      </c>
      <c r="FG24">
        <v>0.19839999999999999</v>
      </c>
      <c r="FH24">
        <v>0.69281559908863044</v>
      </c>
      <c r="FI24">
        <v>-6.1462078757559423E-4</v>
      </c>
      <c r="FJ24">
        <v>-1.8861989874597051E-7</v>
      </c>
      <c r="FK24">
        <v>1.1980462299894961E-10</v>
      </c>
      <c r="FL24">
        <v>0.19840465858211129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12</v>
      </c>
      <c r="FU24">
        <v>12</v>
      </c>
      <c r="FV24">
        <v>1.7981</v>
      </c>
      <c r="FW24">
        <v>2.5866699999999998</v>
      </c>
      <c r="FX24">
        <v>1.5490699999999999</v>
      </c>
      <c r="FY24">
        <v>2.3327599999999999</v>
      </c>
      <c r="FZ24">
        <v>1.50146</v>
      </c>
      <c r="GA24">
        <v>2.2875999999999999</v>
      </c>
      <c r="GB24">
        <v>33.445599999999999</v>
      </c>
      <c r="GC24">
        <v>23.8598</v>
      </c>
      <c r="GD24">
        <v>19</v>
      </c>
      <c r="GE24">
        <v>273.661</v>
      </c>
      <c r="GF24">
        <v>606.20100000000002</v>
      </c>
      <c r="GG24">
        <v>23.894300000000001</v>
      </c>
      <c r="GH24">
        <v>26.081</v>
      </c>
      <c r="GI24">
        <v>30.004100000000001</v>
      </c>
      <c r="GJ24">
        <v>26.154299999999999</v>
      </c>
      <c r="GK24">
        <v>26.130700000000001</v>
      </c>
      <c r="GL24">
        <v>35.960700000000003</v>
      </c>
      <c r="GM24">
        <v>2.7800099999999999</v>
      </c>
      <c r="GN24">
        <v>100</v>
      </c>
      <c r="GO24">
        <v>20.416799999999999</v>
      </c>
      <c r="GP24">
        <v>800</v>
      </c>
      <c r="GQ24">
        <v>23.064900000000002</v>
      </c>
      <c r="GR24">
        <v>99.79</v>
      </c>
      <c r="GS24">
        <v>99.648200000000003</v>
      </c>
    </row>
    <row r="25" spans="1:201" x14ac:dyDescent="0.25">
      <c r="A25">
        <v>9</v>
      </c>
      <c r="B25">
        <v>1690388365.5999999</v>
      </c>
      <c r="C25">
        <v>107.0999999046326</v>
      </c>
      <c r="D25" t="s">
        <v>351</v>
      </c>
      <c r="E25" t="s">
        <v>352</v>
      </c>
      <c r="F25" t="s">
        <v>330</v>
      </c>
      <c r="H25">
        <v>1690388365.5999999</v>
      </c>
      <c r="I25">
        <f t="shared" si="0"/>
        <v>3.2934326120507227E-5</v>
      </c>
      <c r="J25">
        <f t="shared" si="1"/>
        <v>3.2934326120507229E-2</v>
      </c>
      <c r="K25">
        <f t="shared" si="2"/>
        <v>-0.41612807520068429</v>
      </c>
      <c r="L25">
        <f t="shared" si="3"/>
        <v>804.03399999999999</v>
      </c>
      <c r="M25">
        <f t="shared" si="4"/>
        <v>1156.6666847927449</v>
      </c>
      <c r="N25">
        <f t="shared" si="5"/>
        <v>114.22538290535482</v>
      </c>
      <c r="O25">
        <f t="shared" si="6"/>
        <v>79.401518800881192</v>
      </c>
      <c r="P25">
        <f t="shared" si="7"/>
        <v>1.7422693185404096E-3</v>
      </c>
      <c r="Q25">
        <f t="shared" si="8"/>
        <v>2.1597017385291233</v>
      </c>
      <c r="R25">
        <f t="shared" si="9"/>
        <v>1.7414888522703945E-3</v>
      </c>
      <c r="S25">
        <f t="shared" si="10"/>
        <v>1.0885006236374492E-3</v>
      </c>
      <c r="T25">
        <f t="shared" si="11"/>
        <v>276.10658599956002</v>
      </c>
      <c r="U25">
        <f t="shared" si="12"/>
        <v>29.32613053640215</v>
      </c>
      <c r="V25">
        <f t="shared" si="13"/>
        <v>29.32613053640215</v>
      </c>
      <c r="W25">
        <f t="shared" si="14"/>
        <v>4.09829784201147</v>
      </c>
      <c r="X25">
        <f t="shared" si="15"/>
        <v>63.333036393748287</v>
      </c>
      <c r="Y25">
        <f t="shared" si="16"/>
        <v>2.2911208439395394</v>
      </c>
      <c r="Z25">
        <f t="shared" si="17"/>
        <v>3.6175761883504136</v>
      </c>
      <c r="AA25">
        <f t="shared" si="18"/>
        <v>1.8071769980719306</v>
      </c>
      <c r="AB25">
        <f t="shared" si="19"/>
        <v>-1.4524037819143687</v>
      </c>
      <c r="AC25">
        <f t="shared" si="20"/>
        <v>-249.66099547212772</v>
      </c>
      <c r="AD25">
        <f t="shared" si="21"/>
        <v>-25.262257672611327</v>
      </c>
      <c r="AE25">
        <f t="shared" si="22"/>
        <v>-0.26907092709339508</v>
      </c>
      <c r="AF25">
        <v>3</v>
      </c>
      <c r="AG25">
        <v>1</v>
      </c>
      <c r="AH25">
        <f t="shared" si="23"/>
        <v>1</v>
      </c>
      <c r="AI25">
        <f t="shared" si="24"/>
        <v>0</v>
      </c>
      <c r="AJ25">
        <f t="shared" si="25"/>
        <v>52211.821094010178</v>
      </c>
      <c r="AK25">
        <f t="shared" si="26"/>
        <v>1799.95</v>
      </c>
      <c r="AL25">
        <f t="shared" si="27"/>
        <v>1499.06961102075</v>
      </c>
      <c r="AM25">
        <f t="shared" si="28"/>
        <v>0.83283958499999999</v>
      </c>
      <c r="AN25">
        <f t="shared" si="29"/>
        <v>0.15339680880000001</v>
      </c>
      <c r="AO25">
        <v>31.8</v>
      </c>
      <c r="AP25">
        <v>0.5</v>
      </c>
      <c r="AQ25" t="s">
        <v>331</v>
      </c>
      <c r="AR25">
        <v>2</v>
      </c>
      <c r="AS25">
        <v>1690388365.5999999</v>
      </c>
      <c r="AT25">
        <v>804.03399999999999</v>
      </c>
      <c r="AU25">
        <v>799.90499999999997</v>
      </c>
      <c r="AV25">
        <v>23.200299999999999</v>
      </c>
      <c r="AW25">
        <v>22.859400000000001</v>
      </c>
      <c r="AX25">
        <v>803.89499999999998</v>
      </c>
      <c r="AY25">
        <v>23.001899999999999</v>
      </c>
      <c r="AZ25">
        <v>300.09199999999998</v>
      </c>
      <c r="BA25">
        <v>98.653999999999996</v>
      </c>
      <c r="BB25">
        <v>9.9931800000000001E-2</v>
      </c>
      <c r="BC25">
        <v>27.181899999999999</v>
      </c>
      <c r="BD25">
        <v>29.198599999999999</v>
      </c>
      <c r="BE25">
        <v>29.0031</v>
      </c>
      <c r="BF25">
        <v>0</v>
      </c>
      <c r="BG25">
        <v>0</v>
      </c>
      <c r="BH25">
        <v>10015.6</v>
      </c>
      <c r="BI25">
        <v>1084.5</v>
      </c>
      <c r="BJ25">
        <v>1.3455900000000001</v>
      </c>
      <c r="BK25">
        <v>4.1295200000000003</v>
      </c>
      <c r="BL25">
        <v>823.13099999999997</v>
      </c>
      <c r="BM25">
        <v>818.61800000000005</v>
      </c>
      <c r="BN25">
        <v>0.34089900000000001</v>
      </c>
      <c r="BO25">
        <v>799.90499999999997</v>
      </c>
      <c r="BP25">
        <v>22.859400000000001</v>
      </c>
      <c r="BQ25">
        <v>2.2888000000000002</v>
      </c>
      <c r="BR25">
        <v>2.2551700000000001</v>
      </c>
      <c r="BS25">
        <v>19.597799999999999</v>
      </c>
      <c r="BT25">
        <v>19.3597</v>
      </c>
      <c r="BU25">
        <v>1799.95</v>
      </c>
      <c r="BV25">
        <v>0.91000899999999996</v>
      </c>
      <c r="BW25">
        <v>3.4003499999999999E-2</v>
      </c>
      <c r="BX25">
        <v>2.1992500000000002E-2</v>
      </c>
      <c r="BY25">
        <v>3.3994799999999999E-2</v>
      </c>
      <c r="BZ25">
        <v>26</v>
      </c>
      <c r="CA25">
        <v>33527.5</v>
      </c>
      <c r="CB25">
        <v>1690387638</v>
      </c>
      <c r="CC25" t="s">
        <v>332</v>
      </c>
      <c r="CD25">
        <v>1690387638</v>
      </c>
      <c r="CE25">
        <v>1690387638</v>
      </c>
      <c r="CF25">
        <v>6</v>
      </c>
      <c r="CG25">
        <v>0.43</v>
      </c>
      <c r="CH25">
        <v>-8.1000000000000003E-2</v>
      </c>
      <c r="CI25">
        <v>0.14199999999999999</v>
      </c>
      <c r="CJ25">
        <v>-2.7E-2</v>
      </c>
      <c r="CK25">
        <v>800</v>
      </c>
      <c r="CL25">
        <v>0</v>
      </c>
      <c r="CM25">
        <v>0.01</v>
      </c>
      <c r="CN25">
        <v>0.01</v>
      </c>
      <c r="CO25">
        <v>4.8950744999999998</v>
      </c>
      <c r="CP25">
        <v>-3.9737810881801279</v>
      </c>
      <c r="CQ25">
        <v>0.38526613792254039</v>
      </c>
      <c r="CR25">
        <v>-1</v>
      </c>
      <c r="CS25">
        <v>0.85672720000000013</v>
      </c>
      <c r="CT25">
        <v>-2.6719954671669801</v>
      </c>
      <c r="CU25">
        <v>0.25769628960980401</v>
      </c>
      <c r="CV25">
        <v>-1</v>
      </c>
      <c r="CW25">
        <v>0</v>
      </c>
      <c r="CX25">
        <v>0</v>
      </c>
      <c r="CY25" t="s">
        <v>333</v>
      </c>
      <c r="CZ25">
        <v>2.36443</v>
      </c>
      <c r="DA25">
        <v>2.71373</v>
      </c>
      <c r="DB25">
        <v>0.14666799999999999</v>
      </c>
      <c r="DC25">
        <v>0.14587</v>
      </c>
      <c r="DD25">
        <v>0.11075599999999999</v>
      </c>
      <c r="DE25">
        <v>0.108026</v>
      </c>
      <c r="DF25">
        <v>31174.3</v>
      </c>
      <c r="DG25">
        <v>27549.3</v>
      </c>
      <c r="DH25">
        <v>31186.799999999999</v>
      </c>
      <c r="DI25">
        <v>28103.9</v>
      </c>
      <c r="DJ25">
        <v>37655.800000000003</v>
      </c>
      <c r="DK25">
        <v>35645.4</v>
      </c>
      <c r="DL25">
        <v>44385.9</v>
      </c>
      <c r="DM25">
        <v>42598.7</v>
      </c>
      <c r="DN25">
        <v>1.45627</v>
      </c>
      <c r="DO25">
        <v>2.0666699999999998</v>
      </c>
      <c r="DP25">
        <v>0.211336</v>
      </c>
      <c r="DQ25">
        <v>0.19311900000000001</v>
      </c>
      <c r="DR25">
        <v>25.745000000000001</v>
      </c>
      <c r="DS25">
        <v>25.847000000000001</v>
      </c>
      <c r="DT25">
        <v>56.5</v>
      </c>
      <c r="DU25">
        <v>28.9</v>
      </c>
      <c r="DV25">
        <v>22.8994</v>
      </c>
      <c r="DW25">
        <v>62.142200000000003</v>
      </c>
      <c r="DX25">
        <v>36.225999999999999</v>
      </c>
      <c r="DY25">
        <v>1</v>
      </c>
      <c r="DZ25">
        <v>-8.3960900000000005E-2</v>
      </c>
      <c r="EA25">
        <v>9.2810500000000005</v>
      </c>
      <c r="EB25">
        <v>19.876000000000001</v>
      </c>
      <c r="EC25">
        <v>5.2411000000000003</v>
      </c>
      <c r="ED25">
        <v>12.039899999999999</v>
      </c>
      <c r="EE25">
        <v>5.0170000000000003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</v>
      </c>
      <c r="EM25">
        <v>1.8691899999999999</v>
      </c>
      <c r="EN25">
        <v>1.8672200000000001</v>
      </c>
      <c r="EO25">
        <v>1.8633200000000001</v>
      </c>
      <c r="EP25">
        <v>1.86442</v>
      </c>
      <c r="EQ25">
        <v>1.8701300000000001</v>
      </c>
      <c r="ER25">
        <v>1.8693599999999999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0.13900000000000001</v>
      </c>
      <c r="FG25">
        <v>0.19839999999999999</v>
      </c>
      <c r="FH25">
        <v>0.69281559908863044</v>
      </c>
      <c r="FI25">
        <v>-6.1462078757559423E-4</v>
      </c>
      <c r="FJ25">
        <v>-1.8861989874597051E-7</v>
      </c>
      <c r="FK25">
        <v>1.1980462299894961E-10</v>
      </c>
      <c r="FL25">
        <v>0.19840465858211129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12.1</v>
      </c>
      <c r="FU25">
        <v>12.1</v>
      </c>
      <c r="FV25">
        <v>1.79932</v>
      </c>
      <c r="FW25">
        <v>2.5854499999999998</v>
      </c>
      <c r="FX25">
        <v>1.5490699999999999</v>
      </c>
      <c r="FY25">
        <v>2.3327599999999999</v>
      </c>
      <c r="FZ25">
        <v>1.50146</v>
      </c>
      <c r="GA25">
        <v>2.33887</v>
      </c>
      <c r="GB25">
        <v>33.423200000000001</v>
      </c>
      <c r="GC25">
        <v>23.877400000000002</v>
      </c>
      <c r="GD25">
        <v>19</v>
      </c>
      <c r="GE25">
        <v>273.62200000000001</v>
      </c>
      <c r="GF25">
        <v>606.16</v>
      </c>
      <c r="GG25">
        <v>21.967700000000001</v>
      </c>
      <c r="GH25">
        <v>26.084900000000001</v>
      </c>
      <c r="GI25">
        <v>30</v>
      </c>
      <c r="GJ25">
        <v>26.149899999999999</v>
      </c>
      <c r="GK25">
        <v>26.130800000000001</v>
      </c>
      <c r="GL25">
        <v>35.972000000000001</v>
      </c>
      <c r="GM25">
        <v>0.212677</v>
      </c>
      <c r="GN25">
        <v>100</v>
      </c>
      <c r="GO25">
        <v>20.410399999999999</v>
      </c>
      <c r="GP25">
        <v>800</v>
      </c>
      <c r="GQ25">
        <v>23.1616</v>
      </c>
      <c r="GR25">
        <v>99.789900000000003</v>
      </c>
      <c r="GS25">
        <v>99.650400000000005</v>
      </c>
    </row>
    <row r="26" spans="1:201" x14ac:dyDescent="0.25">
      <c r="A26">
        <v>10</v>
      </c>
      <c r="B26">
        <v>1690388375.5999999</v>
      </c>
      <c r="C26">
        <v>117.0999999046326</v>
      </c>
      <c r="D26" t="s">
        <v>353</v>
      </c>
      <c r="E26" t="s">
        <v>354</v>
      </c>
      <c r="F26" t="s">
        <v>330</v>
      </c>
      <c r="H26">
        <v>1690388375.5999999</v>
      </c>
      <c r="I26">
        <f t="shared" si="0"/>
        <v>-1.1029332864894767E-5</v>
      </c>
      <c r="J26">
        <f t="shared" si="1"/>
        <v>-1.1029332864894766E-2</v>
      </c>
      <c r="K26">
        <f t="shared" si="2"/>
        <v>-0.29050829933389144</v>
      </c>
      <c r="L26">
        <f t="shared" si="3"/>
        <v>803.10199999999998</v>
      </c>
      <c r="M26">
        <f t="shared" si="4"/>
        <v>7.1001173569135565</v>
      </c>
      <c r="N26">
        <f t="shared" si="5"/>
        <v>0.70118195448505405</v>
      </c>
      <c r="O26">
        <f t="shared" si="6"/>
        <v>79.311453839918798</v>
      </c>
      <c r="P26">
        <f t="shared" si="7"/>
        <v>-5.9283815854511794E-4</v>
      </c>
      <c r="Q26">
        <f t="shared" si="8"/>
        <v>2.1544184863985691</v>
      </c>
      <c r="R26">
        <f t="shared" si="9"/>
        <v>-5.9292880304087213E-4</v>
      </c>
      <c r="S26">
        <f t="shared" si="10"/>
        <v>-3.7057235690765285E-4</v>
      </c>
      <c r="T26">
        <f t="shared" si="11"/>
        <v>276.10939772325281</v>
      </c>
      <c r="U26">
        <f t="shared" si="12"/>
        <v>29.033817960083841</v>
      </c>
      <c r="V26">
        <f t="shared" si="13"/>
        <v>29.033817960083841</v>
      </c>
      <c r="W26">
        <f t="shared" si="14"/>
        <v>4.0296496677175755</v>
      </c>
      <c r="X26">
        <f t="shared" si="15"/>
        <v>63.3793451518045</v>
      </c>
      <c r="Y26">
        <f t="shared" si="16"/>
        <v>2.2510531399836</v>
      </c>
      <c r="Z26">
        <f t="shared" si="17"/>
        <v>3.5517141027442585</v>
      </c>
      <c r="AA26">
        <f t="shared" si="18"/>
        <v>1.7785965277339755</v>
      </c>
      <c r="AB26">
        <f t="shared" si="19"/>
        <v>0.48639357934185923</v>
      </c>
      <c r="AC26">
        <f t="shared" si="20"/>
        <v>-251.44146167888792</v>
      </c>
      <c r="AD26">
        <f t="shared" si="21"/>
        <v>-25.428034625666019</v>
      </c>
      <c r="AE26">
        <f t="shared" si="22"/>
        <v>-0.27370500195925729</v>
      </c>
      <c r="AF26">
        <v>4</v>
      </c>
      <c r="AG26">
        <v>1</v>
      </c>
      <c r="AH26">
        <f t="shared" si="23"/>
        <v>1</v>
      </c>
      <c r="AI26">
        <f t="shared" si="24"/>
        <v>0</v>
      </c>
      <c r="AJ26">
        <f t="shared" si="25"/>
        <v>52045.53065189581</v>
      </c>
      <c r="AK26">
        <f t="shared" si="26"/>
        <v>1799.96</v>
      </c>
      <c r="AL26">
        <f t="shared" si="27"/>
        <v>1499.07823281008</v>
      </c>
      <c r="AM26">
        <f t="shared" si="28"/>
        <v>0.83283974799999994</v>
      </c>
      <c r="AN26">
        <f t="shared" si="29"/>
        <v>0.15339751868000001</v>
      </c>
      <c r="AO26">
        <v>31.8</v>
      </c>
      <c r="AP26">
        <v>0.5</v>
      </c>
      <c r="AQ26" t="s">
        <v>331</v>
      </c>
      <c r="AR26">
        <v>2</v>
      </c>
      <c r="AS26">
        <v>1690388375.5999999</v>
      </c>
      <c r="AT26">
        <v>803.10199999999998</v>
      </c>
      <c r="AU26">
        <v>799.93</v>
      </c>
      <c r="AV26">
        <v>22.794</v>
      </c>
      <c r="AW26">
        <v>22.908200000000001</v>
      </c>
      <c r="AX26">
        <v>802.96199999999999</v>
      </c>
      <c r="AY26">
        <v>22.595600000000001</v>
      </c>
      <c r="AZ26">
        <v>300.12099999999998</v>
      </c>
      <c r="BA26">
        <v>98.656400000000005</v>
      </c>
      <c r="BB26">
        <v>9.9989400000000006E-2</v>
      </c>
      <c r="BC26">
        <v>26.869</v>
      </c>
      <c r="BD26">
        <v>28.8505</v>
      </c>
      <c r="BE26">
        <v>28.614899999999999</v>
      </c>
      <c r="BF26">
        <v>0</v>
      </c>
      <c r="BG26">
        <v>0</v>
      </c>
      <c r="BH26">
        <v>9971.25</v>
      </c>
      <c r="BI26">
        <v>1084.1500000000001</v>
      </c>
      <c r="BJ26">
        <v>1.3063400000000001</v>
      </c>
      <c r="BK26">
        <v>3.1715100000000001</v>
      </c>
      <c r="BL26">
        <v>821.83399999999995</v>
      </c>
      <c r="BM26">
        <v>818.68499999999995</v>
      </c>
      <c r="BN26">
        <v>-0.114147</v>
      </c>
      <c r="BO26">
        <v>799.93</v>
      </c>
      <c r="BP26">
        <v>22.908200000000001</v>
      </c>
      <c r="BQ26">
        <v>2.24878</v>
      </c>
      <c r="BR26">
        <v>2.26004</v>
      </c>
      <c r="BS26">
        <v>19.3141</v>
      </c>
      <c r="BT26">
        <v>19.394400000000001</v>
      </c>
      <c r="BU26">
        <v>1799.96</v>
      </c>
      <c r="BV26">
        <v>0.90999399999999997</v>
      </c>
      <c r="BW26">
        <v>3.3994000000000003E-2</v>
      </c>
      <c r="BX26">
        <v>2.2002399999999998E-2</v>
      </c>
      <c r="BY26">
        <v>3.4009200000000003E-2</v>
      </c>
      <c r="BZ26">
        <v>26</v>
      </c>
      <c r="CA26">
        <v>33527.599999999999</v>
      </c>
      <c r="CB26">
        <v>1690387638</v>
      </c>
      <c r="CC26" t="s">
        <v>332</v>
      </c>
      <c r="CD26">
        <v>1690387638</v>
      </c>
      <c r="CE26">
        <v>1690387638</v>
      </c>
      <c r="CF26">
        <v>6</v>
      </c>
      <c r="CG26">
        <v>0.43</v>
      </c>
      <c r="CH26">
        <v>-8.1000000000000003E-2</v>
      </c>
      <c r="CI26">
        <v>0.14199999999999999</v>
      </c>
      <c r="CJ26">
        <v>-2.7E-2</v>
      </c>
      <c r="CK26">
        <v>800</v>
      </c>
      <c r="CL26">
        <v>0</v>
      </c>
      <c r="CM26">
        <v>0.01</v>
      </c>
      <c r="CN26">
        <v>0.01</v>
      </c>
      <c r="CO26">
        <v>4.1038207499999997</v>
      </c>
      <c r="CP26">
        <v>-4.9373033020637944</v>
      </c>
      <c r="CQ26">
        <v>0.47616408253031589</v>
      </c>
      <c r="CR26">
        <v>-1</v>
      </c>
      <c r="CS26">
        <v>0.35647965474999999</v>
      </c>
      <c r="CT26">
        <v>-2.7369840372607892</v>
      </c>
      <c r="CU26">
        <v>0.26335086285906889</v>
      </c>
      <c r="CV26">
        <v>-1</v>
      </c>
      <c r="CW26">
        <v>0</v>
      </c>
      <c r="CX26">
        <v>0</v>
      </c>
      <c r="CY26" t="s">
        <v>333</v>
      </c>
      <c r="CZ26">
        <v>2.3645299999999998</v>
      </c>
      <c r="DA26">
        <v>2.7137500000000001</v>
      </c>
      <c r="DB26">
        <v>0.14655000000000001</v>
      </c>
      <c r="DC26">
        <v>0.14587800000000001</v>
      </c>
      <c r="DD26">
        <v>0.109378</v>
      </c>
      <c r="DE26">
        <v>0.10818899999999999</v>
      </c>
      <c r="DF26">
        <v>31180.3</v>
      </c>
      <c r="DG26">
        <v>27550</v>
      </c>
      <c r="DH26">
        <v>31188.6</v>
      </c>
      <c r="DI26">
        <v>28104.799999999999</v>
      </c>
      <c r="DJ26">
        <v>37716.9</v>
      </c>
      <c r="DK26">
        <v>35640.1</v>
      </c>
      <c r="DL26">
        <v>44388.3</v>
      </c>
      <c r="DM26">
        <v>42600.2</v>
      </c>
      <c r="DN26">
        <v>1.456</v>
      </c>
      <c r="DO26">
        <v>2.0664199999999999</v>
      </c>
      <c r="DP26">
        <v>0.18909599999999999</v>
      </c>
      <c r="DQ26">
        <v>0.170879</v>
      </c>
      <c r="DR26">
        <v>25.759499999999999</v>
      </c>
      <c r="DS26">
        <v>25.821400000000001</v>
      </c>
      <c r="DT26">
        <v>56.5</v>
      </c>
      <c r="DU26">
        <v>28.9</v>
      </c>
      <c r="DV26">
        <v>22.899799999999999</v>
      </c>
      <c r="DW26">
        <v>62.462200000000003</v>
      </c>
      <c r="DX26">
        <v>36.610599999999998</v>
      </c>
      <c r="DY26">
        <v>1</v>
      </c>
      <c r="DZ26">
        <v>-8.4987300000000002E-2</v>
      </c>
      <c r="EA26">
        <v>9.2810500000000005</v>
      </c>
      <c r="EB26">
        <v>19.8857</v>
      </c>
      <c r="EC26">
        <v>5.2415500000000002</v>
      </c>
      <c r="ED26">
        <v>12.039899999999999</v>
      </c>
      <c r="EE26">
        <v>5.0171999999999999</v>
      </c>
      <c r="EF26">
        <v>3.2879700000000001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</v>
      </c>
      <c r="EM26">
        <v>1.8691800000000001</v>
      </c>
      <c r="EN26">
        <v>1.8672200000000001</v>
      </c>
      <c r="EO26">
        <v>1.8633200000000001</v>
      </c>
      <c r="EP26">
        <v>1.86443</v>
      </c>
      <c r="EQ26">
        <v>1.8701300000000001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0.14000000000000001</v>
      </c>
      <c r="FG26">
        <v>0.19839999999999999</v>
      </c>
      <c r="FH26">
        <v>0.69281559908863044</v>
      </c>
      <c r="FI26">
        <v>-6.1462078757559423E-4</v>
      </c>
      <c r="FJ26">
        <v>-1.8861989874597051E-7</v>
      </c>
      <c r="FK26">
        <v>1.1980462299894961E-10</v>
      </c>
      <c r="FL26">
        <v>0.19840465858211129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12.3</v>
      </c>
      <c r="FU26">
        <v>12.3</v>
      </c>
      <c r="FV26">
        <v>1.79932</v>
      </c>
      <c r="FW26">
        <v>2.5781200000000002</v>
      </c>
      <c r="FX26">
        <v>1.5490699999999999</v>
      </c>
      <c r="FY26">
        <v>2.3327599999999999</v>
      </c>
      <c r="FZ26">
        <v>1.50146</v>
      </c>
      <c r="GA26">
        <v>2.36816</v>
      </c>
      <c r="GB26">
        <v>33.445599999999999</v>
      </c>
      <c r="GC26">
        <v>23.877400000000002</v>
      </c>
      <c r="GD26">
        <v>19</v>
      </c>
      <c r="GE26">
        <v>273.50299999999999</v>
      </c>
      <c r="GF26">
        <v>605.94799999999998</v>
      </c>
      <c r="GG26">
        <v>20.485700000000001</v>
      </c>
      <c r="GH26">
        <v>26.0931</v>
      </c>
      <c r="GI26">
        <v>29.999700000000001</v>
      </c>
      <c r="GJ26">
        <v>26.148800000000001</v>
      </c>
      <c r="GK26">
        <v>26.130800000000001</v>
      </c>
      <c r="GL26">
        <v>35.977800000000002</v>
      </c>
      <c r="GM26">
        <v>0</v>
      </c>
      <c r="GN26">
        <v>100</v>
      </c>
      <c r="GO26">
        <v>20.238700000000001</v>
      </c>
      <c r="GP26">
        <v>800</v>
      </c>
      <c r="GQ26">
        <v>23.198799999999999</v>
      </c>
      <c r="GR26">
        <v>99.795400000000001</v>
      </c>
      <c r="GS26">
        <v>99.653899999999993</v>
      </c>
    </row>
    <row r="27" spans="1:201" x14ac:dyDescent="0.25">
      <c r="A27">
        <v>11</v>
      </c>
      <c r="B27">
        <v>1690388385.5999999</v>
      </c>
      <c r="C27">
        <v>127.0999999046326</v>
      </c>
      <c r="D27" t="s">
        <v>355</v>
      </c>
      <c r="E27" t="s">
        <v>356</v>
      </c>
      <c r="F27" t="s">
        <v>330</v>
      </c>
      <c r="H27">
        <v>1690388385.5999999</v>
      </c>
      <c r="I27">
        <f t="shared" si="0"/>
        <v>-6.810615242692857E-5</v>
      </c>
      <c r="J27">
        <f t="shared" si="1"/>
        <v>-6.8106152426928565E-2</v>
      </c>
      <c r="K27">
        <f t="shared" si="2"/>
        <v>-0.12271633191067764</v>
      </c>
      <c r="L27">
        <f t="shared" si="3"/>
        <v>802.00800000000004</v>
      </c>
      <c r="M27">
        <f t="shared" si="4"/>
        <v>726.04265863831768</v>
      </c>
      <c r="N27">
        <f t="shared" si="5"/>
        <v>71.699780796809279</v>
      </c>
      <c r="O27">
        <f t="shared" si="6"/>
        <v>79.201679285807998</v>
      </c>
      <c r="P27">
        <f t="shared" si="7"/>
        <v>-3.6776691996630246E-3</v>
      </c>
      <c r="Q27">
        <f t="shared" si="8"/>
        <v>2.1601583694181623</v>
      </c>
      <c r="R27">
        <f t="shared" si="9"/>
        <v>-3.6811512184410679E-3</v>
      </c>
      <c r="S27">
        <f t="shared" si="10"/>
        <v>-2.3004064000095299E-3</v>
      </c>
      <c r="T27">
        <f t="shared" si="11"/>
        <v>276.10849945321485</v>
      </c>
      <c r="U27">
        <f t="shared" si="12"/>
        <v>28.746231387188626</v>
      </c>
      <c r="V27">
        <f t="shared" si="13"/>
        <v>28.746231387188626</v>
      </c>
      <c r="W27">
        <f t="shared" si="14"/>
        <v>3.963092011972035</v>
      </c>
      <c r="X27">
        <f t="shared" si="15"/>
        <v>62.853100077658297</v>
      </c>
      <c r="Y27">
        <f t="shared" si="16"/>
        <v>2.1929560934012002</v>
      </c>
      <c r="Z27">
        <f t="shared" si="17"/>
        <v>3.489018187952047</v>
      </c>
      <c r="AA27">
        <f t="shared" si="18"/>
        <v>1.7701359185708347</v>
      </c>
      <c r="AB27">
        <f t="shared" si="19"/>
        <v>3.0034813220275498</v>
      </c>
      <c r="AC27">
        <f t="shared" si="20"/>
        <v>-253.85980207830301</v>
      </c>
      <c r="AD27">
        <f t="shared" si="21"/>
        <v>-25.529144042368621</v>
      </c>
      <c r="AE27">
        <f t="shared" si="22"/>
        <v>-0.27696534542923246</v>
      </c>
      <c r="AF27">
        <v>4</v>
      </c>
      <c r="AG27">
        <v>1</v>
      </c>
      <c r="AH27">
        <f t="shared" si="23"/>
        <v>1</v>
      </c>
      <c r="AI27">
        <f t="shared" si="24"/>
        <v>0</v>
      </c>
      <c r="AJ27">
        <f t="shared" si="25"/>
        <v>52338.233952359922</v>
      </c>
      <c r="AK27">
        <f t="shared" si="26"/>
        <v>1799.96</v>
      </c>
      <c r="AL27">
        <f t="shared" si="27"/>
        <v>1499.0770988352799</v>
      </c>
      <c r="AM27">
        <f t="shared" si="28"/>
        <v>0.83283911799999999</v>
      </c>
      <c r="AN27">
        <f t="shared" si="29"/>
        <v>0.15339701963000002</v>
      </c>
      <c r="AO27">
        <v>31.8</v>
      </c>
      <c r="AP27">
        <v>0.5</v>
      </c>
      <c r="AQ27" t="s">
        <v>331</v>
      </c>
      <c r="AR27">
        <v>2</v>
      </c>
      <c r="AS27">
        <v>1690388385.5999999</v>
      </c>
      <c r="AT27">
        <v>802.00800000000004</v>
      </c>
      <c r="AU27">
        <v>800.12900000000002</v>
      </c>
      <c r="AV27">
        <v>22.206199999999999</v>
      </c>
      <c r="AW27">
        <v>22.911799999999999</v>
      </c>
      <c r="AX27">
        <v>801.86699999999996</v>
      </c>
      <c r="AY27">
        <v>22.0078</v>
      </c>
      <c r="AZ27">
        <v>300.125</v>
      </c>
      <c r="BA27">
        <v>98.654200000000003</v>
      </c>
      <c r="BB27">
        <v>0.100026</v>
      </c>
      <c r="BC27">
        <v>26.566400000000002</v>
      </c>
      <c r="BD27">
        <v>28.540700000000001</v>
      </c>
      <c r="BE27">
        <v>28.238299999999999</v>
      </c>
      <c r="BF27">
        <v>0</v>
      </c>
      <c r="BG27">
        <v>0</v>
      </c>
      <c r="BH27">
        <v>10019.4</v>
      </c>
      <c r="BI27">
        <v>1083.28</v>
      </c>
      <c r="BJ27">
        <v>1.3455900000000001</v>
      </c>
      <c r="BK27">
        <v>1.87921</v>
      </c>
      <c r="BL27">
        <v>820.22199999999998</v>
      </c>
      <c r="BM27">
        <v>818.89099999999996</v>
      </c>
      <c r="BN27">
        <v>-0.70559499999999997</v>
      </c>
      <c r="BO27">
        <v>800.12900000000002</v>
      </c>
      <c r="BP27">
        <v>22.911799999999999</v>
      </c>
      <c r="BQ27">
        <v>2.1907399999999999</v>
      </c>
      <c r="BR27">
        <v>2.2603499999999999</v>
      </c>
      <c r="BS27">
        <v>18.8947</v>
      </c>
      <c r="BT27">
        <v>19.396599999999999</v>
      </c>
      <c r="BU27">
        <v>1799.96</v>
      </c>
      <c r="BV27">
        <v>0.91000199999999998</v>
      </c>
      <c r="BW27">
        <v>3.4002400000000002E-2</v>
      </c>
      <c r="BX27">
        <v>2.1995899999999999E-2</v>
      </c>
      <c r="BY27">
        <v>3.3999099999999997E-2</v>
      </c>
      <c r="BZ27">
        <v>26</v>
      </c>
      <c r="CA27">
        <v>33527.800000000003</v>
      </c>
      <c r="CB27">
        <v>1690387638</v>
      </c>
      <c r="CC27" t="s">
        <v>332</v>
      </c>
      <c r="CD27">
        <v>1690387638</v>
      </c>
      <c r="CE27">
        <v>1690387638</v>
      </c>
      <c r="CF27">
        <v>6</v>
      </c>
      <c r="CG27">
        <v>0.43</v>
      </c>
      <c r="CH27">
        <v>-8.1000000000000003E-2</v>
      </c>
      <c r="CI27">
        <v>0.14199999999999999</v>
      </c>
      <c r="CJ27">
        <v>-2.7E-2</v>
      </c>
      <c r="CK27">
        <v>800</v>
      </c>
      <c r="CL27">
        <v>0</v>
      </c>
      <c r="CM27">
        <v>0.01</v>
      </c>
      <c r="CN27">
        <v>0.01</v>
      </c>
      <c r="CO27">
        <v>3.2094760975609762</v>
      </c>
      <c r="CP27">
        <v>-6.5084575609756108</v>
      </c>
      <c r="CQ27">
        <v>0.64384412141251546</v>
      </c>
      <c r="CR27">
        <v>-1</v>
      </c>
      <c r="CS27">
        <v>-8.8732995365853648E-2</v>
      </c>
      <c r="CT27">
        <v>-3.0356987910104518</v>
      </c>
      <c r="CU27">
        <v>0.30001427611911552</v>
      </c>
      <c r="CV27">
        <v>-1</v>
      </c>
      <c r="CW27">
        <v>0</v>
      </c>
      <c r="CX27">
        <v>0</v>
      </c>
      <c r="CY27" t="s">
        <v>333</v>
      </c>
      <c r="CZ27">
        <v>2.3645200000000002</v>
      </c>
      <c r="DA27">
        <v>2.7138300000000002</v>
      </c>
      <c r="DB27">
        <v>0.14640300000000001</v>
      </c>
      <c r="DC27">
        <v>0.1459</v>
      </c>
      <c r="DD27">
        <v>0.10736</v>
      </c>
      <c r="DE27">
        <v>0.108199</v>
      </c>
      <c r="DF27">
        <v>31185.8</v>
      </c>
      <c r="DG27">
        <v>27550</v>
      </c>
      <c r="DH27">
        <v>31188.799999999999</v>
      </c>
      <c r="DI27">
        <v>28105.599999999999</v>
      </c>
      <c r="DJ27">
        <v>37803.5</v>
      </c>
      <c r="DK27">
        <v>35640.5</v>
      </c>
      <c r="DL27">
        <v>44388.7</v>
      </c>
      <c r="DM27">
        <v>42601.1</v>
      </c>
      <c r="DN27">
        <v>1.45533</v>
      </c>
      <c r="DO27">
        <v>2.0659999999999998</v>
      </c>
      <c r="DP27">
        <v>0.17046900000000001</v>
      </c>
      <c r="DQ27">
        <v>0.151284</v>
      </c>
      <c r="DR27">
        <v>25.753499999999999</v>
      </c>
      <c r="DS27">
        <v>25.764199999999999</v>
      </c>
      <c r="DT27">
        <v>56.5</v>
      </c>
      <c r="DU27">
        <v>28.9</v>
      </c>
      <c r="DV27">
        <v>22.896899999999999</v>
      </c>
      <c r="DW27">
        <v>62.212200000000003</v>
      </c>
      <c r="DX27">
        <v>36.686700000000002</v>
      </c>
      <c r="DY27">
        <v>1</v>
      </c>
      <c r="DZ27">
        <v>-8.5470000000000004E-2</v>
      </c>
      <c r="EA27">
        <v>9.28078</v>
      </c>
      <c r="EB27">
        <v>19.892399999999999</v>
      </c>
      <c r="EC27">
        <v>5.2409499999999998</v>
      </c>
      <c r="ED27">
        <v>12.039899999999999</v>
      </c>
      <c r="EE27">
        <v>5.0167999999999999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1.8646100000000001</v>
      </c>
      <c r="EM27">
        <v>1.8692</v>
      </c>
      <c r="EN27">
        <v>1.8672299999999999</v>
      </c>
      <c r="EO27">
        <v>1.8633299999999999</v>
      </c>
      <c r="EP27">
        <v>1.8644400000000001</v>
      </c>
      <c r="EQ27">
        <v>1.8701300000000001</v>
      </c>
      <c r="ER27">
        <v>1.8693500000000001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0.14099999999999999</v>
      </c>
      <c r="FG27">
        <v>0.19839999999999999</v>
      </c>
      <c r="FH27">
        <v>0.69281559908863044</v>
      </c>
      <c r="FI27">
        <v>-6.1462078757559423E-4</v>
      </c>
      <c r="FJ27">
        <v>-1.8861989874597051E-7</v>
      </c>
      <c r="FK27">
        <v>1.1980462299894961E-10</v>
      </c>
      <c r="FL27">
        <v>0.19840465858211129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12.5</v>
      </c>
      <c r="FU27">
        <v>12.5</v>
      </c>
      <c r="FV27">
        <v>1.79932</v>
      </c>
      <c r="FW27">
        <v>2.5817899999999998</v>
      </c>
      <c r="FX27">
        <v>1.5490699999999999</v>
      </c>
      <c r="FY27">
        <v>2.3327599999999999</v>
      </c>
      <c r="FZ27">
        <v>1.50146</v>
      </c>
      <c r="GA27">
        <v>2.3962400000000001</v>
      </c>
      <c r="GB27">
        <v>33.4681</v>
      </c>
      <c r="GC27">
        <v>23.886099999999999</v>
      </c>
      <c r="GD27">
        <v>19</v>
      </c>
      <c r="GE27">
        <v>273.21800000000002</v>
      </c>
      <c r="GF27">
        <v>605.58600000000001</v>
      </c>
      <c r="GG27">
        <v>19.316400000000002</v>
      </c>
      <c r="GH27">
        <v>26.105799999999999</v>
      </c>
      <c r="GI27">
        <v>29.9998</v>
      </c>
      <c r="GJ27">
        <v>26.1477</v>
      </c>
      <c r="GK27">
        <v>26.130800000000001</v>
      </c>
      <c r="GL27">
        <v>35.972299999999997</v>
      </c>
      <c r="GM27">
        <v>2.5538099999999999</v>
      </c>
      <c r="GN27">
        <v>100</v>
      </c>
      <c r="GO27">
        <v>20.5167</v>
      </c>
      <c r="GP27">
        <v>800</v>
      </c>
      <c r="GQ27">
        <v>22.354500000000002</v>
      </c>
      <c r="GR27">
        <v>99.796199999999999</v>
      </c>
      <c r="GS27">
        <v>99.656199999999998</v>
      </c>
    </row>
    <row r="28" spans="1:201" x14ac:dyDescent="0.25">
      <c r="A28">
        <v>12</v>
      </c>
      <c r="B28">
        <v>1690388395.5999999</v>
      </c>
      <c r="C28">
        <v>137.0999999046326</v>
      </c>
      <c r="D28" t="s">
        <v>357</v>
      </c>
      <c r="E28" t="s">
        <v>358</v>
      </c>
      <c r="F28" t="s">
        <v>330</v>
      </c>
      <c r="H28">
        <v>1690388395.5999999</v>
      </c>
      <c r="I28">
        <f t="shared" si="0"/>
        <v>-8.3487508358033846E-5</v>
      </c>
      <c r="J28">
        <f t="shared" si="1"/>
        <v>-8.3487508358033841E-2</v>
      </c>
      <c r="K28">
        <f t="shared" si="2"/>
        <v>-3.949625365799272E-3</v>
      </c>
      <c r="L28">
        <f t="shared" si="3"/>
        <v>800.91800000000001</v>
      </c>
      <c r="M28">
        <f t="shared" si="4"/>
        <v>776.36371850549551</v>
      </c>
      <c r="N28">
        <f t="shared" si="5"/>
        <v>76.670406137438079</v>
      </c>
      <c r="O28">
        <f t="shared" si="6"/>
        <v>79.095283407876011</v>
      </c>
      <c r="P28">
        <f t="shared" si="7"/>
        <v>-4.5431680254257025E-3</v>
      </c>
      <c r="Q28">
        <f t="shared" si="8"/>
        <v>2.1581541728202733</v>
      </c>
      <c r="R28">
        <f t="shared" si="9"/>
        <v>-4.5484880244473103E-3</v>
      </c>
      <c r="S28">
        <f t="shared" si="10"/>
        <v>-2.8423265290727284E-3</v>
      </c>
      <c r="T28">
        <f t="shared" si="11"/>
        <v>276.11174326891324</v>
      </c>
      <c r="U28">
        <f t="shared" si="12"/>
        <v>28.524354710785232</v>
      </c>
      <c r="V28">
        <f t="shared" si="13"/>
        <v>28.524354710785232</v>
      </c>
      <c r="W28">
        <f t="shared" si="14"/>
        <v>3.9123991038712944</v>
      </c>
      <c r="X28">
        <f t="shared" si="15"/>
        <v>62.619183844191909</v>
      </c>
      <c r="Y28">
        <f t="shared" si="16"/>
        <v>2.1554239467756</v>
      </c>
      <c r="Z28">
        <f t="shared" si="17"/>
        <v>3.4421144040118645</v>
      </c>
      <c r="AA28">
        <f t="shared" si="18"/>
        <v>1.7569751570956944</v>
      </c>
      <c r="AB28">
        <f t="shared" si="19"/>
        <v>3.6817991185892924</v>
      </c>
      <c r="AC28">
        <f t="shared" si="20"/>
        <v>-254.51124756752131</v>
      </c>
      <c r="AD28">
        <f t="shared" si="21"/>
        <v>-25.560779340437399</v>
      </c>
      <c r="AE28">
        <f t="shared" si="22"/>
        <v>-0.27848452045617478</v>
      </c>
      <c r="AF28">
        <v>2</v>
      </c>
      <c r="AG28">
        <v>1</v>
      </c>
      <c r="AH28">
        <f t="shared" si="23"/>
        <v>1</v>
      </c>
      <c r="AI28">
        <f t="shared" si="24"/>
        <v>0</v>
      </c>
      <c r="AJ28">
        <f t="shared" si="25"/>
        <v>52294.386812278528</v>
      </c>
      <c r="AK28">
        <f t="shared" si="26"/>
        <v>1799.97</v>
      </c>
      <c r="AL28">
        <f t="shared" si="27"/>
        <v>1499.09089553532</v>
      </c>
      <c r="AM28">
        <f t="shared" si="28"/>
        <v>0.832842156</v>
      </c>
      <c r="AN28">
        <f t="shared" si="29"/>
        <v>0.15339796956000001</v>
      </c>
      <c r="AO28">
        <v>31.8</v>
      </c>
      <c r="AP28">
        <v>0.5</v>
      </c>
      <c r="AQ28" t="s">
        <v>331</v>
      </c>
      <c r="AR28">
        <v>2</v>
      </c>
      <c r="AS28">
        <v>1690388395.5999999</v>
      </c>
      <c r="AT28">
        <v>800.91800000000001</v>
      </c>
      <c r="AU28">
        <v>800.16800000000001</v>
      </c>
      <c r="AV28">
        <v>21.825800000000001</v>
      </c>
      <c r="AW28">
        <v>22.6907</v>
      </c>
      <c r="AX28">
        <v>800.77700000000004</v>
      </c>
      <c r="AY28">
        <v>21.627400000000002</v>
      </c>
      <c r="AZ28">
        <v>300.26100000000002</v>
      </c>
      <c r="BA28">
        <v>98.655600000000007</v>
      </c>
      <c r="BB28">
        <v>0.10018199999999999</v>
      </c>
      <c r="BC28">
        <v>26.3369</v>
      </c>
      <c r="BD28">
        <v>28.287700000000001</v>
      </c>
      <c r="BE28">
        <v>27.941800000000001</v>
      </c>
      <c r="BF28">
        <v>0</v>
      </c>
      <c r="BG28">
        <v>0</v>
      </c>
      <c r="BH28">
        <v>10002.5</v>
      </c>
      <c r="BI28">
        <v>1082.1500000000001</v>
      </c>
      <c r="BJ28">
        <v>1.3007299999999999</v>
      </c>
      <c r="BK28">
        <v>0.75036599999999998</v>
      </c>
      <c r="BL28">
        <v>818.78899999999999</v>
      </c>
      <c r="BM28">
        <v>818.74599999999998</v>
      </c>
      <c r="BN28">
        <v>-0.86492899999999995</v>
      </c>
      <c r="BO28">
        <v>800.16800000000001</v>
      </c>
      <c r="BP28">
        <v>22.6907</v>
      </c>
      <c r="BQ28">
        <v>2.1532399999999998</v>
      </c>
      <c r="BR28">
        <v>2.2385700000000002</v>
      </c>
      <c r="BS28">
        <v>18.618600000000001</v>
      </c>
      <c r="BT28">
        <v>19.241</v>
      </c>
      <c r="BU28">
        <v>1799.97</v>
      </c>
      <c r="BV28">
        <v>0.91000800000000004</v>
      </c>
      <c r="BW28">
        <v>3.3995400000000002E-2</v>
      </c>
      <c r="BX28">
        <v>2.2008799999999999E-2</v>
      </c>
      <c r="BY28">
        <v>3.3987999999999997E-2</v>
      </c>
      <c r="BZ28">
        <v>25.666699999999999</v>
      </c>
      <c r="CA28">
        <v>33527.800000000003</v>
      </c>
      <c r="CB28">
        <v>1690387638</v>
      </c>
      <c r="CC28" t="s">
        <v>332</v>
      </c>
      <c r="CD28">
        <v>1690387638</v>
      </c>
      <c r="CE28">
        <v>1690387638</v>
      </c>
      <c r="CF28">
        <v>6</v>
      </c>
      <c r="CG28">
        <v>0.43</v>
      </c>
      <c r="CH28">
        <v>-8.1000000000000003E-2</v>
      </c>
      <c r="CI28">
        <v>0.14199999999999999</v>
      </c>
      <c r="CJ28">
        <v>-2.7E-2</v>
      </c>
      <c r="CK28">
        <v>800</v>
      </c>
      <c r="CL28">
        <v>0</v>
      </c>
      <c r="CM28">
        <v>0.01</v>
      </c>
      <c r="CN28">
        <v>0.01</v>
      </c>
      <c r="CO28">
        <v>1.976211825</v>
      </c>
      <c r="CP28">
        <v>-7.0025667579737378</v>
      </c>
      <c r="CQ28">
        <v>0.67464855188427131</v>
      </c>
      <c r="CR28">
        <v>-1</v>
      </c>
      <c r="CS28">
        <v>-0.648180125</v>
      </c>
      <c r="CT28">
        <v>-3.0320210093808631</v>
      </c>
      <c r="CU28">
        <v>0.29932361376478372</v>
      </c>
      <c r="CV28">
        <v>-1</v>
      </c>
      <c r="CW28">
        <v>0</v>
      </c>
      <c r="CX28">
        <v>0</v>
      </c>
      <c r="CY28" t="s">
        <v>333</v>
      </c>
      <c r="CZ28">
        <v>2.3649399999999998</v>
      </c>
      <c r="DA28">
        <v>2.7139799999999998</v>
      </c>
      <c r="DB28">
        <v>0.146263</v>
      </c>
      <c r="DC28">
        <v>0.1459</v>
      </c>
      <c r="DD28">
        <v>0.106044</v>
      </c>
      <c r="DE28">
        <v>0.107469</v>
      </c>
      <c r="DF28">
        <v>31192.1</v>
      </c>
      <c r="DG28">
        <v>27551.5</v>
      </c>
      <c r="DH28">
        <v>31190</v>
      </c>
      <c r="DI28">
        <v>28107.3</v>
      </c>
      <c r="DJ28">
        <v>37861</v>
      </c>
      <c r="DK28">
        <v>35671.699999999997</v>
      </c>
      <c r="DL28">
        <v>44390</v>
      </c>
      <c r="DM28">
        <v>42603.5</v>
      </c>
      <c r="DN28">
        <v>1.4605699999999999</v>
      </c>
      <c r="DO28">
        <v>2.0653999999999999</v>
      </c>
      <c r="DP28">
        <v>0.15653700000000001</v>
      </c>
      <c r="DQ28">
        <v>0.137798</v>
      </c>
      <c r="DR28">
        <v>25.727699999999999</v>
      </c>
      <c r="DS28">
        <v>25.6876</v>
      </c>
      <c r="DT28">
        <v>56.6</v>
      </c>
      <c r="DU28">
        <v>28.9</v>
      </c>
      <c r="DV28">
        <v>22.9389</v>
      </c>
      <c r="DW28">
        <v>61.962200000000003</v>
      </c>
      <c r="DX28">
        <v>36.246000000000002</v>
      </c>
      <c r="DY28">
        <v>1</v>
      </c>
      <c r="DZ28">
        <v>-0.10390000000000001</v>
      </c>
      <c r="EA28">
        <v>3.3894500000000001</v>
      </c>
      <c r="EB28">
        <v>20.136500000000002</v>
      </c>
      <c r="EC28">
        <v>5.2411000000000003</v>
      </c>
      <c r="ED28">
        <v>12.039899999999999</v>
      </c>
      <c r="EE28">
        <v>5.0167999999999999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1.8692</v>
      </c>
      <c r="EN28">
        <v>1.86724</v>
      </c>
      <c r="EO28">
        <v>1.86337</v>
      </c>
      <c r="EP28">
        <v>1.86446</v>
      </c>
      <c r="EQ28">
        <v>1.87015</v>
      </c>
      <c r="ER28">
        <v>1.86937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0.14099999999999999</v>
      </c>
      <c r="FG28">
        <v>0.19839999999999999</v>
      </c>
      <c r="FH28">
        <v>0.69281559908863044</v>
      </c>
      <c r="FI28">
        <v>-6.1462078757559423E-4</v>
      </c>
      <c r="FJ28">
        <v>-1.8861989874597051E-7</v>
      </c>
      <c r="FK28">
        <v>1.1980462299894961E-10</v>
      </c>
      <c r="FL28">
        <v>0.19840465858211129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12.6</v>
      </c>
      <c r="FU28">
        <v>12.6</v>
      </c>
      <c r="FV28">
        <v>1.7981</v>
      </c>
      <c r="FW28">
        <v>2.5756800000000002</v>
      </c>
      <c r="FX28">
        <v>1.5490699999999999</v>
      </c>
      <c r="FY28">
        <v>2.3327599999999999</v>
      </c>
      <c r="FZ28">
        <v>1.50146</v>
      </c>
      <c r="GA28">
        <v>2.4194300000000002</v>
      </c>
      <c r="GB28">
        <v>33.4681</v>
      </c>
      <c r="GC28">
        <v>23.947399999999998</v>
      </c>
      <c r="GD28">
        <v>19</v>
      </c>
      <c r="GE28">
        <v>275.41800000000001</v>
      </c>
      <c r="GF28">
        <v>605.10199999999998</v>
      </c>
      <c r="GG28">
        <v>19.775600000000001</v>
      </c>
      <c r="GH28">
        <v>26.121700000000001</v>
      </c>
      <c r="GI28">
        <v>29.991199999999999</v>
      </c>
      <c r="GJ28">
        <v>26.151599999999998</v>
      </c>
      <c r="GK28">
        <v>26.132999999999999</v>
      </c>
      <c r="GL28">
        <v>35.960700000000003</v>
      </c>
      <c r="GM28">
        <v>8.5076499999999999</v>
      </c>
      <c r="GN28">
        <v>100</v>
      </c>
      <c r="GO28">
        <v>19.7697</v>
      </c>
      <c r="GP28">
        <v>800</v>
      </c>
      <c r="GQ28">
        <v>21.9392</v>
      </c>
      <c r="GR28">
        <v>99.799499999999995</v>
      </c>
      <c r="GS28">
        <v>99.661900000000003</v>
      </c>
    </row>
    <row r="29" spans="1:201" x14ac:dyDescent="0.25">
      <c r="A29">
        <v>13</v>
      </c>
      <c r="B29">
        <v>1690388405.5999999</v>
      </c>
      <c r="C29">
        <v>147.0999999046326</v>
      </c>
      <c r="D29" t="s">
        <v>359</v>
      </c>
      <c r="E29" t="s">
        <v>360</v>
      </c>
      <c r="F29" t="s">
        <v>330</v>
      </c>
      <c r="H29">
        <v>1690388405.5999999</v>
      </c>
      <c r="I29">
        <f t="shared" si="0"/>
        <v>-3.6114883946035224E-5</v>
      </c>
      <c r="J29">
        <f t="shared" si="1"/>
        <v>-3.6114883946035223E-2</v>
      </c>
      <c r="K29">
        <f t="shared" si="2"/>
        <v>7.1656822581828927E-2</v>
      </c>
      <c r="L29">
        <f t="shared" si="3"/>
        <v>799.65700000000004</v>
      </c>
      <c r="M29">
        <f t="shared" si="4"/>
        <v>832.93549590687337</v>
      </c>
      <c r="N29">
        <f t="shared" si="5"/>
        <v>82.25658654505807</v>
      </c>
      <c r="O29">
        <f t="shared" si="6"/>
        <v>78.970167017850002</v>
      </c>
      <c r="P29">
        <f t="shared" si="7"/>
        <v>-2.0268955950685967E-3</v>
      </c>
      <c r="Q29">
        <f t="shared" si="8"/>
        <v>2.1567997463240776</v>
      </c>
      <c r="R29">
        <f t="shared" si="9"/>
        <v>-2.0279544229941503E-3</v>
      </c>
      <c r="S29">
        <f t="shared" si="10"/>
        <v>-1.2673763393463813E-3</v>
      </c>
      <c r="T29">
        <f t="shared" si="11"/>
        <v>276.11131995196865</v>
      </c>
      <c r="U29">
        <f t="shared" si="12"/>
        <v>28.406860405359943</v>
      </c>
      <c r="V29">
        <f t="shared" si="13"/>
        <v>28.406860405359943</v>
      </c>
      <c r="W29">
        <f t="shared" si="14"/>
        <v>3.8857845437227896</v>
      </c>
      <c r="X29">
        <f t="shared" si="15"/>
        <v>63.75086190779583</v>
      </c>
      <c r="Y29">
        <f t="shared" si="16"/>
        <v>2.1811237853100001</v>
      </c>
      <c r="Z29">
        <f t="shared" si="17"/>
        <v>3.4213243868994332</v>
      </c>
      <c r="AA29">
        <f t="shared" si="18"/>
        <v>1.7046607584127895</v>
      </c>
      <c r="AB29">
        <f t="shared" si="19"/>
        <v>1.5926663820201534</v>
      </c>
      <c r="AC29">
        <f t="shared" si="20"/>
        <v>-252.61964904197757</v>
      </c>
      <c r="AD29">
        <f t="shared" si="21"/>
        <v>-25.358845417809345</v>
      </c>
      <c r="AE29">
        <f t="shared" si="22"/>
        <v>-0.27450812579809281</v>
      </c>
      <c r="AF29">
        <v>3</v>
      </c>
      <c r="AG29">
        <v>1</v>
      </c>
      <c r="AH29">
        <f t="shared" si="23"/>
        <v>1</v>
      </c>
      <c r="AI29">
        <f t="shared" si="24"/>
        <v>0</v>
      </c>
      <c r="AJ29">
        <f t="shared" si="25"/>
        <v>52255.561889518343</v>
      </c>
      <c r="AK29">
        <f t="shared" si="26"/>
        <v>1799.97</v>
      </c>
      <c r="AL29">
        <f t="shared" si="27"/>
        <v>1499.0851572309602</v>
      </c>
      <c r="AM29">
        <f t="shared" si="28"/>
        <v>0.83283896800000012</v>
      </c>
      <c r="AN29">
        <f t="shared" si="29"/>
        <v>0.15339773438000004</v>
      </c>
      <c r="AO29">
        <v>31.8</v>
      </c>
      <c r="AP29">
        <v>0.5</v>
      </c>
      <c r="AQ29" t="s">
        <v>331</v>
      </c>
      <c r="AR29">
        <v>2</v>
      </c>
      <c r="AS29">
        <v>1690388405.5999999</v>
      </c>
      <c r="AT29">
        <v>799.65700000000004</v>
      </c>
      <c r="AU29">
        <v>800.11</v>
      </c>
      <c r="AV29">
        <v>22.086200000000002</v>
      </c>
      <c r="AW29">
        <v>22.4602</v>
      </c>
      <c r="AX29">
        <v>799.51499999999999</v>
      </c>
      <c r="AY29">
        <v>21.887799999999999</v>
      </c>
      <c r="AZ29">
        <v>300.291</v>
      </c>
      <c r="BA29">
        <v>98.655000000000001</v>
      </c>
      <c r="BB29">
        <v>0.10005</v>
      </c>
      <c r="BC29">
        <v>26.234300000000001</v>
      </c>
      <c r="BD29">
        <v>28.137499999999999</v>
      </c>
      <c r="BE29">
        <v>27.803000000000001</v>
      </c>
      <c r="BF29">
        <v>0</v>
      </c>
      <c r="BG29">
        <v>0</v>
      </c>
      <c r="BH29">
        <v>9991.25</v>
      </c>
      <c r="BI29">
        <v>1081</v>
      </c>
      <c r="BJ29">
        <v>1.31755</v>
      </c>
      <c r="BK29">
        <v>-0.45275900000000002</v>
      </c>
      <c r="BL29">
        <v>817.71699999999998</v>
      </c>
      <c r="BM29">
        <v>818.49300000000005</v>
      </c>
      <c r="BN29">
        <v>-0.37407099999999999</v>
      </c>
      <c r="BO29">
        <v>800.11</v>
      </c>
      <c r="BP29">
        <v>22.4602</v>
      </c>
      <c r="BQ29">
        <v>2.1789100000000001</v>
      </c>
      <c r="BR29">
        <v>2.2158099999999998</v>
      </c>
      <c r="BS29">
        <v>18.8081</v>
      </c>
      <c r="BT29">
        <v>19.077100000000002</v>
      </c>
      <c r="BU29">
        <v>1799.97</v>
      </c>
      <c r="BV29">
        <v>0.90998500000000004</v>
      </c>
      <c r="BW29">
        <v>3.4001799999999999E-2</v>
      </c>
      <c r="BX29">
        <v>2.2003399999999999E-2</v>
      </c>
      <c r="BY29">
        <v>3.40098E-2</v>
      </c>
      <c r="BZ29">
        <v>25.041699999999999</v>
      </c>
      <c r="CA29">
        <v>33527.699999999997</v>
      </c>
      <c r="CB29">
        <v>1690387638</v>
      </c>
      <c r="CC29" t="s">
        <v>332</v>
      </c>
      <c r="CD29">
        <v>1690387638</v>
      </c>
      <c r="CE29">
        <v>1690387638</v>
      </c>
      <c r="CF29">
        <v>6</v>
      </c>
      <c r="CG29">
        <v>0.43</v>
      </c>
      <c r="CH29">
        <v>-8.1000000000000003E-2</v>
      </c>
      <c r="CI29">
        <v>0.14199999999999999</v>
      </c>
      <c r="CJ29">
        <v>-2.7E-2</v>
      </c>
      <c r="CK29">
        <v>800</v>
      </c>
      <c r="CL29">
        <v>0</v>
      </c>
      <c r="CM29">
        <v>0.01</v>
      </c>
      <c r="CN29">
        <v>0.01</v>
      </c>
      <c r="CO29">
        <v>0.87466377073170742</v>
      </c>
      <c r="CP29">
        <v>-6.9308530850174197</v>
      </c>
      <c r="CQ29">
        <v>0.68554204240714633</v>
      </c>
      <c r="CR29">
        <v>-1</v>
      </c>
      <c r="CS29">
        <v>-0.72235629268292678</v>
      </c>
      <c r="CT29">
        <v>1.6163781533101029</v>
      </c>
      <c r="CU29">
        <v>0.22813255338853519</v>
      </c>
      <c r="CV29">
        <v>-1</v>
      </c>
      <c r="CW29">
        <v>0</v>
      </c>
      <c r="CX29">
        <v>0</v>
      </c>
      <c r="CY29" t="s">
        <v>333</v>
      </c>
      <c r="CZ29">
        <v>2.36503</v>
      </c>
      <c r="DA29">
        <v>2.7138399999999998</v>
      </c>
      <c r="DB29">
        <v>0.14610699999999999</v>
      </c>
      <c r="DC29">
        <v>0.14588599999999999</v>
      </c>
      <c r="DD29">
        <v>0.10693999999999999</v>
      </c>
      <c r="DE29">
        <v>0.10670200000000001</v>
      </c>
      <c r="DF29">
        <v>31199.1</v>
      </c>
      <c r="DG29">
        <v>27552.400000000001</v>
      </c>
      <c r="DH29">
        <v>31191.4</v>
      </c>
      <c r="DI29">
        <v>28107.8</v>
      </c>
      <c r="DJ29">
        <v>37824.300000000003</v>
      </c>
      <c r="DK29">
        <v>35703.1</v>
      </c>
      <c r="DL29">
        <v>44391.9</v>
      </c>
      <c r="DM29">
        <v>42604.3</v>
      </c>
      <c r="DN29">
        <v>1.4578500000000001</v>
      </c>
      <c r="DO29">
        <v>2.0651799999999998</v>
      </c>
      <c r="DP29">
        <v>0.149645</v>
      </c>
      <c r="DQ29">
        <v>0.13448299999999999</v>
      </c>
      <c r="DR29">
        <v>25.689900000000002</v>
      </c>
      <c r="DS29">
        <v>25.602599999999999</v>
      </c>
      <c r="DT29">
        <v>56.6</v>
      </c>
      <c r="DU29">
        <v>28.9</v>
      </c>
      <c r="DV29">
        <v>22.941600000000001</v>
      </c>
      <c r="DW29">
        <v>62.132199999999997</v>
      </c>
      <c r="DX29">
        <v>35.7652</v>
      </c>
      <c r="DY29">
        <v>1</v>
      </c>
      <c r="DZ29">
        <v>-9.5419199999999996E-2</v>
      </c>
      <c r="EA29">
        <v>5.7383300000000004</v>
      </c>
      <c r="EB29">
        <v>20.079699999999999</v>
      </c>
      <c r="EC29">
        <v>5.2404999999999999</v>
      </c>
      <c r="ED29">
        <v>12.039899999999999</v>
      </c>
      <c r="EE29">
        <v>5.0163500000000001</v>
      </c>
      <c r="EF29">
        <v>3.2879499999999999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1.8692</v>
      </c>
      <c r="EN29">
        <v>1.8672299999999999</v>
      </c>
      <c r="EO29">
        <v>1.8633200000000001</v>
      </c>
      <c r="EP29">
        <v>1.8644499999999999</v>
      </c>
      <c r="EQ29">
        <v>1.8701399999999999</v>
      </c>
      <c r="ER29">
        <v>1.8693599999999999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0.14199999999999999</v>
      </c>
      <c r="FG29">
        <v>0.19839999999999999</v>
      </c>
      <c r="FH29">
        <v>0.69281559908863044</v>
      </c>
      <c r="FI29">
        <v>-6.1462078757559423E-4</v>
      </c>
      <c r="FJ29">
        <v>-1.8861989874597051E-7</v>
      </c>
      <c r="FK29">
        <v>1.1980462299894961E-10</v>
      </c>
      <c r="FL29">
        <v>0.19840465858211129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12.8</v>
      </c>
      <c r="FU29">
        <v>12.8</v>
      </c>
      <c r="FV29">
        <v>1.7981</v>
      </c>
      <c r="FW29">
        <v>2.5781200000000002</v>
      </c>
      <c r="FX29">
        <v>1.5490699999999999</v>
      </c>
      <c r="FY29">
        <v>2.3327599999999999</v>
      </c>
      <c r="FZ29">
        <v>1.50146</v>
      </c>
      <c r="GA29">
        <v>2.4230999999999998</v>
      </c>
      <c r="GB29">
        <v>33.4681</v>
      </c>
      <c r="GC29">
        <v>23.947399999999998</v>
      </c>
      <c r="GD29">
        <v>19</v>
      </c>
      <c r="GE29">
        <v>274.351</v>
      </c>
      <c r="GF29">
        <v>604.93700000000001</v>
      </c>
      <c r="GG29">
        <v>19.412199999999999</v>
      </c>
      <c r="GH29">
        <v>26.138300000000001</v>
      </c>
      <c r="GI29">
        <v>30.001799999999999</v>
      </c>
      <c r="GJ29">
        <v>26.1675</v>
      </c>
      <c r="GK29">
        <v>26.135200000000001</v>
      </c>
      <c r="GL29">
        <v>35.955599999999997</v>
      </c>
      <c r="GM29">
        <v>8.7904999999999998</v>
      </c>
      <c r="GN29">
        <v>100</v>
      </c>
      <c r="GO29">
        <v>19.311299999999999</v>
      </c>
      <c r="GP29">
        <v>800</v>
      </c>
      <c r="GQ29">
        <v>22.141200000000001</v>
      </c>
      <c r="GR29">
        <v>99.803899999999999</v>
      </c>
      <c r="GS29">
        <v>99.663799999999995</v>
      </c>
    </row>
    <row r="30" spans="1:201" x14ac:dyDescent="0.25">
      <c r="A30">
        <v>14</v>
      </c>
      <c r="B30">
        <v>1690388415.5999999</v>
      </c>
      <c r="C30">
        <v>157.0999999046326</v>
      </c>
      <c r="D30" t="s">
        <v>361</v>
      </c>
      <c r="E30" t="s">
        <v>362</v>
      </c>
      <c r="F30" t="s">
        <v>330</v>
      </c>
      <c r="H30">
        <v>1690388415.5999999</v>
      </c>
      <c r="I30">
        <f t="shared" si="0"/>
        <v>-3.1664148727068367E-5</v>
      </c>
      <c r="J30">
        <f t="shared" si="1"/>
        <v>-3.1664148727068367E-2</v>
      </c>
      <c r="K30">
        <f t="shared" si="2"/>
        <v>0.14799838054410583</v>
      </c>
      <c r="L30">
        <f t="shared" si="3"/>
        <v>798.78</v>
      </c>
      <c r="M30">
        <f t="shared" si="4"/>
        <v>906.67306608260981</v>
      </c>
      <c r="N30">
        <f t="shared" si="5"/>
        <v>89.541154286398694</v>
      </c>
      <c r="O30">
        <f t="shared" si="6"/>
        <v>78.885858526619998</v>
      </c>
      <c r="P30">
        <f t="shared" si="7"/>
        <v>-1.7936235056514116E-3</v>
      </c>
      <c r="Q30">
        <f t="shared" si="8"/>
        <v>2.1594501680680898</v>
      </c>
      <c r="R30">
        <f t="shared" si="9"/>
        <v>-1.794451568640935E-3</v>
      </c>
      <c r="S30">
        <f t="shared" si="10"/>
        <v>-1.1214578023552065E-3</v>
      </c>
      <c r="T30">
        <f t="shared" si="11"/>
        <v>276.11042974080573</v>
      </c>
      <c r="U30">
        <f t="shared" si="12"/>
        <v>28.281232760196737</v>
      </c>
      <c r="V30">
        <f t="shared" si="13"/>
        <v>28.281232760196737</v>
      </c>
      <c r="W30">
        <f t="shared" si="14"/>
        <v>3.8575024655016175</v>
      </c>
      <c r="X30">
        <f t="shared" si="15"/>
        <v>63.82608694937764</v>
      </c>
      <c r="Y30">
        <f t="shared" si="16"/>
        <v>2.1680229395441</v>
      </c>
      <c r="Z30">
        <f t="shared" si="17"/>
        <v>3.396766186314419</v>
      </c>
      <c r="AA30">
        <f t="shared" si="18"/>
        <v>1.6894795259575175</v>
      </c>
      <c r="AB30">
        <f t="shared" si="19"/>
        <v>1.3963889588637151</v>
      </c>
      <c r="AC30">
        <f t="shared" si="20"/>
        <v>-252.49611170836511</v>
      </c>
      <c r="AD30">
        <f t="shared" si="21"/>
        <v>-25.284049359811359</v>
      </c>
      <c r="AE30">
        <f t="shared" si="22"/>
        <v>-0.27334236850700222</v>
      </c>
      <c r="AF30">
        <v>2</v>
      </c>
      <c r="AG30">
        <v>1</v>
      </c>
      <c r="AH30">
        <f t="shared" si="23"/>
        <v>1</v>
      </c>
      <c r="AI30">
        <f t="shared" si="24"/>
        <v>0</v>
      </c>
      <c r="AJ30">
        <f t="shared" si="25"/>
        <v>52388.039320196833</v>
      </c>
      <c r="AK30">
        <f t="shared" si="26"/>
        <v>1799.97</v>
      </c>
      <c r="AL30">
        <f t="shared" si="27"/>
        <v>1499.08830357852</v>
      </c>
      <c r="AM30">
        <f t="shared" si="28"/>
        <v>0.83284071599999998</v>
      </c>
      <c r="AN30">
        <f t="shared" si="29"/>
        <v>0.15339723981</v>
      </c>
      <c r="AO30">
        <v>31.8</v>
      </c>
      <c r="AP30">
        <v>0.5</v>
      </c>
      <c r="AQ30" t="s">
        <v>331</v>
      </c>
      <c r="AR30">
        <v>2</v>
      </c>
      <c r="AS30">
        <v>1690388415.5999999</v>
      </c>
      <c r="AT30">
        <v>798.78</v>
      </c>
      <c r="AU30">
        <v>800.08</v>
      </c>
      <c r="AV30">
        <v>21.9529</v>
      </c>
      <c r="AW30">
        <v>22.280999999999999</v>
      </c>
      <c r="AX30">
        <v>798.63800000000003</v>
      </c>
      <c r="AY30">
        <v>21.7544</v>
      </c>
      <c r="AZ30">
        <v>300.15699999999998</v>
      </c>
      <c r="BA30">
        <v>98.657899999999998</v>
      </c>
      <c r="BB30">
        <v>0.10002900000000001</v>
      </c>
      <c r="BC30">
        <v>26.112400000000001</v>
      </c>
      <c r="BD30">
        <v>28.028400000000001</v>
      </c>
      <c r="BE30">
        <v>27.674900000000001</v>
      </c>
      <c r="BF30">
        <v>0</v>
      </c>
      <c r="BG30">
        <v>0</v>
      </c>
      <c r="BH30">
        <v>10013.1</v>
      </c>
      <c r="BI30">
        <v>1079.6300000000001</v>
      </c>
      <c r="BJ30">
        <v>1.28952</v>
      </c>
      <c r="BK30">
        <v>-1.29962</v>
      </c>
      <c r="BL30">
        <v>816.70899999999995</v>
      </c>
      <c r="BM30">
        <v>818.31299999999999</v>
      </c>
      <c r="BN30">
        <v>-0.32819399999999999</v>
      </c>
      <c r="BO30">
        <v>800.08</v>
      </c>
      <c r="BP30">
        <v>22.280999999999999</v>
      </c>
      <c r="BQ30">
        <v>2.1658200000000001</v>
      </c>
      <c r="BR30">
        <v>2.1981999999999999</v>
      </c>
      <c r="BS30">
        <v>18.7117</v>
      </c>
      <c r="BT30">
        <v>18.949200000000001</v>
      </c>
      <c r="BU30">
        <v>1799.97</v>
      </c>
      <c r="BV30">
        <v>0.91000599999999998</v>
      </c>
      <c r="BW30">
        <v>3.3993900000000001E-2</v>
      </c>
      <c r="BX30">
        <v>2.1998299999999998E-2</v>
      </c>
      <c r="BY30">
        <v>3.4001900000000002E-2</v>
      </c>
      <c r="BZ30">
        <v>25</v>
      </c>
      <c r="CA30">
        <v>33527.9</v>
      </c>
      <c r="CB30">
        <v>1690387638</v>
      </c>
      <c r="CC30" t="s">
        <v>332</v>
      </c>
      <c r="CD30">
        <v>1690387638</v>
      </c>
      <c r="CE30">
        <v>1690387638</v>
      </c>
      <c r="CF30">
        <v>6</v>
      </c>
      <c r="CG30">
        <v>0.43</v>
      </c>
      <c r="CH30">
        <v>-8.1000000000000003E-2</v>
      </c>
      <c r="CI30">
        <v>0.14199999999999999</v>
      </c>
      <c r="CJ30">
        <v>-2.7E-2</v>
      </c>
      <c r="CK30">
        <v>800</v>
      </c>
      <c r="CL30">
        <v>0</v>
      </c>
      <c r="CM30">
        <v>0.01</v>
      </c>
      <c r="CN30">
        <v>0.01</v>
      </c>
      <c r="CO30">
        <v>-0.26305400975609761</v>
      </c>
      <c r="CP30">
        <v>-6.3553402348432044</v>
      </c>
      <c r="CQ30">
        <v>0.63044242159781838</v>
      </c>
      <c r="CR30">
        <v>-1</v>
      </c>
      <c r="CS30">
        <v>-0.4693980487804878</v>
      </c>
      <c r="CT30">
        <v>1.370617526132403</v>
      </c>
      <c r="CU30">
        <v>0.16912886388295489</v>
      </c>
      <c r="CV30">
        <v>-1</v>
      </c>
      <c r="CW30">
        <v>0</v>
      </c>
      <c r="CX30">
        <v>0</v>
      </c>
      <c r="CY30" t="s">
        <v>333</v>
      </c>
      <c r="CZ30">
        <v>2.3645399999999999</v>
      </c>
      <c r="DA30">
        <v>2.7138300000000002</v>
      </c>
      <c r="DB30">
        <v>0.14599999999999999</v>
      </c>
      <c r="DC30">
        <v>0.14588300000000001</v>
      </c>
      <c r="DD30">
        <v>0.10648100000000001</v>
      </c>
      <c r="DE30">
        <v>0.10610799999999999</v>
      </c>
      <c r="DF30">
        <v>31201.200000000001</v>
      </c>
      <c r="DG30">
        <v>27550.6</v>
      </c>
      <c r="DH30">
        <v>31189.7</v>
      </c>
      <c r="DI30">
        <v>28105.8</v>
      </c>
      <c r="DJ30">
        <v>37841.800000000003</v>
      </c>
      <c r="DK30">
        <v>35724.300000000003</v>
      </c>
      <c r="DL30">
        <v>44389.4</v>
      </c>
      <c r="DM30">
        <v>42601.2</v>
      </c>
      <c r="DN30">
        <v>1.4586300000000001</v>
      </c>
      <c r="DO30">
        <v>2.0650200000000001</v>
      </c>
      <c r="DP30">
        <v>0.14565900000000001</v>
      </c>
      <c r="DQ30">
        <v>0.13153999999999999</v>
      </c>
      <c r="DR30">
        <v>25.645600000000002</v>
      </c>
      <c r="DS30">
        <v>25.522300000000001</v>
      </c>
      <c r="DT30">
        <v>56.6</v>
      </c>
      <c r="DU30">
        <v>28.9</v>
      </c>
      <c r="DV30">
        <v>22.937999999999999</v>
      </c>
      <c r="DW30">
        <v>61.852200000000003</v>
      </c>
      <c r="DX30">
        <v>35.432699999999997</v>
      </c>
      <c r="DY30">
        <v>1</v>
      </c>
      <c r="DZ30">
        <v>-9.5879099999999995E-2</v>
      </c>
      <c r="EA30">
        <v>4.6756000000000002</v>
      </c>
      <c r="EB30">
        <v>20.117599999999999</v>
      </c>
      <c r="EC30">
        <v>5.2404999999999999</v>
      </c>
      <c r="ED30">
        <v>12.039899999999999</v>
      </c>
      <c r="EE30">
        <v>5.0164499999999999</v>
      </c>
      <c r="EF30">
        <v>3.2879700000000001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1.8692</v>
      </c>
      <c r="EN30">
        <v>1.8672299999999999</v>
      </c>
      <c r="EO30">
        <v>1.86337</v>
      </c>
      <c r="EP30">
        <v>1.8644499999999999</v>
      </c>
      <c r="EQ30">
        <v>1.8701399999999999</v>
      </c>
      <c r="ER30">
        <v>1.8693500000000001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0.14199999999999999</v>
      </c>
      <c r="FG30">
        <v>0.19850000000000001</v>
      </c>
      <c r="FH30">
        <v>0.69281559908863044</v>
      </c>
      <c r="FI30">
        <v>-6.1462078757559423E-4</v>
      </c>
      <c r="FJ30">
        <v>-1.8861989874597051E-7</v>
      </c>
      <c r="FK30">
        <v>1.1980462299894961E-10</v>
      </c>
      <c r="FL30">
        <v>0.19840465858211129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13</v>
      </c>
      <c r="FU30">
        <v>13</v>
      </c>
      <c r="FV30">
        <v>1.7981</v>
      </c>
      <c r="FW30">
        <v>2.5756800000000002</v>
      </c>
      <c r="FX30">
        <v>1.5490699999999999</v>
      </c>
      <c r="FY30">
        <v>2.3327599999999999</v>
      </c>
      <c r="FZ30">
        <v>1.50146</v>
      </c>
      <c r="GA30">
        <v>2.32666</v>
      </c>
      <c r="GB30">
        <v>33.4681</v>
      </c>
      <c r="GC30">
        <v>23.9649</v>
      </c>
      <c r="GD30">
        <v>19</v>
      </c>
      <c r="GE30">
        <v>274.69600000000003</v>
      </c>
      <c r="GF30">
        <v>604.85900000000004</v>
      </c>
      <c r="GG30">
        <v>19.2395</v>
      </c>
      <c r="GH30">
        <v>26.1554</v>
      </c>
      <c r="GI30">
        <v>29.999600000000001</v>
      </c>
      <c r="GJ30">
        <v>26.172999999999998</v>
      </c>
      <c r="GK30">
        <v>26.139399999999998</v>
      </c>
      <c r="GL30">
        <v>35.946399999999997</v>
      </c>
      <c r="GM30">
        <v>10.3353</v>
      </c>
      <c r="GN30">
        <v>100</v>
      </c>
      <c r="GO30">
        <v>19.3872</v>
      </c>
      <c r="GP30">
        <v>800</v>
      </c>
      <c r="GQ30">
        <v>22.0318</v>
      </c>
      <c r="GR30">
        <v>99.798400000000001</v>
      </c>
      <c r="GS30">
        <v>99.656700000000001</v>
      </c>
    </row>
    <row r="31" spans="1:201" x14ac:dyDescent="0.25">
      <c r="A31">
        <v>15</v>
      </c>
      <c r="B31">
        <v>1690388425.5999999</v>
      </c>
      <c r="C31">
        <v>167.0999999046326</v>
      </c>
      <c r="D31" t="s">
        <v>363</v>
      </c>
      <c r="E31" t="s">
        <v>364</v>
      </c>
      <c r="F31" t="s">
        <v>330</v>
      </c>
      <c r="H31">
        <v>1690388425.5999999</v>
      </c>
      <c r="I31">
        <f t="shared" si="0"/>
        <v>-1.118585864375871E-5</v>
      </c>
      <c r="J31">
        <f t="shared" si="1"/>
        <v>-1.1185858643758709E-2</v>
      </c>
      <c r="K31">
        <f t="shared" si="2"/>
        <v>0.22479504199211078</v>
      </c>
      <c r="L31">
        <f t="shared" si="3"/>
        <v>797.84100000000001</v>
      </c>
      <c r="M31">
        <f t="shared" si="4"/>
        <v>1326.3853153898403</v>
      </c>
      <c r="N31">
        <f t="shared" si="5"/>
        <v>130.99124453954474</v>
      </c>
      <c r="O31">
        <f t="shared" si="6"/>
        <v>78.793231741983007</v>
      </c>
      <c r="P31">
        <f t="shared" si="7"/>
        <v>-6.444392459034427E-4</v>
      </c>
      <c r="Q31">
        <f t="shared" si="8"/>
        <v>2.1608018953728001</v>
      </c>
      <c r="R31">
        <f t="shared" si="9"/>
        <v>-6.4454604171652918E-4</v>
      </c>
      <c r="S31">
        <f t="shared" si="10"/>
        <v>-4.028316796661017E-4</v>
      </c>
      <c r="T31">
        <f t="shared" si="11"/>
        <v>276.11142803915584</v>
      </c>
      <c r="U31">
        <f t="shared" si="12"/>
        <v>28.175941663860968</v>
      </c>
      <c r="V31">
        <f t="shared" si="13"/>
        <v>28.175941663860968</v>
      </c>
      <c r="W31">
        <f t="shared" si="14"/>
        <v>3.8339371613350077</v>
      </c>
      <c r="X31">
        <f t="shared" si="15"/>
        <v>64.316098513249045</v>
      </c>
      <c r="Y31">
        <f t="shared" si="16"/>
        <v>2.1721440924598001</v>
      </c>
      <c r="Z31">
        <f t="shared" si="17"/>
        <v>3.377294554041304</v>
      </c>
      <c r="AA31">
        <f t="shared" si="18"/>
        <v>1.6617930688752076</v>
      </c>
      <c r="AB31">
        <f t="shared" si="19"/>
        <v>0.49329636618975914</v>
      </c>
      <c r="AC31">
        <f t="shared" si="20"/>
        <v>-251.7116066127389</v>
      </c>
      <c r="AD31">
        <f t="shared" si="21"/>
        <v>-25.164243731628662</v>
      </c>
      <c r="AE31">
        <f t="shared" si="22"/>
        <v>-0.27112593902197091</v>
      </c>
      <c r="AF31">
        <v>2</v>
      </c>
      <c r="AG31">
        <v>1</v>
      </c>
      <c r="AH31">
        <f t="shared" si="23"/>
        <v>1</v>
      </c>
      <c r="AI31">
        <f t="shared" si="24"/>
        <v>0</v>
      </c>
      <c r="AJ31">
        <f t="shared" si="25"/>
        <v>52461.81716603924</v>
      </c>
      <c r="AK31">
        <f t="shared" si="26"/>
        <v>1799.98</v>
      </c>
      <c r="AL31">
        <f t="shared" si="27"/>
        <v>1499.0937430177801</v>
      </c>
      <c r="AM31">
        <f t="shared" si="28"/>
        <v>0.83283911100000008</v>
      </c>
      <c r="AN31">
        <f t="shared" si="29"/>
        <v>0.15339694221000003</v>
      </c>
      <c r="AO31">
        <v>31.8</v>
      </c>
      <c r="AP31">
        <v>0.5</v>
      </c>
      <c r="AQ31" t="s">
        <v>331</v>
      </c>
      <c r="AR31">
        <v>2</v>
      </c>
      <c r="AS31">
        <v>1690388425.5999999</v>
      </c>
      <c r="AT31">
        <v>797.84100000000001</v>
      </c>
      <c r="AU31">
        <v>800.12800000000004</v>
      </c>
      <c r="AV31">
        <v>21.994599999999998</v>
      </c>
      <c r="AW31">
        <v>22.110499999999998</v>
      </c>
      <c r="AX31">
        <v>797.69799999999998</v>
      </c>
      <c r="AY31">
        <v>21.796199999999999</v>
      </c>
      <c r="AZ31">
        <v>300.161</v>
      </c>
      <c r="BA31">
        <v>98.658000000000001</v>
      </c>
      <c r="BB31">
        <v>0.100063</v>
      </c>
      <c r="BC31">
        <v>26.0152</v>
      </c>
      <c r="BD31">
        <v>27.9117</v>
      </c>
      <c r="BE31">
        <v>27.579899999999999</v>
      </c>
      <c r="BF31">
        <v>0</v>
      </c>
      <c r="BG31">
        <v>0</v>
      </c>
      <c r="BH31">
        <v>10024.4</v>
      </c>
      <c r="BI31">
        <v>1078.29</v>
      </c>
      <c r="BJ31">
        <v>1.28952</v>
      </c>
      <c r="BK31">
        <v>-2.2861899999999999</v>
      </c>
      <c r="BL31">
        <v>815.78399999999999</v>
      </c>
      <c r="BM31">
        <v>818.21900000000005</v>
      </c>
      <c r="BN31">
        <v>-0.115929</v>
      </c>
      <c r="BO31">
        <v>800.12800000000004</v>
      </c>
      <c r="BP31">
        <v>22.110499999999998</v>
      </c>
      <c r="BQ31">
        <v>2.16994</v>
      </c>
      <c r="BR31">
        <v>2.1813799999999999</v>
      </c>
      <c r="BS31">
        <v>18.742100000000001</v>
      </c>
      <c r="BT31">
        <v>18.8262</v>
      </c>
      <c r="BU31">
        <v>1799.98</v>
      </c>
      <c r="BV31">
        <v>0.91000400000000004</v>
      </c>
      <c r="BW31">
        <v>3.4007099999999998E-2</v>
      </c>
      <c r="BX31">
        <v>2.1993800000000001E-2</v>
      </c>
      <c r="BY31">
        <v>3.3994900000000002E-2</v>
      </c>
      <c r="BZ31">
        <v>25</v>
      </c>
      <c r="CA31">
        <v>33528</v>
      </c>
      <c r="CB31">
        <v>1690387638</v>
      </c>
      <c r="CC31" t="s">
        <v>332</v>
      </c>
      <c r="CD31">
        <v>1690387638</v>
      </c>
      <c r="CE31">
        <v>1690387638</v>
      </c>
      <c r="CF31">
        <v>6</v>
      </c>
      <c r="CG31">
        <v>0.43</v>
      </c>
      <c r="CH31">
        <v>-8.1000000000000003E-2</v>
      </c>
      <c r="CI31">
        <v>0.14199999999999999</v>
      </c>
      <c r="CJ31">
        <v>-2.7E-2</v>
      </c>
      <c r="CK31">
        <v>800</v>
      </c>
      <c r="CL31">
        <v>0</v>
      </c>
      <c r="CM31">
        <v>0.01</v>
      </c>
      <c r="CN31">
        <v>0.01</v>
      </c>
      <c r="CO31">
        <v>-1.21794585</v>
      </c>
      <c r="CP31">
        <v>-5.2292273470919319</v>
      </c>
      <c r="CQ31">
        <v>0.50470204328368584</v>
      </c>
      <c r="CR31">
        <v>-1</v>
      </c>
      <c r="CS31">
        <v>-0.31264589999999998</v>
      </c>
      <c r="CT31">
        <v>0.68471675797373388</v>
      </c>
      <c r="CU31">
        <v>7.0970589642400467E-2</v>
      </c>
      <c r="CV31">
        <v>-1</v>
      </c>
      <c r="CW31">
        <v>0</v>
      </c>
      <c r="CX31">
        <v>0</v>
      </c>
      <c r="CY31" t="s">
        <v>333</v>
      </c>
      <c r="CZ31">
        <v>2.3645399999999999</v>
      </c>
      <c r="DA31">
        <v>2.7138800000000001</v>
      </c>
      <c r="DB31">
        <v>0.14588400000000001</v>
      </c>
      <c r="DC31">
        <v>0.14588400000000001</v>
      </c>
      <c r="DD31">
        <v>0.106624</v>
      </c>
      <c r="DE31">
        <v>0.10553700000000001</v>
      </c>
      <c r="DF31">
        <v>31204.9</v>
      </c>
      <c r="DG31">
        <v>27549.599999999999</v>
      </c>
      <c r="DH31">
        <v>31189.200000000001</v>
      </c>
      <c r="DI31">
        <v>28105</v>
      </c>
      <c r="DJ31">
        <v>37835</v>
      </c>
      <c r="DK31">
        <v>35746.300000000003</v>
      </c>
      <c r="DL31">
        <v>44388.6</v>
      </c>
      <c r="DM31">
        <v>42600.2</v>
      </c>
      <c r="DN31">
        <v>1.45903</v>
      </c>
      <c r="DO31">
        <v>2.0640999999999998</v>
      </c>
      <c r="DP31">
        <v>0.141375</v>
      </c>
      <c r="DQ31">
        <v>0.13057099999999999</v>
      </c>
      <c r="DR31">
        <v>25.598700000000001</v>
      </c>
      <c r="DS31">
        <v>25.442799999999998</v>
      </c>
      <c r="DT31">
        <v>56.6</v>
      </c>
      <c r="DU31">
        <v>28.9</v>
      </c>
      <c r="DV31">
        <v>22.9421</v>
      </c>
      <c r="DW31">
        <v>61.302199999999999</v>
      </c>
      <c r="DX31">
        <v>35.9495</v>
      </c>
      <c r="DY31">
        <v>1</v>
      </c>
      <c r="DZ31">
        <v>-9.6880099999999997E-2</v>
      </c>
      <c r="EA31">
        <v>4.5121099999999998</v>
      </c>
      <c r="EB31">
        <v>20.1233</v>
      </c>
      <c r="EC31">
        <v>5.2408000000000001</v>
      </c>
      <c r="ED31">
        <v>12.039899999999999</v>
      </c>
      <c r="EE31">
        <v>5.0168499999999998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1.8692</v>
      </c>
      <c r="EN31">
        <v>1.8672500000000001</v>
      </c>
      <c r="EO31">
        <v>1.86338</v>
      </c>
      <c r="EP31">
        <v>1.86446</v>
      </c>
      <c r="EQ31">
        <v>1.8701399999999999</v>
      </c>
      <c r="ER31">
        <v>1.8693599999999999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0.14299999999999999</v>
      </c>
      <c r="FG31">
        <v>0.19839999999999999</v>
      </c>
      <c r="FH31">
        <v>0.69281559908863044</v>
      </c>
      <c r="FI31">
        <v>-6.1462078757559423E-4</v>
      </c>
      <c r="FJ31">
        <v>-1.8861989874597051E-7</v>
      </c>
      <c r="FK31">
        <v>1.1980462299894961E-10</v>
      </c>
      <c r="FL31">
        <v>0.19840465858211129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13.1</v>
      </c>
      <c r="FU31">
        <v>13.1</v>
      </c>
      <c r="FV31">
        <v>1.7981</v>
      </c>
      <c r="FW31">
        <v>2.5842299999999998</v>
      </c>
      <c r="FX31">
        <v>1.5490699999999999</v>
      </c>
      <c r="FY31">
        <v>2.3327599999999999</v>
      </c>
      <c r="FZ31">
        <v>1.50146</v>
      </c>
      <c r="GA31">
        <v>2.31812</v>
      </c>
      <c r="GB31">
        <v>33.4681</v>
      </c>
      <c r="GC31">
        <v>23.956199999999999</v>
      </c>
      <c r="GD31">
        <v>19</v>
      </c>
      <c r="GE31">
        <v>274.90499999999997</v>
      </c>
      <c r="GF31">
        <v>604.11800000000005</v>
      </c>
      <c r="GG31">
        <v>19.3066</v>
      </c>
      <c r="GH31">
        <v>26.1708</v>
      </c>
      <c r="GI31">
        <v>30</v>
      </c>
      <c r="GJ31">
        <v>26.1829</v>
      </c>
      <c r="GK31">
        <v>26.1433</v>
      </c>
      <c r="GL31">
        <v>35.939599999999999</v>
      </c>
      <c r="GM31">
        <v>11.502700000000001</v>
      </c>
      <c r="GN31">
        <v>100</v>
      </c>
      <c r="GO31">
        <v>19.2712</v>
      </c>
      <c r="GP31">
        <v>800</v>
      </c>
      <c r="GQ31">
        <v>21.929600000000001</v>
      </c>
      <c r="GR31">
        <v>99.796599999999998</v>
      </c>
      <c r="GS31">
        <v>99.653999999999996</v>
      </c>
    </row>
    <row r="32" spans="1:201" x14ac:dyDescent="0.25">
      <c r="A32">
        <v>16</v>
      </c>
      <c r="B32">
        <v>1690388435.5999999</v>
      </c>
      <c r="C32">
        <v>177.0999999046326</v>
      </c>
      <c r="D32" t="s">
        <v>365</v>
      </c>
      <c r="E32" t="s">
        <v>366</v>
      </c>
      <c r="F32" t="s">
        <v>330</v>
      </c>
      <c r="H32">
        <v>1690388435.5999999</v>
      </c>
      <c r="I32">
        <f t="shared" si="0"/>
        <v>3.5033828073571953E-6</v>
      </c>
      <c r="J32">
        <f t="shared" si="1"/>
        <v>3.5033828073571952E-3</v>
      </c>
      <c r="K32">
        <f t="shared" si="2"/>
        <v>0.29735924182537499</v>
      </c>
      <c r="L32">
        <f t="shared" si="3"/>
        <v>796.875</v>
      </c>
      <c r="M32">
        <f t="shared" si="4"/>
        <v>-1523.1682068816044</v>
      </c>
      <c r="N32">
        <f t="shared" si="5"/>
        <v>-150.42712337664767</v>
      </c>
      <c r="O32">
        <f t="shared" si="6"/>
        <v>78.698868187499997</v>
      </c>
      <c r="P32">
        <f t="shared" si="7"/>
        <v>2.0420332560815849E-4</v>
      </c>
      <c r="Q32">
        <f t="shared" si="8"/>
        <v>2.1566278616768151</v>
      </c>
      <c r="R32">
        <f t="shared" si="9"/>
        <v>2.0419258439754632E-4</v>
      </c>
      <c r="S32">
        <f t="shared" si="10"/>
        <v>1.2762133023216585E-4</v>
      </c>
      <c r="T32">
        <f t="shared" si="11"/>
        <v>276.11168113434366</v>
      </c>
      <c r="U32">
        <f t="shared" si="12"/>
        <v>28.101422692722394</v>
      </c>
      <c r="V32">
        <f t="shared" si="13"/>
        <v>28.101422692722394</v>
      </c>
      <c r="W32">
        <f t="shared" si="14"/>
        <v>3.8173349832233385</v>
      </c>
      <c r="X32">
        <f t="shared" si="15"/>
        <v>64.660091908675923</v>
      </c>
      <c r="Y32">
        <f t="shared" si="16"/>
        <v>2.1742960337604003</v>
      </c>
      <c r="Z32">
        <f t="shared" si="17"/>
        <v>3.3626553405326338</v>
      </c>
      <c r="AA32">
        <f t="shared" si="18"/>
        <v>1.6430389494629383</v>
      </c>
      <c r="AB32">
        <f t="shared" si="19"/>
        <v>-0.15449918180445232</v>
      </c>
      <c r="AC32">
        <f t="shared" si="20"/>
        <v>-251.09527315372412</v>
      </c>
      <c r="AD32">
        <f t="shared" si="21"/>
        <v>-25.132620688959847</v>
      </c>
      <c r="AE32">
        <f t="shared" si="22"/>
        <v>-0.27071189014475294</v>
      </c>
      <c r="AF32">
        <v>2</v>
      </c>
      <c r="AG32">
        <v>1</v>
      </c>
      <c r="AH32">
        <f t="shared" si="23"/>
        <v>1</v>
      </c>
      <c r="AI32">
        <f t="shared" si="24"/>
        <v>0</v>
      </c>
      <c r="AJ32">
        <f t="shared" si="25"/>
        <v>52299.57875864207</v>
      </c>
      <c r="AK32">
        <f t="shared" si="26"/>
        <v>1799.98</v>
      </c>
      <c r="AL32">
        <f t="shared" si="27"/>
        <v>1499.09612979126</v>
      </c>
      <c r="AM32">
        <f t="shared" si="28"/>
        <v>0.83284043699999999</v>
      </c>
      <c r="AN32">
        <f t="shared" si="29"/>
        <v>0.15339708282000003</v>
      </c>
      <c r="AO32">
        <v>31.8</v>
      </c>
      <c r="AP32">
        <v>0.5</v>
      </c>
      <c r="AQ32" t="s">
        <v>331</v>
      </c>
      <c r="AR32">
        <v>2</v>
      </c>
      <c r="AS32">
        <v>1690388435.5999999</v>
      </c>
      <c r="AT32">
        <v>796.875</v>
      </c>
      <c r="AU32">
        <v>800.05499999999995</v>
      </c>
      <c r="AV32">
        <v>22.016100000000002</v>
      </c>
      <c r="AW32">
        <v>21.979800000000001</v>
      </c>
      <c r="AX32">
        <v>796.73099999999999</v>
      </c>
      <c r="AY32">
        <v>21.817699999999999</v>
      </c>
      <c r="AZ32">
        <v>300.15100000000001</v>
      </c>
      <c r="BA32">
        <v>98.659300000000002</v>
      </c>
      <c r="BB32">
        <v>0.100064</v>
      </c>
      <c r="BC32">
        <v>25.941800000000001</v>
      </c>
      <c r="BD32">
        <v>27.845199999999998</v>
      </c>
      <c r="BE32">
        <v>27.516400000000001</v>
      </c>
      <c r="BF32">
        <v>0</v>
      </c>
      <c r="BG32">
        <v>0</v>
      </c>
      <c r="BH32">
        <v>9989.3799999999992</v>
      </c>
      <c r="BI32">
        <v>1077.04</v>
      </c>
      <c r="BJ32">
        <v>1.28952</v>
      </c>
      <c r="BK32">
        <v>-3.17957</v>
      </c>
      <c r="BL32">
        <v>814.81399999999996</v>
      </c>
      <c r="BM32">
        <v>818.03499999999997</v>
      </c>
      <c r="BN32">
        <v>3.6359799999999998E-2</v>
      </c>
      <c r="BO32">
        <v>800.05499999999995</v>
      </c>
      <c r="BP32">
        <v>21.979800000000001</v>
      </c>
      <c r="BQ32">
        <v>2.1720999999999999</v>
      </c>
      <c r="BR32">
        <v>2.1685099999999999</v>
      </c>
      <c r="BS32">
        <v>18.757999999999999</v>
      </c>
      <c r="BT32">
        <v>18.7316</v>
      </c>
      <c r="BU32">
        <v>1799.98</v>
      </c>
      <c r="BV32">
        <v>0.91001200000000004</v>
      </c>
      <c r="BW32">
        <v>3.4001400000000001E-2</v>
      </c>
      <c r="BX32">
        <v>2.1997099999999999E-2</v>
      </c>
      <c r="BY32">
        <v>3.3989199999999997E-2</v>
      </c>
      <c r="BZ32">
        <v>25</v>
      </c>
      <c r="CA32">
        <v>33528.1</v>
      </c>
      <c r="CB32">
        <v>1690387638</v>
      </c>
      <c r="CC32" t="s">
        <v>332</v>
      </c>
      <c r="CD32">
        <v>1690387638</v>
      </c>
      <c r="CE32">
        <v>1690387638</v>
      </c>
      <c r="CF32">
        <v>6</v>
      </c>
      <c r="CG32">
        <v>0.43</v>
      </c>
      <c r="CH32">
        <v>-8.1000000000000003E-2</v>
      </c>
      <c r="CI32">
        <v>0.14199999999999999</v>
      </c>
      <c r="CJ32">
        <v>-2.7E-2</v>
      </c>
      <c r="CK32">
        <v>800</v>
      </c>
      <c r="CL32">
        <v>0</v>
      </c>
      <c r="CM32">
        <v>0.01</v>
      </c>
      <c r="CN32">
        <v>0.01</v>
      </c>
      <c r="CO32">
        <v>-2.142630487804877</v>
      </c>
      <c r="CP32">
        <v>-5.6099136585365859</v>
      </c>
      <c r="CQ32">
        <v>0.55430456750845702</v>
      </c>
      <c r="CR32">
        <v>-1</v>
      </c>
      <c r="CS32">
        <v>-0.14805136024390239</v>
      </c>
      <c r="CT32">
        <v>1.193454421045296</v>
      </c>
      <c r="CU32">
        <v>0.1180839118040465</v>
      </c>
      <c r="CV32">
        <v>-1</v>
      </c>
      <c r="CW32">
        <v>0</v>
      </c>
      <c r="CX32">
        <v>0</v>
      </c>
      <c r="CY32" t="s">
        <v>333</v>
      </c>
      <c r="CZ32">
        <v>2.36449</v>
      </c>
      <c r="DA32">
        <v>2.7138499999999999</v>
      </c>
      <c r="DB32">
        <v>0.14576500000000001</v>
      </c>
      <c r="DC32">
        <v>0.145873</v>
      </c>
      <c r="DD32">
        <v>0.106697</v>
      </c>
      <c r="DE32">
        <v>0.105099</v>
      </c>
      <c r="DF32">
        <v>31208.2</v>
      </c>
      <c r="DG32">
        <v>27548.799999999999</v>
      </c>
      <c r="DH32">
        <v>31188.2</v>
      </c>
      <c r="DI32">
        <v>28103.9</v>
      </c>
      <c r="DJ32">
        <v>37830.699999999997</v>
      </c>
      <c r="DK32">
        <v>35762.699999999997</v>
      </c>
      <c r="DL32">
        <v>44387.199999999997</v>
      </c>
      <c r="DM32">
        <v>42598.8</v>
      </c>
      <c r="DN32">
        <v>1.4588699999999999</v>
      </c>
      <c r="DO32">
        <v>2.0636000000000001</v>
      </c>
      <c r="DP32">
        <v>0.140294</v>
      </c>
      <c r="DQ32">
        <v>0.13139100000000001</v>
      </c>
      <c r="DR32">
        <v>25.549700000000001</v>
      </c>
      <c r="DS32">
        <v>25.3657</v>
      </c>
      <c r="DT32">
        <v>56.7</v>
      </c>
      <c r="DU32">
        <v>28.9</v>
      </c>
      <c r="DV32">
        <v>22.979099999999999</v>
      </c>
      <c r="DW32">
        <v>61.232199999999999</v>
      </c>
      <c r="DX32">
        <v>36.630600000000001</v>
      </c>
      <c r="DY32">
        <v>1</v>
      </c>
      <c r="DZ32">
        <v>-9.5314999999999997E-2</v>
      </c>
      <c r="EA32">
        <v>4.3472400000000002</v>
      </c>
      <c r="EB32">
        <v>20.127800000000001</v>
      </c>
      <c r="EC32">
        <v>5.2409499999999998</v>
      </c>
      <c r="ED32">
        <v>12.039899999999999</v>
      </c>
      <c r="EE32">
        <v>5.0172999999999996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1.8692</v>
      </c>
      <c r="EN32">
        <v>1.86724</v>
      </c>
      <c r="EO32">
        <v>1.86337</v>
      </c>
      <c r="EP32">
        <v>1.8644499999999999</v>
      </c>
      <c r="EQ32">
        <v>1.87015</v>
      </c>
      <c r="ER32">
        <v>1.86938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0.14399999999999999</v>
      </c>
      <c r="FG32">
        <v>0.19839999999999999</v>
      </c>
      <c r="FH32">
        <v>0.69281559908863044</v>
      </c>
      <c r="FI32">
        <v>-6.1462078757559423E-4</v>
      </c>
      <c r="FJ32">
        <v>-1.8861989874597051E-7</v>
      </c>
      <c r="FK32">
        <v>1.1980462299894961E-10</v>
      </c>
      <c r="FL32">
        <v>0.19840465858211129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13.3</v>
      </c>
      <c r="FU32">
        <v>13.3</v>
      </c>
      <c r="FV32">
        <v>1.79688</v>
      </c>
      <c r="FW32">
        <v>2.5817899999999998</v>
      </c>
      <c r="FX32">
        <v>1.5490699999999999</v>
      </c>
      <c r="FY32">
        <v>2.3327599999999999</v>
      </c>
      <c r="FZ32">
        <v>1.50146</v>
      </c>
      <c r="GA32">
        <v>2.3571800000000001</v>
      </c>
      <c r="GB32">
        <v>33.490600000000001</v>
      </c>
      <c r="GC32">
        <v>23.9649</v>
      </c>
      <c r="GD32">
        <v>19</v>
      </c>
      <c r="GE32">
        <v>274.87799999999999</v>
      </c>
      <c r="GF32">
        <v>603.75400000000002</v>
      </c>
      <c r="GG32">
        <v>19.2333</v>
      </c>
      <c r="GH32">
        <v>26.185700000000001</v>
      </c>
      <c r="GI32">
        <v>30.000599999999999</v>
      </c>
      <c r="GJ32">
        <v>26.191099999999999</v>
      </c>
      <c r="GK32">
        <v>26.148299999999999</v>
      </c>
      <c r="GL32">
        <v>35.935400000000001</v>
      </c>
      <c r="GM32">
        <v>12.055999999999999</v>
      </c>
      <c r="GN32">
        <v>100</v>
      </c>
      <c r="GO32">
        <v>19.278400000000001</v>
      </c>
      <c r="GP32">
        <v>800</v>
      </c>
      <c r="GQ32">
        <v>21.854399999999998</v>
      </c>
      <c r="GR32">
        <v>99.793499999999995</v>
      </c>
      <c r="GS32">
        <v>99.650599999999997</v>
      </c>
    </row>
    <row r="33" spans="1:201" x14ac:dyDescent="0.25">
      <c r="A33">
        <v>17</v>
      </c>
      <c r="B33">
        <v>1690388445.5999999</v>
      </c>
      <c r="C33">
        <v>187.0999999046326</v>
      </c>
      <c r="D33" t="s">
        <v>367</v>
      </c>
      <c r="E33" t="s">
        <v>368</v>
      </c>
      <c r="F33" t="s">
        <v>330</v>
      </c>
      <c r="H33">
        <v>1690388445.5999999</v>
      </c>
      <c r="I33">
        <f t="shared" si="0"/>
        <v>1.4293426527579578E-5</v>
      </c>
      <c r="J33">
        <f t="shared" si="1"/>
        <v>1.4293426527579577E-2</v>
      </c>
      <c r="K33">
        <f t="shared" si="2"/>
        <v>0.38976001814936645</v>
      </c>
      <c r="L33">
        <f t="shared" si="3"/>
        <v>795.78499999999997</v>
      </c>
      <c r="M33">
        <f t="shared" si="4"/>
        <v>46.377277445635194</v>
      </c>
      <c r="N33">
        <f t="shared" si="5"/>
        <v>4.5800837382934407</v>
      </c>
      <c r="O33">
        <f t="shared" si="6"/>
        <v>78.58938985692599</v>
      </c>
      <c r="P33">
        <f t="shared" si="7"/>
        <v>8.4515233560122568E-4</v>
      </c>
      <c r="Q33">
        <f t="shared" si="8"/>
        <v>2.1620565918279424</v>
      </c>
      <c r="R33">
        <f t="shared" si="9"/>
        <v>8.4496883876420477E-4</v>
      </c>
      <c r="S33">
        <f t="shared" si="10"/>
        <v>5.2812200696148999E-4</v>
      </c>
      <c r="T33">
        <f t="shared" si="11"/>
        <v>276.11468377101249</v>
      </c>
      <c r="U33">
        <f t="shared" si="12"/>
        <v>28.009457537967055</v>
      </c>
      <c r="V33">
        <f t="shared" si="13"/>
        <v>28.009457537967055</v>
      </c>
      <c r="W33">
        <f t="shared" si="14"/>
        <v>3.7969324372433886</v>
      </c>
      <c r="X33">
        <f t="shared" si="15"/>
        <v>65.05819147947706</v>
      </c>
      <c r="Y33">
        <f t="shared" si="16"/>
        <v>2.1768920772284401</v>
      </c>
      <c r="Z33">
        <f t="shared" si="17"/>
        <v>3.3460691539744878</v>
      </c>
      <c r="AA33">
        <f t="shared" si="18"/>
        <v>1.6200403600149484</v>
      </c>
      <c r="AB33">
        <f t="shared" si="19"/>
        <v>-0.63034010986625932</v>
      </c>
      <c r="AC33">
        <f t="shared" si="20"/>
        <v>-250.7406327497082</v>
      </c>
      <c r="AD33">
        <f t="shared" si="21"/>
        <v>-25.012149993919017</v>
      </c>
      <c r="AE33">
        <f t="shared" si="22"/>
        <v>-0.26843908248099524</v>
      </c>
      <c r="AF33">
        <v>2</v>
      </c>
      <c r="AG33">
        <v>1</v>
      </c>
      <c r="AH33">
        <f t="shared" si="23"/>
        <v>1</v>
      </c>
      <c r="AI33">
        <f t="shared" si="24"/>
        <v>0</v>
      </c>
      <c r="AJ33">
        <f t="shared" si="25"/>
        <v>52542.074133799491</v>
      </c>
      <c r="AK33">
        <f t="shared" si="26"/>
        <v>1799.99</v>
      </c>
      <c r="AL33">
        <f t="shared" si="27"/>
        <v>1499.1031046031499</v>
      </c>
      <c r="AM33">
        <f t="shared" si="28"/>
        <v>0.83283968499999994</v>
      </c>
      <c r="AN33">
        <f t="shared" si="29"/>
        <v>0.15339789875000001</v>
      </c>
      <c r="AO33">
        <v>31.8</v>
      </c>
      <c r="AP33">
        <v>0.5</v>
      </c>
      <c r="AQ33" t="s">
        <v>331</v>
      </c>
      <c r="AR33">
        <v>2</v>
      </c>
      <c r="AS33">
        <v>1690388445.5999999</v>
      </c>
      <c r="AT33">
        <v>795.78499999999997</v>
      </c>
      <c r="AU33">
        <v>800.03499999999997</v>
      </c>
      <c r="AV33">
        <v>22.042899999999999</v>
      </c>
      <c r="AW33">
        <v>21.8948</v>
      </c>
      <c r="AX33">
        <v>795.64099999999996</v>
      </c>
      <c r="AY33">
        <v>21.8445</v>
      </c>
      <c r="AZ33">
        <v>300.14299999999997</v>
      </c>
      <c r="BA33">
        <v>98.6571</v>
      </c>
      <c r="BB33">
        <v>9.99636E-2</v>
      </c>
      <c r="BC33">
        <v>25.8583</v>
      </c>
      <c r="BD33">
        <v>27.807099999999998</v>
      </c>
      <c r="BE33">
        <v>27.391200000000001</v>
      </c>
      <c r="BF33">
        <v>0</v>
      </c>
      <c r="BG33">
        <v>0</v>
      </c>
      <c r="BH33">
        <v>10035</v>
      </c>
      <c r="BI33">
        <v>1075.5999999999999</v>
      </c>
      <c r="BJ33">
        <v>1.28952</v>
      </c>
      <c r="BK33">
        <v>-4.2490800000000002</v>
      </c>
      <c r="BL33">
        <v>813.72199999999998</v>
      </c>
      <c r="BM33">
        <v>817.94299999999998</v>
      </c>
      <c r="BN33">
        <v>0.14818799999999999</v>
      </c>
      <c r="BO33">
        <v>800.03499999999997</v>
      </c>
      <c r="BP33">
        <v>21.8948</v>
      </c>
      <c r="BQ33">
        <v>2.17469</v>
      </c>
      <c r="BR33">
        <v>2.1600700000000002</v>
      </c>
      <c r="BS33">
        <v>18.777100000000001</v>
      </c>
      <c r="BT33">
        <v>18.6692</v>
      </c>
      <c r="BU33">
        <v>1799.99</v>
      </c>
      <c r="BV33">
        <v>0.90998699999999999</v>
      </c>
      <c r="BW33">
        <v>3.3995200000000003E-2</v>
      </c>
      <c r="BX33">
        <v>2.2006999999999999E-2</v>
      </c>
      <c r="BY33">
        <v>3.4010499999999999E-2</v>
      </c>
      <c r="BZ33">
        <v>25</v>
      </c>
      <c r="CA33">
        <v>33528.1</v>
      </c>
      <c r="CB33">
        <v>1690387638</v>
      </c>
      <c r="CC33" t="s">
        <v>332</v>
      </c>
      <c r="CD33">
        <v>1690387638</v>
      </c>
      <c r="CE33">
        <v>1690387638</v>
      </c>
      <c r="CF33">
        <v>6</v>
      </c>
      <c r="CG33">
        <v>0.43</v>
      </c>
      <c r="CH33">
        <v>-8.1000000000000003E-2</v>
      </c>
      <c r="CI33">
        <v>0.14199999999999999</v>
      </c>
      <c r="CJ33">
        <v>-2.7E-2</v>
      </c>
      <c r="CK33">
        <v>800</v>
      </c>
      <c r="CL33">
        <v>0</v>
      </c>
      <c r="CM33">
        <v>0.01</v>
      </c>
      <c r="CN33">
        <v>0.01</v>
      </c>
      <c r="CO33">
        <v>-3.1122429268292682</v>
      </c>
      <c r="CP33">
        <v>-5.8669193728222977</v>
      </c>
      <c r="CQ33">
        <v>0.58010595991423763</v>
      </c>
      <c r="CR33">
        <v>-1</v>
      </c>
      <c r="CS33">
        <v>1.8847829999999999E-2</v>
      </c>
      <c r="CT33">
        <v>0.79074987679442499</v>
      </c>
      <c r="CU33">
        <v>7.8538069090205692E-2</v>
      </c>
      <c r="CV33">
        <v>-1</v>
      </c>
      <c r="CW33">
        <v>0</v>
      </c>
      <c r="CX33">
        <v>0</v>
      </c>
      <c r="CY33" t="s">
        <v>333</v>
      </c>
      <c r="CZ33">
        <v>2.3644500000000002</v>
      </c>
      <c r="DA33">
        <v>2.7137899999999999</v>
      </c>
      <c r="DB33">
        <v>0.14562600000000001</v>
      </c>
      <c r="DC33">
        <v>0.14586399999999999</v>
      </c>
      <c r="DD33">
        <v>0.10678600000000001</v>
      </c>
      <c r="DE33">
        <v>0.104809</v>
      </c>
      <c r="DF33">
        <v>31213.1</v>
      </c>
      <c r="DG33">
        <v>27548.2</v>
      </c>
      <c r="DH33">
        <v>31188.1</v>
      </c>
      <c r="DI33">
        <v>28103</v>
      </c>
      <c r="DJ33">
        <v>37826.6</v>
      </c>
      <c r="DK33">
        <v>35773</v>
      </c>
      <c r="DL33">
        <v>44386.8</v>
      </c>
      <c r="DM33">
        <v>42597.3</v>
      </c>
      <c r="DN33">
        <v>1.4591000000000001</v>
      </c>
      <c r="DO33">
        <v>2.0632999999999999</v>
      </c>
      <c r="DP33">
        <v>0.14130000000000001</v>
      </c>
      <c r="DQ33">
        <v>0.12826199999999999</v>
      </c>
      <c r="DR33">
        <v>25.495000000000001</v>
      </c>
      <c r="DS33">
        <v>25.291399999999999</v>
      </c>
      <c r="DT33">
        <v>56.7</v>
      </c>
      <c r="DU33">
        <v>28.9</v>
      </c>
      <c r="DV33">
        <v>22.9848</v>
      </c>
      <c r="DW33">
        <v>60.622199999999999</v>
      </c>
      <c r="DX33">
        <v>36.618600000000001</v>
      </c>
      <c r="DY33">
        <v>1</v>
      </c>
      <c r="DZ33">
        <v>-9.5426800000000006E-2</v>
      </c>
      <c r="EA33">
        <v>4.05647</v>
      </c>
      <c r="EB33">
        <v>20.135899999999999</v>
      </c>
      <c r="EC33">
        <v>5.2404999999999999</v>
      </c>
      <c r="ED33">
        <v>12.039899999999999</v>
      </c>
      <c r="EE33">
        <v>5.0172499999999998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1.8646199999999999</v>
      </c>
      <c r="EM33">
        <v>1.8692</v>
      </c>
      <c r="EN33">
        <v>1.86724</v>
      </c>
      <c r="EO33">
        <v>1.86337</v>
      </c>
      <c r="EP33">
        <v>1.8644400000000001</v>
      </c>
      <c r="EQ33">
        <v>1.87015</v>
      </c>
      <c r="ER33">
        <v>1.86938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0.14399999999999999</v>
      </c>
      <c r="FG33">
        <v>0.19839999999999999</v>
      </c>
      <c r="FH33">
        <v>0.69281559908863044</v>
      </c>
      <c r="FI33">
        <v>-6.1462078757559423E-4</v>
      </c>
      <c r="FJ33">
        <v>-1.8861989874597051E-7</v>
      </c>
      <c r="FK33">
        <v>1.1980462299894961E-10</v>
      </c>
      <c r="FL33">
        <v>0.19840465858211129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13.5</v>
      </c>
      <c r="FU33">
        <v>13.5</v>
      </c>
      <c r="FV33">
        <v>1.79688</v>
      </c>
      <c r="FW33">
        <v>2.5769000000000002</v>
      </c>
      <c r="FX33">
        <v>1.5490699999999999</v>
      </c>
      <c r="FY33">
        <v>2.3327599999999999</v>
      </c>
      <c r="FZ33">
        <v>1.50146</v>
      </c>
      <c r="GA33">
        <v>2.3913600000000002</v>
      </c>
      <c r="GB33">
        <v>33.490600000000001</v>
      </c>
      <c r="GC33">
        <v>23.973700000000001</v>
      </c>
      <c r="GD33">
        <v>19</v>
      </c>
      <c r="GE33">
        <v>275.00900000000001</v>
      </c>
      <c r="GF33">
        <v>603.56799999999998</v>
      </c>
      <c r="GG33">
        <v>19.255099999999999</v>
      </c>
      <c r="GH33">
        <v>26.199000000000002</v>
      </c>
      <c r="GI33">
        <v>30.000299999999999</v>
      </c>
      <c r="GJ33">
        <v>26.1999</v>
      </c>
      <c r="GK33">
        <v>26.154199999999999</v>
      </c>
      <c r="GL33">
        <v>35.9298</v>
      </c>
      <c r="GM33">
        <v>12.6623</v>
      </c>
      <c r="GN33">
        <v>100</v>
      </c>
      <c r="GO33">
        <v>19.291899999999998</v>
      </c>
      <c r="GP33">
        <v>800</v>
      </c>
      <c r="GQ33">
        <v>21.755400000000002</v>
      </c>
      <c r="GR33">
        <v>99.7928</v>
      </c>
      <c r="GS33">
        <v>99.647199999999998</v>
      </c>
    </row>
    <row r="34" spans="1:201" x14ac:dyDescent="0.25">
      <c r="A34">
        <v>18</v>
      </c>
      <c r="B34">
        <v>1690388455.5999999</v>
      </c>
      <c r="C34">
        <v>197.0999999046326</v>
      </c>
      <c r="D34" t="s">
        <v>369</v>
      </c>
      <c r="E34" t="s">
        <v>370</v>
      </c>
      <c r="F34" t="s">
        <v>330</v>
      </c>
      <c r="H34">
        <v>1690388455.5999999</v>
      </c>
      <c r="I34">
        <f t="shared" si="0"/>
        <v>3.0438845824077454E-5</v>
      </c>
      <c r="J34">
        <f t="shared" si="1"/>
        <v>3.0438845824077455E-2</v>
      </c>
      <c r="K34">
        <f t="shared" si="2"/>
        <v>0.50628116431507875</v>
      </c>
      <c r="L34">
        <f t="shared" si="3"/>
        <v>794.51900000000001</v>
      </c>
      <c r="M34">
        <f t="shared" si="4"/>
        <v>335.9306575146764</v>
      </c>
      <c r="N34">
        <f t="shared" si="5"/>
        <v>33.176192266094148</v>
      </c>
      <c r="O34">
        <f t="shared" si="6"/>
        <v>78.465940852431004</v>
      </c>
      <c r="P34">
        <f t="shared" si="7"/>
        <v>1.8271617576594281E-3</v>
      </c>
      <c r="Q34">
        <f t="shared" si="8"/>
        <v>2.1566242218982161</v>
      </c>
      <c r="R34">
        <f t="shared" si="9"/>
        <v>1.8263021776582452E-3</v>
      </c>
      <c r="S34">
        <f t="shared" si="10"/>
        <v>1.1415160553286791E-3</v>
      </c>
      <c r="T34">
        <f t="shared" si="11"/>
        <v>276.11264313365461</v>
      </c>
      <c r="U34">
        <f t="shared" si="12"/>
        <v>27.928456173631584</v>
      </c>
      <c r="V34">
        <f t="shared" si="13"/>
        <v>27.928456173631584</v>
      </c>
      <c r="W34">
        <f t="shared" si="14"/>
        <v>3.7790410830336163</v>
      </c>
      <c r="X34">
        <f t="shared" si="15"/>
        <v>65.544059241884383</v>
      </c>
      <c r="Y34">
        <f t="shared" si="16"/>
        <v>2.1827132455686002</v>
      </c>
      <c r="Z34">
        <f t="shared" si="17"/>
        <v>3.3301465774548622</v>
      </c>
      <c r="AA34">
        <f t="shared" si="18"/>
        <v>1.5963278374650161</v>
      </c>
      <c r="AB34">
        <f t="shared" si="19"/>
        <v>-1.3423531008418157</v>
      </c>
      <c r="AC34">
        <f t="shared" si="20"/>
        <v>-250.05233080621733</v>
      </c>
      <c r="AD34">
        <f t="shared" si="21"/>
        <v>-24.986128715819646</v>
      </c>
      <c r="AE34">
        <f t="shared" si="22"/>
        <v>-0.26816948922416373</v>
      </c>
      <c r="AF34">
        <v>2</v>
      </c>
      <c r="AG34">
        <v>1</v>
      </c>
      <c r="AH34">
        <f t="shared" si="23"/>
        <v>1</v>
      </c>
      <c r="AI34">
        <f t="shared" si="24"/>
        <v>0</v>
      </c>
      <c r="AJ34">
        <f t="shared" si="25"/>
        <v>52328.127030782634</v>
      </c>
      <c r="AK34">
        <f t="shared" si="26"/>
        <v>1799.98</v>
      </c>
      <c r="AL34">
        <f t="shared" si="27"/>
        <v>1499.0957247957599</v>
      </c>
      <c r="AM34">
        <f t="shared" si="28"/>
        <v>0.83284021199999991</v>
      </c>
      <c r="AN34">
        <f t="shared" si="29"/>
        <v>0.15339761727000001</v>
      </c>
      <c r="AO34">
        <v>31.8</v>
      </c>
      <c r="AP34">
        <v>0.5</v>
      </c>
      <c r="AQ34" t="s">
        <v>331</v>
      </c>
      <c r="AR34">
        <v>2</v>
      </c>
      <c r="AS34">
        <v>1690388455.5999999</v>
      </c>
      <c r="AT34">
        <v>794.51900000000001</v>
      </c>
      <c r="AU34">
        <v>800.13800000000003</v>
      </c>
      <c r="AV34">
        <v>22.101400000000002</v>
      </c>
      <c r="AW34">
        <v>21.786100000000001</v>
      </c>
      <c r="AX34">
        <v>794.37300000000005</v>
      </c>
      <c r="AY34">
        <v>21.902999999999999</v>
      </c>
      <c r="AZ34">
        <v>300.20999999999998</v>
      </c>
      <c r="BA34">
        <v>98.659000000000006</v>
      </c>
      <c r="BB34">
        <v>0.100049</v>
      </c>
      <c r="BC34">
        <v>25.777799999999999</v>
      </c>
      <c r="BD34">
        <v>27.7638</v>
      </c>
      <c r="BE34">
        <v>27.3489</v>
      </c>
      <c r="BF34">
        <v>0</v>
      </c>
      <c r="BG34">
        <v>0</v>
      </c>
      <c r="BH34">
        <v>9989.3799999999992</v>
      </c>
      <c r="BI34">
        <v>1074.3399999999999</v>
      </c>
      <c r="BJ34">
        <v>1.28952</v>
      </c>
      <c r="BK34">
        <v>-5.6192599999999997</v>
      </c>
      <c r="BL34">
        <v>812.476</v>
      </c>
      <c r="BM34">
        <v>817.95799999999997</v>
      </c>
      <c r="BN34">
        <v>0.31532900000000003</v>
      </c>
      <c r="BO34">
        <v>800.13800000000003</v>
      </c>
      <c r="BP34">
        <v>21.786100000000001</v>
      </c>
      <c r="BQ34">
        <v>2.1804999999999999</v>
      </c>
      <c r="BR34">
        <v>2.1493899999999999</v>
      </c>
      <c r="BS34">
        <v>18.819800000000001</v>
      </c>
      <c r="BT34">
        <v>18.59</v>
      </c>
      <c r="BU34">
        <v>1799.98</v>
      </c>
      <c r="BV34">
        <v>0.909995</v>
      </c>
      <c r="BW34">
        <v>3.3990600000000003E-2</v>
      </c>
      <c r="BX34">
        <v>2.2004099999999999E-2</v>
      </c>
      <c r="BY34">
        <v>3.4009900000000003E-2</v>
      </c>
      <c r="BZ34">
        <v>25</v>
      </c>
      <c r="CA34">
        <v>33528.1</v>
      </c>
      <c r="CB34">
        <v>1690387638</v>
      </c>
      <c r="CC34" t="s">
        <v>332</v>
      </c>
      <c r="CD34">
        <v>1690387638</v>
      </c>
      <c r="CE34">
        <v>1690387638</v>
      </c>
      <c r="CF34">
        <v>6</v>
      </c>
      <c r="CG34">
        <v>0.43</v>
      </c>
      <c r="CH34">
        <v>-8.1000000000000003E-2</v>
      </c>
      <c r="CI34">
        <v>0.14199999999999999</v>
      </c>
      <c r="CJ34">
        <v>-2.7E-2</v>
      </c>
      <c r="CK34">
        <v>800</v>
      </c>
      <c r="CL34">
        <v>0</v>
      </c>
      <c r="CM34">
        <v>0.01</v>
      </c>
      <c r="CN34">
        <v>0.01</v>
      </c>
      <c r="CO34">
        <v>-4.2764160000000002</v>
      </c>
      <c r="CP34">
        <v>-7.1189732082551478</v>
      </c>
      <c r="CQ34">
        <v>0.68681737410610111</v>
      </c>
      <c r="CR34">
        <v>-1</v>
      </c>
      <c r="CS34">
        <v>0.15869823750000001</v>
      </c>
      <c r="CT34">
        <v>0.80180022551594732</v>
      </c>
      <c r="CU34">
        <v>7.7565147594330947E-2</v>
      </c>
      <c r="CV34">
        <v>-1</v>
      </c>
      <c r="CW34">
        <v>0</v>
      </c>
      <c r="CX34">
        <v>0</v>
      </c>
      <c r="CY34" t="s">
        <v>333</v>
      </c>
      <c r="CZ34">
        <v>2.3646699999999998</v>
      </c>
      <c r="DA34">
        <v>2.7138300000000002</v>
      </c>
      <c r="DB34">
        <v>0.14547199999999999</v>
      </c>
      <c r="DC34">
        <v>0.145875</v>
      </c>
      <c r="DD34">
        <v>0.106987</v>
      </c>
      <c r="DE34">
        <v>0.104444</v>
      </c>
      <c r="DF34">
        <v>31218.5</v>
      </c>
      <c r="DG34">
        <v>27547.3</v>
      </c>
      <c r="DH34">
        <v>31187.9</v>
      </c>
      <c r="DI34">
        <v>28102.400000000001</v>
      </c>
      <c r="DJ34">
        <v>37817.800000000003</v>
      </c>
      <c r="DK34">
        <v>35786.9</v>
      </c>
      <c r="DL34">
        <v>44386.6</v>
      </c>
      <c r="DM34">
        <v>42596.4</v>
      </c>
      <c r="DN34">
        <v>1.4589799999999999</v>
      </c>
      <c r="DO34">
        <v>2.0628799999999998</v>
      </c>
      <c r="DP34">
        <v>0.14185900000000001</v>
      </c>
      <c r="DQ34">
        <v>0.129826</v>
      </c>
      <c r="DR34">
        <v>25.442299999999999</v>
      </c>
      <c r="DS34">
        <v>25.223299999999998</v>
      </c>
      <c r="DT34">
        <v>56.7</v>
      </c>
      <c r="DU34">
        <v>28.9</v>
      </c>
      <c r="DV34">
        <v>22.9817</v>
      </c>
      <c r="DW34">
        <v>60.822200000000002</v>
      </c>
      <c r="DX34">
        <v>36.029600000000002</v>
      </c>
      <c r="DY34">
        <v>1</v>
      </c>
      <c r="DZ34">
        <v>-9.4842499999999996E-2</v>
      </c>
      <c r="EA34">
        <v>3.8067600000000001</v>
      </c>
      <c r="EB34">
        <v>20.142299999999999</v>
      </c>
      <c r="EC34">
        <v>5.2409499999999998</v>
      </c>
      <c r="ED34">
        <v>12.039899999999999</v>
      </c>
      <c r="EE34">
        <v>5.0173500000000004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1.8646199999999999</v>
      </c>
      <c r="EM34">
        <v>1.8692</v>
      </c>
      <c r="EN34">
        <v>1.8672299999999999</v>
      </c>
      <c r="EO34">
        <v>1.8633599999999999</v>
      </c>
      <c r="EP34">
        <v>1.8644700000000001</v>
      </c>
      <c r="EQ34">
        <v>1.87016</v>
      </c>
      <c r="ER34">
        <v>1.86937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0.14599999999999999</v>
      </c>
      <c r="FG34">
        <v>0.19839999999999999</v>
      </c>
      <c r="FH34">
        <v>0.69281559908863044</v>
      </c>
      <c r="FI34">
        <v>-6.1462078757559423E-4</v>
      </c>
      <c r="FJ34">
        <v>-1.8861989874597051E-7</v>
      </c>
      <c r="FK34">
        <v>1.1980462299894961E-10</v>
      </c>
      <c r="FL34">
        <v>0.19840465858211129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13.6</v>
      </c>
      <c r="FU34">
        <v>13.6</v>
      </c>
      <c r="FV34">
        <v>1.79688</v>
      </c>
      <c r="FW34">
        <v>2.5769000000000002</v>
      </c>
      <c r="FX34">
        <v>1.5490699999999999</v>
      </c>
      <c r="FY34">
        <v>2.3327599999999999</v>
      </c>
      <c r="FZ34">
        <v>1.50146</v>
      </c>
      <c r="GA34">
        <v>2.4194300000000002</v>
      </c>
      <c r="GB34">
        <v>33.490600000000001</v>
      </c>
      <c r="GC34">
        <v>23.973700000000001</v>
      </c>
      <c r="GD34">
        <v>19</v>
      </c>
      <c r="GE34">
        <v>274.995</v>
      </c>
      <c r="GF34">
        <v>603.27200000000005</v>
      </c>
      <c r="GG34">
        <v>19.295400000000001</v>
      </c>
      <c r="GH34">
        <v>26.2105</v>
      </c>
      <c r="GI34">
        <v>30.000399999999999</v>
      </c>
      <c r="GJ34">
        <v>26.2087</v>
      </c>
      <c r="GK34">
        <v>26.159600000000001</v>
      </c>
      <c r="GL34">
        <v>35.926000000000002</v>
      </c>
      <c r="GM34">
        <v>13.219799999999999</v>
      </c>
      <c r="GN34">
        <v>100</v>
      </c>
      <c r="GO34">
        <v>19.3367</v>
      </c>
      <c r="GP34">
        <v>800</v>
      </c>
      <c r="GQ34">
        <v>21.6357</v>
      </c>
      <c r="GR34">
        <v>99.792299999999997</v>
      </c>
      <c r="GS34">
        <v>99.645099999999999</v>
      </c>
    </row>
    <row r="35" spans="1:201" x14ac:dyDescent="0.25">
      <c r="A35">
        <v>19</v>
      </c>
      <c r="B35">
        <v>1690388465.5999999</v>
      </c>
      <c r="C35">
        <v>207.0999999046326</v>
      </c>
      <c r="D35" t="s">
        <v>371</v>
      </c>
      <c r="E35" t="s">
        <v>372</v>
      </c>
      <c r="F35" t="s">
        <v>330</v>
      </c>
      <c r="H35">
        <v>1690388465.5999999</v>
      </c>
      <c r="I35">
        <f t="shared" si="0"/>
        <v>5.0905040330793651E-5</v>
      </c>
      <c r="J35">
        <f t="shared" si="1"/>
        <v>5.0905040330793648E-2</v>
      </c>
      <c r="K35">
        <f t="shared" si="2"/>
        <v>0.62258094820928589</v>
      </c>
      <c r="L35">
        <f t="shared" si="3"/>
        <v>793.096</v>
      </c>
      <c r="M35">
        <f t="shared" si="4"/>
        <v>454.96182767974062</v>
      </c>
      <c r="N35">
        <f t="shared" si="5"/>
        <v>44.930569446703423</v>
      </c>
      <c r="O35">
        <f t="shared" si="6"/>
        <v>78.323614725292003</v>
      </c>
      <c r="P35">
        <f t="shared" si="7"/>
        <v>3.0983877387471218E-3</v>
      </c>
      <c r="Q35">
        <f t="shared" si="8"/>
        <v>2.1571210685110782</v>
      </c>
      <c r="R35">
        <f t="shared" si="9"/>
        <v>3.0959174347451736E-3</v>
      </c>
      <c r="S35">
        <f t="shared" si="10"/>
        <v>1.9351701744481759E-3</v>
      </c>
      <c r="T35">
        <f t="shared" si="11"/>
        <v>276.11263526774201</v>
      </c>
      <c r="U35">
        <f t="shared" si="12"/>
        <v>27.867446086388124</v>
      </c>
      <c r="V35">
        <f t="shared" si="13"/>
        <v>27.867446086388124</v>
      </c>
      <c r="W35">
        <f t="shared" si="14"/>
        <v>3.7656139538734958</v>
      </c>
      <c r="X35">
        <f t="shared" si="15"/>
        <v>65.995107942491202</v>
      </c>
      <c r="Y35">
        <f t="shared" si="16"/>
        <v>2.1907613641943002</v>
      </c>
      <c r="Z35">
        <f t="shared" si="17"/>
        <v>3.3195814545880453</v>
      </c>
      <c r="AA35">
        <f t="shared" si="18"/>
        <v>1.5748525896791956</v>
      </c>
      <c r="AB35">
        <f t="shared" si="19"/>
        <v>-2.244912278588</v>
      </c>
      <c r="AC35">
        <f t="shared" si="20"/>
        <v>-249.24818431605414</v>
      </c>
      <c r="AD35">
        <f t="shared" si="21"/>
        <v>-24.885763673766544</v>
      </c>
      <c r="AE35">
        <f t="shared" si="22"/>
        <v>-0.26622500066667953</v>
      </c>
      <c r="AF35">
        <v>2</v>
      </c>
      <c r="AG35">
        <v>1</v>
      </c>
      <c r="AH35">
        <f t="shared" si="23"/>
        <v>1</v>
      </c>
      <c r="AI35">
        <f t="shared" si="24"/>
        <v>0</v>
      </c>
      <c r="AJ35">
        <f t="shared" si="25"/>
        <v>52358.313139602309</v>
      </c>
      <c r="AK35">
        <f t="shared" si="26"/>
        <v>1799.98</v>
      </c>
      <c r="AL35">
        <f t="shared" si="27"/>
        <v>1499.0934712207998</v>
      </c>
      <c r="AM35">
        <f t="shared" si="28"/>
        <v>0.83283895999999991</v>
      </c>
      <c r="AN35">
        <f t="shared" si="29"/>
        <v>0.15339761290000001</v>
      </c>
      <c r="AO35">
        <v>31.8</v>
      </c>
      <c r="AP35">
        <v>0.5</v>
      </c>
      <c r="AQ35" t="s">
        <v>331</v>
      </c>
      <c r="AR35">
        <v>2</v>
      </c>
      <c r="AS35">
        <v>1690388465.5999999</v>
      </c>
      <c r="AT35">
        <v>793.096</v>
      </c>
      <c r="AU35">
        <v>800.11900000000003</v>
      </c>
      <c r="AV35">
        <v>22.183399999999999</v>
      </c>
      <c r="AW35">
        <v>21.656099999999999</v>
      </c>
      <c r="AX35">
        <v>792.95</v>
      </c>
      <c r="AY35">
        <v>21.984999999999999</v>
      </c>
      <c r="AZ35">
        <v>300.18400000000003</v>
      </c>
      <c r="BA35">
        <v>98.656800000000004</v>
      </c>
      <c r="BB35">
        <v>9.9989499999999995E-2</v>
      </c>
      <c r="BC35">
        <v>25.7242</v>
      </c>
      <c r="BD35">
        <v>27.648399999999999</v>
      </c>
      <c r="BE35">
        <v>27.2879</v>
      </c>
      <c r="BF35">
        <v>0</v>
      </c>
      <c r="BG35">
        <v>0</v>
      </c>
      <c r="BH35">
        <v>9993.75</v>
      </c>
      <c r="BI35">
        <v>1072.94</v>
      </c>
      <c r="BJ35">
        <v>1.28952</v>
      </c>
      <c r="BK35">
        <v>-7.0222800000000003</v>
      </c>
      <c r="BL35">
        <v>811.08900000000006</v>
      </c>
      <c r="BM35">
        <v>817.83</v>
      </c>
      <c r="BN35">
        <v>0.52724300000000002</v>
      </c>
      <c r="BO35">
        <v>800.11900000000003</v>
      </c>
      <c r="BP35">
        <v>21.656099999999999</v>
      </c>
      <c r="BQ35">
        <v>2.1885400000000002</v>
      </c>
      <c r="BR35">
        <v>2.13653</v>
      </c>
      <c r="BS35">
        <v>18.878699999999998</v>
      </c>
      <c r="BT35">
        <v>18.4941</v>
      </c>
      <c r="BU35">
        <v>1799.98</v>
      </c>
      <c r="BV35">
        <v>0.90998800000000002</v>
      </c>
      <c r="BW35">
        <v>3.4006099999999997E-2</v>
      </c>
      <c r="BX35">
        <v>2.2001E-2</v>
      </c>
      <c r="BY35">
        <v>3.4005199999999999E-2</v>
      </c>
      <c r="BZ35">
        <v>25</v>
      </c>
      <c r="CA35">
        <v>33528</v>
      </c>
      <c r="CB35">
        <v>1690387638</v>
      </c>
      <c r="CC35" t="s">
        <v>332</v>
      </c>
      <c r="CD35">
        <v>1690387638</v>
      </c>
      <c r="CE35">
        <v>1690387638</v>
      </c>
      <c r="CF35">
        <v>6</v>
      </c>
      <c r="CG35">
        <v>0.43</v>
      </c>
      <c r="CH35">
        <v>-8.1000000000000003E-2</v>
      </c>
      <c r="CI35">
        <v>0.14199999999999999</v>
      </c>
      <c r="CJ35">
        <v>-2.7E-2</v>
      </c>
      <c r="CK35">
        <v>800</v>
      </c>
      <c r="CL35">
        <v>0</v>
      </c>
      <c r="CM35">
        <v>0.01</v>
      </c>
      <c r="CN35">
        <v>0.01</v>
      </c>
      <c r="CO35">
        <v>-5.4453324390243898</v>
      </c>
      <c r="CP35">
        <v>-8.1554947735191625</v>
      </c>
      <c r="CQ35">
        <v>0.80485394767419383</v>
      </c>
      <c r="CR35">
        <v>-1</v>
      </c>
      <c r="CS35">
        <v>0.30512307317073167</v>
      </c>
      <c r="CT35">
        <v>1.096289644599304</v>
      </c>
      <c r="CU35">
        <v>0.1082813567254849</v>
      </c>
      <c r="CV35">
        <v>-1</v>
      </c>
      <c r="CW35">
        <v>0</v>
      </c>
      <c r="CX35">
        <v>0</v>
      </c>
      <c r="CY35" t="s">
        <v>333</v>
      </c>
      <c r="CZ35">
        <v>2.3645900000000002</v>
      </c>
      <c r="DA35">
        <v>2.7137799999999999</v>
      </c>
      <c r="DB35">
        <v>0.14529400000000001</v>
      </c>
      <c r="DC35">
        <v>0.14586499999999999</v>
      </c>
      <c r="DD35">
        <v>0.107266</v>
      </c>
      <c r="DE35">
        <v>0.104003</v>
      </c>
      <c r="DF35">
        <v>31224.1</v>
      </c>
      <c r="DG35">
        <v>27546.9</v>
      </c>
      <c r="DH35">
        <v>31187</v>
      </c>
      <c r="DI35">
        <v>28101.8</v>
      </c>
      <c r="DJ35">
        <v>37804.699999999997</v>
      </c>
      <c r="DK35">
        <v>35803.800000000003</v>
      </c>
      <c r="DL35">
        <v>44385.3</v>
      </c>
      <c r="DM35">
        <v>42595.5</v>
      </c>
      <c r="DN35">
        <v>1.4594800000000001</v>
      </c>
      <c r="DO35">
        <v>2.0622699999999998</v>
      </c>
      <c r="DP35">
        <v>0.137873</v>
      </c>
      <c r="DQ35">
        <v>0.13001299999999999</v>
      </c>
      <c r="DR35">
        <v>25.3919</v>
      </c>
      <c r="DS35">
        <v>25.158999999999999</v>
      </c>
      <c r="DT35">
        <v>56.7</v>
      </c>
      <c r="DU35">
        <v>28.9</v>
      </c>
      <c r="DV35">
        <v>22.978300000000001</v>
      </c>
      <c r="DW35">
        <v>61.2622</v>
      </c>
      <c r="DX35">
        <v>35.600999999999999</v>
      </c>
      <c r="DY35">
        <v>1</v>
      </c>
      <c r="DZ35">
        <v>-9.4494400000000006E-2</v>
      </c>
      <c r="EA35">
        <v>3.6059000000000001</v>
      </c>
      <c r="EB35">
        <v>20.147099999999998</v>
      </c>
      <c r="EC35">
        <v>5.2408000000000001</v>
      </c>
      <c r="ED35">
        <v>12.039899999999999</v>
      </c>
      <c r="EE35">
        <v>5.0171999999999999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1.8692</v>
      </c>
      <c r="EN35">
        <v>1.8672299999999999</v>
      </c>
      <c r="EO35">
        <v>1.8633299999999999</v>
      </c>
      <c r="EP35">
        <v>1.8644700000000001</v>
      </c>
      <c r="EQ35">
        <v>1.8701399999999999</v>
      </c>
      <c r="ER35">
        <v>1.8693599999999999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0.14599999999999999</v>
      </c>
      <c r="FG35">
        <v>0.19839999999999999</v>
      </c>
      <c r="FH35">
        <v>0.69281559908863044</v>
      </c>
      <c r="FI35">
        <v>-6.1462078757559423E-4</v>
      </c>
      <c r="FJ35">
        <v>-1.8861989874597051E-7</v>
      </c>
      <c r="FK35">
        <v>1.1980462299894961E-10</v>
      </c>
      <c r="FL35">
        <v>0.19840465858211129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13.8</v>
      </c>
      <c r="FU35">
        <v>13.8</v>
      </c>
      <c r="FV35">
        <v>1.79688</v>
      </c>
      <c r="FW35">
        <v>2.5769000000000002</v>
      </c>
      <c r="FX35">
        <v>1.5490699999999999</v>
      </c>
      <c r="FY35">
        <v>2.3327599999999999</v>
      </c>
      <c r="FZ35">
        <v>1.50146</v>
      </c>
      <c r="GA35">
        <v>2.36938</v>
      </c>
      <c r="GB35">
        <v>33.490600000000001</v>
      </c>
      <c r="GC35">
        <v>23.973700000000001</v>
      </c>
      <c r="GD35">
        <v>19</v>
      </c>
      <c r="GE35">
        <v>275.23899999999998</v>
      </c>
      <c r="GF35">
        <v>602.81500000000005</v>
      </c>
      <c r="GG35">
        <v>19.3536</v>
      </c>
      <c r="GH35">
        <v>26.220500000000001</v>
      </c>
      <c r="GI35">
        <v>30.000299999999999</v>
      </c>
      <c r="GJ35">
        <v>26.216899999999999</v>
      </c>
      <c r="GK35">
        <v>26.164000000000001</v>
      </c>
      <c r="GL35">
        <v>35.917700000000004</v>
      </c>
      <c r="GM35">
        <v>14.3697</v>
      </c>
      <c r="GN35">
        <v>100</v>
      </c>
      <c r="GO35">
        <v>19.392800000000001</v>
      </c>
      <c r="GP35">
        <v>800</v>
      </c>
      <c r="GQ35">
        <v>21.4818</v>
      </c>
      <c r="GR35">
        <v>99.789299999999997</v>
      </c>
      <c r="GS35">
        <v>99.642899999999997</v>
      </c>
    </row>
    <row r="36" spans="1:201" x14ac:dyDescent="0.25">
      <c r="A36">
        <v>20</v>
      </c>
      <c r="B36">
        <v>1690388475.5999999</v>
      </c>
      <c r="C36">
        <v>217.0999999046326</v>
      </c>
      <c r="D36" t="s">
        <v>373</v>
      </c>
      <c r="E36" t="s">
        <v>374</v>
      </c>
      <c r="F36" t="s">
        <v>330</v>
      </c>
      <c r="H36">
        <v>1690388475.5999999</v>
      </c>
      <c r="I36">
        <f t="shared" si="0"/>
        <v>7.3957289091217121E-5</v>
      </c>
      <c r="J36">
        <f t="shared" si="1"/>
        <v>7.3957289091217127E-2</v>
      </c>
      <c r="K36">
        <f t="shared" si="2"/>
        <v>0.75157841579694196</v>
      </c>
      <c r="L36">
        <f t="shared" si="3"/>
        <v>791.51</v>
      </c>
      <c r="M36">
        <f t="shared" si="4"/>
        <v>511.51965444592514</v>
      </c>
      <c r="N36">
        <f t="shared" si="5"/>
        <v>50.517191037250612</v>
      </c>
      <c r="O36">
        <f t="shared" si="6"/>
        <v>78.168769333420002</v>
      </c>
      <c r="P36">
        <f t="shared" si="7"/>
        <v>4.5748366818707756E-3</v>
      </c>
      <c r="Q36">
        <f t="shared" si="8"/>
        <v>2.1588655119138815</v>
      </c>
      <c r="R36">
        <f t="shared" si="9"/>
        <v>4.5694576849591656E-3</v>
      </c>
      <c r="S36">
        <f t="shared" si="10"/>
        <v>2.8563937968590649E-3</v>
      </c>
      <c r="T36">
        <f t="shared" si="11"/>
        <v>276.11345860781904</v>
      </c>
      <c r="U36">
        <f t="shared" si="12"/>
        <v>27.794748164567249</v>
      </c>
      <c r="V36">
        <f t="shared" si="13"/>
        <v>27.794748164567249</v>
      </c>
      <c r="W36">
        <f t="shared" si="14"/>
        <v>3.7496689263860219</v>
      </c>
      <c r="X36">
        <f t="shared" si="15"/>
        <v>66.504055955069248</v>
      </c>
      <c r="Y36">
        <f t="shared" si="16"/>
        <v>2.1993836171484</v>
      </c>
      <c r="Z36">
        <f t="shared" si="17"/>
        <v>3.3071420766190918</v>
      </c>
      <c r="AA36">
        <f t="shared" si="18"/>
        <v>1.5502853092376219</v>
      </c>
      <c r="AB36">
        <f t="shared" si="19"/>
        <v>-3.2615164489226749</v>
      </c>
      <c r="AC36">
        <f t="shared" si="20"/>
        <v>-248.35593652133551</v>
      </c>
      <c r="AD36">
        <f t="shared" si="21"/>
        <v>-24.759783929029847</v>
      </c>
      <c r="AE36">
        <f t="shared" si="22"/>
        <v>-0.2637782914689808</v>
      </c>
      <c r="AF36">
        <v>2</v>
      </c>
      <c r="AG36">
        <v>1</v>
      </c>
      <c r="AH36">
        <f t="shared" si="23"/>
        <v>1</v>
      </c>
      <c r="AI36">
        <f t="shared" si="24"/>
        <v>0</v>
      </c>
      <c r="AJ36">
        <f t="shared" si="25"/>
        <v>52442.699504699951</v>
      </c>
      <c r="AK36">
        <f t="shared" si="26"/>
        <v>1799.99</v>
      </c>
      <c r="AL36">
        <f t="shared" si="27"/>
        <v>1499.10339260155</v>
      </c>
      <c r="AM36">
        <f t="shared" si="28"/>
        <v>0.83283984499999997</v>
      </c>
      <c r="AN36">
        <f t="shared" si="29"/>
        <v>0.15339721810000001</v>
      </c>
      <c r="AO36">
        <v>31.8</v>
      </c>
      <c r="AP36">
        <v>0.5</v>
      </c>
      <c r="AQ36" t="s">
        <v>331</v>
      </c>
      <c r="AR36">
        <v>2</v>
      </c>
      <c r="AS36">
        <v>1690388475.5999999</v>
      </c>
      <c r="AT36">
        <v>791.51</v>
      </c>
      <c r="AU36">
        <v>800.09400000000005</v>
      </c>
      <c r="AV36">
        <v>22.270199999999999</v>
      </c>
      <c r="AW36">
        <v>21.504000000000001</v>
      </c>
      <c r="AX36">
        <v>791.36300000000006</v>
      </c>
      <c r="AY36">
        <v>22.0718</v>
      </c>
      <c r="AZ36">
        <v>300.113</v>
      </c>
      <c r="BA36">
        <v>98.659000000000006</v>
      </c>
      <c r="BB36">
        <v>0.10004200000000001</v>
      </c>
      <c r="BC36">
        <v>25.660900000000002</v>
      </c>
      <c r="BD36">
        <v>27.566800000000001</v>
      </c>
      <c r="BE36">
        <v>27.247199999999999</v>
      </c>
      <c r="BF36">
        <v>0</v>
      </c>
      <c r="BG36">
        <v>0</v>
      </c>
      <c r="BH36">
        <v>10008.1</v>
      </c>
      <c r="BI36">
        <v>1071.6500000000001</v>
      </c>
      <c r="BJ36">
        <v>1.28952</v>
      </c>
      <c r="BK36">
        <v>-8.5839800000000004</v>
      </c>
      <c r="BL36">
        <v>809.53899999999999</v>
      </c>
      <c r="BM36">
        <v>817.678</v>
      </c>
      <c r="BN36">
        <v>0.766239</v>
      </c>
      <c r="BO36">
        <v>800.09400000000005</v>
      </c>
      <c r="BP36">
        <v>21.504000000000001</v>
      </c>
      <c r="BQ36">
        <v>2.1971599999999998</v>
      </c>
      <c r="BR36">
        <v>2.1215600000000001</v>
      </c>
      <c r="BS36">
        <v>18.941600000000001</v>
      </c>
      <c r="BT36">
        <v>18.382000000000001</v>
      </c>
      <c r="BU36">
        <v>1799.99</v>
      </c>
      <c r="BV36">
        <v>0.91000199999999998</v>
      </c>
      <c r="BW36">
        <v>3.4000700000000002E-2</v>
      </c>
      <c r="BX36">
        <v>2.19975E-2</v>
      </c>
      <c r="BY36">
        <v>3.3999799999999997E-2</v>
      </c>
      <c r="BZ36">
        <v>25</v>
      </c>
      <c r="CA36">
        <v>33528.199999999997</v>
      </c>
      <c r="CB36">
        <v>1690387638</v>
      </c>
      <c r="CC36" t="s">
        <v>332</v>
      </c>
      <c r="CD36">
        <v>1690387638</v>
      </c>
      <c r="CE36">
        <v>1690387638</v>
      </c>
      <c r="CF36">
        <v>6</v>
      </c>
      <c r="CG36">
        <v>0.43</v>
      </c>
      <c r="CH36">
        <v>-8.1000000000000003E-2</v>
      </c>
      <c r="CI36">
        <v>0.14199999999999999</v>
      </c>
      <c r="CJ36">
        <v>-2.7E-2</v>
      </c>
      <c r="CK36">
        <v>800</v>
      </c>
      <c r="CL36">
        <v>0</v>
      </c>
      <c r="CM36">
        <v>0.01</v>
      </c>
      <c r="CN36">
        <v>0.01</v>
      </c>
      <c r="CO36">
        <v>-6.8892697560975611</v>
      </c>
      <c r="CP36">
        <v>-9.071521881533096</v>
      </c>
      <c r="CQ36">
        <v>0.89583405658851967</v>
      </c>
      <c r="CR36">
        <v>-1</v>
      </c>
      <c r="CS36">
        <v>0.51029646341463419</v>
      </c>
      <c r="CT36">
        <v>1.357543714285715</v>
      </c>
      <c r="CU36">
        <v>0.13407172749763421</v>
      </c>
      <c r="CV36">
        <v>-1</v>
      </c>
      <c r="CW36">
        <v>0</v>
      </c>
      <c r="CX36">
        <v>0</v>
      </c>
      <c r="CY36" t="s">
        <v>333</v>
      </c>
      <c r="CZ36">
        <v>2.3643200000000002</v>
      </c>
      <c r="DA36">
        <v>2.7138399999999998</v>
      </c>
      <c r="DB36">
        <v>0.14510000000000001</v>
      </c>
      <c r="DC36">
        <v>0.14585899999999999</v>
      </c>
      <c r="DD36">
        <v>0.10756499999999999</v>
      </c>
      <c r="DE36">
        <v>0.103488</v>
      </c>
      <c r="DF36">
        <v>31230.799999999999</v>
      </c>
      <c r="DG36">
        <v>27546.9</v>
      </c>
      <c r="DH36">
        <v>31186.7</v>
      </c>
      <c r="DI36">
        <v>28101.599999999999</v>
      </c>
      <c r="DJ36">
        <v>37791.4</v>
      </c>
      <c r="DK36">
        <v>35824.199999999997</v>
      </c>
      <c r="DL36">
        <v>44384.6</v>
      </c>
      <c r="DM36">
        <v>42595.3</v>
      </c>
      <c r="DN36">
        <v>1.4590700000000001</v>
      </c>
      <c r="DO36">
        <v>2.0618500000000002</v>
      </c>
      <c r="DP36">
        <v>0.13575000000000001</v>
      </c>
      <c r="DQ36">
        <v>0.13120499999999999</v>
      </c>
      <c r="DR36">
        <v>25.344799999999999</v>
      </c>
      <c r="DS36">
        <v>25.098600000000001</v>
      </c>
      <c r="DT36">
        <v>56.7</v>
      </c>
      <c r="DU36">
        <v>28.9</v>
      </c>
      <c r="DV36">
        <v>22.9848</v>
      </c>
      <c r="DW36">
        <v>61.102200000000003</v>
      </c>
      <c r="DX36">
        <v>36.081699999999998</v>
      </c>
      <c r="DY36">
        <v>1</v>
      </c>
      <c r="DZ36">
        <v>-9.4090400000000005E-2</v>
      </c>
      <c r="EA36">
        <v>3.4308200000000002</v>
      </c>
      <c r="EB36">
        <v>20.150700000000001</v>
      </c>
      <c r="EC36">
        <v>5.2403500000000003</v>
      </c>
      <c r="ED36">
        <v>12.039899999999999</v>
      </c>
      <c r="EE36">
        <v>5.0170000000000003</v>
      </c>
      <c r="EF36">
        <v>3.2879700000000001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1.8646199999999999</v>
      </c>
      <c r="EM36">
        <v>1.8692</v>
      </c>
      <c r="EN36">
        <v>1.8672299999999999</v>
      </c>
      <c r="EO36">
        <v>1.86338</v>
      </c>
      <c r="EP36">
        <v>1.86446</v>
      </c>
      <c r="EQ36">
        <v>1.8701300000000001</v>
      </c>
      <c r="ER36">
        <v>1.8693500000000001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0.14699999999999999</v>
      </c>
      <c r="FG36">
        <v>0.19839999999999999</v>
      </c>
      <c r="FH36">
        <v>0.69281559908863044</v>
      </c>
      <c r="FI36">
        <v>-6.1462078757559423E-4</v>
      </c>
      <c r="FJ36">
        <v>-1.8861989874597051E-7</v>
      </c>
      <c r="FK36">
        <v>1.1980462299894961E-10</v>
      </c>
      <c r="FL36">
        <v>0.19840465858211129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14</v>
      </c>
      <c r="FU36">
        <v>14</v>
      </c>
      <c r="FV36">
        <v>1.79565</v>
      </c>
      <c r="FW36">
        <v>2.5842299999999998</v>
      </c>
      <c r="FX36">
        <v>1.5490699999999999</v>
      </c>
      <c r="FY36">
        <v>2.3327599999999999</v>
      </c>
      <c r="FZ36">
        <v>1.50146</v>
      </c>
      <c r="GA36">
        <v>2.3120099999999999</v>
      </c>
      <c r="GB36">
        <v>33.490600000000001</v>
      </c>
      <c r="GC36">
        <v>23.9649</v>
      </c>
      <c r="GD36">
        <v>19</v>
      </c>
      <c r="GE36">
        <v>275.10500000000002</v>
      </c>
      <c r="GF36">
        <v>602.51900000000001</v>
      </c>
      <c r="GG36">
        <v>19.417400000000001</v>
      </c>
      <c r="GH36">
        <v>26.228300000000001</v>
      </c>
      <c r="GI36">
        <v>30.000299999999999</v>
      </c>
      <c r="GJ36">
        <v>26.224599999999999</v>
      </c>
      <c r="GK36">
        <v>26.169499999999999</v>
      </c>
      <c r="GL36">
        <v>35.912700000000001</v>
      </c>
      <c r="GM36">
        <v>14.9217</v>
      </c>
      <c r="GN36">
        <v>100</v>
      </c>
      <c r="GO36">
        <v>19.455100000000002</v>
      </c>
      <c r="GP36">
        <v>800</v>
      </c>
      <c r="GQ36">
        <v>21.4163</v>
      </c>
      <c r="GR36">
        <v>99.7881</v>
      </c>
      <c r="GS36">
        <v>99.642399999999995</v>
      </c>
    </row>
    <row r="37" spans="1:201" x14ac:dyDescent="0.25">
      <c r="A37">
        <v>21</v>
      </c>
      <c r="B37">
        <v>1690388485.5999999</v>
      </c>
      <c r="C37">
        <v>227.0999999046326</v>
      </c>
      <c r="D37" t="s">
        <v>375</v>
      </c>
      <c r="E37" t="s">
        <v>376</v>
      </c>
      <c r="F37" t="s">
        <v>330</v>
      </c>
      <c r="H37">
        <v>1690388485.5999999</v>
      </c>
      <c r="I37">
        <f t="shared" si="0"/>
        <v>8.9882771480131885E-5</v>
      </c>
      <c r="J37">
        <f t="shared" si="1"/>
        <v>8.9882771480131879E-2</v>
      </c>
      <c r="K37">
        <f t="shared" si="2"/>
        <v>0.90703609399777274</v>
      </c>
      <c r="L37">
        <f t="shared" si="3"/>
        <v>789.66099999999994</v>
      </c>
      <c r="M37">
        <f t="shared" si="4"/>
        <v>515.73022122379746</v>
      </c>
      <c r="N37">
        <f t="shared" si="5"/>
        <v>50.93327776182376</v>
      </c>
      <c r="O37">
        <f t="shared" si="6"/>
        <v>77.986554589024792</v>
      </c>
      <c r="P37">
        <f t="shared" si="7"/>
        <v>5.6475788245021951E-3</v>
      </c>
      <c r="Q37">
        <f t="shared" si="8"/>
        <v>2.1593273018307046</v>
      </c>
      <c r="R37">
        <f t="shared" si="9"/>
        <v>5.6393856409022343E-3</v>
      </c>
      <c r="S37">
        <f t="shared" si="10"/>
        <v>3.5253511442810601E-3</v>
      </c>
      <c r="T37">
        <f t="shared" si="11"/>
        <v>276.11150925425341</v>
      </c>
      <c r="U37">
        <f t="shared" si="12"/>
        <v>27.727444118311389</v>
      </c>
      <c r="V37">
        <f t="shared" si="13"/>
        <v>27.727444118311389</v>
      </c>
      <c r="W37">
        <f t="shared" si="14"/>
        <v>3.7349595018961095</v>
      </c>
      <c r="X37">
        <f t="shared" si="15"/>
        <v>67.016370373282243</v>
      </c>
      <c r="Y37">
        <f t="shared" si="16"/>
        <v>2.2082533668943198</v>
      </c>
      <c r="Z37">
        <f t="shared" si="17"/>
        <v>3.2950954439852738</v>
      </c>
      <c r="AA37">
        <f t="shared" si="18"/>
        <v>1.5267061350017896</v>
      </c>
      <c r="AB37">
        <f t="shared" si="19"/>
        <v>-3.963830222273816</v>
      </c>
      <c r="AC37">
        <f t="shared" si="20"/>
        <v>-247.73339061393494</v>
      </c>
      <c r="AD37">
        <f t="shared" si="21"/>
        <v>-24.676522542398931</v>
      </c>
      <c r="AE37">
        <f t="shared" si="22"/>
        <v>-0.2622341243543076</v>
      </c>
      <c r="AF37">
        <v>2</v>
      </c>
      <c r="AG37">
        <v>1</v>
      </c>
      <c r="AH37">
        <f t="shared" si="23"/>
        <v>1</v>
      </c>
      <c r="AI37">
        <f t="shared" si="24"/>
        <v>0</v>
      </c>
      <c r="AJ37">
        <f t="shared" si="25"/>
        <v>52472.917027676252</v>
      </c>
      <c r="AK37">
        <f t="shared" si="26"/>
        <v>1799.98</v>
      </c>
      <c r="AL37">
        <f t="shared" si="27"/>
        <v>1499.09692358244</v>
      </c>
      <c r="AM37">
        <f t="shared" si="28"/>
        <v>0.83284087799999995</v>
      </c>
      <c r="AN37">
        <f t="shared" si="29"/>
        <v>0.15339698733000001</v>
      </c>
      <c r="AO37">
        <v>31.8</v>
      </c>
      <c r="AP37">
        <v>0.5</v>
      </c>
      <c r="AQ37" t="s">
        <v>331</v>
      </c>
      <c r="AR37">
        <v>2</v>
      </c>
      <c r="AS37">
        <v>1690388485.5999999</v>
      </c>
      <c r="AT37">
        <v>789.66099999999994</v>
      </c>
      <c r="AU37">
        <v>800.024</v>
      </c>
      <c r="AV37">
        <v>22.3599</v>
      </c>
      <c r="AW37">
        <v>21.428799999999999</v>
      </c>
      <c r="AX37">
        <v>789.51300000000003</v>
      </c>
      <c r="AY37">
        <v>22.1615</v>
      </c>
      <c r="AZ37">
        <v>300.11399999999998</v>
      </c>
      <c r="BA37">
        <v>98.659599999999998</v>
      </c>
      <c r="BB37">
        <v>9.9936800000000006E-2</v>
      </c>
      <c r="BC37">
        <v>25.599399999999999</v>
      </c>
      <c r="BD37">
        <v>27.512899999999998</v>
      </c>
      <c r="BE37">
        <v>27.186699999999998</v>
      </c>
      <c r="BF37">
        <v>0</v>
      </c>
      <c r="BG37">
        <v>0</v>
      </c>
      <c r="BH37">
        <v>10011.9</v>
      </c>
      <c r="BI37">
        <v>1070.3599999999999</v>
      </c>
      <c r="BJ37">
        <v>1.28952</v>
      </c>
      <c r="BK37">
        <v>-10.3622</v>
      </c>
      <c r="BL37">
        <v>807.72199999999998</v>
      </c>
      <c r="BM37">
        <v>817.54300000000001</v>
      </c>
      <c r="BN37">
        <v>0.93115800000000004</v>
      </c>
      <c r="BO37">
        <v>800.024</v>
      </c>
      <c r="BP37">
        <v>21.428799999999999</v>
      </c>
      <c r="BQ37">
        <v>2.2060200000000001</v>
      </c>
      <c r="BR37">
        <v>2.11416</v>
      </c>
      <c r="BS37">
        <v>19.0061</v>
      </c>
      <c r="BT37">
        <v>18.3262</v>
      </c>
      <c r="BU37">
        <v>1799.98</v>
      </c>
      <c r="BV37">
        <v>0.91001299999999996</v>
      </c>
      <c r="BW37">
        <v>3.3996600000000002E-2</v>
      </c>
      <c r="BX37">
        <v>2.1994900000000001E-2</v>
      </c>
      <c r="BY37">
        <v>3.3995699999999997E-2</v>
      </c>
      <c r="BZ37">
        <v>25</v>
      </c>
      <c r="CA37">
        <v>33528.199999999997</v>
      </c>
      <c r="CB37">
        <v>1690387638</v>
      </c>
      <c r="CC37" t="s">
        <v>332</v>
      </c>
      <c r="CD37">
        <v>1690387638</v>
      </c>
      <c r="CE37">
        <v>1690387638</v>
      </c>
      <c r="CF37">
        <v>6</v>
      </c>
      <c r="CG37">
        <v>0.43</v>
      </c>
      <c r="CH37">
        <v>-8.1000000000000003E-2</v>
      </c>
      <c r="CI37">
        <v>0.14199999999999999</v>
      </c>
      <c r="CJ37">
        <v>-2.7E-2</v>
      </c>
      <c r="CK37">
        <v>800</v>
      </c>
      <c r="CL37">
        <v>0</v>
      </c>
      <c r="CM37">
        <v>0.01</v>
      </c>
      <c r="CN37">
        <v>0.01</v>
      </c>
      <c r="CO37">
        <v>-8.5863137499999986</v>
      </c>
      <c r="CP37">
        <v>-9.9518160225140484</v>
      </c>
      <c r="CQ37">
        <v>0.95813228279211915</v>
      </c>
      <c r="CR37">
        <v>-1</v>
      </c>
      <c r="CS37">
        <v>0.74211592500000001</v>
      </c>
      <c r="CT37">
        <v>1.2006128667917431</v>
      </c>
      <c r="CU37">
        <v>0.11646772369853969</v>
      </c>
      <c r="CV37">
        <v>-1</v>
      </c>
      <c r="CW37">
        <v>0</v>
      </c>
      <c r="CX37">
        <v>0</v>
      </c>
      <c r="CY37" t="s">
        <v>333</v>
      </c>
      <c r="CZ37">
        <v>2.3643299999999998</v>
      </c>
      <c r="DA37">
        <v>2.71374</v>
      </c>
      <c r="DB37">
        <v>0.144875</v>
      </c>
      <c r="DC37">
        <v>0.14585000000000001</v>
      </c>
      <c r="DD37">
        <v>0.107873</v>
      </c>
      <c r="DE37">
        <v>0.10323400000000001</v>
      </c>
      <c r="DF37">
        <v>31238.6</v>
      </c>
      <c r="DG37">
        <v>27546.6</v>
      </c>
      <c r="DH37">
        <v>31186.2</v>
      </c>
      <c r="DI37">
        <v>28101</v>
      </c>
      <c r="DJ37">
        <v>37777.599999999999</v>
      </c>
      <c r="DK37">
        <v>35833.699999999997</v>
      </c>
      <c r="DL37">
        <v>44383.9</v>
      </c>
      <c r="DM37">
        <v>42594.5</v>
      </c>
      <c r="DN37">
        <v>1.45922</v>
      </c>
      <c r="DO37">
        <v>2.0617999999999999</v>
      </c>
      <c r="DP37">
        <v>0.13519100000000001</v>
      </c>
      <c r="DQ37">
        <v>0.131018</v>
      </c>
      <c r="DR37">
        <v>25.299900000000001</v>
      </c>
      <c r="DS37">
        <v>25.040900000000001</v>
      </c>
      <c r="DT37">
        <v>56.8</v>
      </c>
      <c r="DU37">
        <v>28.9</v>
      </c>
      <c r="DV37">
        <v>23.021899999999999</v>
      </c>
      <c r="DW37">
        <v>61.092199999999998</v>
      </c>
      <c r="DX37">
        <v>36.646599999999999</v>
      </c>
      <c r="DY37">
        <v>1</v>
      </c>
      <c r="DZ37">
        <v>-9.3800800000000004E-2</v>
      </c>
      <c r="EA37">
        <v>3.2842600000000002</v>
      </c>
      <c r="EB37">
        <v>20.154199999999999</v>
      </c>
      <c r="EC37">
        <v>5.2401999999999997</v>
      </c>
      <c r="ED37">
        <v>12.039899999999999</v>
      </c>
      <c r="EE37">
        <v>5.0167999999999999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1.8692</v>
      </c>
      <c r="EN37">
        <v>1.8672299999999999</v>
      </c>
      <c r="EO37">
        <v>1.86338</v>
      </c>
      <c r="EP37">
        <v>1.8644499999999999</v>
      </c>
      <c r="EQ37">
        <v>1.8701300000000001</v>
      </c>
      <c r="ER37">
        <v>1.86937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0.14799999999999999</v>
      </c>
      <c r="FG37">
        <v>0.19839999999999999</v>
      </c>
      <c r="FH37">
        <v>0.69281559908863044</v>
      </c>
      <c r="FI37">
        <v>-6.1462078757559423E-4</v>
      </c>
      <c r="FJ37">
        <v>-1.8861989874597051E-7</v>
      </c>
      <c r="FK37">
        <v>1.1980462299894961E-10</v>
      </c>
      <c r="FL37">
        <v>0.19840465858211129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14.1</v>
      </c>
      <c r="FU37">
        <v>14.1</v>
      </c>
      <c r="FV37">
        <v>1.79565</v>
      </c>
      <c r="FW37">
        <v>2.5830099999999998</v>
      </c>
      <c r="FX37">
        <v>1.5490699999999999</v>
      </c>
      <c r="FY37">
        <v>2.3327599999999999</v>
      </c>
      <c r="FZ37">
        <v>1.50146</v>
      </c>
      <c r="GA37">
        <v>2.36206</v>
      </c>
      <c r="GB37">
        <v>33.512999999999998</v>
      </c>
      <c r="GC37">
        <v>23.973700000000001</v>
      </c>
      <c r="GD37">
        <v>19</v>
      </c>
      <c r="GE37">
        <v>275.197</v>
      </c>
      <c r="GF37">
        <v>602.53499999999997</v>
      </c>
      <c r="GG37">
        <v>19.484500000000001</v>
      </c>
      <c r="GH37">
        <v>26.235399999999998</v>
      </c>
      <c r="GI37">
        <v>30.000299999999999</v>
      </c>
      <c r="GJ37">
        <v>26.2318</v>
      </c>
      <c r="GK37">
        <v>26.174399999999999</v>
      </c>
      <c r="GL37">
        <v>35.908499999999997</v>
      </c>
      <c r="GM37">
        <v>15.4932</v>
      </c>
      <c r="GN37">
        <v>100</v>
      </c>
      <c r="GO37">
        <v>19.516400000000001</v>
      </c>
      <c r="GP37">
        <v>800</v>
      </c>
      <c r="GQ37">
        <v>21.253</v>
      </c>
      <c r="GR37">
        <v>99.786600000000007</v>
      </c>
      <c r="GS37">
        <v>99.6404</v>
      </c>
    </row>
    <row r="38" spans="1:201" x14ac:dyDescent="0.25">
      <c r="A38">
        <v>22</v>
      </c>
      <c r="B38">
        <v>1690388495.5999999</v>
      </c>
      <c r="C38">
        <v>237.0999999046326</v>
      </c>
      <c r="D38" t="s">
        <v>377</v>
      </c>
      <c r="E38" t="s">
        <v>378</v>
      </c>
      <c r="F38" t="s">
        <v>330</v>
      </c>
      <c r="H38">
        <v>1690388495.5999999</v>
      </c>
      <c r="I38">
        <f t="shared" si="0"/>
        <v>1.1400552875853143E-4</v>
      </c>
      <c r="J38">
        <f t="shared" si="1"/>
        <v>0.11400552875853143</v>
      </c>
      <c r="K38">
        <f t="shared" si="2"/>
        <v>1.0786474297823392</v>
      </c>
      <c r="L38">
        <f t="shared" si="3"/>
        <v>787.79</v>
      </c>
      <c r="M38">
        <f t="shared" si="4"/>
        <v>532.95694063027145</v>
      </c>
      <c r="N38">
        <f t="shared" si="5"/>
        <v>52.634422409370728</v>
      </c>
      <c r="O38">
        <f t="shared" si="6"/>
        <v>77.801541679600007</v>
      </c>
      <c r="P38">
        <f t="shared" si="7"/>
        <v>7.2567425895244068E-3</v>
      </c>
      <c r="Q38">
        <f t="shared" si="8"/>
        <v>2.1499442793779258</v>
      </c>
      <c r="R38">
        <f t="shared" si="9"/>
        <v>7.2431624205119647E-3</v>
      </c>
      <c r="S38">
        <f t="shared" si="10"/>
        <v>4.528194494457332E-3</v>
      </c>
      <c r="T38">
        <f t="shared" si="11"/>
        <v>276.11258712466059</v>
      </c>
      <c r="U38">
        <f t="shared" si="12"/>
        <v>27.67974430512426</v>
      </c>
      <c r="V38">
        <f t="shared" si="13"/>
        <v>27.67974430512426</v>
      </c>
      <c r="W38">
        <f t="shared" si="14"/>
        <v>3.7245651301726861</v>
      </c>
      <c r="X38">
        <f t="shared" si="15"/>
        <v>67.469693980624911</v>
      </c>
      <c r="Y38">
        <f t="shared" si="16"/>
        <v>2.2168782880519999</v>
      </c>
      <c r="Z38">
        <f t="shared" si="17"/>
        <v>3.2857393553446599</v>
      </c>
      <c r="AA38">
        <f t="shared" si="18"/>
        <v>1.5076868421206862</v>
      </c>
      <c r="AB38">
        <f t="shared" si="19"/>
        <v>-5.027643818251236</v>
      </c>
      <c r="AC38">
        <f t="shared" si="20"/>
        <v>-246.68010673484466</v>
      </c>
      <c r="AD38">
        <f t="shared" si="21"/>
        <v>-24.667036210122447</v>
      </c>
      <c r="AE38">
        <f t="shared" si="22"/>
        <v>-0.26219963855774608</v>
      </c>
      <c r="AF38">
        <v>2</v>
      </c>
      <c r="AG38">
        <v>1</v>
      </c>
      <c r="AH38">
        <f t="shared" si="23"/>
        <v>1</v>
      </c>
      <c r="AI38">
        <f t="shared" si="24"/>
        <v>0</v>
      </c>
      <c r="AJ38">
        <f t="shared" si="25"/>
        <v>52087.883016836589</v>
      </c>
      <c r="AK38">
        <f t="shared" si="26"/>
        <v>1799.99</v>
      </c>
      <c r="AL38">
        <f t="shared" si="27"/>
        <v>1499.1069547817599</v>
      </c>
      <c r="AM38">
        <f t="shared" si="28"/>
        <v>0.83284182399999995</v>
      </c>
      <c r="AN38">
        <f t="shared" si="29"/>
        <v>0.15339673394</v>
      </c>
      <c r="AO38">
        <v>31.8</v>
      </c>
      <c r="AP38">
        <v>0.5</v>
      </c>
      <c r="AQ38" t="s">
        <v>331</v>
      </c>
      <c r="AR38">
        <v>2</v>
      </c>
      <c r="AS38">
        <v>1690388495.5999999</v>
      </c>
      <c r="AT38">
        <v>787.79</v>
      </c>
      <c r="AU38">
        <v>800.16800000000001</v>
      </c>
      <c r="AV38">
        <v>22.447299999999998</v>
      </c>
      <c r="AW38">
        <v>21.2667</v>
      </c>
      <c r="AX38">
        <v>787.64</v>
      </c>
      <c r="AY38">
        <v>22.248899999999999</v>
      </c>
      <c r="AZ38">
        <v>300.18599999999998</v>
      </c>
      <c r="BA38">
        <v>98.659199999999998</v>
      </c>
      <c r="BB38">
        <v>0.10004</v>
      </c>
      <c r="BC38">
        <v>25.551500000000001</v>
      </c>
      <c r="BD38">
        <v>27.4895</v>
      </c>
      <c r="BE38">
        <v>27.101400000000002</v>
      </c>
      <c r="BF38">
        <v>0</v>
      </c>
      <c r="BG38">
        <v>0</v>
      </c>
      <c r="BH38">
        <v>9933.75</v>
      </c>
      <c r="BI38">
        <v>1069.3399999999999</v>
      </c>
      <c r="BJ38">
        <v>1.28952</v>
      </c>
      <c r="BK38">
        <v>-12.3774</v>
      </c>
      <c r="BL38">
        <v>805.88</v>
      </c>
      <c r="BM38">
        <v>817.55399999999997</v>
      </c>
      <c r="BN38">
        <v>1.18059</v>
      </c>
      <c r="BO38">
        <v>800.16800000000001</v>
      </c>
      <c r="BP38">
        <v>21.2667</v>
      </c>
      <c r="BQ38">
        <v>2.2146300000000001</v>
      </c>
      <c r="BR38">
        <v>2.09816</v>
      </c>
      <c r="BS38">
        <v>19.0686</v>
      </c>
      <c r="BT38">
        <v>18.205200000000001</v>
      </c>
      <c r="BU38">
        <v>1799.99</v>
      </c>
      <c r="BV38">
        <v>0.91002400000000006</v>
      </c>
      <c r="BW38">
        <v>3.3992500000000002E-2</v>
      </c>
      <c r="BX38">
        <v>2.19922E-2</v>
      </c>
      <c r="BY38">
        <v>3.3991599999999997E-2</v>
      </c>
      <c r="BZ38">
        <v>25</v>
      </c>
      <c r="CA38">
        <v>33528.300000000003</v>
      </c>
      <c r="CB38">
        <v>1690387638</v>
      </c>
      <c r="CC38" t="s">
        <v>332</v>
      </c>
      <c r="CD38">
        <v>1690387638</v>
      </c>
      <c r="CE38">
        <v>1690387638</v>
      </c>
      <c r="CF38">
        <v>6</v>
      </c>
      <c r="CG38">
        <v>0.43</v>
      </c>
      <c r="CH38">
        <v>-8.1000000000000003E-2</v>
      </c>
      <c r="CI38">
        <v>0.14199999999999999</v>
      </c>
      <c r="CJ38">
        <v>-2.7E-2</v>
      </c>
      <c r="CK38">
        <v>800</v>
      </c>
      <c r="CL38">
        <v>0</v>
      </c>
      <c r="CM38">
        <v>0.01</v>
      </c>
      <c r="CN38">
        <v>0.01</v>
      </c>
      <c r="CO38">
        <v>-10.173168</v>
      </c>
      <c r="CP38">
        <v>-11.268439249530941</v>
      </c>
      <c r="CQ38">
        <v>1.084583151275641</v>
      </c>
      <c r="CR38">
        <v>-1</v>
      </c>
      <c r="CS38">
        <v>0.92324672499999993</v>
      </c>
      <c r="CT38">
        <v>1.169045932457784</v>
      </c>
      <c r="CU38">
        <v>0.11335133693520941</v>
      </c>
      <c r="CV38">
        <v>-1</v>
      </c>
      <c r="CW38">
        <v>0</v>
      </c>
      <c r="CX38">
        <v>0</v>
      </c>
      <c r="CY38" t="s">
        <v>333</v>
      </c>
      <c r="CZ38">
        <v>2.3645800000000001</v>
      </c>
      <c r="DA38">
        <v>2.7137699999999998</v>
      </c>
      <c r="DB38">
        <v>0.14464399999999999</v>
      </c>
      <c r="DC38">
        <v>0.14586199999999999</v>
      </c>
      <c r="DD38">
        <v>0.108171</v>
      </c>
      <c r="DE38">
        <v>0.102682</v>
      </c>
      <c r="DF38">
        <v>31246.6</v>
      </c>
      <c r="DG38">
        <v>27545.7</v>
      </c>
      <c r="DH38">
        <v>31185.9</v>
      </c>
      <c r="DI38">
        <v>28100.5</v>
      </c>
      <c r="DJ38">
        <v>37764.300000000003</v>
      </c>
      <c r="DK38">
        <v>35855.300000000003</v>
      </c>
      <c r="DL38">
        <v>44383.3</v>
      </c>
      <c r="DM38">
        <v>42593.9</v>
      </c>
      <c r="DN38">
        <v>1.4593</v>
      </c>
      <c r="DO38">
        <v>2.0611700000000002</v>
      </c>
      <c r="DP38">
        <v>0.13660600000000001</v>
      </c>
      <c r="DQ38">
        <v>0.12904399999999999</v>
      </c>
      <c r="DR38">
        <v>25.2532</v>
      </c>
      <c r="DS38">
        <v>24.9877</v>
      </c>
      <c r="DT38">
        <v>56.8</v>
      </c>
      <c r="DU38">
        <v>28.9</v>
      </c>
      <c r="DV38">
        <v>23.020900000000001</v>
      </c>
      <c r="DW38">
        <v>61.592300000000002</v>
      </c>
      <c r="DX38">
        <v>36.382199999999997</v>
      </c>
      <c r="DY38">
        <v>1</v>
      </c>
      <c r="DZ38">
        <v>-9.34807E-2</v>
      </c>
      <c r="EA38">
        <v>3.1504300000000001</v>
      </c>
      <c r="EB38">
        <v>20.1568</v>
      </c>
      <c r="EC38">
        <v>5.2406499999999996</v>
      </c>
      <c r="ED38">
        <v>12.039899999999999</v>
      </c>
      <c r="EE38">
        <v>5.0170000000000003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1.8646199999999999</v>
      </c>
      <c r="EM38">
        <v>1.86921</v>
      </c>
      <c r="EN38">
        <v>1.8672500000000001</v>
      </c>
      <c r="EO38">
        <v>1.86338</v>
      </c>
      <c r="EP38">
        <v>1.8644700000000001</v>
      </c>
      <c r="EQ38">
        <v>1.8701700000000001</v>
      </c>
      <c r="ER38">
        <v>1.86938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0.15</v>
      </c>
      <c r="FG38">
        <v>0.19839999999999999</v>
      </c>
      <c r="FH38">
        <v>0.69281559908863044</v>
      </c>
      <c r="FI38">
        <v>-6.1462078757559423E-4</v>
      </c>
      <c r="FJ38">
        <v>-1.8861989874597051E-7</v>
      </c>
      <c r="FK38">
        <v>1.1980462299894961E-10</v>
      </c>
      <c r="FL38">
        <v>0.19840465858211129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14.3</v>
      </c>
      <c r="FU38">
        <v>14.3</v>
      </c>
      <c r="FV38">
        <v>1.79565</v>
      </c>
      <c r="FW38">
        <v>2.5805699999999998</v>
      </c>
      <c r="FX38">
        <v>1.5490699999999999</v>
      </c>
      <c r="FY38">
        <v>2.3327599999999999</v>
      </c>
      <c r="FZ38">
        <v>1.50146</v>
      </c>
      <c r="GA38">
        <v>2.4023400000000001</v>
      </c>
      <c r="GB38">
        <v>33.512999999999998</v>
      </c>
      <c r="GC38">
        <v>23.982399999999998</v>
      </c>
      <c r="GD38">
        <v>19</v>
      </c>
      <c r="GE38">
        <v>275.25799999999998</v>
      </c>
      <c r="GF38">
        <v>602.06899999999996</v>
      </c>
      <c r="GG38">
        <v>19.549399999999999</v>
      </c>
      <c r="GH38">
        <v>26.240400000000001</v>
      </c>
      <c r="GI38">
        <v>30.0002</v>
      </c>
      <c r="GJ38">
        <v>26.238399999999999</v>
      </c>
      <c r="GK38">
        <v>26.1799</v>
      </c>
      <c r="GL38">
        <v>35.8977</v>
      </c>
      <c r="GM38">
        <v>16.9374</v>
      </c>
      <c r="GN38">
        <v>100</v>
      </c>
      <c r="GO38">
        <v>19.578199999999999</v>
      </c>
      <c r="GP38">
        <v>800</v>
      </c>
      <c r="GQ38">
        <v>20.994399999999999</v>
      </c>
      <c r="GR38">
        <v>99.785200000000003</v>
      </c>
      <c r="GS38">
        <v>99.638999999999996</v>
      </c>
    </row>
    <row r="39" spans="1:201" x14ac:dyDescent="0.25">
      <c r="A39">
        <v>23</v>
      </c>
      <c r="B39">
        <v>1690388505.5999999</v>
      </c>
      <c r="C39">
        <v>247.0999999046326</v>
      </c>
      <c r="D39" t="s">
        <v>379</v>
      </c>
      <c r="E39" t="s">
        <v>380</v>
      </c>
      <c r="F39" t="s">
        <v>330</v>
      </c>
      <c r="H39">
        <v>1690388505.5999999</v>
      </c>
      <c r="I39">
        <f t="shared" si="0"/>
        <v>1.4588729755711031E-4</v>
      </c>
      <c r="J39">
        <f t="shared" si="1"/>
        <v>0.1458872975571103</v>
      </c>
      <c r="K39">
        <f t="shared" si="2"/>
        <v>1.2430221237824359</v>
      </c>
      <c r="L39">
        <f t="shared" si="3"/>
        <v>785.77200000000005</v>
      </c>
      <c r="M39">
        <f t="shared" si="4"/>
        <v>558.35098989577295</v>
      </c>
      <c r="N39">
        <f t="shared" si="5"/>
        <v>55.141405506453957</v>
      </c>
      <c r="O39">
        <f t="shared" si="6"/>
        <v>77.600959381670421</v>
      </c>
      <c r="P39">
        <f t="shared" si="7"/>
        <v>9.4545545525374138E-3</v>
      </c>
      <c r="Q39">
        <f t="shared" si="8"/>
        <v>2.1650441069045652</v>
      </c>
      <c r="R39">
        <f t="shared" si="9"/>
        <v>9.4316771554573825E-3</v>
      </c>
      <c r="S39">
        <f t="shared" si="10"/>
        <v>5.8968490134573021E-3</v>
      </c>
      <c r="T39">
        <f t="shared" si="11"/>
        <v>276.11276841965332</v>
      </c>
      <c r="U39">
        <f t="shared" si="12"/>
        <v>27.598370042978097</v>
      </c>
      <c r="V39">
        <f t="shared" si="13"/>
        <v>27.598370042978097</v>
      </c>
      <c r="W39">
        <f t="shared" si="14"/>
        <v>3.7068909398949588</v>
      </c>
      <c r="X39">
        <f t="shared" si="15"/>
        <v>67.952782528087411</v>
      </c>
      <c r="Y39">
        <f t="shared" si="16"/>
        <v>2.2252063153024002</v>
      </c>
      <c r="Z39">
        <f t="shared" si="17"/>
        <v>3.2746360524422085</v>
      </c>
      <c r="AA39">
        <f t="shared" si="18"/>
        <v>1.4816846245925586</v>
      </c>
      <c r="AB39">
        <f t="shared" si="19"/>
        <v>-6.4336298222685642</v>
      </c>
      <c r="AC39">
        <f t="shared" si="20"/>
        <v>-245.56762017854507</v>
      </c>
      <c r="AD39">
        <f t="shared" si="21"/>
        <v>-24.367635108131164</v>
      </c>
      <c r="AE39">
        <f t="shared" si="22"/>
        <v>-0.25611668929147413</v>
      </c>
      <c r="AF39">
        <v>2</v>
      </c>
      <c r="AG39">
        <v>1</v>
      </c>
      <c r="AH39">
        <f t="shared" si="23"/>
        <v>1</v>
      </c>
      <c r="AI39">
        <f t="shared" si="24"/>
        <v>0</v>
      </c>
      <c r="AJ39">
        <f t="shared" si="25"/>
        <v>52731.976158496356</v>
      </c>
      <c r="AK39">
        <f t="shared" si="26"/>
        <v>1799.99</v>
      </c>
      <c r="AL39">
        <f t="shared" si="27"/>
        <v>1499.10231440754</v>
      </c>
      <c r="AM39">
        <f t="shared" si="28"/>
        <v>0.83283924600000003</v>
      </c>
      <c r="AN39">
        <f t="shared" si="29"/>
        <v>0.15339683465999995</v>
      </c>
      <c r="AO39">
        <v>31.8</v>
      </c>
      <c r="AP39">
        <v>0.5</v>
      </c>
      <c r="AQ39" t="s">
        <v>331</v>
      </c>
      <c r="AR39">
        <v>2</v>
      </c>
      <c r="AS39">
        <v>1690388505.5999999</v>
      </c>
      <c r="AT39">
        <v>785.77200000000005</v>
      </c>
      <c r="AU39">
        <v>800.154</v>
      </c>
      <c r="AV39">
        <v>22.532</v>
      </c>
      <c r="AW39">
        <v>21.0214</v>
      </c>
      <c r="AX39">
        <v>785.62</v>
      </c>
      <c r="AY39">
        <v>22.333600000000001</v>
      </c>
      <c r="AZ39">
        <v>300.19099999999997</v>
      </c>
      <c r="BA39">
        <v>98.657700000000006</v>
      </c>
      <c r="BB39">
        <v>9.9903199999999998E-2</v>
      </c>
      <c r="BC39">
        <v>25.494499999999999</v>
      </c>
      <c r="BD39">
        <v>27.405999999999999</v>
      </c>
      <c r="BE39">
        <v>27.034199999999998</v>
      </c>
      <c r="BF39">
        <v>0</v>
      </c>
      <c r="BG39">
        <v>0</v>
      </c>
      <c r="BH39">
        <v>10060</v>
      </c>
      <c r="BI39">
        <v>1068.24</v>
      </c>
      <c r="BJ39">
        <v>1.3399799999999999</v>
      </c>
      <c r="BK39">
        <v>-14.382199999999999</v>
      </c>
      <c r="BL39">
        <v>803.88499999999999</v>
      </c>
      <c r="BM39">
        <v>817.33600000000001</v>
      </c>
      <c r="BN39">
        <v>1.51057</v>
      </c>
      <c r="BO39">
        <v>800.154</v>
      </c>
      <c r="BP39">
        <v>21.0214</v>
      </c>
      <c r="BQ39">
        <v>2.22295</v>
      </c>
      <c r="BR39">
        <v>2.0739200000000002</v>
      </c>
      <c r="BS39">
        <v>19.128699999999998</v>
      </c>
      <c r="BT39">
        <v>18.020299999999999</v>
      </c>
      <c r="BU39">
        <v>1799.99</v>
      </c>
      <c r="BV39">
        <v>0.91000899999999996</v>
      </c>
      <c r="BW39">
        <v>3.4009499999999998E-2</v>
      </c>
      <c r="BX39">
        <v>2.19928E-2</v>
      </c>
      <c r="BY39">
        <v>3.3988400000000002E-2</v>
      </c>
      <c r="BZ39">
        <v>25</v>
      </c>
      <c r="CA39">
        <v>33528.300000000003</v>
      </c>
      <c r="CB39">
        <v>1690387638</v>
      </c>
      <c r="CC39" t="s">
        <v>332</v>
      </c>
      <c r="CD39">
        <v>1690387638</v>
      </c>
      <c r="CE39">
        <v>1690387638</v>
      </c>
      <c r="CF39">
        <v>6</v>
      </c>
      <c r="CG39">
        <v>0.43</v>
      </c>
      <c r="CH39">
        <v>-8.1000000000000003E-2</v>
      </c>
      <c r="CI39">
        <v>0.14199999999999999</v>
      </c>
      <c r="CJ39">
        <v>-2.7E-2</v>
      </c>
      <c r="CK39">
        <v>800</v>
      </c>
      <c r="CL39">
        <v>0</v>
      </c>
      <c r="CM39">
        <v>0.01</v>
      </c>
      <c r="CN39">
        <v>0.01</v>
      </c>
      <c r="CO39">
        <v>-12.113842500000001</v>
      </c>
      <c r="CP39">
        <v>-11.92087542213882</v>
      </c>
      <c r="CQ39">
        <v>1.147162868534259</v>
      </c>
      <c r="CR39">
        <v>-1</v>
      </c>
      <c r="CS39">
        <v>1.161947225</v>
      </c>
      <c r="CT39">
        <v>1.7123316585365831</v>
      </c>
      <c r="CU39">
        <v>0.16535743301398451</v>
      </c>
      <c r="CV39">
        <v>-1</v>
      </c>
      <c r="CW39">
        <v>0</v>
      </c>
      <c r="CX39">
        <v>0</v>
      </c>
      <c r="CY39" t="s">
        <v>333</v>
      </c>
      <c r="CZ39">
        <v>2.3645900000000002</v>
      </c>
      <c r="DA39">
        <v>2.7137500000000001</v>
      </c>
      <c r="DB39">
        <v>0.14439299999999999</v>
      </c>
      <c r="DC39">
        <v>0.14585200000000001</v>
      </c>
      <c r="DD39">
        <v>0.108458</v>
      </c>
      <c r="DE39">
        <v>0.101843</v>
      </c>
      <c r="DF39">
        <v>31255.599999999999</v>
      </c>
      <c r="DG39">
        <v>27545.599999999999</v>
      </c>
      <c r="DH39">
        <v>31185.7</v>
      </c>
      <c r="DI39">
        <v>28100.1</v>
      </c>
      <c r="DJ39">
        <v>37751.800000000003</v>
      </c>
      <c r="DK39">
        <v>35888.400000000001</v>
      </c>
      <c r="DL39">
        <v>44383.1</v>
      </c>
      <c r="DM39">
        <v>42593.2</v>
      </c>
      <c r="DN39">
        <v>1.45912</v>
      </c>
      <c r="DO39">
        <v>2.0608200000000001</v>
      </c>
      <c r="DP39">
        <v>0.13444600000000001</v>
      </c>
      <c r="DQ39">
        <v>0.12807499999999999</v>
      </c>
      <c r="DR39">
        <v>25.204799999999999</v>
      </c>
      <c r="DS39">
        <v>24.936199999999999</v>
      </c>
      <c r="DT39">
        <v>56.8</v>
      </c>
      <c r="DU39">
        <v>28.9</v>
      </c>
      <c r="DV39">
        <v>23.019500000000001</v>
      </c>
      <c r="DW39">
        <v>60.592300000000002</v>
      </c>
      <c r="DX39">
        <v>35.789299999999997</v>
      </c>
      <c r="DY39">
        <v>1</v>
      </c>
      <c r="DZ39">
        <v>-9.3213900000000002E-2</v>
      </c>
      <c r="EA39">
        <v>3.0387200000000001</v>
      </c>
      <c r="EB39">
        <v>20.159099999999999</v>
      </c>
      <c r="EC39">
        <v>5.2409499999999998</v>
      </c>
      <c r="ED39">
        <v>12.039899999999999</v>
      </c>
      <c r="EE39">
        <v>5.0164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1.8646100000000001</v>
      </c>
      <c r="EM39">
        <v>1.8692</v>
      </c>
      <c r="EN39">
        <v>1.86724</v>
      </c>
      <c r="EO39">
        <v>1.86337</v>
      </c>
      <c r="EP39">
        <v>1.8644499999999999</v>
      </c>
      <c r="EQ39">
        <v>1.8701399999999999</v>
      </c>
      <c r="ER39">
        <v>1.8693599999999999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0.152</v>
      </c>
      <c r="FG39">
        <v>0.19839999999999999</v>
      </c>
      <c r="FH39">
        <v>0.69281559908863044</v>
      </c>
      <c r="FI39">
        <v>-6.1462078757559423E-4</v>
      </c>
      <c r="FJ39">
        <v>-1.8861989874597051E-7</v>
      </c>
      <c r="FK39">
        <v>1.1980462299894961E-10</v>
      </c>
      <c r="FL39">
        <v>0.19840465858211129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14.5</v>
      </c>
      <c r="FU39">
        <v>14.5</v>
      </c>
      <c r="FV39">
        <v>1.79443</v>
      </c>
      <c r="FW39">
        <v>2.5769000000000002</v>
      </c>
      <c r="FX39">
        <v>1.5490699999999999</v>
      </c>
      <c r="FY39">
        <v>2.3327599999999999</v>
      </c>
      <c r="FZ39">
        <v>1.50146</v>
      </c>
      <c r="GA39">
        <v>2.3938000000000001</v>
      </c>
      <c r="GB39">
        <v>33.512999999999998</v>
      </c>
      <c r="GC39">
        <v>23.982399999999998</v>
      </c>
      <c r="GD39">
        <v>19</v>
      </c>
      <c r="GE39">
        <v>275.20800000000003</v>
      </c>
      <c r="GF39">
        <v>601.81799999999998</v>
      </c>
      <c r="GG39">
        <v>19.6097</v>
      </c>
      <c r="GH39">
        <v>26.244299999999999</v>
      </c>
      <c r="GI39">
        <v>30</v>
      </c>
      <c r="GJ39">
        <v>26.2439</v>
      </c>
      <c r="GK39">
        <v>26.183700000000002</v>
      </c>
      <c r="GL39">
        <v>35.889000000000003</v>
      </c>
      <c r="GM39">
        <v>18.183599999999998</v>
      </c>
      <c r="GN39">
        <v>100</v>
      </c>
      <c r="GO39">
        <v>19.6404</v>
      </c>
      <c r="GP39">
        <v>800</v>
      </c>
      <c r="GQ39">
        <v>20.783899999999999</v>
      </c>
      <c r="GR39">
        <v>99.784700000000001</v>
      </c>
      <c r="GS39">
        <v>99.637299999999996</v>
      </c>
    </row>
    <row r="40" spans="1:201" x14ac:dyDescent="0.25">
      <c r="A40">
        <v>24</v>
      </c>
      <c r="B40">
        <v>1690388515.5999999</v>
      </c>
      <c r="C40">
        <v>257.09999990463263</v>
      </c>
      <c r="D40" t="s">
        <v>381</v>
      </c>
      <c r="E40" t="s">
        <v>382</v>
      </c>
      <c r="F40" t="s">
        <v>330</v>
      </c>
      <c r="H40">
        <v>1690388515.5999999</v>
      </c>
      <c r="I40">
        <f t="shared" si="0"/>
        <v>1.7488721337987286E-4</v>
      </c>
      <c r="J40">
        <f t="shared" si="1"/>
        <v>0.17488721337987287</v>
      </c>
      <c r="K40">
        <f t="shared" si="2"/>
        <v>1.4167239023593718</v>
      </c>
      <c r="L40">
        <f t="shared" si="3"/>
        <v>783.66800000000001</v>
      </c>
      <c r="M40">
        <f t="shared" si="4"/>
        <v>568.72380488653391</v>
      </c>
      <c r="N40">
        <f t="shared" si="5"/>
        <v>56.169247343338995</v>
      </c>
      <c r="O40">
        <f t="shared" si="6"/>
        <v>77.397923823219998</v>
      </c>
      <c r="P40">
        <f t="shared" si="7"/>
        <v>1.1454991558729578E-2</v>
      </c>
      <c r="Q40">
        <f t="shared" si="8"/>
        <v>2.1536053770730867</v>
      </c>
      <c r="R40">
        <f t="shared" si="9"/>
        <v>1.1421249829490847E-2</v>
      </c>
      <c r="S40">
        <f t="shared" si="10"/>
        <v>7.1413043679838259E-3</v>
      </c>
      <c r="T40">
        <f t="shared" si="11"/>
        <v>276.11488815987701</v>
      </c>
      <c r="U40">
        <f t="shared" si="12"/>
        <v>27.56270010267502</v>
      </c>
      <c r="V40">
        <f t="shared" si="13"/>
        <v>27.56270010267502</v>
      </c>
      <c r="W40">
        <f t="shared" si="14"/>
        <v>3.6991666612891501</v>
      </c>
      <c r="X40">
        <f t="shared" si="15"/>
        <v>68.313912687576803</v>
      </c>
      <c r="Y40">
        <f t="shared" si="16"/>
        <v>2.2322662326964999</v>
      </c>
      <c r="Z40">
        <f t="shared" si="17"/>
        <v>3.2676597560813518</v>
      </c>
      <c r="AA40">
        <f t="shared" si="18"/>
        <v>1.4669004285926501</v>
      </c>
      <c r="AB40">
        <f t="shared" si="19"/>
        <v>-7.7125261100523934</v>
      </c>
      <c r="AC40">
        <f t="shared" si="20"/>
        <v>-244.29690661716978</v>
      </c>
      <c r="AD40">
        <f t="shared" si="21"/>
        <v>-24.361566797944846</v>
      </c>
      <c r="AE40">
        <f t="shared" si="22"/>
        <v>-0.25611136528999623</v>
      </c>
      <c r="AF40">
        <v>2</v>
      </c>
      <c r="AG40">
        <v>1</v>
      </c>
      <c r="AH40">
        <f t="shared" si="23"/>
        <v>1</v>
      </c>
      <c r="AI40">
        <f t="shared" si="24"/>
        <v>0</v>
      </c>
      <c r="AJ40">
        <f t="shared" si="25"/>
        <v>52257.535718946667</v>
      </c>
      <c r="AK40">
        <f t="shared" si="26"/>
        <v>1799.99</v>
      </c>
      <c r="AL40">
        <f t="shared" si="27"/>
        <v>1499.1031586028498</v>
      </c>
      <c r="AM40">
        <f t="shared" si="28"/>
        <v>0.83283971499999987</v>
      </c>
      <c r="AN40">
        <f t="shared" si="29"/>
        <v>0.1533980123</v>
      </c>
      <c r="AO40">
        <v>31.8</v>
      </c>
      <c r="AP40">
        <v>0.5</v>
      </c>
      <c r="AQ40" t="s">
        <v>331</v>
      </c>
      <c r="AR40">
        <v>2</v>
      </c>
      <c r="AS40">
        <v>1690388515.5999999</v>
      </c>
      <c r="AT40">
        <v>783.66800000000001</v>
      </c>
      <c r="AU40">
        <v>800.12800000000004</v>
      </c>
      <c r="AV40">
        <v>22.6021</v>
      </c>
      <c r="AW40">
        <v>20.7913</v>
      </c>
      <c r="AX40">
        <v>783.51499999999999</v>
      </c>
      <c r="AY40">
        <v>22.403700000000001</v>
      </c>
      <c r="AZ40">
        <v>300.18299999999999</v>
      </c>
      <c r="BA40">
        <v>98.663600000000002</v>
      </c>
      <c r="BB40">
        <v>0.100065</v>
      </c>
      <c r="BC40">
        <v>25.458600000000001</v>
      </c>
      <c r="BD40">
        <v>27.384799999999998</v>
      </c>
      <c r="BE40">
        <v>27.0444</v>
      </c>
      <c r="BF40">
        <v>0</v>
      </c>
      <c r="BG40">
        <v>0</v>
      </c>
      <c r="BH40">
        <v>9963.75</v>
      </c>
      <c r="BI40">
        <v>1067.23</v>
      </c>
      <c r="BJ40">
        <v>1.4577199999999999</v>
      </c>
      <c r="BK40">
        <v>-16.459499999999998</v>
      </c>
      <c r="BL40">
        <v>801.79</v>
      </c>
      <c r="BM40">
        <v>817.11699999999996</v>
      </c>
      <c r="BN40">
        <v>1.8107800000000001</v>
      </c>
      <c r="BO40">
        <v>800.12800000000004</v>
      </c>
      <c r="BP40">
        <v>20.7913</v>
      </c>
      <c r="BQ40">
        <v>2.23</v>
      </c>
      <c r="BR40">
        <v>2.0513499999999998</v>
      </c>
      <c r="BS40">
        <v>19.179500000000001</v>
      </c>
      <c r="BT40">
        <v>17.846299999999999</v>
      </c>
      <c r="BU40">
        <v>1799.99</v>
      </c>
      <c r="BV40">
        <v>0.90999099999999999</v>
      </c>
      <c r="BW40">
        <v>3.4005399999999998E-2</v>
      </c>
      <c r="BX40">
        <v>2.20085E-2</v>
      </c>
      <c r="BY40">
        <v>3.3994799999999999E-2</v>
      </c>
      <c r="BZ40">
        <v>25</v>
      </c>
      <c r="CA40">
        <v>33528.1</v>
      </c>
      <c r="CB40">
        <v>1690387638</v>
      </c>
      <c r="CC40" t="s">
        <v>332</v>
      </c>
      <c r="CD40">
        <v>1690387638</v>
      </c>
      <c r="CE40">
        <v>1690387638</v>
      </c>
      <c r="CF40">
        <v>6</v>
      </c>
      <c r="CG40">
        <v>0.43</v>
      </c>
      <c r="CH40">
        <v>-8.1000000000000003E-2</v>
      </c>
      <c r="CI40">
        <v>0.14199999999999999</v>
      </c>
      <c r="CJ40">
        <v>-2.7E-2</v>
      </c>
      <c r="CK40">
        <v>800</v>
      </c>
      <c r="CL40">
        <v>0</v>
      </c>
      <c r="CM40">
        <v>0.01</v>
      </c>
      <c r="CN40">
        <v>0.01</v>
      </c>
      <c r="CO40">
        <v>-14.1469875</v>
      </c>
      <c r="CP40">
        <v>-12.43669756097562</v>
      </c>
      <c r="CQ40">
        <v>1.19681627854644</v>
      </c>
      <c r="CR40">
        <v>-1</v>
      </c>
      <c r="CS40">
        <v>1.4615512500000001</v>
      </c>
      <c r="CT40">
        <v>1.8971681425891169</v>
      </c>
      <c r="CU40">
        <v>0.1826557380591628</v>
      </c>
      <c r="CV40">
        <v>-1</v>
      </c>
      <c r="CW40">
        <v>0</v>
      </c>
      <c r="CX40">
        <v>0</v>
      </c>
      <c r="CY40" t="s">
        <v>333</v>
      </c>
      <c r="CZ40">
        <v>2.3645299999999998</v>
      </c>
      <c r="DA40">
        <v>2.7138300000000002</v>
      </c>
      <c r="DB40">
        <v>0.14414199999999999</v>
      </c>
      <c r="DC40">
        <v>0.14585100000000001</v>
      </c>
      <c r="DD40">
        <v>0.108704</v>
      </c>
      <c r="DE40">
        <v>0.10106</v>
      </c>
      <c r="DF40">
        <v>31264.5</v>
      </c>
      <c r="DG40">
        <v>27545.1</v>
      </c>
      <c r="DH40">
        <v>31185.4</v>
      </c>
      <c r="DI40">
        <v>28099.599999999999</v>
      </c>
      <c r="DJ40">
        <v>37740.9</v>
      </c>
      <c r="DK40">
        <v>35919.199999999997</v>
      </c>
      <c r="DL40">
        <v>44382.6</v>
      </c>
      <c r="DM40">
        <v>42592.6</v>
      </c>
      <c r="DN40">
        <v>1.4597</v>
      </c>
      <c r="DO40">
        <v>2.0600999999999998</v>
      </c>
      <c r="DP40">
        <v>0.13612199999999999</v>
      </c>
      <c r="DQ40">
        <v>0.13165199999999999</v>
      </c>
      <c r="DR40">
        <v>25.155999999999999</v>
      </c>
      <c r="DS40">
        <v>24.887799999999999</v>
      </c>
      <c r="DT40">
        <v>56.8</v>
      </c>
      <c r="DU40">
        <v>28.9</v>
      </c>
      <c r="DV40">
        <v>23.018699999999999</v>
      </c>
      <c r="DW40">
        <v>61.122199999999999</v>
      </c>
      <c r="DX40">
        <v>35.544899999999998</v>
      </c>
      <c r="DY40">
        <v>1</v>
      </c>
      <c r="DZ40">
        <v>-9.2779500000000001E-2</v>
      </c>
      <c r="EA40">
        <v>2.9645000000000001</v>
      </c>
      <c r="EB40">
        <v>20.160499999999999</v>
      </c>
      <c r="EC40">
        <v>5.2411000000000003</v>
      </c>
      <c r="ED40">
        <v>12.039899999999999</v>
      </c>
      <c r="EE40">
        <v>5.0162000000000004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1.8689100000000001</v>
      </c>
      <c r="EL40">
        <v>1.8646199999999999</v>
      </c>
      <c r="EM40">
        <v>1.8692</v>
      </c>
      <c r="EN40">
        <v>1.8672599999999999</v>
      </c>
      <c r="EO40">
        <v>1.86338</v>
      </c>
      <c r="EP40">
        <v>1.8644700000000001</v>
      </c>
      <c r="EQ40">
        <v>1.8701399999999999</v>
      </c>
      <c r="ER40">
        <v>1.8693599999999999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0.153</v>
      </c>
      <c r="FG40">
        <v>0.19839999999999999</v>
      </c>
      <c r="FH40">
        <v>0.69281559908863044</v>
      </c>
      <c r="FI40">
        <v>-6.1462078757559423E-4</v>
      </c>
      <c r="FJ40">
        <v>-1.8861989874597051E-7</v>
      </c>
      <c r="FK40">
        <v>1.1980462299894961E-10</v>
      </c>
      <c r="FL40">
        <v>0.19840465858211129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14.6</v>
      </c>
      <c r="FU40">
        <v>14.6</v>
      </c>
      <c r="FV40">
        <v>1.79443</v>
      </c>
      <c r="FW40">
        <v>2.5817899999999998</v>
      </c>
      <c r="FX40">
        <v>1.5490699999999999</v>
      </c>
      <c r="FY40">
        <v>2.3327599999999999</v>
      </c>
      <c r="FZ40">
        <v>1.50146</v>
      </c>
      <c r="GA40">
        <v>2.3278799999999999</v>
      </c>
      <c r="GB40">
        <v>33.512999999999998</v>
      </c>
      <c r="GC40">
        <v>23.982399999999998</v>
      </c>
      <c r="GD40">
        <v>19</v>
      </c>
      <c r="GE40">
        <v>275.471</v>
      </c>
      <c r="GF40">
        <v>601.26199999999994</v>
      </c>
      <c r="GG40">
        <v>19.662800000000001</v>
      </c>
      <c r="GH40">
        <v>26.246500000000001</v>
      </c>
      <c r="GI40">
        <v>30.000299999999999</v>
      </c>
      <c r="GJ40">
        <v>26.249400000000001</v>
      </c>
      <c r="GK40">
        <v>26.188600000000001</v>
      </c>
      <c r="GL40">
        <v>35.874099999999999</v>
      </c>
      <c r="GM40">
        <v>19.645499999999998</v>
      </c>
      <c r="GN40">
        <v>100</v>
      </c>
      <c r="GO40">
        <v>19.6875</v>
      </c>
      <c r="GP40">
        <v>800</v>
      </c>
      <c r="GQ40">
        <v>20.569900000000001</v>
      </c>
      <c r="GR40">
        <v>99.783699999999996</v>
      </c>
      <c r="GS40">
        <v>99.635900000000007</v>
      </c>
    </row>
    <row r="41" spans="1:201" x14ac:dyDescent="0.25">
      <c r="A41">
        <v>25</v>
      </c>
      <c r="B41">
        <v>1690388525.5999999</v>
      </c>
      <c r="C41">
        <v>267.09999990463263</v>
      </c>
      <c r="D41" t="s">
        <v>383</v>
      </c>
      <c r="E41" t="s">
        <v>384</v>
      </c>
      <c r="F41" t="s">
        <v>330</v>
      </c>
      <c r="H41">
        <v>1690388525.5999999</v>
      </c>
      <c r="I41">
        <f t="shared" si="0"/>
        <v>2.0886978524462527E-4</v>
      </c>
      <c r="J41">
        <f t="shared" si="1"/>
        <v>0.20886978524462527</v>
      </c>
      <c r="K41">
        <f t="shared" si="2"/>
        <v>1.5968944053209859</v>
      </c>
      <c r="L41">
        <f t="shared" si="3"/>
        <v>781.51400000000001</v>
      </c>
      <c r="M41">
        <f t="shared" si="4"/>
        <v>580.0975188861587</v>
      </c>
      <c r="N41">
        <f t="shared" si="5"/>
        <v>57.290542343920663</v>
      </c>
      <c r="O41">
        <f t="shared" si="6"/>
        <v>77.182472690688016</v>
      </c>
      <c r="P41">
        <f t="shared" si="7"/>
        <v>1.385706080668076E-2</v>
      </c>
      <c r="Q41">
        <f t="shared" si="8"/>
        <v>2.1599336016083726</v>
      </c>
      <c r="R41">
        <f t="shared" si="9"/>
        <v>1.3807861256285154E-2</v>
      </c>
      <c r="S41">
        <f t="shared" si="10"/>
        <v>8.6343190411822569E-3</v>
      </c>
      <c r="T41">
        <f t="shared" si="11"/>
        <v>276.11475974859042</v>
      </c>
      <c r="U41">
        <f t="shared" si="12"/>
        <v>27.504746132115919</v>
      </c>
      <c r="V41">
        <f t="shared" si="13"/>
        <v>27.504746132115919</v>
      </c>
      <c r="W41">
        <f t="shared" si="14"/>
        <v>3.6866467528084566</v>
      </c>
      <c r="X41">
        <f t="shared" si="15"/>
        <v>68.640525388925582</v>
      </c>
      <c r="Y41">
        <f t="shared" si="16"/>
        <v>2.2375207859712001</v>
      </c>
      <c r="Z41">
        <f t="shared" si="17"/>
        <v>3.2597664037288974</v>
      </c>
      <c r="AA41">
        <f t="shared" si="18"/>
        <v>1.4491259668372565</v>
      </c>
      <c r="AB41">
        <f t="shared" si="19"/>
        <v>-9.2111575292879753</v>
      </c>
      <c r="AC41">
        <f t="shared" si="20"/>
        <v>-243.00559491652791</v>
      </c>
      <c r="AD41">
        <f t="shared" si="21"/>
        <v>-24.149857338066692</v>
      </c>
      <c r="AE41">
        <f t="shared" si="22"/>
        <v>-0.25185003529216488</v>
      </c>
      <c r="AF41">
        <v>2</v>
      </c>
      <c r="AG41">
        <v>1</v>
      </c>
      <c r="AH41">
        <f t="shared" si="23"/>
        <v>1</v>
      </c>
      <c r="AI41">
        <f t="shared" si="24"/>
        <v>0</v>
      </c>
      <c r="AJ41">
        <f t="shared" si="25"/>
        <v>52530.344292278969</v>
      </c>
      <c r="AK41">
        <f t="shared" si="26"/>
        <v>1799.99</v>
      </c>
      <c r="AL41">
        <f t="shared" si="27"/>
        <v>1499.1011714138899</v>
      </c>
      <c r="AM41">
        <f t="shared" si="28"/>
        <v>0.8328386109999999</v>
      </c>
      <c r="AN41">
        <f t="shared" si="29"/>
        <v>0.15339794096000001</v>
      </c>
      <c r="AO41">
        <v>31.8</v>
      </c>
      <c r="AP41">
        <v>0.5</v>
      </c>
      <c r="AQ41" t="s">
        <v>331</v>
      </c>
      <c r="AR41">
        <v>2</v>
      </c>
      <c r="AS41">
        <v>1690388525.5999999</v>
      </c>
      <c r="AT41">
        <v>781.51400000000001</v>
      </c>
      <c r="AU41">
        <v>800.17</v>
      </c>
      <c r="AV41">
        <v>22.656099999999999</v>
      </c>
      <c r="AW41">
        <v>20.4924</v>
      </c>
      <c r="AX41">
        <v>781.35900000000004</v>
      </c>
      <c r="AY41">
        <v>22.457699999999999</v>
      </c>
      <c r="AZ41">
        <v>300.02199999999999</v>
      </c>
      <c r="BA41">
        <v>98.660300000000007</v>
      </c>
      <c r="BB41">
        <v>9.9891999999999995E-2</v>
      </c>
      <c r="BC41">
        <v>25.417899999999999</v>
      </c>
      <c r="BD41">
        <v>27.326799999999999</v>
      </c>
      <c r="BE41">
        <v>26.994700000000002</v>
      </c>
      <c r="BF41">
        <v>0</v>
      </c>
      <c r="BG41">
        <v>0</v>
      </c>
      <c r="BH41">
        <v>10016.9</v>
      </c>
      <c r="BI41">
        <v>1066.33</v>
      </c>
      <c r="BJ41">
        <v>1.4409000000000001</v>
      </c>
      <c r="BK41">
        <v>-18.656500000000001</v>
      </c>
      <c r="BL41">
        <v>799.63</v>
      </c>
      <c r="BM41">
        <v>816.91</v>
      </c>
      <c r="BN41">
        <v>2.1637200000000001</v>
      </c>
      <c r="BO41">
        <v>800.17</v>
      </c>
      <c r="BP41">
        <v>20.4924</v>
      </c>
      <c r="BQ41">
        <v>2.2352599999999998</v>
      </c>
      <c r="BR41">
        <v>2.0217800000000001</v>
      </c>
      <c r="BS41">
        <v>19.217300000000002</v>
      </c>
      <c r="BT41">
        <v>17.616</v>
      </c>
      <c r="BU41">
        <v>1799.99</v>
      </c>
      <c r="BV41">
        <v>0.90997899999999998</v>
      </c>
      <c r="BW41">
        <v>3.40021E-2</v>
      </c>
      <c r="BX41">
        <v>2.2006299999999999E-2</v>
      </c>
      <c r="BY41">
        <v>3.4012399999999998E-2</v>
      </c>
      <c r="BZ41">
        <v>25</v>
      </c>
      <c r="CA41">
        <v>33528.1</v>
      </c>
      <c r="CB41">
        <v>1690387638</v>
      </c>
      <c r="CC41" t="s">
        <v>332</v>
      </c>
      <c r="CD41">
        <v>1690387638</v>
      </c>
      <c r="CE41">
        <v>1690387638</v>
      </c>
      <c r="CF41">
        <v>6</v>
      </c>
      <c r="CG41">
        <v>0.43</v>
      </c>
      <c r="CH41">
        <v>-8.1000000000000003E-2</v>
      </c>
      <c r="CI41">
        <v>0.14199999999999999</v>
      </c>
      <c r="CJ41">
        <v>-2.7E-2</v>
      </c>
      <c r="CK41">
        <v>800</v>
      </c>
      <c r="CL41">
        <v>0</v>
      </c>
      <c r="CM41">
        <v>0.01</v>
      </c>
      <c r="CN41">
        <v>0.01</v>
      </c>
      <c r="CO41">
        <v>-16.311695121951221</v>
      </c>
      <c r="CP41">
        <v>-13.026687804878049</v>
      </c>
      <c r="CQ41">
        <v>1.2851193029843699</v>
      </c>
      <c r="CR41">
        <v>-1</v>
      </c>
      <c r="CS41">
        <v>1.7843463414634151</v>
      </c>
      <c r="CT41">
        <v>1.894365993031363</v>
      </c>
      <c r="CU41">
        <v>0.18703586912748479</v>
      </c>
      <c r="CV41">
        <v>-1</v>
      </c>
      <c r="CW41">
        <v>0</v>
      </c>
      <c r="CX41">
        <v>0</v>
      </c>
      <c r="CY41" t="s">
        <v>333</v>
      </c>
      <c r="CZ41">
        <v>2.3639899999999998</v>
      </c>
      <c r="DA41">
        <v>2.7136999999999998</v>
      </c>
      <c r="DB41">
        <v>0.143871</v>
      </c>
      <c r="DC41">
        <v>0.145844</v>
      </c>
      <c r="DD41">
        <v>0.10888399999999999</v>
      </c>
      <c r="DE41">
        <v>0.100026</v>
      </c>
      <c r="DF41">
        <v>31273.8</v>
      </c>
      <c r="DG41">
        <v>27544.9</v>
      </c>
      <c r="DH41">
        <v>31184.9</v>
      </c>
      <c r="DI41">
        <v>28099.200000000001</v>
      </c>
      <c r="DJ41">
        <v>37732.400000000001</v>
      </c>
      <c r="DK41">
        <v>35960.400000000001</v>
      </c>
      <c r="DL41">
        <v>44381.599999999999</v>
      </c>
      <c r="DM41">
        <v>42592.4</v>
      </c>
      <c r="DN41">
        <v>1.4594199999999999</v>
      </c>
      <c r="DO41">
        <v>2.0601699999999998</v>
      </c>
      <c r="DP41">
        <v>0.135377</v>
      </c>
      <c r="DQ41">
        <v>0.13131599999999999</v>
      </c>
      <c r="DR41">
        <v>25.11</v>
      </c>
      <c r="DS41">
        <v>24.843399999999999</v>
      </c>
      <c r="DT41">
        <v>56.8</v>
      </c>
      <c r="DU41">
        <v>28.9</v>
      </c>
      <c r="DV41">
        <v>23.019500000000001</v>
      </c>
      <c r="DW41">
        <v>61.0822</v>
      </c>
      <c r="DX41">
        <v>36.394199999999998</v>
      </c>
      <c r="DY41">
        <v>1</v>
      </c>
      <c r="DZ41">
        <v>-9.2484800000000006E-2</v>
      </c>
      <c r="EA41">
        <v>2.90794</v>
      </c>
      <c r="EB41">
        <v>20.161799999999999</v>
      </c>
      <c r="EC41">
        <v>5.2404999999999999</v>
      </c>
      <c r="ED41">
        <v>12.039899999999999</v>
      </c>
      <c r="EE41">
        <v>5.016</v>
      </c>
      <c r="EF41">
        <v>3.2879499999999999</v>
      </c>
      <c r="EG41">
        <v>9999</v>
      </c>
      <c r="EH41">
        <v>9999</v>
      </c>
      <c r="EI41">
        <v>9999</v>
      </c>
      <c r="EJ41">
        <v>999.9</v>
      </c>
      <c r="EK41">
        <v>1.8689199999999999</v>
      </c>
      <c r="EL41">
        <v>1.8646199999999999</v>
      </c>
      <c r="EM41">
        <v>1.8692</v>
      </c>
      <c r="EN41">
        <v>1.8672500000000001</v>
      </c>
      <c r="EO41">
        <v>1.8633900000000001</v>
      </c>
      <c r="EP41">
        <v>1.86446</v>
      </c>
      <c r="EQ41">
        <v>1.87016</v>
      </c>
      <c r="ER41">
        <v>1.8693599999999999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0.155</v>
      </c>
      <c r="FG41">
        <v>0.19839999999999999</v>
      </c>
      <c r="FH41">
        <v>0.69281559908863044</v>
      </c>
      <c r="FI41">
        <v>-6.1462078757559423E-4</v>
      </c>
      <c r="FJ41">
        <v>-1.8861989874597051E-7</v>
      </c>
      <c r="FK41">
        <v>1.1980462299894961E-10</v>
      </c>
      <c r="FL41">
        <v>0.19840465858211129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14.8</v>
      </c>
      <c r="FU41">
        <v>14.8</v>
      </c>
      <c r="FV41">
        <v>1.79321</v>
      </c>
      <c r="FW41">
        <v>2.5866699999999998</v>
      </c>
      <c r="FX41">
        <v>1.5490699999999999</v>
      </c>
      <c r="FY41">
        <v>2.3327599999999999</v>
      </c>
      <c r="FZ41">
        <v>1.50146</v>
      </c>
      <c r="GA41">
        <v>2.3034699999999999</v>
      </c>
      <c r="GB41">
        <v>33.490600000000001</v>
      </c>
      <c r="GC41">
        <v>23.973700000000001</v>
      </c>
      <c r="GD41">
        <v>19</v>
      </c>
      <c r="GE41">
        <v>275.37299999999999</v>
      </c>
      <c r="GF41">
        <v>601.37699999999995</v>
      </c>
      <c r="GG41">
        <v>19.708500000000001</v>
      </c>
      <c r="GH41">
        <v>26.248699999999999</v>
      </c>
      <c r="GI41">
        <v>30.0001</v>
      </c>
      <c r="GJ41">
        <v>26.2532</v>
      </c>
      <c r="GK41">
        <v>26.193000000000001</v>
      </c>
      <c r="GL41">
        <v>35.858600000000003</v>
      </c>
      <c r="GM41">
        <v>21.0383</v>
      </c>
      <c r="GN41">
        <v>100</v>
      </c>
      <c r="GO41">
        <v>19.721699999999998</v>
      </c>
      <c r="GP41">
        <v>800</v>
      </c>
      <c r="GQ41">
        <v>20.247900000000001</v>
      </c>
      <c r="GR41">
        <v>99.781800000000004</v>
      </c>
      <c r="GS41">
        <v>99.635000000000005</v>
      </c>
    </row>
    <row r="42" spans="1:201" x14ac:dyDescent="0.25">
      <c r="A42">
        <v>26</v>
      </c>
      <c r="B42">
        <v>1690388535.5999999</v>
      </c>
      <c r="C42">
        <v>277.09999990463263</v>
      </c>
      <c r="D42" t="s">
        <v>385</v>
      </c>
      <c r="E42" t="s">
        <v>386</v>
      </c>
      <c r="F42" t="s">
        <v>330</v>
      </c>
      <c r="H42">
        <v>1690388535.5999999</v>
      </c>
      <c r="I42">
        <f t="shared" si="0"/>
        <v>2.3853398581913989E-4</v>
      </c>
      <c r="J42">
        <f t="shared" si="1"/>
        <v>0.2385339858191399</v>
      </c>
      <c r="K42">
        <f t="shared" si="2"/>
        <v>1.7828095514680575</v>
      </c>
      <c r="L42">
        <f t="shared" si="3"/>
        <v>779.24900000000002</v>
      </c>
      <c r="M42">
        <f t="shared" si="4"/>
        <v>584.08833936059159</v>
      </c>
      <c r="N42">
        <f t="shared" si="5"/>
        <v>57.685018407118207</v>
      </c>
      <c r="O42">
        <f t="shared" si="6"/>
        <v>76.959236950247714</v>
      </c>
      <c r="P42">
        <f t="shared" si="7"/>
        <v>1.6005380857067892E-2</v>
      </c>
      <c r="Q42">
        <f t="shared" si="8"/>
        <v>2.1609792181123608</v>
      </c>
      <c r="R42">
        <f t="shared" si="9"/>
        <v>1.5939814107469894E-2</v>
      </c>
      <c r="S42">
        <f t="shared" si="10"/>
        <v>9.9682522588371292E-3</v>
      </c>
      <c r="T42">
        <f t="shared" si="11"/>
        <v>276.11434548089198</v>
      </c>
      <c r="U42">
        <f t="shared" si="12"/>
        <v>27.447785348102542</v>
      </c>
      <c r="V42">
        <f t="shared" si="13"/>
        <v>27.447785348102542</v>
      </c>
      <c r="W42">
        <f t="shared" si="14"/>
        <v>3.6743774542556658</v>
      </c>
      <c r="X42">
        <f t="shared" si="15"/>
        <v>68.926290837190933</v>
      </c>
      <c r="Y42">
        <f t="shared" si="16"/>
        <v>2.2407141436155902</v>
      </c>
      <c r="Z42">
        <f t="shared" si="17"/>
        <v>3.2508845556600816</v>
      </c>
      <c r="AA42">
        <f t="shared" si="18"/>
        <v>1.4336633106400756</v>
      </c>
      <c r="AB42">
        <f t="shared" si="19"/>
        <v>-10.519348774624069</v>
      </c>
      <c r="AC42">
        <f t="shared" si="20"/>
        <v>-241.83462176776419</v>
      </c>
      <c r="AD42">
        <f t="shared" si="21"/>
        <v>-24.009479697524952</v>
      </c>
      <c r="AE42">
        <f t="shared" si="22"/>
        <v>-0.24910475902123608</v>
      </c>
      <c r="AF42">
        <v>1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52582.433903827405</v>
      </c>
      <c r="AK42">
        <f t="shared" si="26"/>
        <v>1799.99</v>
      </c>
      <c r="AL42">
        <f t="shared" si="27"/>
        <v>1499.10204440904</v>
      </c>
      <c r="AM42">
        <f t="shared" si="28"/>
        <v>0.83283909599999995</v>
      </c>
      <c r="AN42">
        <f t="shared" si="29"/>
        <v>0.15339771081000003</v>
      </c>
      <c r="AO42">
        <v>31.8</v>
      </c>
      <c r="AP42">
        <v>0.5</v>
      </c>
      <c r="AQ42" t="s">
        <v>331</v>
      </c>
      <c r="AR42">
        <v>2</v>
      </c>
      <c r="AS42">
        <v>1690388535.5999999</v>
      </c>
      <c r="AT42">
        <v>779.24900000000002</v>
      </c>
      <c r="AU42">
        <v>800.10699999999997</v>
      </c>
      <c r="AV42">
        <v>22.688300000000002</v>
      </c>
      <c r="AW42">
        <v>20.218399999999999</v>
      </c>
      <c r="AX42">
        <v>779.09299999999996</v>
      </c>
      <c r="AY42">
        <v>22.489899999999999</v>
      </c>
      <c r="AZ42">
        <v>300.14499999999998</v>
      </c>
      <c r="BA42">
        <v>98.660799999999995</v>
      </c>
      <c r="BB42">
        <v>9.9977300000000005E-2</v>
      </c>
      <c r="BC42">
        <v>25.372</v>
      </c>
      <c r="BD42">
        <v>27.251999999999999</v>
      </c>
      <c r="BE42">
        <v>26.9558</v>
      </c>
      <c r="BF42">
        <v>0</v>
      </c>
      <c r="BG42">
        <v>0</v>
      </c>
      <c r="BH42">
        <v>10025.6</v>
      </c>
      <c r="BI42">
        <v>1065.3800000000001</v>
      </c>
      <c r="BJ42">
        <v>1.4577199999999999</v>
      </c>
      <c r="BK42">
        <v>-20.858000000000001</v>
      </c>
      <c r="BL42">
        <v>797.33900000000006</v>
      </c>
      <c r="BM42">
        <v>816.61800000000005</v>
      </c>
      <c r="BN42">
        <v>2.4698600000000002</v>
      </c>
      <c r="BO42">
        <v>800.10699999999997</v>
      </c>
      <c r="BP42">
        <v>20.218399999999999</v>
      </c>
      <c r="BQ42">
        <v>2.2384400000000002</v>
      </c>
      <c r="BR42">
        <v>1.9947600000000001</v>
      </c>
      <c r="BS42">
        <v>19.240100000000002</v>
      </c>
      <c r="BT42">
        <v>17.402799999999999</v>
      </c>
      <c r="BU42">
        <v>1799.99</v>
      </c>
      <c r="BV42">
        <v>0.90998699999999999</v>
      </c>
      <c r="BW42">
        <v>3.3999000000000001E-2</v>
      </c>
      <c r="BX42">
        <v>2.2004300000000001E-2</v>
      </c>
      <c r="BY42">
        <v>3.4009299999999999E-2</v>
      </c>
      <c r="BZ42">
        <v>25</v>
      </c>
      <c r="CA42">
        <v>33528.1</v>
      </c>
      <c r="CB42">
        <v>1690387638</v>
      </c>
      <c r="CC42" t="s">
        <v>332</v>
      </c>
      <c r="CD42">
        <v>1690387638</v>
      </c>
      <c r="CE42">
        <v>1690387638</v>
      </c>
      <c r="CF42">
        <v>6</v>
      </c>
      <c r="CG42">
        <v>0.43</v>
      </c>
      <c r="CH42">
        <v>-8.1000000000000003E-2</v>
      </c>
      <c r="CI42">
        <v>0.14199999999999999</v>
      </c>
      <c r="CJ42">
        <v>-2.7E-2</v>
      </c>
      <c r="CK42">
        <v>800</v>
      </c>
      <c r="CL42">
        <v>0</v>
      </c>
      <c r="CM42">
        <v>0.01</v>
      </c>
      <c r="CN42">
        <v>0.01</v>
      </c>
      <c r="CO42">
        <v>-18.45696829268293</v>
      </c>
      <c r="CP42">
        <v>-13.03092752613242</v>
      </c>
      <c r="CQ42">
        <v>1.2856361155776439</v>
      </c>
      <c r="CR42">
        <v>-1</v>
      </c>
      <c r="CS42">
        <v>2.116041707317073</v>
      </c>
      <c r="CT42">
        <v>2.0647914982578319</v>
      </c>
      <c r="CU42">
        <v>0.20381748810654271</v>
      </c>
      <c r="CV42">
        <v>-1</v>
      </c>
      <c r="CW42">
        <v>0</v>
      </c>
      <c r="CX42">
        <v>0</v>
      </c>
      <c r="CY42" t="s">
        <v>333</v>
      </c>
      <c r="CZ42">
        <v>2.36435</v>
      </c>
      <c r="DA42">
        <v>2.7137899999999999</v>
      </c>
      <c r="DB42">
        <v>0.143591</v>
      </c>
      <c r="DC42">
        <v>0.14582999999999999</v>
      </c>
      <c r="DD42">
        <v>0.10899300000000001</v>
      </c>
      <c r="DE42">
        <v>9.9077499999999999E-2</v>
      </c>
      <c r="DF42">
        <v>31284.2</v>
      </c>
      <c r="DG42">
        <v>27545.4</v>
      </c>
      <c r="DH42">
        <v>31185</v>
      </c>
      <c r="DI42">
        <v>28099.200000000001</v>
      </c>
      <c r="DJ42">
        <v>37728.1</v>
      </c>
      <c r="DK42">
        <v>35998.199999999997</v>
      </c>
      <c r="DL42">
        <v>44382.2</v>
      </c>
      <c r="DM42">
        <v>42592.2</v>
      </c>
      <c r="DN42">
        <v>1.45987</v>
      </c>
      <c r="DO42">
        <v>2.0595500000000002</v>
      </c>
      <c r="DP42">
        <v>0.13347700000000001</v>
      </c>
      <c r="DQ42">
        <v>0.131801</v>
      </c>
      <c r="DR42">
        <v>25.066099999999999</v>
      </c>
      <c r="DS42">
        <v>24.796399999999998</v>
      </c>
      <c r="DT42">
        <v>56.8</v>
      </c>
      <c r="DU42">
        <v>28.9</v>
      </c>
      <c r="DV42">
        <v>23.018699999999999</v>
      </c>
      <c r="DW42">
        <v>60.8322</v>
      </c>
      <c r="DX42">
        <v>36.983199999999997</v>
      </c>
      <c r="DY42">
        <v>1</v>
      </c>
      <c r="DZ42">
        <v>-9.2159599999999994E-2</v>
      </c>
      <c r="EA42">
        <v>2.8749199999999999</v>
      </c>
      <c r="EB42">
        <v>20.162099999999999</v>
      </c>
      <c r="EC42">
        <v>5.2406499999999996</v>
      </c>
      <c r="ED42">
        <v>12.039899999999999</v>
      </c>
      <c r="EE42">
        <v>5.0169499999999996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1.8689100000000001</v>
      </c>
      <c r="EL42">
        <v>1.8646199999999999</v>
      </c>
      <c r="EM42">
        <v>1.8692</v>
      </c>
      <c r="EN42">
        <v>1.8672299999999999</v>
      </c>
      <c r="EO42">
        <v>1.86334</v>
      </c>
      <c r="EP42">
        <v>1.8644499999999999</v>
      </c>
      <c r="EQ42">
        <v>1.8701399999999999</v>
      </c>
      <c r="ER42">
        <v>1.8693599999999999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0.156</v>
      </c>
      <c r="FG42">
        <v>0.19839999999999999</v>
      </c>
      <c r="FH42">
        <v>0.69281559908863044</v>
      </c>
      <c r="FI42">
        <v>-6.1462078757559423E-4</v>
      </c>
      <c r="FJ42">
        <v>-1.8861989874597051E-7</v>
      </c>
      <c r="FK42">
        <v>1.1980462299894961E-10</v>
      </c>
      <c r="FL42">
        <v>0.19840465858211129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15</v>
      </c>
      <c r="FU42">
        <v>15</v>
      </c>
      <c r="FV42">
        <v>1.79321</v>
      </c>
      <c r="FW42">
        <v>2.5854499999999998</v>
      </c>
      <c r="FX42">
        <v>1.5490699999999999</v>
      </c>
      <c r="FY42">
        <v>2.3327599999999999</v>
      </c>
      <c r="FZ42">
        <v>1.50146</v>
      </c>
      <c r="GA42">
        <v>2.36938</v>
      </c>
      <c r="GB42">
        <v>33.512999999999998</v>
      </c>
      <c r="GC42">
        <v>23.973700000000001</v>
      </c>
      <c r="GD42">
        <v>19</v>
      </c>
      <c r="GE42">
        <v>275.58</v>
      </c>
      <c r="GF42">
        <v>600.899</v>
      </c>
      <c r="GG42">
        <v>19.7346</v>
      </c>
      <c r="GH42">
        <v>26.248699999999999</v>
      </c>
      <c r="GI42">
        <v>30.000299999999999</v>
      </c>
      <c r="GJ42">
        <v>26.2577</v>
      </c>
      <c r="GK42">
        <v>26.197399999999998</v>
      </c>
      <c r="GL42">
        <v>35.848999999999997</v>
      </c>
      <c r="GM42">
        <v>22.194900000000001</v>
      </c>
      <c r="GN42">
        <v>100</v>
      </c>
      <c r="GO42">
        <v>19.743200000000002</v>
      </c>
      <c r="GP42">
        <v>800</v>
      </c>
      <c r="GQ42">
        <v>20.019500000000001</v>
      </c>
      <c r="GR42">
        <v>99.782700000000006</v>
      </c>
      <c r="GS42">
        <v>99.634799999999998</v>
      </c>
    </row>
    <row r="43" spans="1:201" x14ac:dyDescent="0.25">
      <c r="A43">
        <v>27</v>
      </c>
      <c r="B43">
        <v>1690388545.5999999</v>
      </c>
      <c r="C43">
        <v>287.09999990463263</v>
      </c>
      <c r="D43" t="s">
        <v>387</v>
      </c>
      <c r="E43" t="s">
        <v>388</v>
      </c>
      <c r="F43" t="s">
        <v>330</v>
      </c>
      <c r="H43">
        <v>1690388545.5999999</v>
      </c>
      <c r="I43">
        <f t="shared" si="0"/>
        <v>2.6426362660485328E-4</v>
      </c>
      <c r="J43">
        <f t="shared" si="1"/>
        <v>0.26426362660485325</v>
      </c>
      <c r="K43">
        <f t="shared" si="2"/>
        <v>1.9898133611164788</v>
      </c>
      <c r="L43">
        <f t="shared" si="3"/>
        <v>776.94200000000001</v>
      </c>
      <c r="M43">
        <f t="shared" si="4"/>
        <v>582.10447322700759</v>
      </c>
      <c r="N43">
        <f t="shared" si="5"/>
        <v>57.489052583546886</v>
      </c>
      <c r="O43">
        <f t="shared" si="6"/>
        <v>76.731345568869187</v>
      </c>
      <c r="P43">
        <f t="shared" si="7"/>
        <v>1.7885003308905436E-2</v>
      </c>
      <c r="Q43">
        <f t="shared" si="8"/>
        <v>2.1625549295859523</v>
      </c>
      <c r="R43">
        <f t="shared" si="9"/>
        <v>1.78032342123009E-2</v>
      </c>
      <c r="S43">
        <f t="shared" si="10"/>
        <v>1.1134336756972948E-2</v>
      </c>
      <c r="T43">
        <f t="shared" si="11"/>
        <v>276.11410532622614</v>
      </c>
      <c r="U43">
        <f t="shared" si="12"/>
        <v>27.398017417895627</v>
      </c>
      <c r="V43">
        <f t="shared" si="13"/>
        <v>27.398017417895627</v>
      </c>
      <c r="W43">
        <f t="shared" si="14"/>
        <v>3.6636866743243091</v>
      </c>
      <c r="X43">
        <f t="shared" si="15"/>
        <v>69.11461944277481</v>
      </c>
      <c r="Y43">
        <f t="shared" si="16"/>
        <v>2.24155214173968</v>
      </c>
      <c r="Z43">
        <f t="shared" si="17"/>
        <v>3.2432387819130355</v>
      </c>
      <c r="AA43">
        <f t="shared" si="18"/>
        <v>1.4221345325846291</v>
      </c>
      <c r="AB43">
        <f t="shared" si="19"/>
        <v>-11.654025933274029</v>
      </c>
      <c r="AC43">
        <f t="shared" si="20"/>
        <v>-240.82550402486052</v>
      </c>
      <c r="AD43">
        <f t="shared" si="21"/>
        <v>-23.881174780793458</v>
      </c>
      <c r="AE43">
        <f t="shared" si="22"/>
        <v>-0.24659941270186891</v>
      </c>
      <c r="AF43">
        <v>1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52655.768901247058</v>
      </c>
      <c r="AK43">
        <f t="shared" si="26"/>
        <v>1799.99</v>
      </c>
      <c r="AL43">
        <f t="shared" si="27"/>
        <v>1499.1040117981099</v>
      </c>
      <c r="AM43">
        <f t="shared" si="28"/>
        <v>0.83284018900000001</v>
      </c>
      <c r="AN43">
        <f t="shared" si="29"/>
        <v>0.15339757739000001</v>
      </c>
      <c r="AO43">
        <v>31.8</v>
      </c>
      <c r="AP43">
        <v>0.5</v>
      </c>
      <c r="AQ43" t="s">
        <v>331</v>
      </c>
      <c r="AR43">
        <v>2</v>
      </c>
      <c r="AS43">
        <v>1690388545.5999999</v>
      </c>
      <c r="AT43">
        <v>776.94200000000001</v>
      </c>
      <c r="AU43">
        <v>800.18899999999996</v>
      </c>
      <c r="AV43">
        <v>22.6968</v>
      </c>
      <c r="AW43">
        <v>19.9617</v>
      </c>
      <c r="AX43">
        <v>776.78499999999997</v>
      </c>
      <c r="AY43">
        <v>22.4984</v>
      </c>
      <c r="AZ43">
        <v>300.27600000000001</v>
      </c>
      <c r="BA43">
        <v>98.660799999999995</v>
      </c>
      <c r="BB43">
        <v>9.9912600000000004E-2</v>
      </c>
      <c r="BC43">
        <v>25.3324</v>
      </c>
      <c r="BD43">
        <v>27.206900000000001</v>
      </c>
      <c r="BE43">
        <v>26.894300000000001</v>
      </c>
      <c r="BF43">
        <v>0</v>
      </c>
      <c r="BG43">
        <v>0</v>
      </c>
      <c r="BH43">
        <v>10038.799999999999</v>
      </c>
      <c r="BI43">
        <v>1064.44</v>
      </c>
      <c r="BJ43">
        <v>1.41567</v>
      </c>
      <c r="BK43">
        <v>-23.2471</v>
      </c>
      <c r="BL43">
        <v>794.98599999999999</v>
      </c>
      <c r="BM43">
        <v>816.48800000000006</v>
      </c>
      <c r="BN43">
        <v>2.7351000000000001</v>
      </c>
      <c r="BO43">
        <v>800.18899999999996</v>
      </c>
      <c r="BP43">
        <v>19.9617</v>
      </c>
      <c r="BQ43">
        <v>2.23929</v>
      </c>
      <c r="BR43">
        <v>1.9694400000000001</v>
      </c>
      <c r="BS43">
        <v>19.246200000000002</v>
      </c>
      <c r="BT43">
        <v>17.200800000000001</v>
      </c>
      <c r="BU43">
        <v>1799.99</v>
      </c>
      <c r="BV43">
        <v>0.90999600000000003</v>
      </c>
      <c r="BW43">
        <v>3.39958E-2</v>
      </c>
      <c r="BX43">
        <v>2.20022E-2</v>
      </c>
      <c r="BY43">
        <v>3.4006099999999997E-2</v>
      </c>
      <c r="BZ43">
        <v>25</v>
      </c>
      <c r="CA43">
        <v>33528.199999999997</v>
      </c>
      <c r="CB43">
        <v>1690387638</v>
      </c>
      <c r="CC43" t="s">
        <v>332</v>
      </c>
      <c r="CD43">
        <v>1690387638</v>
      </c>
      <c r="CE43">
        <v>1690387638</v>
      </c>
      <c r="CF43">
        <v>6</v>
      </c>
      <c r="CG43">
        <v>0.43</v>
      </c>
      <c r="CH43">
        <v>-8.1000000000000003E-2</v>
      </c>
      <c r="CI43">
        <v>0.14199999999999999</v>
      </c>
      <c r="CJ43">
        <v>-2.7E-2</v>
      </c>
      <c r="CK43">
        <v>800</v>
      </c>
      <c r="CL43">
        <v>0</v>
      </c>
      <c r="CM43">
        <v>0.01</v>
      </c>
      <c r="CN43">
        <v>0.01</v>
      </c>
      <c r="CO43">
        <v>-20.667326829268291</v>
      </c>
      <c r="CP43">
        <v>-13.51554355400696</v>
      </c>
      <c r="CQ43">
        <v>1.33351462721168</v>
      </c>
      <c r="CR43">
        <v>-1</v>
      </c>
      <c r="CS43">
        <v>2.429573414634147</v>
      </c>
      <c r="CT43">
        <v>1.666310592334495</v>
      </c>
      <c r="CU43">
        <v>0.16463386189063051</v>
      </c>
      <c r="CV43">
        <v>-1</v>
      </c>
      <c r="CW43">
        <v>0</v>
      </c>
      <c r="CX43">
        <v>0</v>
      </c>
      <c r="CY43" t="s">
        <v>333</v>
      </c>
      <c r="CZ43">
        <v>2.3647800000000001</v>
      </c>
      <c r="DA43">
        <v>2.71374</v>
      </c>
      <c r="DB43">
        <v>0.14330399999999999</v>
      </c>
      <c r="DC43">
        <v>0.14583399999999999</v>
      </c>
      <c r="DD43">
        <v>0.10902199999999999</v>
      </c>
      <c r="DE43">
        <v>9.8183099999999995E-2</v>
      </c>
      <c r="DF43">
        <v>31294.3</v>
      </c>
      <c r="DG43">
        <v>27545</v>
      </c>
      <c r="DH43">
        <v>31184.7</v>
      </c>
      <c r="DI43">
        <v>28099</v>
      </c>
      <c r="DJ43">
        <v>37726.300000000003</v>
      </c>
      <c r="DK43">
        <v>36033.9</v>
      </c>
      <c r="DL43">
        <v>44381.5</v>
      </c>
      <c r="DM43">
        <v>42592</v>
      </c>
      <c r="DN43">
        <v>1.4603999999999999</v>
      </c>
      <c r="DO43">
        <v>2.0589</v>
      </c>
      <c r="DP43">
        <v>0.13329099999999999</v>
      </c>
      <c r="DQ43">
        <v>0.130825</v>
      </c>
      <c r="DR43">
        <v>25.023900000000001</v>
      </c>
      <c r="DS43">
        <v>24.750699999999998</v>
      </c>
      <c r="DT43">
        <v>56.8</v>
      </c>
      <c r="DU43">
        <v>28.9</v>
      </c>
      <c r="DV43">
        <v>23.022200000000002</v>
      </c>
      <c r="DW43">
        <v>60.732300000000002</v>
      </c>
      <c r="DX43">
        <v>36.418300000000002</v>
      </c>
      <c r="DY43">
        <v>1</v>
      </c>
      <c r="DZ43">
        <v>-9.1641299999999995E-2</v>
      </c>
      <c r="EA43">
        <v>2.8619599999999998</v>
      </c>
      <c r="EB43">
        <v>20.162400000000002</v>
      </c>
      <c r="EC43">
        <v>5.2406499999999996</v>
      </c>
      <c r="ED43">
        <v>12.039899999999999</v>
      </c>
      <c r="EE43">
        <v>5.0167000000000002</v>
      </c>
      <c r="EF43">
        <v>3.2879700000000001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1.8672500000000001</v>
      </c>
      <c r="EO43">
        <v>1.86338</v>
      </c>
      <c r="EP43">
        <v>1.8644700000000001</v>
      </c>
      <c r="EQ43">
        <v>1.8701399999999999</v>
      </c>
      <c r="ER43">
        <v>1.8693599999999999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0.157</v>
      </c>
      <c r="FG43">
        <v>0.19839999999999999</v>
      </c>
      <c r="FH43">
        <v>0.69281559908863044</v>
      </c>
      <c r="FI43">
        <v>-6.1462078757559423E-4</v>
      </c>
      <c r="FJ43">
        <v>-1.8861989874597051E-7</v>
      </c>
      <c r="FK43">
        <v>1.1980462299894961E-10</v>
      </c>
      <c r="FL43">
        <v>0.19840465858211129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15.1</v>
      </c>
      <c r="FU43">
        <v>15.1</v>
      </c>
      <c r="FV43">
        <v>1.79199</v>
      </c>
      <c r="FW43">
        <v>2.5756800000000002</v>
      </c>
      <c r="FX43">
        <v>1.5490699999999999</v>
      </c>
      <c r="FY43">
        <v>2.3327599999999999</v>
      </c>
      <c r="FZ43">
        <v>1.50146</v>
      </c>
      <c r="GA43">
        <v>2.4121100000000002</v>
      </c>
      <c r="GB43">
        <v>33.512999999999998</v>
      </c>
      <c r="GC43">
        <v>23.982399999999998</v>
      </c>
      <c r="GD43">
        <v>19</v>
      </c>
      <c r="GE43">
        <v>275.81299999999999</v>
      </c>
      <c r="GF43">
        <v>600.40099999999995</v>
      </c>
      <c r="GG43">
        <v>19.745699999999999</v>
      </c>
      <c r="GH43">
        <v>26.248699999999999</v>
      </c>
      <c r="GI43">
        <v>30.000299999999999</v>
      </c>
      <c r="GJ43">
        <v>26.260899999999999</v>
      </c>
      <c r="GK43">
        <v>26.201699999999999</v>
      </c>
      <c r="GL43">
        <v>35.835099999999997</v>
      </c>
      <c r="GM43">
        <v>23.5199</v>
      </c>
      <c r="GN43">
        <v>100</v>
      </c>
      <c r="GO43">
        <v>19.747499999999999</v>
      </c>
      <c r="GP43">
        <v>800</v>
      </c>
      <c r="GQ43">
        <v>19.7089</v>
      </c>
      <c r="GR43">
        <v>99.781300000000002</v>
      </c>
      <c r="GS43">
        <v>99.634100000000004</v>
      </c>
    </row>
    <row r="44" spans="1:201" x14ac:dyDescent="0.25">
      <c r="A44">
        <v>28</v>
      </c>
      <c r="B44">
        <v>1690388555.5999999</v>
      </c>
      <c r="C44">
        <v>297.09999990463263</v>
      </c>
      <c r="D44" t="s">
        <v>389</v>
      </c>
      <c r="E44" t="s">
        <v>390</v>
      </c>
      <c r="F44" t="s">
        <v>330</v>
      </c>
      <c r="H44">
        <v>1690388555.5999999</v>
      </c>
      <c r="I44">
        <f t="shared" si="0"/>
        <v>2.9124578647231233E-4</v>
      </c>
      <c r="J44">
        <f t="shared" si="1"/>
        <v>0.29124578647231231</v>
      </c>
      <c r="K44">
        <f t="shared" si="2"/>
        <v>2.1752802238744948</v>
      </c>
      <c r="L44">
        <f t="shared" si="3"/>
        <v>774.67399999999998</v>
      </c>
      <c r="M44">
        <f t="shared" si="4"/>
        <v>582.52640390970043</v>
      </c>
      <c r="N44">
        <f t="shared" si="5"/>
        <v>57.530962875821125</v>
      </c>
      <c r="O44">
        <f t="shared" si="6"/>
        <v>76.507675593315184</v>
      </c>
      <c r="P44">
        <f t="shared" si="7"/>
        <v>1.9845432724613598E-2</v>
      </c>
      <c r="Q44">
        <f t="shared" si="8"/>
        <v>2.1609124058085349</v>
      </c>
      <c r="R44">
        <f t="shared" si="9"/>
        <v>1.9744733621395404E-2</v>
      </c>
      <c r="S44">
        <f t="shared" si="10"/>
        <v>1.2349463233867137E-2</v>
      </c>
      <c r="T44">
        <f t="shared" si="11"/>
        <v>276.11367120463785</v>
      </c>
      <c r="U44">
        <f t="shared" si="12"/>
        <v>27.350217230168308</v>
      </c>
      <c r="V44">
        <f t="shared" si="13"/>
        <v>27.350217230168308</v>
      </c>
      <c r="W44">
        <f t="shared" si="14"/>
        <v>3.6534441584474182</v>
      </c>
      <c r="X44">
        <f t="shared" si="15"/>
        <v>69.235280194890819</v>
      </c>
      <c r="Y44">
        <f t="shared" si="16"/>
        <v>2.24012946105104</v>
      </c>
      <c r="Z44">
        <f t="shared" si="17"/>
        <v>3.2355317328756179</v>
      </c>
      <c r="AA44">
        <f t="shared" si="18"/>
        <v>1.4133146973963782</v>
      </c>
      <c r="AB44">
        <f t="shared" si="19"/>
        <v>-12.843939183428974</v>
      </c>
      <c r="AC44">
        <f t="shared" si="20"/>
        <v>-239.73387507931466</v>
      </c>
      <c r="AD44">
        <f t="shared" si="21"/>
        <v>-23.780527719127377</v>
      </c>
      <c r="AE44">
        <f t="shared" si="22"/>
        <v>-0.24467077723315356</v>
      </c>
      <c r="AF44">
        <v>2</v>
      </c>
      <c r="AG44">
        <v>1</v>
      </c>
      <c r="AH44">
        <f t="shared" si="23"/>
        <v>1</v>
      </c>
      <c r="AI44">
        <f t="shared" si="24"/>
        <v>0</v>
      </c>
      <c r="AJ44">
        <f t="shared" si="25"/>
        <v>52593.661711657187</v>
      </c>
      <c r="AK44">
        <f t="shared" si="26"/>
        <v>1799.99</v>
      </c>
      <c r="AL44">
        <f t="shared" si="27"/>
        <v>1499.1054553900899</v>
      </c>
      <c r="AM44">
        <f t="shared" si="28"/>
        <v>0.83284099099999997</v>
      </c>
      <c r="AN44">
        <f t="shared" si="29"/>
        <v>0.15339733620999998</v>
      </c>
      <c r="AO44">
        <v>31.8</v>
      </c>
      <c r="AP44">
        <v>0.5</v>
      </c>
      <c r="AQ44" t="s">
        <v>331</v>
      </c>
      <c r="AR44">
        <v>2</v>
      </c>
      <c r="AS44">
        <v>1690388555.5999999</v>
      </c>
      <c r="AT44">
        <v>774.67399999999998</v>
      </c>
      <c r="AU44">
        <v>800.10599999999999</v>
      </c>
      <c r="AV44">
        <v>22.682300000000001</v>
      </c>
      <c r="AW44">
        <v>19.667200000000001</v>
      </c>
      <c r="AX44">
        <v>774.51400000000001</v>
      </c>
      <c r="AY44">
        <v>22.483899999999998</v>
      </c>
      <c r="AZ44">
        <v>300.20699999999999</v>
      </c>
      <c r="BA44">
        <v>98.661199999999994</v>
      </c>
      <c r="BB44">
        <v>9.9924799999999994E-2</v>
      </c>
      <c r="BC44">
        <v>25.292400000000001</v>
      </c>
      <c r="BD44">
        <v>27.12</v>
      </c>
      <c r="BE44">
        <v>26.857199999999999</v>
      </c>
      <c r="BF44">
        <v>0</v>
      </c>
      <c r="BG44">
        <v>0</v>
      </c>
      <c r="BH44">
        <v>10025</v>
      </c>
      <c r="BI44">
        <v>1063.5</v>
      </c>
      <c r="BJ44">
        <v>1.4016500000000001</v>
      </c>
      <c r="BK44">
        <v>-25.4329</v>
      </c>
      <c r="BL44">
        <v>792.65300000000002</v>
      </c>
      <c r="BM44">
        <v>816.15800000000002</v>
      </c>
      <c r="BN44">
        <v>3.01512</v>
      </c>
      <c r="BO44">
        <v>800.10599999999999</v>
      </c>
      <c r="BP44">
        <v>19.667200000000001</v>
      </c>
      <c r="BQ44">
        <v>2.23787</v>
      </c>
      <c r="BR44">
        <v>1.9403900000000001</v>
      </c>
      <c r="BS44">
        <v>19.236000000000001</v>
      </c>
      <c r="BT44">
        <v>16.966100000000001</v>
      </c>
      <c r="BU44">
        <v>1799.99</v>
      </c>
      <c r="BV44">
        <v>0.91000599999999998</v>
      </c>
      <c r="BW44">
        <v>3.3992000000000001E-2</v>
      </c>
      <c r="BX44">
        <v>2.19998E-2</v>
      </c>
      <c r="BY44">
        <v>3.4002299999999999E-2</v>
      </c>
      <c r="BZ44">
        <v>25</v>
      </c>
      <c r="CA44">
        <v>33528.199999999997</v>
      </c>
      <c r="CB44">
        <v>1690387638</v>
      </c>
      <c r="CC44" t="s">
        <v>332</v>
      </c>
      <c r="CD44">
        <v>1690387638</v>
      </c>
      <c r="CE44">
        <v>1690387638</v>
      </c>
      <c r="CF44">
        <v>6</v>
      </c>
      <c r="CG44">
        <v>0.43</v>
      </c>
      <c r="CH44">
        <v>-8.1000000000000003E-2</v>
      </c>
      <c r="CI44">
        <v>0.14199999999999999</v>
      </c>
      <c r="CJ44">
        <v>-2.7E-2</v>
      </c>
      <c r="CK44">
        <v>800</v>
      </c>
      <c r="CL44">
        <v>0</v>
      </c>
      <c r="CM44">
        <v>0.01</v>
      </c>
      <c r="CN44">
        <v>0.01</v>
      </c>
      <c r="CO44">
        <v>-22.932517073170729</v>
      </c>
      <c r="CP44">
        <v>-13.4745700348432</v>
      </c>
      <c r="CQ44">
        <v>1.329511373822406</v>
      </c>
      <c r="CR44">
        <v>-1</v>
      </c>
      <c r="CS44">
        <v>2.7180085365853661</v>
      </c>
      <c r="CT44">
        <v>1.7370014634146369</v>
      </c>
      <c r="CU44">
        <v>0.1718843853286553</v>
      </c>
      <c r="CV44">
        <v>-1</v>
      </c>
      <c r="CW44">
        <v>0</v>
      </c>
      <c r="CX44">
        <v>0</v>
      </c>
      <c r="CY44" t="s">
        <v>333</v>
      </c>
      <c r="CZ44">
        <v>2.36456</v>
      </c>
      <c r="DA44">
        <v>2.71374</v>
      </c>
      <c r="DB44">
        <v>0.14302200000000001</v>
      </c>
      <c r="DC44">
        <v>0.145817</v>
      </c>
      <c r="DD44">
        <v>0.108972</v>
      </c>
      <c r="DE44">
        <v>9.7152000000000002E-2</v>
      </c>
      <c r="DF44">
        <v>31304.7</v>
      </c>
      <c r="DG44">
        <v>27545.200000000001</v>
      </c>
      <c r="DH44">
        <v>31184.7</v>
      </c>
      <c r="DI44">
        <v>28098.7</v>
      </c>
      <c r="DJ44">
        <v>37728.400000000001</v>
      </c>
      <c r="DK44">
        <v>36074.800000000003</v>
      </c>
      <c r="DL44">
        <v>44381.5</v>
      </c>
      <c r="DM44">
        <v>42591.6</v>
      </c>
      <c r="DN44">
        <v>1.4595</v>
      </c>
      <c r="DO44">
        <v>2.0586199999999999</v>
      </c>
      <c r="DP44">
        <v>0.130415</v>
      </c>
      <c r="DQ44">
        <v>0.13109299999999999</v>
      </c>
      <c r="DR44">
        <v>24.983899999999998</v>
      </c>
      <c r="DS44">
        <v>24.709099999999999</v>
      </c>
      <c r="DT44">
        <v>56.9</v>
      </c>
      <c r="DU44">
        <v>28.9</v>
      </c>
      <c r="DV44">
        <v>23.061900000000001</v>
      </c>
      <c r="DW44">
        <v>60.452199999999998</v>
      </c>
      <c r="DX44">
        <v>35.921500000000002</v>
      </c>
      <c r="DY44">
        <v>1</v>
      </c>
      <c r="DZ44">
        <v>-9.1422799999999999E-2</v>
      </c>
      <c r="EA44">
        <v>2.83466</v>
      </c>
      <c r="EB44">
        <v>20.162700000000001</v>
      </c>
      <c r="EC44">
        <v>5.2411000000000003</v>
      </c>
      <c r="ED44">
        <v>12.039899999999999</v>
      </c>
      <c r="EE44">
        <v>5.0168499999999998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1.8689100000000001</v>
      </c>
      <c r="EL44">
        <v>1.8646199999999999</v>
      </c>
      <c r="EM44">
        <v>1.86921</v>
      </c>
      <c r="EN44">
        <v>1.8672299999999999</v>
      </c>
      <c r="EO44">
        <v>1.86338</v>
      </c>
      <c r="EP44">
        <v>1.86446</v>
      </c>
      <c r="EQ44">
        <v>1.87015</v>
      </c>
      <c r="ER44">
        <v>1.8693599999999999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0.16</v>
      </c>
      <c r="FG44">
        <v>0.19839999999999999</v>
      </c>
      <c r="FH44">
        <v>0.69281559908863044</v>
      </c>
      <c r="FI44">
        <v>-6.1462078757559423E-4</v>
      </c>
      <c r="FJ44">
        <v>-1.8861989874597051E-7</v>
      </c>
      <c r="FK44">
        <v>1.1980462299894961E-10</v>
      </c>
      <c r="FL44">
        <v>0.19840465858211129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15.3</v>
      </c>
      <c r="FU44">
        <v>15.3</v>
      </c>
      <c r="FV44">
        <v>1.79199</v>
      </c>
      <c r="FW44">
        <v>2.5781200000000002</v>
      </c>
      <c r="FX44">
        <v>1.5490699999999999</v>
      </c>
      <c r="FY44">
        <v>2.3327599999999999</v>
      </c>
      <c r="FZ44">
        <v>1.50146</v>
      </c>
      <c r="GA44">
        <v>2.4133300000000002</v>
      </c>
      <c r="GB44">
        <v>33.512999999999998</v>
      </c>
      <c r="GC44">
        <v>23.982399999999998</v>
      </c>
      <c r="GD44">
        <v>19</v>
      </c>
      <c r="GE44">
        <v>275.452</v>
      </c>
      <c r="GF44">
        <v>600.21</v>
      </c>
      <c r="GG44">
        <v>19.744</v>
      </c>
      <c r="GH44">
        <v>26.247699999999998</v>
      </c>
      <c r="GI44">
        <v>30.0002</v>
      </c>
      <c r="GJ44">
        <v>26.264299999999999</v>
      </c>
      <c r="GK44">
        <v>26.205200000000001</v>
      </c>
      <c r="GL44">
        <v>35.828600000000002</v>
      </c>
      <c r="GM44">
        <v>24.3568</v>
      </c>
      <c r="GN44">
        <v>100</v>
      </c>
      <c r="GO44">
        <v>19.748200000000001</v>
      </c>
      <c r="GP44">
        <v>800</v>
      </c>
      <c r="GQ44">
        <v>19.489699999999999</v>
      </c>
      <c r="GR44">
        <v>99.781400000000005</v>
      </c>
      <c r="GS44">
        <v>99.633099999999999</v>
      </c>
    </row>
    <row r="45" spans="1:201" x14ac:dyDescent="0.25">
      <c r="A45">
        <v>29</v>
      </c>
      <c r="B45">
        <v>1690388565.5999999</v>
      </c>
      <c r="C45">
        <v>307.09999990463263</v>
      </c>
      <c r="D45" t="s">
        <v>391</v>
      </c>
      <c r="E45" t="s">
        <v>392</v>
      </c>
      <c r="F45" t="s">
        <v>330</v>
      </c>
      <c r="H45">
        <v>1690388565.5999999</v>
      </c>
      <c r="I45">
        <f t="shared" si="0"/>
        <v>3.0938417111597187E-4</v>
      </c>
      <c r="J45">
        <f t="shared" si="1"/>
        <v>0.30938417111597188</v>
      </c>
      <c r="K45">
        <f t="shared" si="2"/>
        <v>2.3688073784915429</v>
      </c>
      <c r="L45">
        <f t="shared" si="3"/>
        <v>772.38099999999997</v>
      </c>
      <c r="M45">
        <f t="shared" si="4"/>
        <v>577.0044669623644</v>
      </c>
      <c r="N45">
        <f t="shared" si="5"/>
        <v>56.985758577376451</v>
      </c>
      <c r="O45">
        <f t="shared" si="6"/>
        <v>76.28141499054199</v>
      </c>
      <c r="P45">
        <f t="shared" si="7"/>
        <v>2.1207004540706214E-2</v>
      </c>
      <c r="Q45">
        <f t="shared" si="8"/>
        <v>2.1574750856032465</v>
      </c>
      <c r="R45">
        <f t="shared" si="9"/>
        <v>2.1091874866522455E-2</v>
      </c>
      <c r="S45">
        <f t="shared" si="10"/>
        <v>1.3192713528707522E-2</v>
      </c>
      <c r="T45">
        <f t="shared" si="11"/>
        <v>276.11530326000002</v>
      </c>
      <c r="U45">
        <f t="shared" si="12"/>
        <v>27.301138513847221</v>
      </c>
      <c r="V45">
        <f t="shared" si="13"/>
        <v>27.301138513847221</v>
      </c>
      <c r="W45">
        <f t="shared" si="14"/>
        <v>3.6429536940336149</v>
      </c>
      <c r="X45">
        <f t="shared" si="15"/>
        <v>69.340322948655214</v>
      </c>
      <c r="Y45">
        <f t="shared" si="16"/>
        <v>2.2374094807953999</v>
      </c>
      <c r="Z45">
        <f t="shared" si="17"/>
        <v>3.226707614921474</v>
      </c>
      <c r="AA45">
        <f t="shared" si="18"/>
        <v>1.405544213238215</v>
      </c>
      <c r="AB45">
        <f t="shared" si="19"/>
        <v>-13.64384194621436</v>
      </c>
      <c r="AC45">
        <f t="shared" si="20"/>
        <v>-238.98280662798584</v>
      </c>
      <c r="AD45">
        <f t="shared" si="21"/>
        <v>-23.732493541696147</v>
      </c>
      <c r="AE45">
        <f t="shared" si="22"/>
        <v>-0.24383885589634247</v>
      </c>
      <c r="AF45">
        <v>1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52457.151862279345</v>
      </c>
      <c r="AK45">
        <f t="shared" si="26"/>
        <v>1800</v>
      </c>
      <c r="AL45">
        <f t="shared" si="27"/>
        <v>1499.1109739999999</v>
      </c>
      <c r="AM45">
        <f t="shared" si="28"/>
        <v>0.83283942999999994</v>
      </c>
      <c r="AN45">
        <f t="shared" si="29"/>
        <v>0.1533973907</v>
      </c>
      <c r="AO45">
        <v>31.8</v>
      </c>
      <c r="AP45">
        <v>0.5</v>
      </c>
      <c r="AQ45" t="s">
        <v>331</v>
      </c>
      <c r="AR45">
        <v>2</v>
      </c>
      <c r="AS45">
        <v>1690388565.5999999</v>
      </c>
      <c r="AT45">
        <v>772.38099999999997</v>
      </c>
      <c r="AU45">
        <v>800.00199999999995</v>
      </c>
      <c r="AV45">
        <v>22.654699999999998</v>
      </c>
      <c r="AW45">
        <v>19.452000000000002</v>
      </c>
      <c r="AX45">
        <v>772.22</v>
      </c>
      <c r="AY45">
        <v>22.456299999999999</v>
      </c>
      <c r="AZ45">
        <v>300.23200000000003</v>
      </c>
      <c r="BA45">
        <v>98.661299999999997</v>
      </c>
      <c r="BB45">
        <v>0.100082</v>
      </c>
      <c r="BC45">
        <v>25.246500000000001</v>
      </c>
      <c r="BD45">
        <v>27.116199999999999</v>
      </c>
      <c r="BE45">
        <v>26.7852</v>
      </c>
      <c r="BF45">
        <v>0</v>
      </c>
      <c r="BG45">
        <v>0</v>
      </c>
      <c r="BH45">
        <v>9996.25</v>
      </c>
      <c r="BI45">
        <v>1062.8399999999999</v>
      </c>
      <c r="BJ45">
        <v>1.4493100000000001</v>
      </c>
      <c r="BK45">
        <v>-27.6204</v>
      </c>
      <c r="BL45">
        <v>790.28499999999997</v>
      </c>
      <c r="BM45">
        <v>815.87199999999996</v>
      </c>
      <c r="BN45">
        <v>3.20269</v>
      </c>
      <c r="BO45">
        <v>800.00199999999995</v>
      </c>
      <c r="BP45">
        <v>19.452000000000002</v>
      </c>
      <c r="BQ45">
        <v>2.2351399999999999</v>
      </c>
      <c r="BR45">
        <v>1.91916</v>
      </c>
      <c r="BS45">
        <v>19.2165</v>
      </c>
      <c r="BT45">
        <v>16.7927</v>
      </c>
      <c r="BU45">
        <v>1800</v>
      </c>
      <c r="BV45">
        <v>0.90999600000000003</v>
      </c>
      <c r="BW45">
        <v>3.40069E-2</v>
      </c>
      <c r="BX45">
        <v>2.1998E-2</v>
      </c>
      <c r="BY45">
        <v>3.3999599999999998E-2</v>
      </c>
      <c r="BZ45">
        <v>25</v>
      </c>
      <c r="CA45">
        <v>33528.300000000003</v>
      </c>
      <c r="CB45">
        <v>1690387638</v>
      </c>
      <c r="CC45" t="s">
        <v>332</v>
      </c>
      <c r="CD45">
        <v>1690387638</v>
      </c>
      <c r="CE45">
        <v>1690387638</v>
      </c>
      <c r="CF45">
        <v>6</v>
      </c>
      <c r="CG45">
        <v>0.43</v>
      </c>
      <c r="CH45">
        <v>-8.1000000000000003E-2</v>
      </c>
      <c r="CI45">
        <v>0.14199999999999999</v>
      </c>
      <c r="CJ45">
        <v>-2.7E-2</v>
      </c>
      <c r="CK45">
        <v>800</v>
      </c>
      <c r="CL45">
        <v>0</v>
      </c>
      <c r="CM45">
        <v>0.01</v>
      </c>
      <c r="CN45">
        <v>0.01</v>
      </c>
      <c r="CO45">
        <v>-25.19715853658537</v>
      </c>
      <c r="CP45">
        <v>-13.440949128919909</v>
      </c>
      <c r="CQ45">
        <v>1.3258059746535791</v>
      </c>
      <c r="CR45">
        <v>-1</v>
      </c>
      <c r="CS45">
        <v>2.976661219512196</v>
      </c>
      <c r="CT45">
        <v>1.34906362369338</v>
      </c>
      <c r="CU45">
        <v>0.1344082123506346</v>
      </c>
      <c r="CV45">
        <v>-1</v>
      </c>
      <c r="CW45">
        <v>0</v>
      </c>
      <c r="CX45">
        <v>0</v>
      </c>
      <c r="CY45" t="s">
        <v>333</v>
      </c>
      <c r="CZ45">
        <v>2.3646199999999999</v>
      </c>
      <c r="DA45">
        <v>2.71387</v>
      </c>
      <c r="DB45">
        <v>0.142735</v>
      </c>
      <c r="DC45">
        <v>0.14579800000000001</v>
      </c>
      <c r="DD45">
        <v>0.108876</v>
      </c>
      <c r="DE45">
        <v>9.6393599999999996E-2</v>
      </c>
      <c r="DF45">
        <v>31314.9</v>
      </c>
      <c r="DG45">
        <v>27545.5</v>
      </c>
      <c r="DH45">
        <v>31184.400000000001</v>
      </c>
      <c r="DI45">
        <v>28098.3</v>
      </c>
      <c r="DJ45">
        <v>37732</v>
      </c>
      <c r="DK45">
        <v>36104.800000000003</v>
      </c>
      <c r="DL45">
        <v>44380.9</v>
      </c>
      <c r="DM45">
        <v>42591.199999999997</v>
      </c>
      <c r="DN45">
        <v>1.4601200000000001</v>
      </c>
      <c r="DO45">
        <v>2.0579000000000001</v>
      </c>
      <c r="DP45">
        <v>0.132553</v>
      </c>
      <c r="DQ45">
        <v>0.12909599999999999</v>
      </c>
      <c r="DR45">
        <v>24.945</v>
      </c>
      <c r="DS45">
        <v>24.669599999999999</v>
      </c>
      <c r="DT45">
        <v>56.9</v>
      </c>
      <c r="DU45">
        <v>28.9</v>
      </c>
      <c r="DV45">
        <v>23.064</v>
      </c>
      <c r="DW45">
        <v>60.502200000000002</v>
      </c>
      <c r="DX45">
        <v>35.472799999999999</v>
      </c>
      <c r="DY45">
        <v>1</v>
      </c>
      <c r="DZ45">
        <v>-9.1450699999999996E-2</v>
      </c>
      <c r="EA45">
        <v>2.7953700000000001</v>
      </c>
      <c r="EB45">
        <v>20.1633</v>
      </c>
      <c r="EC45">
        <v>5.2411000000000003</v>
      </c>
      <c r="ED45">
        <v>12.039899999999999</v>
      </c>
      <c r="EE45">
        <v>5.0164999999999997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1.8692</v>
      </c>
      <c r="EN45">
        <v>1.8672500000000001</v>
      </c>
      <c r="EO45">
        <v>1.86337</v>
      </c>
      <c r="EP45">
        <v>1.8644700000000001</v>
      </c>
      <c r="EQ45">
        <v>1.87015</v>
      </c>
      <c r="ER45">
        <v>1.86937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0.161</v>
      </c>
      <c r="FG45">
        <v>0.19839999999999999</v>
      </c>
      <c r="FH45">
        <v>0.69281559908863044</v>
      </c>
      <c r="FI45">
        <v>-6.1462078757559423E-4</v>
      </c>
      <c r="FJ45">
        <v>-1.8861989874597051E-7</v>
      </c>
      <c r="FK45">
        <v>1.1980462299894961E-10</v>
      </c>
      <c r="FL45">
        <v>0.19840465858211129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15.5</v>
      </c>
      <c r="FU45">
        <v>15.5</v>
      </c>
      <c r="FV45">
        <v>1.79199</v>
      </c>
      <c r="FW45">
        <v>2.5805699999999998</v>
      </c>
      <c r="FX45">
        <v>1.5490699999999999</v>
      </c>
      <c r="FY45">
        <v>2.3327599999999999</v>
      </c>
      <c r="FZ45">
        <v>1.50146</v>
      </c>
      <c r="GA45">
        <v>2.34497</v>
      </c>
      <c r="GB45">
        <v>33.512999999999998</v>
      </c>
      <c r="GC45">
        <v>23.973700000000001</v>
      </c>
      <c r="GD45">
        <v>19</v>
      </c>
      <c r="GE45">
        <v>275.72199999999998</v>
      </c>
      <c r="GF45">
        <v>599.63900000000001</v>
      </c>
      <c r="GG45">
        <v>19.7441</v>
      </c>
      <c r="GH45">
        <v>26.246500000000001</v>
      </c>
      <c r="GI45">
        <v>29.9999</v>
      </c>
      <c r="GJ45">
        <v>26.266500000000001</v>
      </c>
      <c r="GK45">
        <v>26.2088</v>
      </c>
      <c r="GL45">
        <v>35.826599999999999</v>
      </c>
      <c r="GM45">
        <v>25.603899999999999</v>
      </c>
      <c r="GN45">
        <v>100</v>
      </c>
      <c r="GO45">
        <v>19.744700000000002</v>
      </c>
      <c r="GP45">
        <v>800</v>
      </c>
      <c r="GQ45">
        <v>19.190300000000001</v>
      </c>
      <c r="GR45">
        <v>99.780199999999994</v>
      </c>
      <c r="GS45">
        <v>99.632099999999994</v>
      </c>
    </row>
    <row r="46" spans="1:201" x14ac:dyDescent="0.25">
      <c r="A46">
        <v>30</v>
      </c>
      <c r="B46">
        <v>1690388575.5999999</v>
      </c>
      <c r="C46">
        <v>317.09999990463263</v>
      </c>
      <c r="D46" t="s">
        <v>393</v>
      </c>
      <c r="E46" t="s">
        <v>394</v>
      </c>
      <c r="F46" t="s">
        <v>330</v>
      </c>
      <c r="H46">
        <v>1690388575.5999999</v>
      </c>
      <c r="I46">
        <f t="shared" si="0"/>
        <v>3.3206505629411996E-4</v>
      </c>
      <c r="J46">
        <f t="shared" si="1"/>
        <v>0.33206505629411998</v>
      </c>
      <c r="K46">
        <f t="shared" si="2"/>
        <v>2.5739578063995467</v>
      </c>
      <c r="L46">
        <f t="shared" si="3"/>
        <v>770.03599999999994</v>
      </c>
      <c r="M46">
        <f t="shared" si="4"/>
        <v>573.65296600702641</v>
      </c>
      <c r="N46">
        <f t="shared" si="5"/>
        <v>56.65479998169117</v>
      </c>
      <c r="O46">
        <f t="shared" si="6"/>
        <v>76.049873606279206</v>
      </c>
      <c r="P46">
        <f t="shared" si="7"/>
        <v>2.2903460403978795E-2</v>
      </c>
      <c r="Q46">
        <f t="shared" si="8"/>
        <v>2.1599481650100527</v>
      </c>
      <c r="R46">
        <f t="shared" si="9"/>
        <v>2.2769390004030887E-2</v>
      </c>
      <c r="S46">
        <f t="shared" si="10"/>
        <v>1.424284891417392E-2</v>
      </c>
      <c r="T46">
        <f t="shared" si="11"/>
        <v>276.11346937175921</v>
      </c>
      <c r="U46">
        <f t="shared" si="12"/>
        <v>27.244645987306313</v>
      </c>
      <c r="V46">
        <f t="shared" si="13"/>
        <v>27.244645987306313</v>
      </c>
      <c r="W46">
        <f t="shared" si="14"/>
        <v>3.6309111000098091</v>
      </c>
      <c r="X46">
        <f t="shared" si="15"/>
        <v>69.406814917388118</v>
      </c>
      <c r="Y46">
        <f t="shared" si="16"/>
        <v>2.2333519754699207</v>
      </c>
      <c r="Z46">
        <f t="shared" si="17"/>
        <v>3.2177704424676188</v>
      </c>
      <c r="AA46">
        <f t="shared" si="18"/>
        <v>1.3975591245398884</v>
      </c>
      <c r="AB46">
        <f t="shared" si="19"/>
        <v>-14.64406898257069</v>
      </c>
      <c r="AC46">
        <f t="shared" si="20"/>
        <v>-238.10479254227175</v>
      </c>
      <c r="AD46">
        <f t="shared" si="21"/>
        <v>-23.60602369948684</v>
      </c>
      <c r="AE46">
        <f t="shared" si="22"/>
        <v>-0.24141585257009979</v>
      </c>
      <c r="AF46">
        <v>1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52569.386161013521</v>
      </c>
      <c r="AK46">
        <f t="shared" si="26"/>
        <v>1799.99</v>
      </c>
      <c r="AL46">
        <f t="shared" si="27"/>
        <v>1499.1026780055199</v>
      </c>
      <c r="AM46">
        <f t="shared" si="28"/>
        <v>0.83283944799999998</v>
      </c>
      <c r="AN46">
        <f t="shared" si="29"/>
        <v>0.15339722408000001</v>
      </c>
      <c r="AO46">
        <v>31.8</v>
      </c>
      <c r="AP46">
        <v>0.5</v>
      </c>
      <c r="AQ46" t="s">
        <v>331</v>
      </c>
      <c r="AR46">
        <v>2</v>
      </c>
      <c r="AS46">
        <v>1690388575.5999999</v>
      </c>
      <c r="AT46">
        <v>770.03599999999994</v>
      </c>
      <c r="AU46">
        <v>800.02</v>
      </c>
      <c r="AV46">
        <v>22.613600000000002</v>
      </c>
      <c r="AW46">
        <v>19.174499999999998</v>
      </c>
      <c r="AX46">
        <v>769.87300000000005</v>
      </c>
      <c r="AY46">
        <v>22.415199999999999</v>
      </c>
      <c r="AZ46">
        <v>300.10399999999998</v>
      </c>
      <c r="BA46">
        <v>98.661500000000004</v>
      </c>
      <c r="BB46">
        <v>9.9952200000000005E-2</v>
      </c>
      <c r="BC46">
        <v>25.1999</v>
      </c>
      <c r="BD46">
        <v>27.090599999999998</v>
      </c>
      <c r="BE46">
        <v>26.756399999999999</v>
      </c>
      <c r="BF46">
        <v>0</v>
      </c>
      <c r="BG46">
        <v>0</v>
      </c>
      <c r="BH46">
        <v>10016.9</v>
      </c>
      <c r="BI46">
        <v>1061.96</v>
      </c>
      <c r="BJ46">
        <v>1.3820300000000001</v>
      </c>
      <c r="BK46">
        <v>-29.984300000000001</v>
      </c>
      <c r="BL46">
        <v>787.85199999999998</v>
      </c>
      <c r="BM46">
        <v>815.66</v>
      </c>
      <c r="BN46">
        <v>3.4391400000000001</v>
      </c>
      <c r="BO46">
        <v>800.02</v>
      </c>
      <c r="BP46">
        <v>19.174499999999998</v>
      </c>
      <c r="BQ46">
        <v>2.23109</v>
      </c>
      <c r="BR46">
        <v>1.89178</v>
      </c>
      <c r="BS46">
        <v>19.1873</v>
      </c>
      <c r="BT46">
        <v>16.566500000000001</v>
      </c>
      <c r="BU46">
        <v>1799.99</v>
      </c>
      <c r="BV46">
        <v>0.91</v>
      </c>
      <c r="BW46">
        <v>3.40069E-2</v>
      </c>
      <c r="BX46">
        <v>2.1996399999999999E-2</v>
      </c>
      <c r="BY46">
        <v>3.3996999999999999E-2</v>
      </c>
      <c r="BZ46">
        <v>25</v>
      </c>
      <c r="CA46">
        <v>33528.199999999997</v>
      </c>
      <c r="CB46">
        <v>1690387638</v>
      </c>
      <c r="CC46" t="s">
        <v>332</v>
      </c>
      <c r="CD46">
        <v>1690387638</v>
      </c>
      <c r="CE46">
        <v>1690387638</v>
      </c>
      <c r="CF46">
        <v>6</v>
      </c>
      <c r="CG46">
        <v>0.43</v>
      </c>
      <c r="CH46">
        <v>-8.1000000000000003E-2</v>
      </c>
      <c r="CI46">
        <v>0.14199999999999999</v>
      </c>
      <c r="CJ46">
        <v>-2.7E-2</v>
      </c>
      <c r="CK46">
        <v>800</v>
      </c>
      <c r="CL46">
        <v>0</v>
      </c>
      <c r="CM46">
        <v>0.01</v>
      </c>
      <c r="CN46">
        <v>0.01</v>
      </c>
      <c r="CO46">
        <v>-27.6426625</v>
      </c>
      <c r="CP46">
        <v>-13.74103001876172</v>
      </c>
      <c r="CQ46">
        <v>1.3222027880940761</v>
      </c>
      <c r="CR46">
        <v>-1</v>
      </c>
      <c r="CS46">
        <v>3.2125487499999998</v>
      </c>
      <c r="CT46">
        <v>1.3138013133208291</v>
      </c>
      <c r="CU46">
        <v>0.1267252122150028</v>
      </c>
      <c r="CV46">
        <v>-1</v>
      </c>
      <c r="CW46">
        <v>0</v>
      </c>
      <c r="CX46">
        <v>0</v>
      </c>
      <c r="CY46" t="s">
        <v>333</v>
      </c>
      <c r="CZ46">
        <v>2.3642300000000001</v>
      </c>
      <c r="DA46">
        <v>2.7137600000000002</v>
      </c>
      <c r="DB46">
        <v>0.14244399999999999</v>
      </c>
      <c r="DC46">
        <v>0.14579500000000001</v>
      </c>
      <c r="DD46">
        <v>0.108736</v>
      </c>
      <c r="DE46">
        <v>9.5412499999999997E-2</v>
      </c>
      <c r="DF46">
        <v>31325.3</v>
      </c>
      <c r="DG46">
        <v>27545.4</v>
      </c>
      <c r="DH46">
        <v>31184.2</v>
      </c>
      <c r="DI46">
        <v>28098.2</v>
      </c>
      <c r="DJ46">
        <v>37737.800000000003</v>
      </c>
      <c r="DK46">
        <v>36143.9</v>
      </c>
      <c r="DL46">
        <v>44380.800000000003</v>
      </c>
      <c r="DM46">
        <v>42591</v>
      </c>
      <c r="DN46">
        <v>1.4602200000000001</v>
      </c>
      <c r="DO46">
        <v>2.0577200000000002</v>
      </c>
      <c r="DP46">
        <v>0.13352900000000001</v>
      </c>
      <c r="DQ46">
        <v>0.12978200000000001</v>
      </c>
      <c r="DR46">
        <v>24.903300000000002</v>
      </c>
      <c r="DS46">
        <v>24.6294</v>
      </c>
      <c r="DT46">
        <v>56.9</v>
      </c>
      <c r="DU46">
        <v>28.9</v>
      </c>
      <c r="DV46">
        <v>23.058900000000001</v>
      </c>
      <c r="DW46">
        <v>61.002200000000002</v>
      </c>
      <c r="DX46">
        <v>36.193899999999999</v>
      </c>
      <c r="DY46">
        <v>1</v>
      </c>
      <c r="DZ46">
        <v>-9.1425300000000001E-2</v>
      </c>
      <c r="EA46">
        <v>2.7976100000000002</v>
      </c>
      <c r="EB46">
        <v>20.163399999999999</v>
      </c>
      <c r="EC46">
        <v>5.2408000000000001</v>
      </c>
      <c r="ED46">
        <v>12.039899999999999</v>
      </c>
      <c r="EE46">
        <v>5.0165499999999996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1.8689100000000001</v>
      </c>
      <c r="EL46">
        <v>1.8646199999999999</v>
      </c>
      <c r="EM46">
        <v>1.8692</v>
      </c>
      <c r="EN46">
        <v>1.86724</v>
      </c>
      <c r="EO46">
        <v>1.86337</v>
      </c>
      <c r="EP46">
        <v>1.8644700000000001</v>
      </c>
      <c r="EQ46">
        <v>1.87016</v>
      </c>
      <c r="ER46">
        <v>1.86941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0.16300000000000001</v>
      </c>
      <c r="FG46">
        <v>0.19839999999999999</v>
      </c>
      <c r="FH46">
        <v>0.69281559908863044</v>
      </c>
      <c r="FI46">
        <v>-6.1462078757559423E-4</v>
      </c>
      <c r="FJ46">
        <v>-1.8861989874597051E-7</v>
      </c>
      <c r="FK46">
        <v>1.1980462299894961E-10</v>
      </c>
      <c r="FL46">
        <v>0.19840465858211129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15.6</v>
      </c>
      <c r="FU46">
        <v>15.6</v>
      </c>
      <c r="FV46">
        <v>1.79199</v>
      </c>
      <c r="FW46">
        <v>2.5891099999999998</v>
      </c>
      <c r="FX46">
        <v>1.5490699999999999</v>
      </c>
      <c r="FY46">
        <v>2.3327599999999999</v>
      </c>
      <c r="FZ46">
        <v>1.50146</v>
      </c>
      <c r="GA46">
        <v>2.3144499999999999</v>
      </c>
      <c r="GB46">
        <v>33.512999999999998</v>
      </c>
      <c r="GC46">
        <v>23.973700000000001</v>
      </c>
      <c r="GD46">
        <v>19</v>
      </c>
      <c r="GE46">
        <v>275.77300000000002</v>
      </c>
      <c r="GF46">
        <v>599.52599999999995</v>
      </c>
      <c r="GG46">
        <v>19.733799999999999</v>
      </c>
      <c r="GH46">
        <v>26.244299999999999</v>
      </c>
      <c r="GI46">
        <v>30</v>
      </c>
      <c r="GJ46">
        <v>26.268599999999999</v>
      </c>
      <c r="GK46">
        <v>26.2117</v>
      </c>
      <c r="GL46">
        <v>35.823300000000003</v>
      </c>
      <c r="GM46">
        <v>26.780100000000001</v>
      </c>
      <c r="GN46">
        <v>100</v>
      </c>
      <c r="GO46">
        <v>19.7272</v>
      </c>
      <c r="GP46">
        <v>800</v>
      </c>
      <c r="GQ46">
        <v>18.9786</v>
      </c>
      <c r="GR46">
        <v>99.779700000000005</v>
      </c>
      <c r="GS46">
        <v>99.631500000000003</v>
      </c>
    </row>
    <row r="47" spans="1:201" x14ac:dyDescent="0.25">
      <c r="A47">
        <v>31</v>
      </c>
      <c r="B47">
        <v>1690388585.5999999</v>
      </c>
      <c r="C47">
        <v>327.09999990463263</v>
      </c>
      <c r="D47" t="s">
        <v>395</v>
      </c>
      <c r="E47" t="s">
        <v>396</v>
      </c>
      <c r="F47" t="s">
        <v>330</v>
      </c>
      <c r="H47">
        <v>1690388585.5999999</v>
      </c>
      <c r="I47">
        <f t="shared" si="0"/>
        <v>3.482231991818173E-4</v>
      </c>
      <c r="J47">
        <f t="shared" si="1"/>
        <v>0.34822319918181732</v>
      </c>
      <c r="K47">
        <f t="shared" si="2"/>
        <v>2.7810448414002193</v>
      </c>
      <c r="L47">
        <f t="shared" si="3"/>
        <v>767.65800000000002</v>
      </c>
      <c r="M47">
        <f t="shared" si="4"/>
        <v>566.5190253310044</v>
      </c>
      <c r="N47">
        <f t="shared" si="5"/>
        <v>55.951413655178186</v>
      </c>
      <c r="O47">
        <f t="shared" si="6"/>
        <v>75.816607003818007</v>
      </c>
      <c r="P47">
        <f t="shared" si="7"/>
        <v>2.4097488703812286E-2</v>
      </c>
      <c r="Q47">
        <f t="shared" si="8"/>
        <v>2.1580226084604019</v>
      </c>
      <c r="R47">
        <f t="shared" si="9"/>
        <v>2.3948992274660304E-2</v>
      </c>
      <c r="S47">
        <f t="shared" si="10"/>
        <v>1.4981385593602362E-2</v>
      </c>
      <c r="T47">
        <f t="shared" si="11"/>
        <v>276.11294793265608</v>
      </c>
      <c r="U47">
        <f t="shared" si="12"/>
        <v>27.200300571771947</v>
      </c>
      <c r="V47">
        <f t="shared" si="13"/>
        <v>27.200300571771947</v>
      </c>
      <c r="W47">
        <f t="shared" si="14"/>
        <v>3.6214822803212026</v>
      </c>
      <c r="X47">
        <f t="shared" si="15"/>
        <v>69.406616042102826</v>
      </c>
      <c r="Y47">
        <f t="shared" si="16"/>
        <v>2.2279667648306001</v>
      </c>
      <c r="Z47">
        <f t="shared" si="17"/>
        <v>3.2100207327196166</v>
      </c>
      <c r="AA47">
        <f t="shared" si="18"/>
        <v>1.3935155154906025</v>
      </c>
      <c r="AB47">
        <f t="shared" si="19"/>
        <v>-15.356643083918144</v>
      </c>
      <c r="AC47">
        <f t="shared" si="20"/>
        <v>-237.44513783455119</v>
      </c>
      <c r="AD47">
        <f t="shared" si="21"/>
        <v>-23.551608450885368</v>
      </c>
      <c r="AE47">
        <f t="shared" si="22"/>
        <v>-0.24044143669863161</v>
      </c>
      <c r="AF47">
        <v>1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52495.547956849521</v>
      </c>
      <c r="AK47">
        <f t="shared" si="26"/>
        <v>1799.99</v>
      </c>
      <c r="AL47">
        <f t="shared" si="27"/>
        <v>1499.1024368068597</v>
      </c>
      <c r="AM47">
        <f t="shared" si="28"/>
        <v>0.83283931399999989</v>
      </c>
      <c r="AN47">
        <f t="shared" si="29"/>
        <v>0.15339693438999999</v>
      </c>
      <c r="AO47">
        <v>31.8</v>
      </c>
      <c r="AP47">
        <v>0.5</v>
      </c>
      <c r="AQ47" t="s">
        <v>331</v>
      </c>
      <c r="AR47">
        <v>2</v>
      </c>
      <c r="AS47">
        <v>1690388585.5999999</v>
      </c>
      <c r="AT47">
        <v>767.65800000000002</v>
      </c>
      <c r="AU47">
        <v>799.95899999999995</v>
      </c>
      <c r="AV47">
        <v>22.558599999999998</v>
      </c>
      <c r="AW47">
        <v>18.952000000000002</v>
      </c>
      <c r="AX47">
        <v>767.49400000000003</v>
      </c>
      <c r="AY47">
        <v>22.360199999999999</v>
      </c>
      <c r="AZ47">
        <v>300.108</v>
      </c>
      <c r="BA47">
        <v>98.663499999999999</v>
      </c>
      <c r="BB47">
        <v>0.100021</v>
      </c>
      <c r="BC47">
        <v>25.159400000000002</v>
      </c>
      <c r="BD47">
        <v>27.049600000000002</v>
      </c>
      <c r="BE47">
        <v>26.718900000000001</v>
      </c>
      <c r="BF47">
        <v>0</v>
      </c>
      <c r="BG47">
        <v>0</v>
      </c>
      <c r="BH47">
        <v>10000.6</v>
      </c>
      <c r="BI47">
        <v>1061.1099999999999</v>
      </c>
      <c r="BJ47">
        <v>1.1101099999999999</v>
      </c>
      <c r="BK47">
        <v>-32.300400000000003</v>
      </c>
      <c r="BL47">
        <v>785.375</v>
      </c>
      <c r="BM47">
        <v>815.41200000000003</v>
      </c>
      <c r="BN47">
        <v>3.6066600000000002</v>
      </c>
      <c r="BO47">
        <v>799.95899999999995</v>
      </c>
      <c r="BP47">
        <v>18.952000000000002</v>
      </c>
      <c r="BQ47">
        <v>2.2257099999999999</v>
      </c>
      <c r="BR47">
        <v>1.8698699999999999</v>
      </c>
      <c r="BS47">
        <v>19.148599999999998</v>
      </c>
      <c r="BT47">
        <v>16.383400000000002</v>
      </c>
      <c r="BU47">
        <v>1799.99</v>
      </c>
      <c r="BV47">
        <v>0.91000599999999998</v>
      </c>
      <c r="BW47">
        <v>3.4004300000000001E-2</v>
      </c>
      <c r="BX47">
        <v>2.1994699999999999E-2</v>
      </c>
      <c r="BY47">
        <v>3.3994499999999997E-2</v>
      </c>
      <c r="BZ47">
        <v>25</v>
      </c>
      <c r="CA47">
        <v>33528.199999999997</v>
      </c>
      <c r="CB47">
        <v>1690387638</v>
      </c>
      <c r="CC47" t="s">
        <v>332</v>
      </c>
      <c r="CD47">
        <v>1690387638</v>
      </c>
      <c r="CE47">
        <v>1690387638</v>
      </c>
      <c r="CF47">
        <v>6</v>
      </c>
      <c r="CG47">
        <v>0.43</v>
      </c>
      <c r="CH47">
        <v>-8.1000000000000003E-2</v>
      </c>
      <c r="CI47">
        <v>0.14199999999999999</v>
      </c>
      <c r="CJ47">
        <v>-2.7E-2</v>
      </c>
      <c r="CK47">
        <v>800</v>
      </c>
      <c r="CL47">
        <v>0</v>
      </c>
      <c r="CM47">
        <v>0.01</v>
      </c>
      <c r="CN47">
        <v>0.01</v>
      </c>
      <c r="CO47">
        <v>-29.702047499999999</v>
      </c>
      <c r="CP47">
        <v>-13.799015009380851</v>
      </c>
      <c r="CQ47">
        <v>1.3277833049838179</v>
      </c>
      <c r="CR47">
        <v>-1</v>
      </c>
      <c r="CS47">
        <v>3.4023694999999998</v>
      </c>
      <c r="CT47">
        <v>1.238030318949342</v>
      </c>
      <c r="CU47">
        <v>0.1196495595259339</v>
      </c>
      <c r="CV47">
        <v>-1</v>
      </c>
      <c r="CW47">
        <v>0</v>
      </c>
      <c r="CX47">
        <v>0</v>
      </c>
      <c r="CY47" t="s">
        <v>333</v>
      </c>
      <c r="CZ47">
        <v>2.3642799999999999</v>
      </c>
      <c r="DA47">
        <v>2.7138100000000001</v>
      </c>
      <c r="DB47">
        <v>0.142149</v>
      </c>
      <c r="DC47">
        <v>0.145785</v>
      </c>
      <c r="DD47">
        <v>0.10854900000000001</v>
      </c>
      <c r="DE47">
        <v>9.4622399999999995E-2</v>
      </c>
      <c r="DF47">
        <v>31336.1</v>
      </c>
      <c r="DG47">
        <v>27545.9</v>
      </c>
      <c r="DH47">
        <v>31184.2</v>
      </c>
      <c r="DI47">
        <v>28098.3</v>
      </c>
      <c r="DJ47">
        <v>37745.699999999997</v>
      </c>
      <c r="DK47">
        <v>36175.9</v>
      </c>
      <c r="DL47">
        <v>44380.800000000003</v>
      </c>
      <c r="DM47">
        <v>42591.4</v>
      </c>
      <c r="DN47">
        <v>1.4605300000000001</v>
      </c>
      <c r="DO47">
        <v>2.0575000000000001</v>
      </c>
      <c r="DP47">
        <v>0.13339500000000001</v>
      </c>
      <c r="DQ47">
        <v>0.129856</v>
      </c>
      <c r="DR47">
        <v>24.8643</v>
      </c>
      <c r="DS47">
        <v>24.590599999999998</v>
      </c>
      <c r="DT47">
        <v>56.9</v>
      </c>
      <c r="DU47">
        <v>28.9</v>
      </c>
      <c r="DV47">
        <v>23.061499999999999</v>
      </c>
      <c r="DW47">
        <v>60.992199999999997</v>
      </c>
      <c r="DX47">
        <v>36.782899999999998</v>
      </c>
      <c r="DY47">
        <v>1</v>
      </c>
      <c r="DZ47">
        <v>-9.1438000000000005E-2</v>
      </c>
      <c r="EA47">
        <v>2.7857699999999999</v>
      </c>
      <c r="EB47">
        <v>20.163399999999999</v>
      </c>
      <c r="EC47">
        <v>5.24125</v>
      </c>
      <c r="ED47">
        <v>12.039899999999999</v>
      </c>
      <c r="EE47">
        <v>5.0164999999999997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1.8646199999999999</v>
      </c>
      <c r="EM47">
        <v>1.8692</v>
      </c>
      <c r="EN47">
        <v>1.8672299999999999</v>
      </c>
      <c r="EO47">
        <v>1.8633500000000001</v>
      </c>
      <c r="EP47">
        <v>1.8644700000000001</v>
      </c>
      <c r="EQ47">
        <v>1.8701399999999999</v>
      </c>
      <c r="ER47">
        <v>1.86937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0.16400000000000001</v>
      </c>
      <c r="FG47">
        <v>0.19839999999999999</v>
      </c>
      <c r="FH47">
        <v>0.69281559908863044</v>
      </c>
      <c r="FI47">
        <v>-6.1462078757559423E-4</v>
      </c>
      <c r="FJ47">
        <v>-1.8861989874597051E-7</v>
      </c>
      <c r="FK47">
        <v>1.1980462299894961E-10</v>
      </c>
      <c r="FL47">
        <v>0.19840465858211129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15.8</v>
      </c>
      <c r="FU47">
        <v>15.8</v>
      </c>
      <c r="FV47">
        <v>1.79199</v>
      </c>
      <c r="FW47">
        <v>2.5817899999999998</v>
      </c>
      <c r="FX47">
        <v>1.5490699999999999</v>
      </c>
      <c r="FY47">
        <v>2.3327599999999999</v>
      </c>
      <c r="FZ47">
        <v>1.50146</v>
      </c>
      <c r="GA47">
        <v>2.3767100000000001</v>
      </c>
      <c r="GB47">
        <v>33.512999999999998</v>
      </c>
      <c r="GC47">
        <v>23.973700000000001</v>
      </c>
      <c r="GD47">
        <v>19</v>
      </c>
      <c r="GE47">
        <v>275.899</v>
      </c>
      <c r="GF47">
        <v>599.37800000000004</v>
      </c>
      <c r="GG47">
        <v>19.712499999999999</v>
      </c>
      <c r="GH47">
        <v>26.240500000000001</v>
      </c>
      <c r="GI47">
        <v>30.0001</v>
      </c>
      <c r="GJ47">
        <v>26.268699999999999</v>
      </c>
      <c r="GK47">
        <v>26.215299999999999</v>
      </c>
      <c r="GL47">
        <v>35.825699999999998</v>
      </c>
      <c r="GM47">
        <v>27.779599999999999</v>
      </c>
      <c r="GN47">
        <v>100</v>
      </c>
      <c r="GO47">
        <v>19.706900000000001</v>
      </c>
      <c r="GP47">
        <v>800</v>
      </c>
      <c r="GQ47">
        <v>18.697600000000001</v>
      </c>
      <c r="GR47">
        <v>99.779799999999994</v>
      </c>
      <c r="GS47">
        <v>99.632300000000001</v>
      </c>
    </row>
    <row r="48" spans="1:201" x14ac:dyDescent="0.25">
      <c r="A48">
        <v>32</v>
      </c>
      <c r="B48">
        <v>1690388595.5999999</v>
      </c>
      <c r="C48">
        <v>337.09999990463263</v>
      </c>
      <c r="D48" t="s">
        <v>397</v>
      </c>
      <c r="E48" t="s">
        <v>398</v>
      </c>
      <c r="F48" t="s">
        <v>330</v>
      </c>
      <c r="H48">
        <v>1690388595.5999999</v>
      </c>
      <c r="I48">
        <f t="shared" si="0"/>
        <v>3.6923609933963992E-4</v>
      </c>
      <c r="J48">
        <f t="shared" si="1"/>
        <v>0.36923609933963991</v>
      </c>
      <c r="K48">
        <f t="shared" si="2"/>
        <v>2.9893565769105717</v>
      </c>
      <c r="L48">
        <f t="shared" si="3"/>
        <v>765.37800000000004</v>
      </c>
      <c r="M48">
        <f t="shared" si="4"/>
        <v>562.16145314783284</v>
      </c>
      <c r="N48">
        <f t="shared" si="5"/>
        <v>55.521125322173468</v>
      </c>
      <c r="O48">
        <f t="shared" si="6"/>
        <v>75.591536237294406</v>
      </c>
      <c r="P48">
        <f t="shared" si="7"/>
        <v>2.5609651393004956E-2</v>
      </c>
      <c r="Q48">
        <f t="shared" si="8"/>
        <v>2.1585516473279425</v>
      </c>
      <c r="R48">
        <f t="shared" si="9"/>
        <v>2.5442044121530304E-2</v>
      </c>
      <c r="S48">
        <f t="shared" si="10"/>
        <v>1.5916244871355914E-2</v>
      </c>
      <c r="T48">
        <f t="shared" si="11"/>
        <v>276.11288513100499</v>
      </c>
      <c r="U48">
        <f t="shared" si="12"/>
        <v>27.15845583171977</v>
      </c>
      <c r="V48">
        <f t="shared" si="13"/>
        <v>27.15845583171977</v>
      </c>
      <c r="W48">
        <f t="shared" si="14"/>
        <v>3.6126047643545669</v>
      </c>
      <c r="X48">
        <f t="shared" si="15"/>
        <v>69.349374586684391</v>
      </c>
      <c r="Y48">
        <f t="shared" si="16"/>
        <v>2.22159975237768</v>
      </c>
      <c r="Z48">
        <f t="shared" si="17"/>
        <v>3.2034892392587548</v>
      </c>
      <c r="AA48">
        <f t="shared" si="18"/>
        <v>1.3910050119768869</v>
      </c>
      <c r="AB48">
        <f t="shared" si="19"/>
        <v>-16.283311980878121</v>
      </c>
      <c r="AC48">
        <f t="shared" si="20"/>
        <v>-236.61371503008448</v>
      </c>
      <c r="AD48">
        <f t="shared" si="21"/>
        <v>-23.454442961902167</v>
      </c>
      <c r="AE48">
        <f t="shared" si="22"/>
        <v>-0.23858484185979023</v>
      </c>
      <c r="AF48">
        <v>1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52523.829971116676</v>
      </c>
      <c r="AK48">
        <f t="shared" si="26"/>
        <v>1799.99</v>
      </c>
      <c r="AL48">
        <f t="shared" si="27"/>
        <v>1499.1048235936</v>
      </c>
      <c r="AM48">
        <f t="shared" si="28"/>
        <v>0.83284064000000002</v>
      </c>
      <c r="AN48">
        <f t="shared" si="29"/>
        <v>0.15339689949999999</v>
      </c>
      <c r="AO48">
        <v>31.8</v>
      </c>
      <c r="AP48">
        <v>0.5</v>
      </c>
      <c r="AQ48" t="s">
        <v>331</v>
      </c>
      <c r="AR48">
        <v>2</v>
      </c>
      <c r="AS48">
        <v>1690388595.5999999</v>
      </c>
      <c r="AT48">
        <v>765.37800000000004</v>
      </c>
      <c r="AU48">
        <v>800.04300000000001</v>
      </c>
      <c r="AV48">
        <v>22.4941</v>
      </c>
      <c r="AW48">
        <v>18.670200000000001</v>
      </c>
      <c r="AX48">
        <v>765.21299999999997</v>
      </c>
      <c r="AY48">
        <v>22.2956</v>
      </c>
      <c r="AZ48">
        <v>300.154</v>
      </c>
      <c r="BA48">
        <v>98.663700000000006</v>
      </c>
      <c r="BB48">
        <v>9.9964800000000006E-2</v>
      </c>
      <c r="BC48">
        <v>25.1252</v>
      </c>
      <c r="BD48">
        <v>26.984999999999999</v>
      </c>
      <c r="BE48">
        <v>26.700600000000001</v>
      </c>
      <c r="BF48">
        <v>0</v>
      </c>
      <c r="BG48">
        <v>0</v>
      </c>
      <c r="BH48">
        <v>10005</v>
      </c>
      <c r="BI48">
        <v>1060.3399999999999</v>
      </c>
      <c r="BJ48">
        <v>1.28952</v>
      </c>
      <c r="BK48">
        <v>-34.664999999999999</v>
      </c>
      <c r="BL48">
        <v>782.99099999999999</v>
      </c>
      <c r="BM48">
        <v>815.26499999999999</v>
      </c>
      <c r="BN48">
        <v>3.8238099999999999</v>
      </c>
      <c r="BO48">
        <v>800.04300000000001</v>
      </c>
      <c r="BP48">
        <v>18.670200000000001</v>
      </c>
      <c r="BQ48">
        <v>2.2193499999999999</v>
      </c>
      <c r="BR48">
        <v>1.8420700000000001</v>
      </c>
      <c r="BS48">
        <v>19.102599999999999</v>
      </c>
      <c r="BT48">
        <v>16.148499999999999</v>
      </c>
      <c r="BU48">
        <v>1799.99</v>
      </c>
      <c r="BV48">
        <v>0.91001399999999999</v>
      </c>
      <c r="BW48">
        <v>3.40016E-2</v>
      </c>
      <c r="BX48">
        <v>2.1992999999999999E-2</v>
      </c>
      <c r="BY48">
        <v>3.3991800000000003E-2</v>
      </c>
      <c r="BZ48">
        <v>25</v>
      </c>
      <c r="CA48">
        <v>33528.300000000003</v>
      </c>
      <c r="CB48">
        <v>1690387638</v>
      </c>
      <c r="CC48" t="s">
        <v>332</v>
      </c>
      <c r="CD48">
        <v>1690387638</v>
      </c>
      <c r="CE48">
        <v>1690387638</v>
      </c>
      <c r="CF48">
        <v>6</v>
      </c>
      <c r="CG48">
        <v>0.43</v>
      </c>
      <c r="CH48">
        <v>-8.1000000000000003E-2</v>
      </c>
      <c r="CI48">
        <v>0.14199999999999999</v>
      </c>
      <c r="CJ48">
        <v>-2.7E-2</v>
      </c>
      <c r="CK48">
        <v>800</v>
      </c>
      <c r="CL48">
        <v>0</v>
      </c>
      <c r="CM48">
        <v>0.01</v>
      </c>
      <c r="CN48">
        <v>0.01</v>
      </c>
      <c r="CO48">
        <v>-32.093490243902437</v>
      </c>
      <c r="CP48">
        <v>-14.156456445993079</v>
      </c>
      <c r="CQ48">
        <v>1.396513568053843</v>
      </c>
      <c r="CR48">
        <v>-1</v>
      </c>
      <c r="CS48">
        <v>3.6003204878048778</v>
      </c>
      <c r="CT48">
        <v>1.1213797212543599</v>
      </c>
      <c r="CU48">
        <v>0.1112889008326641</v>
      </c>
      <c r="CV48">
        <v>-1</v>
      </c>
      <c r="CW48">
        <v>0</v>
      </c>
      <c r="CX48">
        <v>0</v>
      </c>
      <c r="CY48" t="s">
        <v>333</v>
      </c>
      <c r="CZ48">
        <v>2.3644099999999999</v>
      </c>
      <c r="DA48">
        <v>2.7137600000000002</v>
      </c>
      <c r="DB48">
        <v>0.14186299999999999</v>
      </c>
      <c r="DC48">
        <v>0.145789</v>
      </c>
      <c r="DD48">
        <v>0.10832799999999999</v>
      </c>
      <c r="DE48">
        <v>9.3615599999999993E-2</v>
      </c>
      <c r="DF48">
        <v>31346.5</v>
      </c>
      <c r="DG48">
        <v>27545.8</v>
      </c>
      <c r="DH48">
        <v>31184.2</v>
      </c>
      <c r="DI48">
        <v>28098.3</v>
      </c>
      <c r="DJ48">
        <v>37755.199999999997</v>
      </c>
      <c r="DK48">
        <v>36216.199999999997</v>
      </c>
      <c r="DL48">
        <v>44380.9</v>
      </c>
      <c r="DM48">
        <v>42591.4</v>
      </c>
      <c r="DN48">
        <v>1.4604699999999999</v>
      </c>
      <c r="DO48">
        <v>2.05722</v>
      </c>
      <c r="DP48">
        <v>0.13171099999999999</v>
      </c>
      <c r="DQ48">
        <v>0.131242</v>
      </c>
      <c r="DR48">
        <v>24.827200000000001</v>
      </c>
      <c r="DS48">
        <v>24.549399999999999</v>
      </c>
      <c r="DT48">
        <v>56.9</v>
      </c>
      <c r="DU48">
        <v>28.9</v>
      </c>
      <c r="DV48">
        <v>23.0581</v>
      </c>
      <c r="DW48">
        <v>61.0122</v>
      </c>
      <c r="DX48">
        <v>36.762799999999999</v>
      </c>
      <c r="DY48">
        <v>1</v>
      </c>
      <c r="DZ48">
        <v>-9.1450699999999996E-2</v>
      </c>
      <c r="EA48">
        <v>2.7986599999999999</v>
      </c>
      <c r="EB48">
        <v>20.163399999999999</v>
      </c>
      <c r="EC48">
        <v>5.2411000000000003</v>
      </c>
      <c r="ED48">
        <v>12.039899999999999</v>
      </c>
      <c r="EE48">
        <v>5.0166500000000003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1.8646100000000001</v>
      </c>
      <c r="EM48">
        <v>1.8692</v>
      </c>
      <c r="EN48">
        <v>1.86724</v>
      </c>
      <c r="EO48">
        <v>1.86337</v>
      </c>
      <c r="EP48">
        <v>1.86446</v>
      </c>
      <c r="EQ48">
        <v>1.87012</v>
      </c>
      <c r="ER48">
        <v>1.86937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0.16500000000000001</v>
      </c>
      <c r="FG48">
        <v>0.19850000000000001</v>
      </c>
      <c r="FH48">
        <v>0.69281559908863044</v>
      </c>
      <c r="FI48">
        <v>-6.1462078757559423E-4</v>
      </c>
      <c r="FJ48">
        <v>-1.8861989874597051E-7</v>
      </c>
      <c r="FK48">
        <v>1.1980462299894961E-10</v>
      </c>
      <c r="FL48">
        <v>0.19840465858211129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16</v>
      </c>
      <c r="FU48">
        <v>16</v>
      </c>
      <c r="FV48">
        <v>1.79199</v>
      </c>
      <c r="FW48">
        <v>2.5781200000000002</v>
      </c>
      <c r="FX48">
        <v>1.5490699999999999</v>
      </c>
      <c r="FY48">
        <v>2.3327599999999999</v>
      </c>
      <c r="FZ48">
        <v>1.50146</v>
      </c>
      <c r="GA48">
        <v>2.4060100000000002</v>
      </c>
      <c r="GB48">
        <v>33.512999999999998</v>
      </c>
      <c r="GC48">
        <v>23.982399999999998</v>
      </c>
      <c r="GD48">
        <v>19</v>
      </c>
      <c r="GE48">
        <v>275.88799999999998</v>
      </c>
      <c r="GF48">
        <v>599.178</v>
      </c>
      <c r="GG48">
        <v>19.685300000000002</v>
      </c>
      <c r="GH48">
        <v>26.237200000000001</v>
      </c>
      <c r="GI48">
        <v>30.0001</v>
      </c>
      <c r="GJ48">
        <v>26.270900000000001</v>
      </c>
      <c r="GK48">
        <v>26.2181</v>
      </c>
      <c r="GL48">
        <v>35.819200000000002</v>
      </c>
      <c r="GM48">
        <v>28.652699999999999</v>
      </c>
      <c r="GN48">
        <v>100</v>
      </c>
      <c r="GO48">
        <v>19.673200000000001</v>
      </c>
      <c r="GP48">
        <v>800</v>
      </c>
      <c r="GQ48">
        <v>18.498100000000001</v>
      </c>
      <c r="GR48">
        <v>99.779799999999994</v>
      </c>
      <c r="GS48">
        <v>99.632199999999997</v>
      </c>
    </row>
    <row r="49" spans="1:201" x14ac:dyDescent="0.25">
      <c r="A49">
        <v>33</v>
      </c>
      <c r="B49">
        <v>1690388605.5999999</v>
      </c>
      <c r="C49">
        <v>347.09999990463263</v>
      </c>
      <c r="D49" t="s">
        <v>399</v>
      </c>
      <c r="E49" t="s">
        <v>400</v>
      </c>
      <c r="F49" t="s">
        <v>330</v>
      </c>
      <c r="H49">
        <v>1690388605.5999999</v>
      </c>
      <c r="I49">
        <f t="shared" si="0"/>
        <v>4.0756427740943626E-4</v>
      </c>
      <c r="J49">
        <f t="shared" si="1"/>
        <v>0.40756427740943624</v>
      </c>
      <c r="K49">
        <f t="shared" si="2"/>
        <v>3.1979177013792137</v>
      </c>
      <c r="L49">
        <f t="shared" si="3"/>
        <v>762.86699999999996</v>
      </c>
      <c r="M49">
        <f t="shared" si="4"/>
        <v>568.74989437804857</v>
      </c>
      <c r="N49">
        <f t="shared" si="5"/>
        <v>56.170825881074336</v>
      </c>
      <c r="O49">
        <f t="shared" si="6"/>
        <v>75.342201995970001</v>
      </c>
      <c r="P49">
        <f t="shared" si="7"/>
        <v>2.8776658948623319E-2</v>
      </c>
      <c r="Q49">
        <f t="shared" si="8"/>
        <v>2.1577050733852667</v>
      </c>
      <c r="R49">
        <f t="shared" si="9"/>
        <v>2.8565136675448279E-2</v>
      </c>
      <c r="S49">
        <f t="shared" si="10"/>
        <v>1.7872085146413752E-2</v>
      </c>
      <c r="T49">
        <f t="shared" si="11"/>
        <v>276.11260750054743</v>
      </c>
      <c r="U49">
        <f t="shared" si="12"/>
        <v>27.136266039245072</v>
      </c>
      <c r="V49">
        <f t="shared" si="13"/>
        <v>27.136266039245072</v>
      </c>
      <c r="W49">
        <f t="shared" si="14"/>
        <v>3.6079048297096823</v>
      </c>
      <c r="X49">
        <f t="shared" si="15"/>
        <v>69.979873296925149</v>
      </c>
      <c r="Y49">
        <f t="shared" si="16"/>
        <v>2.240502814069</v>
      </c>
      <c r="Z49">
        <f t="shared" si="17"/>
        <v>3.2016388548783579</v>
      </c>
      <c r="AA49">
        <f t="shared" si="18"/>
        <v>1.3674020156406823</v>
      </c>
      <c r="AB49">
        <f t="shared" si="19"/>
        <v>-17.97358463375614</v>
      </c>
      <c r="AC49">
        <f t="shared" si="20"/>
        <v>-235.06802618232172</v>
      </c>
      <c r="AD49">
        <f t="shared" si="21"/>
        <v>-23.30663751800542</v>
      </c>
      <c r="AE49">
        <f t="shared" si="22"/>
        <v>-0.23564083353585374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52489.885802383367</v>
      </c>
      <c r="AK49">
        <f t="shared" si="26"/>
        <v>1799.99</v>
      </c>
      <c r="AL49">
        <f t="shared" si="27"/>
        <v>1499.1059593872897</v>
      </c>
      <c r="AM49">
        <f t="shared" si="28"/>
        <v>0.83284127099999983</v>
      </c>
      <c r="AN49">
        <f t="shared" si="29"/>
        <v>0.15339674526000002</v>
      </c>
      <c r="AO49">
        <v>31.8</v>
      </c>
      <c r="AP49">
        <v>0.5</v>
      </c>
      <c r="AQ49" t="s">
        <v>331</v>
      </c>
      <c r="AR49">
        <v>2</v>
      </c>
      <c r="AS49">
        <v>1690388605.5999999</v>
      </c>
      <c r="AT49">
        <v>762.86699999999996</v>
      </c>
      <c r="AU49">
        <v>800.02300000000002</v>
      </c>
      <c r="AV49">
        <v>22.6859</v>
      </c>
      <c r="AW49">
        <v>18.468</v>
      </c>
      <c r="AX49">
        <v>762.7</v>
      </c>
      <c r="AY49">
        <v>22.487500000000001</v>
      </c>
      <c r="AZ49">
        <v>300.30399999999997</v>
      </c>
      <c r="BA49">
        <v>98.661799999999999</v>
      </c>
      <c r="BB49">
        <v>0.10011</v>
      </c>
      <c r="BC49">
        <v>25.115500000000001</v>
      </c>
      <c r="BD49">
        <v>26.9435</v>
      </c>
      <c r="BE49">
        <v>26.6996</v>
      </c>
      <c r="BF49">
        <v>0</v>
      </c>
      <c r="BG49">
        <v>0</v>
      </c>
      <c r="BH49">
        <v>9998.1200000000008</v>
      </c>
      <c r="BI49">
        <v>1059.51</v>
      </c>
      <c r="BJ49">
        <v>1.3315699999999999</v>
      </c>
      <c r="BK49">
        <v>-37.155500000000004</v>
      </c>
      <c r="BL49">
        <v>780.57500000000005</v>
      </c>
      <c r="BM49">
        <v>815.07600000000002</v>
      </c>
      <c r="BN49">
        <v>4.2179000000000002</v>
      </c>
      <c r="BO49">
        <v>800.02300000000002</v>
      </c>
      <c r="BP49">
        <v>18.468</v>
      </c>
      <c r="BQ49">
        <v>2.2382300000000002</v>
      </c>
      <c r="BR49">
        <v>1.82209</v>
      </c>
      <c r="BS49">
        <v>19.238600000000002</v>
      </c>
      <c r="BT49">
        <v>15.977600000000001</v>
      </c>
      <c r="BU49">
        <v>1799.99</v>
      </c>
      <c r="BV49">
        <v>0.91002099999999997</v>
      </c>
      <c r="BW49">
        <v>3.3999000000000001E-2</v>
      </c>
      <c r="BX49">
        <v>2.1991299999999998E-2</v>
      </c>
      <c r="BY49">
        <v>3.3989199999999997E-2</v>
      </c>
      <c r="BZ49">
        <v>25</v>
      </c>
      <c r="CA49">
        <v>33528.300000000003</v>
      </c>
      <c r="CB49">
        <v>1690387638</v>
      </c>
      <c r="CC49" t="s">
        <v>332</v>
      </c>
      <c r="CD49">
        <v>1690387638</v>
      </c>
      <c r="CE49">
        <v>1690387638</v>
      </c>
      <c r="CF49">
        <v>6</v>
      </c>
      <c r="CG49">
        <v>0.43</v>
      </c>
      <c r="CH49">
        <v>-8.1000000000000003E-2</v>
      </c>
      <c r="CI49">
        <v>0.14199999999999999</v>
      </c>
      <c r="CJ49">
        <v>-2.7E-2</v>
      </c>
      <c r="CK49">
        <v>800</v>
      </c>
      <c r="CL49">
        <v>0</v>
      </c>
      <c r="CM49">
        <v>0.01</v>
      </c>
      <c r="CN49">
        <v>0.01</v>
      </c>
      <c r="CO49">
        <v>-34.379865000000002</v>
      </c>
      <c r="CP49">
        <v>-14.042447279549791</v>
      </c>
      <c r="CQ49">
        <v>1.352014038675265</v>
      </c>
      <c r="CR49">
        <v>-1</v>
      </c>
      <c r="CS49">
        <v>3.78152</v>
      </c>
      <c r="CT49">
        <v>1.1728689681050539</v>
      </c>
      <c r="CU49">
        <v>0.1141965693442671</v>
      </c>
      <c r="CV49">
        <v>-1</v>
      </c>
      <c r="CW49">
        <v>0</v>
      </c>
      <c r="CX49">
        <v>0</v>
      </c>
      <c r="CY49" t="s">
        <v>333</v>
      </c>
      <c r="CZ49">
        <v>2.3649300000000002</v>
      </c>
      <c r="DA49">
        <v>2.7139000000000002</v>
      </c>
      <c r="DB49">
        <v>0.14154900000000001</v>
      </c>
      <c r="DC49">
        <v>0.14577899999999999</v>
      </c>
      <c r="DD49">
        <v>0.10898099999999999</v>
      </c>
      <c r="DE49">
        <v>9.2886999999999997E-2</v>
      </c>
      <c r="DF49">
        <v>31357.1</v>
      </c>
      <c r="DG49">
        <v>27545.7</v>
      </c>
      <c r="DH49">
        <v>31183.4</v>
      </c>
      <c r="DI49">
        <v>28097.9</v>
      </c>
      <c r="DJ49">
        <v>37726.400000000001</v>
      </c>
      <c r="DK49">
        <v>36244.9</v>
      </c>
      <c r="DL49">
        <v>44379.9</v>
      </c>
      <c r="DM49">
        <v>42590.8</v>
      </c>
      <c r="DN49">
        <v>1.4695499999999999</v>
      </c>
      <c r="DO49">
        <v>2.0564</v>
      </c>
      <c r="DP49">
        <v>0.13139799999999999</v>
      </c>
      <c r="DQ49">
        <v>0.13345499999999999</v>
      </c>
      <c r="DR49">
        <v>24.790600000000001</v>
      </c>
      <c r="DS49">
        <v>24.5121</v>
      </c>
      <c r="DT49">
        <v>56.9</v>
      </c>
      <c r="DU49">
        <v>28.8</v>
      </c>
      <c r="DV49">
        <v>22.928000000000001</v>
      </c>
      <c r="DW49">
        <v>61.272199999999998</v>
      </c>
      <c r="DX49">
        <v>36.061700000000002</v>
      </c>
      <c r="DY49">
        <v>1</v>
      </c>
      <c r="DZ49">
        <v>-8.2472100000000007E-2</v>
      </c>
      <c r="EA49">
        <v>-6.6666699999999999</v>
      </c>
      <c r="EB49">
        <v>20.003599999999999</v>
      </c>
      <c r="EC49">
        <v>5.24125</v>
      </c>
      <c r="ED49">
        <v>12.039899999999999</v>
      </c>
      <c r="EE49">
        <v>5.0170000000000003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1.8692</v>
      </c>
      <c r="EN49">
        <v>1.8672200000000001</v>
      </c>
      <c r="EO49">
        <v>1.86337</v>
      </c>
      <c r="EP49">
        <v>1.86446</v>
      </c>
      <c r="EQ49">
        <v>1.8701399999999999</v>
      </c>
      <c r="ER49">
        <v>1.8693599999999999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0.16700000000000001</v>
      </c>
      <c r="FG49">
        <v>0.19839999999999999</v>
      </c>
      <c r="FH49">
        <v>0.69281559908863044</v>
      </c>
      <c r="FI49">
        <v>-6.1462078757559423E-4</v>
      </c>
      <c r="FJ49">
        <v>-1.8861989874597051E-7</v>
      </c>
      <c r="FK49">
        <v>1.1980462299894961E-10</v>
      </c>
      <c r="FL49">
        <v>0.19840465858211129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16.100000000000001</v>
      </c>
      <c r="FU49">
        <v>16.100000000000001</v>
      </c>
      <c r="FV49">
        <v>1.79199</v>
      </c>
      <c r="FW49">
        <v>2.5781200000000002</v>
      </c>
      <c r="FX49">
        <v>1.5490699999999999</v>
      </c>
      <c r="FY49">
        <v>2.3327599999999999</v>
      </c>
      <c r="FZ49">
        <v>1.50146</v>
      </c>
      <c r="GA49">
        <v>2.3986800000000001</v>
      </c>
      <c r="GB49">
        <v>33.512999999999998</v>
      </c>
      <c r="GC49">
        <v>23.921099999999999</v>
      </c>
      <c r="GD49">
        <v>19</v>
      </c>
      <c r="GE49">
        <v>279.71499999999997</v>
      </c>
      <c r="GF49">
        <v>598.51199999999994</v>
      </c>
      <c r="GG49">
        <v>21.8995</v>
      </c>
      <c r="GH49">
        <v>26.2332</v>
      </c>
      <c r="GI49">
        <v>30.005400000000002</v>
      </c>
      <c r="GJ49">
        <v>26.273399999999999</v>
      </c>
      <c r="GK49">
        <v>26.220500000000001</v>
      </c>
      <c r="GL49">
        <v>35.822800000000001</v>
      </c>
      <c r="GM49">
        <v>30.646699999999999</v>
      </c>
      <c r="GN49">
        <v>100</v>
      </c>
      <c r="GO49">
        <v>24.217600000000001</v>
      </c>
      <c r="GP49">
        <v>800</v>
      </c>
      <c r="GQ49">
        <v>17.965699999999998</v>
      </c>
      <c r="GR49">
        <v>99.7774</v>
      </c>
      <c r="GS49">
        <v>99.630899999999997</v>
      </c>
    </row>
    <row r="50" spans="1:201" x14ac:dyDescent="0.25">
      <c r="A50">
        <v>34</v>
      </c>
      <c r="B50">
        <v>1690388615.5999999</v>
      </c>
      <c r="C50">
        <v>357.09999990463263</v>
      </c>
      <c r="D50" t="s">
        <v>401</v>
      </c>
      <c r="E50" t="s">
        <v>402</v>
      </c>
      <c r="F50" t="s">
        <v>330</v>
      </c>
      <c r="H50">
        <v>1690388615.5999999</v>
      </c>
      <c r="I50">
        <f t="shared" si="0"/>
        <v>6.6987738957219637E-4</v>
      </c>
      <c r="J50">
        <f t="shared" si="1"/>
        <v>0.66987738957219634</v>
      </c>
      <c r="K50">
        <f t="shared" si="2"/>
        <v>3.3560137820323317</v>
      </c>
      <c r="L50">
        <f t="shared" si="3"/>
        <v>759.58600000000001</v>
      </c>
      <c r="M50">
        <f t="shared" si="4"/>
        <v>639.44136149612541</v>
      </c>
      <c r="N50">
        <f t="shared" si="5"/>
        <v>63.152686403996739</v>
      </c>
      <c r="O50">
        <f t="shared" si="6"/>
        <v>75.018444760328407</v>
      </c>
      <c r="P50">
        <f t="shared" si="7"/>
        <v>5.1511176900485491E-2</v>
      </c>
      <c r="Q50">
        <f t="shared" si="8"/>
        <v>2.1577865704869135</v>
      </c>
      <c r="R50">
        <f t="shared" si="9"/>
        <v>5.08376579295792E-2</v>
      </c>
      <c r="S50">
        <f t="shared" si="10"/>
        <v>3.1833315477815025E-2</v>
      </c>
      <c r="T50">
        <f t="shared" si="11"/>
        <v>276.11477643449774</v>
      </c>
      <c r="U50">
        <f t="shared" si="12"/>
        <v>27.386167237635028</v>
      </c>
      <c r="V50">
        <f t="shared" si="13"/>
        <v>27.386167237635028</v>
      </c>
      <c r="W50">
        <f t="shared" si="14"/>
        <v>3.6611451110981874</v>
      </c>
      <c r="X50">
        <f t="shared" si="15"/>
        <v>73.446792598841725</v>
      </c>
      <c r="Y50">
        <f t="shared" si="16"/>
        <v>2.3997061124053198</v>
      </c>
      <c r="Z50">
        <f t="shared" si="17"/>
        <v>3.2672714866015315</v>
      </c>
      <c r="AA50">
        <f t="shared" si="18"/>
        <v>1.2614389986928676</v>
      </c>
      <c r="AB50">
        <f t="shared" si="19"/>
        <v>-29.541592880133859</v>
      </c>
      <c r="AC50">
        <f t="shared" si="20"/>
        <v>-224.46769440394576</v>
      </c>
      <c r="AD50">
        <f t="shared" si="21"/>
        <v>-22.320787629110391</v>
      </c>
      <c r="AE50">
        <f t="shared" si="22"/>
        <v>-0.2152984786922616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52433.33069039313</v>
      </c>
      <c r="AK50">
        <f t="shared" si="26"/>
        <v>1799.99</v>
      </c>
      <c r="AL50">
        <f t="shared" si="27"/>
        <v>1499.1070789810701</v>
      </c>
      <c r="AM50">
        <f t="shared" si="28"/>
        <v>0.832841893</v>
      </c>
      <c r="AN50">
        <f t="shared" si="29"/>
        <v>0.15339795023000002</v>
      </c>
      <c r="AO50">
        <v>31.8</v>
      </c>
      <c r="AP50">
        <v>0.5</v>
      </c>
      <c r="AQ50" t="s">
        <v>331</v>
      </c>
      <c r="AR50">
        <v>2</v>
      </c>
      <c r="AS50">
        <v>1690388615.5999999</v>
      </c>
      <c r="AT50">
        <v>759.58600000000001</v>
      </c>
      <c r="AU50">
        <v>800.52099999999996</v>
      </c>
      <c r="AV50">
        <v>24.297799999999999</v>
      </c>
      <c r="AW50">
        <v>17.3751</v>
      </c>
      <c r="AX50">
        <v>759.41700000000003</v>
      </c>
      <c r="AY50">
        <v>24.099399999999999</v>
      </c>
      <c r="AZ50">
        <v>300.23700000000002</v>
      </c>
      <c r="BA50">
        <v>98.662300000000002</v>
      </c>
      <c r="BB50">
        <v>9.9979399999999996E-2</v>
      </c>
      <c r="BC50">
        <v>25.456600000000002</v>
      </c>
      <c r="BD50">
        <v>27.183900000000001</v>
      </c>
      <c r="BE50">
        <v>26.966000000000001</v>
      </c>
      <c r="BF50">
        <v>0</v>
      </c>
      <c r="BG50">
        <v>0</v>
      </c>
      <c r="BH50">
        <v>9998.75</v>
      </c>
      <c r="BI50">
        <v>1059.49</v>
      </c>
      <c r="BJ50">
        <v>1.3904399999999999</v>
      </c>
      <c r="BK50">
        <v>-40.935000000000002</v>
      </c>
      <c r="BL50">
        <v>778.50199999999995</v>
      </c>
      <c r="BM50">
        <v>814.67600000000004</v>
      </c>
      <c r="BN50">
        <v>6.9226999999999999</v>
      </c>
      <c r="BO50">
        <v>800.52099999999996</v>
      </c>
      <c r="BP50">
        <v>17.3751</v>
      </c>
      <c r="BQ50">
        <v>2.3972799999999999</v>
      </c>
      <c r="BR50">
        <v>1.71427</v>
      </c>
      <c r="BS50">
        <v>20.345400000000001</v>
      </c>
      <c r="BT50">
        <v>15.026300000000001</v>
      </c>
      <c r="BU50">
        <v>1799.99</v>
      </c>
      <c r="BV50">
        <v>0.91000800000000004</v>
      </c>
      <c r="BW50">
        <v>3.3996100000000001E-2</v>
      </c>
      <c r="BX50">
        <v>2.2009399999999998E-2</v>
      </c>
      <c r="BY50">
        <v>3.3986299999999997E-2</v>
      </c>
      <c r="BZ50">
        <v>25</v>
      </c>
      <c r="CA50">
        <v>33528.1</v>
      </c>
      <c r="CB50">
        <v>1690387638</v>
      </c>
      <c r="CC50" t="s">
        <v>332</v>
      </c>
      <c r="CD50">
        <v>1690387638</v>
      </c>
      <c r="CE50">
        <v>1690387638</v>
      </c>
      <c r="CF50">
        <v>6</v>
      </c>
      <c r="CG50">
        <v>0.43</v>
      </c>
      <c r="CH50">
        <v>-8.1000000000000003E-2</v>
      </c>
      <c r="CI50">
        <v>0.14199999999999999</v>
      </c>
      <c r="CJ50">
        <v>-2.7E-2</v>
      </c>
      <c r="CK50">
        <v>800</v>
      </c>
      <c r="CL50">
        <v>0</v>
      </c>
      <c r="CM50">
        <v>0.01</v>
      </c>
      <c r="CN50">
        <v>0.01</v>
      </c>
      <c r="CO50">
        <v>-37.103465</v>
      </c>
      <c r="CP50">
        <v>-18.950913320825489</v>
      </c>
      <c r="CQ50">
        <v>1.8379111297271691</v>
      </c>
      <c r="CR50">
        <v>-1</v>
      </c>
      <c r="CS50">
        <v>4.5089714999999986</v>
      </c>
      <c r="CT50">
        <v>7.7643206003752194</v>
      </c>
      <c r="CU50">
        <v>0.82674720998183604</v>
      </c>
      <c r="CV50">
        <v>-1</v>
      </c>
      <c r="CW50">
        <v>0</v>
      </c>
      <c r="CX50">
        <v>0</v>
      </c>
      <c r="CY50" t="s">
        <v>333</v>
      </c>
      <c r="CZ50">
        <v>2.3647200000000002</v>
      </c>
      <c r="DA50">
        <v>2.7137699999999998</v>
      </c>
      <c r="DB50">
        <v>0.14116200000000001</v>
      </c>
      <c r="DC50">
        <v>0.145819</v>
      </c>
      <c r="DD50">
        <v>0.11440699999999999</v>
      </c>
      <c r="DE50">
        <v>8.8905399999999996E-2</v>
      </c>
      <c r="DF50">
        <v>31369.9</v>
      </c>
      <c r="DG50">
        <v>27543.1</v>
      </c>
      <c r="DH50">
        <v>31182</v>
      </c>
      <c r="DI50">
        <v>28096.6</v>
      </c>
      <c r="DJ50">
        <v>37492.699999999997</v>
      </c>
      <c r="DK50">
        <v>36402.800000000003</v>
      </c>
      <c r="DL50">
        <v>44378</v>
      </c>
      <c r="DM50">
        <v>42589</v>
      </c>
      <c r="DN50">
        <v>1.4672799999999999</v>
      </c>
      <c r="DO50">
        <v>2.0548500000000001</v>
      </c>
      <c r="DP50">
        <v>0.148095</v>
      </c>
      <c r="DQ50">
        <v>0.15145500000000001</v>
      </c>
      <c r="DR50">
        <v>24.757899999999999</v>
      </c>
      <c r="DS50">
        <v>24.483899999999998</v>
      </c>
      <c r="DT50">
        <v>56.9</v>
      </c>
      <c r="DU50">
        <v>28.8</v>
      </c>
      <c r="DV50">
        <v>22.927199999999999</v>
      </c>
      <c r="DW50">
        <v>61.142200000000003</v>
      </c>
      <c r="DX50">
        <v>35.621000000000002</v>
      </c>
      <c r="DY50">
        <v>1</v>
      </c>
      <c r="DZ50">
        <v>-8.0830799999999994E-2</v>
      </c>
      <c r="EA50">
        <v>-6.6666699999999999</v>
      </c>
      <c r="EB50">
        <v>20.012499999999999</v>
      </c>
      <c r="EC50">
        <v>5.2406499999999996</v>
      </c>
      <c r="ED50">
        <v>12.039899999999999</v>
      </c>
      <c r="EE50">
        <v>5.0168499999999998</v>
      </c>
      <c r="EF50">
        <v>3.2879499999999999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1.86921</v>
      </c>
      <c r="EN50">
        <v>1.8672299999999999</v>
      </c>
      <c r="EO50">
        <v>1.8633599999999999</v>
      </c>
      <c r="EP50">
        <v>1.8644499999999999</v>
      </c>
      <c r="EQ50">
        <v>1.8701300000000001</v>
      </c>
      <c r="ER50">
        <v>1.8693599999999999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0.16900000000000001</v>
      </c>
      <c r="FG50">
        <v>0.19839999999999999</v>
      </c>
      <c r="FH50">
        <v>0.69281559908863044</v>
      </c>
      <c r="FI50">
        <v>-6.1462078757559423E-4</v>
      </c>
      <c r="FJ50">
        <v>-1.8861989874597051E-7</v>
      </c>
      <c r="FK50">
        <v>1.1980462299894961E-10</v>
      </c>
      <c r="FL50">
        <v>0.19840465858211129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16.3</v>
      </c>
      <c r="FU50">
        <v>16.3</v>
      </c>
      <c r="FV50">
        <v>1.78955</v>
      </c>
      <c r="FW50">
        <v>2.5732400000000002</v>
      </c>
      <c r="FX50">
        <v>1.5490699999999999</v>
      </c>
      <c r="FY50">
        <v>2.3327599999999999</v>
      </c>
      <c r="FZ50">
        <v>1.50146</v>
      </c>
      <c r="GA50">
        <v>2.3828100000000001</v>
      </c>
      <c r="GB50">
        <v>33.512999999999998</v>
      </c>
      <c r="GC50">
        <v>23.9299</v>
      </c>
      <c r="GD50">
        <v>19</v>
      </c>
      <c r="GE50">
        <v>278.851</v>
      </c>
      <c r="GF50">
        <v>597.18100000000004</v>
      </c>
      <c r="GG50">
        <v>25.373899999999999</v>
      </c>
      <c r="GH50">
        <v>26.229500000000002</v>
      </c>
      <c r="GI50">
        <v>30.001100000000001</v>
      </c>
      <c r="GJ50">
        <v>26.2958</v>
      </c>
      <c r="GK50">
        <v>26.218299999999999</v>
      </c>
      <c r="GL50">
        <v>35.784300000000002</v>
      </c>
      <c r="GM50">
        <v>36.285800000000002</v>
      </c>
      <c r="GN50">
        <v>99.2517</v>
      </c>
      <c r="GO50">
        <v>24.571100000000001</v>
      </c>
      <c r="GP50">
        <v>800</v>
      </c>
      <c r="GQ50">
        <v>16.504999999999999</v>
      </c>
      <c r="GR50">
        <v>99.773099999999999</v>
      </c>
      <c r="GS50">
        <v>99.626599999999996</v>
      </c>
    </row>
    <row r="51" spans="1:201" x14ac:dyDescent="0.25">
      <c r="A51">
        <v>35</v>
      </c>
      <c r="B51">
        <v>1690388625.5999999</v>
      </c>
      <c r="C51">
        <v>367.09999990463263</v>
      </c>
      <c r="D51" t="s">
        <v>403</v>
      </c>
      <c r="E51" t="s">
        <v>404</v>
      </c>
      <c r="F51" t="s">
        <v>330</v>
      </c>
      <c r="H51">
        <v>1690388625.5999999</v>
      </c>
      <c r="I51">
        <f t="shared" si="0"/>
        <v>8.5102744698677851E-4</v>
      </c>
      <c r="J51">
        <f t="shared" si="1"/>
        <v>0.85102744698677846</v>
      </c>
      <c r="K51">
        <f t="shared" si="2"/>
        <v>3.464351054306539</v>
      </c>
      <c r="L51">
        <f t="shared" si="3"/>
        <v>756.68299999999999</v>
      </c>
      <c r="M51">
        <f t="shared" si="4"/>
        <v>656.91616368824202</v>
      </c>
      <c r="N51">
        <f t="shared" si="5"/>
        <v>64.878674010658258</v>
      </c>
      <c r="O51">
        <f t="shared" si="6"/>
        <v>74.731894874952701</v>
      </c>
      <c r="P51">
        <f t="shared" si="7"/>
        <v>6.6158314128387963E-2</v>
      </c>
      <c r="Q51">
        <f t="shared" si="8"/>
        <v>2.1517905695743584</v>
      </c>
      <c r="R51">
        <f t="shared" si="9"/>
        <v>6.5048718285934545E-2</v>
      </c>
      <c r="S51">
        <f t="shared" si="10"/>
        <v>4.0753591556911897E-2</v>
      </c>
      <c r="T51">
        <f t="shared" si="11"/>
        <v>276.11486186202313</v>
      </c>
      <c r="U51">
        <f t="shared" si="12"/>
        <v>27.687977241409726</v>
      </c>
      <c r="V51">
        <f t="shared" si="13"/>
        <v>27.687977241409726</v>
      </c>
      <c r="W51">
        <f t="shared" si="14"/>
        <v>3.7263573830337617</v>
      </c>
      <c r="X51">
        <f t="shared" si="15"/>
        <v>74.14408356530781</v>
      </c>
      <c r="Y51">
        <f t="shared" si="16"/>
        <v>2.4748200254862698</v>
      </c>
      <c r="Z51">
        <f t="shared" si="17"/>
        <v>3.3378523362641492</v>
      </c>
      <c r="AA51">
        <f t="shared" si="18"/>
        <v>1.251537357547492</v>
      </c>
      <c r="AB51">
        <f t="shared" si="19"/>
        <v>-37.530310412116933</v>
      </c>
      <c r="AC51">
        <f t="shared" si="20"/>
        <v>-217.07028169594901</v>
      </c>
      <c r="AD51">
        <f t="shared" si="21"/>
        <v>-21.717196765142237</v>
      </c>
      <c r="AE51">
        <f t="shared" si="22"/>
        <v>-0.20292701118503942</v>
      </c>
      <c r="AF51">
        <v>1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52118.914122733731</v>
      </c>
      <c r="AK51">
        <f t="shared" si="26"/>
        <v>1799.99</v>
      </c>
      <c r="AL51">
        <f t="shared" si="27"/>
        <v>1499.1050107925601</v>
      </c>
      <c r="AM51">
        <f t="shared" si="28"/>
        <v>0.83284074399999997</v>
      </c>
      <c r="AN51">
        <f t="shared" si="29"/>
        <v>0.15339799769000001</v>
      </c>
      <c r="AO51">
        <v>31.8</v>
      </c>
      <c r="AP51">
        <v>0.5</v>
      </c>
      <c r="AQ51" t="s">
        <v>331</v>
      </c>
      <c r="AR51">
        <v>2</v>
      </c>
      <c r="AS51">
        <v>1690388625.5999999</v>
      </c>
      <c r="AT51">
        <v>756.68299999999999</v>
      </c>
      <c r="AU51">
        <v>800.21699999999998</v>
      </c>
      <c r="AV51">
        <v>25.058299999999999</v>
      </c>
      <c r="AW51">
        <v>16.266300000000001</v>
      </c>
      <c r="AX51">
        <v>756.51099999999997</v>
      </c>
      <c r="AY51">
        <v>24.8599</v>
      </c>
      <c r="AZ51">
        <v>300.09699999999998</v>
      </c>
      <c r="BA51">
        <v>98.662599999999998</v>
      </c>
      <c r="BB51">
        <v>9.9886900000000001E-2</v>
      </c>
      <c r="BC51">
        <v>25.816800000000001</v>
      </c>
      <c r="BD51">
        <v>27.559000000000001</v>
      </c>
      <c r="BE51">
        <v>27.388300000000001</v>
      </c>
      <c r="BF51">
        <v>0</v>
      </c>
      <c r="BG51">
        <v>0</v>
      </c>
      <c r="BH51">
        <v>9948.75</v>
      </c>
      <c r="BI51">
        <v>1060.27</v>
      </c>
      <c r="BJ51">
        <v>1.46333</v>
      </c>
      <c r="BK51">
        <v>-43.533799999999999</v>
      </c>
      <c r="BL51">
        <v>776.13199999999995</v>
      </c>
      <c r="BM51">
        <v>813.44899999999996</v>
      </c>
      <c r="BN51">
        <v>8.7920800000000003</v>
      </c>
      <c r="BO51">
        <v>800.21699999999998</v>
      </c>
      <c r="BP51">
        <v>16.266300000000001</v>
      </c>
      <c r="BQ51">
        <v>2.4723199999999999</v>
      </c>
      <c r="BR51">
        <v>1.60487</v>
      </c>
      <c r="BS51">
        <v>20.845400000000001</v>
      </c>
      <c r="BT51">
        <v>14.005699999999999</v>
      </c>
      <c r="BU51">
        <v>1799.99</v>
      </c>
      <c r="BV51">
        <v>0.90999399999999997</v>
      </c>
      <c r="BW51">
        <v>3.3993700000000002E-2</v>
      </c>
      <c r="BX51">
        <v>2.2008699999999999E-2</v>
      </c>
      <c r="BY51">
        <v>3.4003499999999999E-2</v>
      </c>
      <c r="BZ51">
        <v>25</v>
      </c>
      <c r="CA51">
        <v>33528.1</v>
      </c>
      <c r="CB51">
        <v>1690387638</v>
      </c>
      <c r="CC51" t="s">
        <v>332</v>
      </c>
      <c r="CD51">
        <v>1690387638</v>
      </c>
      <c r="CE51">
        <v>1690387638</v>
      </c>
      <c r="CF51">
        <v>6</v>
      </c>
      <c r="CG51">
        <v>0.43</v>
      </c>
      <c r="CH51">
        <v>-8.1000000000000003E-2</v>
      </c>
      <c r="CI51">
        <v>0.14199999999999999</v>
      </c>
      <c r="CJ51">
        <v>-2.7E-2</v>
      </c>
      <c r="CK51">
        <v>800</v>
      </c>
      <c r="CL51">
        <v>0</v>
      </c>
      <c r="CM51">
        <v>0.01</v>
      </c>
      <c r="CN51">
        <v>0.01</v>
      </c>
      <c r="CO51">
        <v>-40.62469500000001</v>
      </c>
      <c r="CP51">
        <v>-19.158207129455771</v>
      </c>
      <c r="CQ51">
        <v>1.854699037573212</v>
      </c>
      <c r="CR51">
        <v>-1</v>
      </c>
      <c r="CS51">
        <v>6.6939735000000011</v>
      </c>
      <c r="CT51">
        <v>15.18590116322701</v>
      </c>
      <c r="CU51">
        <v>1.468171018048561</v>
      </c>
      <c r="CV51">
        <v>-1</v>
      </c>
      <c r="CW51">
        <v>0</v>
      </c>
      <c r="CX51">
        <v>0</v>
      </c>
      <c r="CY51" t="s">
        <v>333</v>
      </c>
      <c r="CZ51">
        <v>2.3642699999999999</v>
      </c>
      <c r="DA51">
        <v>2.7136300000000002</v>
      </c>
      <c r="DB51">
        <v>0.14081299999999999</v>
      </c>
      <c r="DC51">
        <v>0.145762</v>
      </c>
      <c r="DD51">
        <v>0.11691799999999999</v>
      </c>
      <c r="DE51">
        <v>8.4765400000000005E-2</v>
      </c>
      <c r="DF51">
        <v>31384.400000000001</v>
      </c>
      <c r="DG51">
        <v>27546.9</v>
      </c>
      <c r="DH51">
        <v>31183.5</v>
      </c>
      <c r="DI51">
        <v>28098.6</v>
      </c>
      <c r="DJ51">
        <v>37386.6</v>
      </c>
      <c r="DK51">
        <v>36571.300000000003</v>
      </c>
      <c r="DL51">
        <v>44379.8</v>
      </c>
      <c r="DM51">
        <v>42592.2</v>
      </c>
      <c r="DN51">
        <v>1.4614</v>
      </c>
      <c r="DO51">
        <v>2.05402</v>
      </c>
      <c r="DP51">
        <v>0.17219000000000001</v>
      </c>
      <c r="DQ51">
        <v>0.176899</v>
      </c>
      <c r="DR51">
        <v>24.739000000000001</v>
      </c>
      <c r="DS51">
        <v>24.490200000000002</v>
      </c>
      <c r="DT51">
        <v>57</v>
      </c>
      <c r="DU51">
        <v>28.9</v>
      </c>
      <c r="DV51">
        <v>23.101400000000002</v>
      </c>
      <c r="DW51">
        <v>60.952199999999998</v>
      </c>
      <c r="DX51">
        <v>37.227600000000002</v>
      </c>
      <c r="DY51">
        <v>1</v>
      </c>
      <c r="DZ51">
        <v>-9.1498999999999997E-2</v>
      </c>
      <c r="EA51">
        <v>2.9785300000000001</v>
      </c>
      <c r="EB51">
        <v>20.145099999999999</v>
      </c>
      <c r="EC51">
        <v>5.2406499999999996</v>
      </c>
      <c r="ED51">
        <v>12.039899999999999</v>
      </c>
      <c r="EE51">
        <v>5.0167999999999999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1.8646199999999999</v>
      </c>
      <c r="EM51">
        <v>1.8692</v>
      </c>
      <c r="EN51">
        <v>1.8672299999999999</v>
      </c>
      <c r="EO51">
        <v>1.86337</v>
      </c>
      <c r="EP51">
        <v>1.8644700000000001</v>
      </c>
      <c r="EQ51">
        <v>1.87015</v>
      </c>
      <c r="ER51">
        <v>1.8693500000000001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0.17199999999999999</v>
      </c>
      <c r="FG51">
        <v>0.19839999999999999</v>
      </c>
      <c r="FH51">
        <v>0.69281559908863044</v>
      </c>
      <c r="FI51">
        <v>-6.1462078757559423E-4</v>
      </c>
      <c r="FJ51">
        <v>-1.8861989874597051E-7</v>
      </c>
      <c r="FK51">
        <v>1.1980462299894961E-10</v>
      </c>
      <c r="FL51">
        <v>0.19840465858211129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16.5</v>
      </c>
      <c r="FU51">
        <v>16.5</v>
      </c>
      <c r="FV51">
        <v>1.78833</v>
      </c>
      <c r="FW51">
        <v>2.5756800000000002</v>
      </c>
      <c r="FX51">
        <v>1.5490699999999999</v>
      </c>
      <c r="FY51">
        <v>2.3327599999999999</v>
      </c>
      <c r="FZ51">
        <v>1.50146</v>
      </c>
      <c r="GA51">
        <v>2.3547400000000001</v>
      </c>
      <c r="GB51">
        <v>33.535499999999999</v>
      </c>
      <c r="GC51">
        <v>23.956199999999999</v>
      </c>
      <c r="GD51">
        <v>19</v>
      </c>
      <c r="GE51">
        <v>276.40199999999999</v>
      </c>
      <c r="GF51">
        <v>596.48800000000006</v>
      </c>
      <c r="GG51">
        <v>25.311699999999998</v>
      </c>
      <c r="GH51">
        <v>26.225000000000001</v>
      </c>
      <c r="GI51">
        <v>29.996300000000002</v>
      </c>
      <c r="GJ51">
        <v>26.3004</v>
      </c>
      <c r="GK51">
        <v>26.218299999999999</v>
      </c>
      <c r="GL51">
        <v>35.760399999999997</v>
      </c>
      <c r="GM51">
        <v>39.1066</v>
      </c>
      <c r="GN51">
        <v>98.880899999999997</v>
      </c>
      <c r="GO51">
        <v>23.877300000000002</v>
      </c>
      <c r="GP51">
        <v>800</v>
      </c>
      <c r="GQ51">
        <v>15.870900000000001</v>
      </c>
      <c r="GR51">
        <v>99.777500000000003</v>
      </c>
      <c r="GS51">
        <v>99.633899999999997</v>
      </c>
    </row>
    <row r="52" spans="1:201" x14ac:dyDescent="0.25">
      <c r="A52">
        <v>36</v>
      </c>
      <c r="B52">
        <v>1690388635.5999999</v>
      </c>
      <c r="C52">
        <v>377.09999990463263</v>
      </c>
      <c r="D52" t="s">
        <v>405</v>
      </c>
      <c r="E52" t="s">
        <v>406</v>
      </c>
      <c r="F52" t="s">
        <v>330</v>
      </c>
      <c r="H52">
        <v>1690388635.5999999</v>
      </c>
      <c r="I52">
        <f t="shared" si="0"/>
        <v>7.819144854921817E-4</v>
      </c>
      <c r="J52">
        <f t="shared" si="1"/>
        <v>0.78191448549218168</v>
      </c>
      <c r="K52">
        <f t="shared" si="2"/>
        <v>3.692687229531209</v>
      </c>
      <c r="L52">
        <f t="shared" si="3"/>
        <v>754.50800000000004</v>
      </c>
      <c r="M52">
        <f t="shared" si="4"/>
        <v>632.08259024564768</v>
      </c>
      <c r="N52">
        <f t="shared" si="5"/>
        <v>62.427597014783437</v>
      </c>
      <c r="O52">
        <f t="shared" si="6"/>
        <v>74.518934859643608</v>
      </c>
      <c r="P52">
        <f t="shared" si="7"/>
        <v>5.6028460678422091E-2</v>
      </c>
      <c r="Q52">
        <f t="shared" si="8"/>
        <v>2.1566970156092835</v>
      </c>
      <c r="R52">
        <f t="shared" si="9"/>
        <v>5.5232221473629196E-2</v>
      </c>
      <c r="S52">
        <f t="shared" si="10"/>
        <v>3.4590734652295271E-2</v>
      </c>
      <c r="T52">
        <f t="shared" si="11"/>
        <v>276.11479913237156</v>
      </c>
      <c r="U52">
        <f t="shared" si="12"/>
        <v>27.714246680717487</v>
      </c>
      <c r="V52">
        <f t="shared" si="13"/>
        <v>27.714246680717487</v>
      </c>
      <c r="W52">
        <f t="shared" si="14"/>
        <v>3.7320810894099137</v>
      </c>
      <c r="X52">
        <f t="shared" si="15"/>
        <v>71.190587135449476</v>
      </c>
      <c r="Y52">
        <f t="shared" si="16"/>
        <v>2.3771238789639502</v>
      </c>
      <c r="Z52">
        <f t="shared" si="17"/>
        <v>3.3390985727384979</v>
      </c>
      <c r="AA52">
        <f t="shared" si="18"/>
        <v>1.3549572104459635</v>
      </c>
      <c r="AB52">
        <f t="shared" si="19"/>
        <v>-34.482428810205214</v>
      </c>
      <c r="AC52">
        <f t="shared" si="20"/>
        <v>-219.88712225326188</v>
      </c>
      <c r="AD52">
        <f t="shared" si="21"/>
        <v>-21.952547465285736</v>
      </c>
      <c r="AE52">
        <f t="shared" si="22"/>
        <v>-0.20729939638127348</v>
      </c>
      <c r="AF52">
        <v>1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52323.376244429979</v>
      </c>
      <c r="AK52">
        <f t="shared" si="26"/>
        <v>1799.99</v>
      </c>
      <c r="AL52">
        <f t="shared" si="27"/>
        <v>1499.1051817916098</v>
      </c>
      <c r="AM52">
        <f t="shared" si="28"/>
        <v>0.83284083899999983</v>
      </c>
      <c r="AN52">
        <f t="shared" si="29"/>
        <v>0.15339796283999999</v>
      </c>
      <c r="AO52">
        <v>31.8</v>
      </c>
      <c r="AP52">
        <v>0.5</v>
      </c>
      <c r="AQ52" t="s">
        <v>331</v>
      </c>
      <c r="AR52">
        <v>2</v>
      </c>
      <c r="AS52">
        <v>1690388635.5999999</v>
      </c>
      <c r="AT52">
        <v>754.50800000000004</v>
      </c>
      <c r="AU52">
        <v>799.89</v>
      </c>
      <c r="AV52">
        <v>24.0685</v>
      </c>
      <c r="AW52">
        <v>15.982200000000001</v>
      </c>
      <c r="AX52">
        <v>754.33500000000004</v>
      </c>
      <c r="AY52">
        <v>23.870100000000001</v>
      </c>
      <c r="AZ52">
        <v>300.09300000000002</v>
      </c>
      <c r="BA52">
        <v>98.665000000000006</v>
      </c>
      <c r="BB52">
        <v>9.9936700000000003E-2</v>
      </c>
      <c r="BC52">
        <v>25.8231</v>
      </c>
      <c r="BD52">
        <v>27.673300000000001</v>
      </c>
      <c r="BE52">
        <v>27.5017</v>
      </c>
      <c r="BF52">
        <v>0</v>
      </c>
      <c r="BG52">
        <v>0</v>
      </c>
      <c r="BH52">
        <v>9989.3799999999992</v>
      </c>
      <c r="BI52">
        <v>1060.8800000000001</v>
      </c>
      <c r="BJ52">
        <v>1.4493100000000001</v>
      </c>
      <c r="BK52">
        <v>-45.382100000000001</v>
      </c>
      <c r="BL52">
        <v>773.11599999999999</v>
      </c>
      <c r="BM52">
        <v>812.88199999999995</v>
      </c>
      <c r="BN52">
        <v>8.0863399999999999</v>
      </c>
      <c r="BO52">
        <v>799.89</v>
      </c>
      <c r="BP52">
        <v>15.982200000000001</v>
      </c>
      <c r="BQ52">
        <v>2.3747199999999999</v>
      </c>
      <c r="BR52">
        <v>1.5768800000000001</v>
      </c>
      <c r="BS52">
        <v>20.192399999999999</v>
      </c>
      <c r="BT52">
        <v>13.7347</v>
      </c>
      <c r="BU52">
        <v>1799.99</v>
      </c>
      <c r="BV52">
        <v>0.90999099999999999</v>
      </c>
      <c r="BW52">
        <v>3.3990600000000003E-2</v>
      </c>
      <c r="BX52">
        <v>2.2006700000000001E-2</v>
      </c>
      <c r="BY52">
        <v>3.4012199999999999E-2</v>
      </c>
      <c r="BZ52">
        <v>25</v>
      </c>
      <c r="CA52">
        <v>33528.1</v>
      </c>
      <c r="CB52">
        <v>1690387638</v>
      </c>
      <c r="CC52" t="s">
        <v>332</v>
      </c>
      <c r="CD52">
        <v>1690387638</v>
      </c>
      <c r="CE52">
        <v>1690387638</v>
      </c>
      <c r="CF52">
        <v>6</v>
      </c>
      <c r="CG52">
        <v>0.43</v>
      </c>
      <c r="CH52">
        <v>-8.1000000000000003E-2</v>
      </c>
      <c r="CI52">
        <v>0.14199999999999999</v>
      </c>
      <c r="CJ52">
        <v>-2.7E-2</v>
      </c>
      <c r="CK52">
        <v>800</v>
      </c>
      <c r="CL52">
        <v>0</v>
      </c>
      <c r="CM52">
        <v>0.01</v>
      </c>
      <c r="CN52">
        <v>0.01</v>
      </c>
      <c r="CO52">
        <v>-43.339750000000002</v>
      </c>
      <c r="CP52">
        <v>-13.64825290806756</v>
      </c>
      <c r="CQ52">
        <v>1.3170558915626931</v>
      </c>
      <c r="CR52">
        <v>-1</v>
      </c>
      <c r="CS52">
        <v>8.3231087499999994</v>
      </c>
      <c r="CT52">
        <v>3.9693945590994382</v>
      </c>
      <c r="CU52">
        <v>0.54565706836889549</v>
      </c>
      <c r="CV52">
        <v>-1</v>
      </c>
      <c r="CW52">
        <v>0</v>
      </c>
      <c r="CX52">
        <v>0</v>
      </c>
      <c r="CY52" t="s">
        <v>333</v>
      </c>
      <c r="CZ52">
        <v>2.3642599999999998</v>
      </c>
      <c r="DA52">
        <v>2.7137199999999999</v>
      </c>
      <c r="DB52">
        <v>0.14053099999999999</v>
      </c>
      <c r="DC52">
        <v>0.14571799999999999</v>
      </c>
      <c r="DD52">
        <v>0.113652</v>
      </c>
      <c r="DE52">
        <v>8.3687999999999999E-2</v>
      </c>
      <c r="DF52">
        <v>31395.3</v>
      </c>
      <c r="DG52">
        <v>27548.5</v>
      </c>
      <c r="DH52">
        <v>31184.2</v>
      </c>
      <c r="DI52">
        <v>28098.799999999999</v>
      </c>
      <c r="DJ52">
        <v>37527.199999999997</v>
      </c>
      <c r="DK52">
        <v>36614.699999999997</v>
      </c>
      <c r="DL52">
        <v>44380.800000000003</v>
      </c>
      <c r="DM52">
        <v>42592.5</v>
      </c>
      <c r="DN52">
        <v>1.4597</v>
      </c>
      <c r="DO52">
        <v>2.0541499999999999</v>
      </c>
      <c r="DP52">
        <v>0.17941699999999999</v>
      </c>
      <c r="DQ52">
        <v>0.181951</v>
      </c>
      <c r="DR52">
        <v>24.735299999999999</v>
      </c>
      <c r="DS52">
        <v>24.5213</v>
      </c>
      <c r="DT52">
        <v>57</v>
      </c>
      <c r="DU52">
        <v>28.8</v>
      </c>
      <c r="DV52">
        <v>22.966999999999999</v>
      </c>
      <c r="DW52">
        <v>61.362200000000001</v>
      </c>
      <c r="DX52">
        <v>36.025599999999997</v>
      </c>
      <c r="DY52">
        <v>1</v>
      </c>
      <c r="DZ52">
        <v>-8.3455299999999996E-2</v>
      </c>
      <c r="EA52">
        <v>5.2384199999999996</v>
      </c>
      <c r="EB52">
        <v>20.074999999999999</v>
      </c>
      <c r="EC52">
        <v>5.2409499999999998</v>
      </c>
      <c r="ED52">
        <v>12.039899999999999</v>
      </c>
      <c r="EE52">
        <v>5.0171999999999999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1.8646199999999999</v>
      </c>
      <c r="EM52">
        <v>1.8692</v>
      </c>
      <c r="EN52">
        <v>1.8672299999999999</v>
      </c>
      <c r="EO52">
        <v>1.8633599999999999</v>
      </c>
      <c r="EP52">
        <v>1.8644700000000001</v>
      </c>
      <c r="EQ52">
        <v>1.8701399999999999</v>
      </c>
      <c r="ER52">
        <v>1.86937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0.17299999999999999</v>
      </c>
      <c r="FG52">
        <v>0.19839999999999999</v>
      </c>
      <c r="FH52">
        <v>0.69281559908863044</v>
      </c>
      <c r="FI52">
        <v>-6.1462078757559423E-4</v>
      </c>
      <c r="FJ52">
        <v>-1.8861989874597051E-7</v>
      </c>
      <c r="FK52">
        <v>1.1980462299894961E-10</v>
      </c>
      <c r="FL52">
        <v>0.19840465858211129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16.600000000000001</v>
      </c>
      <c r="FU52">
        <v>16.600000000000001</v>
      </c>
      <c r="FV52">
        <v>1.78833</v>
      </c>
      <c r="FW52">
        <v>2.5854499999999998</v>
      </c>
      <c r="FX52">
        <v>1.5490699999999999</v>
      </c>
      <c r="FY52">
        <v>2.3327599999999999</v>
      </c>
      <c r="FZ52">
        <v>1.50146</v>
      </c>
      <c r="GA52">
        <v>2.2839399999999999</v>
      </c>
      <c r="GB52">
        <v>33.535499999999999</v>
      </c>
      <c r="GC52">
        <v>23.9299</v>
      </c>
      <c r="GD52">
        <v>19</v>
      </c>
      <c r="GE52">
        <v>275.58199999999999</v>
      </c>
      <c r="GF52">
        <v>596.62800000000004</v>
      </c>
      <c r="GG52">
        <v>23.358599999999999</v>
      </c>
      <c r="GH52">
        <v>26.219000000000001</v>
      </c>
      <c r="GI52">
        <v>30.002400000000002</v>
      </c>
      <c r="GJ52">
        <v>26.274899999999999</v>
      </c>
      <c r="GK52">
        <v>26.221299999999999</v>
      </c>
      <c r="GL52">
        <v>35.7639</v>
      </c>
      <c r="GM52">
        <v>37.728200000000001</v>
      </c>
      <c r="GN52">
        <v>98.880899999999997</v>
      </c>
      <c r="GO52">
        <v>22.6401</v>
      </c>
      <c r="GP52">
        <v>800</v>
      </c>
      <c r="GQ52">
        <v>16.362500000000001</v>
      </c>
      <c r="GR52">
        <v>99.779799999999994</v>
      </c>
      <c r="GS52">
        <v>99.634500000000003</v>
      </c>
    </row>
    <row r="53" spans="1:201" x14ac:dyDescent="0.25">
      <c r="A53">
        <v>37</v>
      </c>
      <c r="B53">
        <v>1690388645.5999999</v>
      </c>
      <c r="C53">
        <v>387.09999990463263</v>
      </c>
      <c r="D53" t="s">
        <v>407</v>
      </c>
      <c r="E53" t="s">
        <v>408</v>
      </c>
      <c r="F53" t="s">
        <v>330</v>
      </c>
      <c r="H53">
        <v>1690388645.5999999</v>
      </c>
      <c r="I53">
        <f t="shared" si="0"/>
        <v>5.8637850923629726E-4</v>
      </c>
      <c r="J53">
        <f t="shared" si="1"/>
        <v>0.58637850923629731</v>
      </c>
      <c r="K53">
        <f t="shared" si="2"/>
        <v>4.0091407023443315</v>
      </c>
      <c r="L53">
        <f t="shared" si="3"/>
        <v>752.45299999999997</v>
      </c>
      <c r="M53">
        <f t="shared" si="4"/>
        <v>567.82706713037146</v>
      </c>
      <c r="N53">
        <f t="shared" si="5"/>
        <v>56.080084086964</v>
      </c>
      <c r="O53">
        <f t="shared" si="6"/>
        <v>74.314223386254795</v>
      </c>
      <c r="P53">
        <f t="shared" si="7"/>
        <v>3.8420952552223164E-2</v>
      </c>
      <c r="Q53">
        <f t="shared" si="8"/>
        <v>2.1580129014853044</v>
      </c>
      <c r="R53">
        <f t="shared" si="9"/>
        <v>3.8044944234359945E-2</v>
      </c>
      <c r="S53">
        <f t="shared" si="10"/>
        <v>2.3811566245235095E-2</v>
      </c>
      <c r="T53">
        <f t="shared" si="11"/>
        <v>276.11482044425321</v>
      </c>
      <c r="U53">
        <f t="shared" si="12"/>
        <v>27.630315428774459</v>
      </c>
      <c r="V53">
        <f t="shared" si="13"/>
        <v>27.630315428774459</v>
      </c>
      <c r="W53">
        <f t="shared" si="14"/>
        <v>3.713820614493105</v>
      </c>
      <c r="X53">
        <f t="shared" si="15"/>
        <v>67.609363340190569</v>
      </c>
      <c r="Y53">
        <f t="shared" si="16"/>
        <v>2.2374768420591598</v>
      </c>
      <c r="Z53">
        <f t="shared" si="17"/>
        <v>3.309418594582572</v>
      </c>
      <c r="AA53">
        <f t="shared" si="18"/>
        <v>1.4763437724339452</v>
      </c>
      <c r="AB53">
        <f t="shared" si="19"/>
        <v>-25.85929225732071</v>
      </c>
      <c r="AC53">
        <f t="shared" si="20"/>
        <v>-227.77771231324846</v>
      </c>
      <c r="AD53">
        <f t="shared" si="21"/>
        <v>-22.699798366068517</v>
      </c>
      <c r="AE53">
        <f t="shared" si="22"/>
        <v>-0.22198249238445555</v>
      </c>
      <c r="AF53">
        <v>2</v>
      </c>
      <c r="AG53">
        <v>1</v>
      </c>
      <c r="AH53">
        <f t="shared" si="23"/>
        <v>1</v>
      </c>
      <c r="AI53">
        <f t="shared" si="24"/>
        <v>0</v>
      </c>
      <c r="AJ53">
        <f t="shared" si="25"/>
        <v>52404.939085356273</v>
      </c>
      <c r="AK53">
        <f t="shared" si="26"/>
        <v>1799.99</v>
      </c>
      <c r="AL53">
        <f t="shared" si="27"/>
        <v>1499.1006800166199</v>
      </c>
      <c r="AM53">
        <f t="shared" si="28"/>
        <v>0.83283833799999996</v>
      </c>
      <c r="AN53">
        <f t="shared" si="29"/>
        <v>0.15339797467999999</v>
      </c>
      <c r="AO53">
        <v>31.8</v>
      </c>
      <c r="AP53">
        <v>0.5</v>
      </c>
      <c r="AQ53" t="s">
        <v>331</v>
      </c>
      <c r="AR53">
        <v>2</v>
      </c>
      <c r="AS53">
        <v>1690388645.5999999</v>
      </c>
      <c r="AT53">
        <v>752.45299999999997</v>
      </c>
      <c r="AU53">
        <v>799.61599999999999</v>
      </c>
      <c r="AV53">
        <v>22.655100000000001</v>
      </c>
      <c r="AW53">
        <v>16.581700000000001</v>
      </c>
      <c r="AX53">
        <v>752.27800000000002</v>
      </c>
      <c r="AY53">
        <v>22.456700000000001</v>
      </c>
      <c r="AZ53">
        <v>300.06900000000002</v>
      </c>
      <c r="BA53">
        <v>98.662700000000001</v>
      </c>
      <c r="BB53">
        <v>9.9911600000000003E-2</v>
      </c>
      <c r="BC53">
        <v>25.672499999999999</v>
      </c>
      <c r="BD53">
        <v>27.527899999999999</v>
      </c>
      <c r="BE53">
        <v>27.3871</v>
      </c>
      <c r="BF53">
        <v>0</v>
      </c>
      <c r="BG53">
        <v>0</v>
      </c>
      <c r="BH53">
        <v>10000.6</v>
      </c>
      <c r="BI53">
        <v>1060.92</v>
      </c>
      <c r="BJ53">
        <v>1.5137799999999999</v>
      </c>
      <c r="BK53">
        <v>-47.1629</v>
      </c>
      <c r="BL53">
        <v>769.89499999999998</v>
      </c>
      <c r="BM53">
        <v>813.09799999999996</v>
      </c>
      <c r="BN53">
        <v>6.0733800000000002</v>
      </c>
      <c r="BO53">
        <v>799.61599999999999</v>
      </c>
      <c r="BP53">
        <v>16.581700000000001</v>
      </c>
      <c r="BQ53">
        <v>2.23522</v>
      </c>
      <c r="BR53">
        <v>1.6359999999999999</v>
      </c>
      <c r="BS53">
        <v>19.216999999999999</v>
      </c>
      <c r="BT53">
        <v>14.302099999999999</v>
      </c>
      <c r="BU53">
        <v>1799.99</v>
      </c>
      <c r="BV53">
        <v>0.90997700000000004</v>
      </c>
      <c r="BW53">
        <v>3.4007799999999998E-2</v>
      </c>
      <c r="BX53">
        <v>2.2005400000000001E-2</v>
      </c>
      <c r="BY53">
        <v>3.4009999999999999E-2</v>
      </c>
      <c r="BZ53">
        <v>25</v>
      </c>
      <c r="CA53">
        <v>33528.1</v>
      </c>
      <c r="CB53">
        <v>1690387638</v>
      </c>
      <c r="CC53" t="s">
        <v>332</v>
      </c>
      <c r="CD53">
        <v>1690387638</v>
      </c>
      <c r="CE53">
        <v>1690387638</v>
      </c>
      <c r="CF53">
        <v>6</v>
      </c>
      <c r="CG53">
        <v>0.43</v>
      </c>
      <c r="CH53">
        <v>-8.1000000000000003E-2</v>
      </c>
      <c r="CI53">
        <v>0.14199999999999999</v>
      </c>
      <c r="CJ53">
        <v>-2.7E-2</v>
      </c>
      <c r="CK53">
        <v>800</v>
      </c>
      <c r="CL53">
        <v>0</v>
      </c>
      <c r="CM53">
        <v>0.01</v>
      </c>
      <c r="CN53">
        <v>0.01</v>
      </c>
      <c r="CO53">
        <v>-45.130715000000002</v>
      </c>
      <c r="CP53">
        <v>-10.391939212007371</v>
      </c>
      <c r="CQ53">
        <v>1.001868401924624</v>
      </c>
      <c r="CR53">
        <v>-1</v>
      </c>
      <c r="CS53">
        <v>8.0185742500000003</v>
      </c>
      <c r="CT53">
        <v>-8.0699267166979691</v>
      </c>
      <c r="CU53">
        <v>0.81405031212108592</v>
      </c>
      <c r="CV53">
        <v>-1</v>
      </c>
      <c r="CW53">
        <v>0</v>
      </c>
      <c r="CX53">
        <v>0</v>
      </c>
      <c r="CY53" t="s">
        <v>333</v>
      </c>
      <c r="CZ53">
        <v>2.3641899999999998</v>
      </c>
      <c r="DA53">
        <v>2.7136999999999998</v>
      </c>
      <c r="DB53">
        <v>0.14024900000000001</v>
      </c>
      <c r="DC53">
        <v>0.14569099999999999</v>
      </c>
      <c r="DD53">
        <v>0.10888200000000001</v>
      </c>
      <c r="DE53">
        <v>8.5952299999999995E-2</v>
      </c>
      <c r="DF53">
        <v>31404.7</v>
      </c>
      <c r="DG53">
        <v>27548.5</v>
      </c>
      <c r="DH53">
        <v>31183.4</v>
      </c>
      <c r="DI53">
        <v>28097.9</v>
      </c>
      <c r="DJ53">
        <v>37730.400000000001</v>
      </c>
      <c r="DK53">
        <v>36522.9</v>
      </c>
      <c r="DL53">
        <v>44379.8</v>
      </c>
      <c r="DM53">
        <v>42591.199999999997</v>
      </c>
      <c r="DN53">
        <v>1.4593499999999999</v>
      </c>
      <c r="DO53">
        <v>2.05463</v>
      </c>
      <c r="DP53">
        <v>0.17032800000000001</v>
      </c>
      <c r="DQ53">
        <v>0.173181</v>
      </c>
      <c r="DR53">
        <v>24.738399999999999</v>
      </c>
      <c r="DS53">
        <v>24.5501</v>
      </c>
      <c r="DT53">
        <v>57</v>
      </c>
      <c r="DU53">
        <v>28.8</v>
      </c>
      <c r="DV53">
        <v>22.967300000000002</v>
      </c>
      <c r="DW53">
        <v>61.622199999999999</v>
      </c>
      <c r="DX53">
        <v>36.634599999999999</v>
      </c>
      <c r="DY53">
        <v>1</v>
      </c>
      <c r="DZ53">
        <v>-8.0558900000000003E-2</v>
      </c>
      <c r="EA53">
        <v>5.7687900000000001</v>
      </c>
      <c r="EB53">
        <v>20.058199999999999</v>
      </c>
      <c r="EC53">
        <v>5.2406499999999996</v>
      </c>
      <c r="ED53">
        <v>12.039899999999999</v>
      </c>
      <c r="EE53">
        <v>5.0167000000000002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1.8689100000000001</v>
      </c>
      <c r="EL53">
        <v>1.8646100000000001</v>
      </c>
      <c r="EM53">
        <v>1.8692</v>
      </c>
      <c r="EN53">
        <v>1.8672200000000001</v>
      </c>
      <c r="EO53">
        <v>1.86337</v>
      </c>
      <c r="EP53">
        <v>1.8644700000000001</v>
      </c>
      <c r="EQ53">
        <v>1.87015</v>
      </c>
      <c r="ER53">
        <v>1.8693599999999999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0.17499999999999999</v>
      </c>
      <c r="FG53">
        <v>0.19839999999999999</v>
      </c>
      <c r="FH53">
        <v>0.69281559908863044</v>
      </c>
      <c r="FI53">
        <v>-6.1462078757559423E-4</v>
      </c>
      <c r="FJ53">
        <v>-1.8861989874597051E-7</v>
      </c>
      <c r="FK53">
        <v>1.1980462299894961E-10</v>
      </c>
      <c r="FL53">
        <v>0.19840465858211129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16.8</v>
      </c>
      <c r="FU53">
        <v>16.8</v>
      </c>
      <c r="FV53">
        <v>1.78955</v>
      </c>
      <c r="FW53">
        <v>2.5854499999999998</v>
      </c>
      <c r="FX53">
        <v>1.5490699999999999</v>
      </c>
      <c r="FY53">
        <v>2.3327599999999999</v>
      </c>
      <c r="FZ53">
        <v>1.50146</v>
      </c>
      <c r="GA53">
        <v>2.3022499999999999</v>
      </c>
      <c r="GB53">
        <v>33.535499999999999</v>
      </c>
      <c r="GC53">
        <v>23.921099999999999</v>
      </c>
      <c r="GD53">
        <v>19</v>
      </c>
      <c r="GE53">
        <v>275.34800000000001</v>
      </c>
      <c r="GF53">
        <v>597.09699999999998</v>
      </c>
      <c r="GG53">
        <v>21.812200000000001</v>
      </c>
      <c r="GH53">
        <v>26.212900000000001</v>
      </c>
      <c r="GI53">
        <v>30.001300000000001</v>
      </c>
      <c r="GJ53">
        <v>26.2546</v>
      </c>
      <c r="GK53">
        <v>26.227399999999999</v>
      </c>
      <c r="GL53">
        <v>35.7881</v>
      </c>
      <c r="GM53">
        <v>34.646599999999999</v>
      </c>
      <c r="GN53">
        <v>98.492099999999994</v>
      </c>
      <c r="GO53">
        <v>21.379799999999999</v>
      </c>
      <c r="GP53">
        <v>800</v>
      </c>
      <c r="GQ53">
        <v>17.018599999999999</v>
      </c>
      <c r="GR53">
        <v>99.7774</v>
      </c>
      <c r="GS53">
        <v>99.631399999999999</v>
      </c>
    </row>
    <row r="54" spans="1:201" x14ac:dyDescent="0.25">
      <c r="A54">
        <v>38</v>
      </c>
      <c r="B54">
        <v>1690388655.5999999</v>
      </c>
      <c r="C54">
        <v>397.09999990463263</v>
      </c>
      <c r="D54" t="s">
        <v>409</v>
      </c>
      <c r="E54" t="s">
        <v>410</v>
      </c>
      <c r="F54" t="s">
        <v>330</v>
      </c>
      <c r="H54">
        <v>1690388655.5999999</v>
      </c>
      <c r="I54">
        <f t="shared" si="0"/>
        <v>4.5835913315380816E-4</v>
      </c>
      <c r="J54">
        <f t="shared" si="1"/>
        <v>0.45835913315380816</v>
      </c>
      <c r="K54">
        <f t="shared" si="2"/>
        <v>4.3501441675392734</v>
      </c>
      <c r="L54">
        <f t="shared" si="3"/>
        <v>750.07500000000005</v>
      </c>
      <c r="M54">
        <f t="shared" si="4"/>
        <v>493.08446495668522</v>
      </c>
      <c r="N54">
        <f t="shared" si="5"/>
        <v>48.699199220119482</v>
      </c>
      <c r="O54">
        <f t="shared" si="6"/>
        <v>74.080719331200001</v>
      </c>
      <c r="P54">
        <f t="shared" si="7"/>
        <v>2.9041912075294374E-2</v>
      </c>
      <c r="Q54">
        <f t="shared" si="8"/>
        <v>2.1596844886178355</v>
      </c>
      <c r="R54">
        <f t="shared" si="9"/>
        <v>2.882668396876744E-2</v>
      </c>
      <c r="S54">
        <f t="shared" si="10"/>
        <v>1.8035881804451669E-2</v>
      </c>
      <c r="T54">
        <f t="shared" si="11"/>
        <v>276.114578561597</v>
      </c>
      <c r="U54">
        <f t="shared" si="12"/>
        <v>27.472532712842906</v>
      </c>
      <c r="V54">
        <f t="shared" si="13"/>
        <v>27.472532712842906</v>
      </c>
      <c r="W54">
        <f t="shared" si="14"/>
        <v>3.6797036281575375</v>
      </c>
      <c r="X54">
        <f t="shared" si="15"/>
        <v>65.919565351187899</v>
      </c>
      <c r="Y54">
        <f t="shared" si="16"/>
        <v>2.1556914022655995</v>
      </c>
      <c r="Z54">
        <f t="shared" si="17"/>
        <v>3.2701844904181447</v>
      </c>
      <c r="AA54">
        <f t="shared" si="18"/>
        <v>1.524012225891938</v>
      </c>
      <c r="AB54">
        <f t="shared" si="19"/>
        <v>-20.21363777208294</v>
      </c>
      <c r="AC54">
        <f t="shared" si="20"/>
        <v>-232.97441877136379</v>
      </c>
      <c r="AD54">
        <f t="shared" si="21"/>
        <v>-23.158100822397884</v>
      </c>
      <c r="AE54">
        <f t="shared" si="22"/>
        <v>-0.23157880424761856</v>
      </c>
      <c r="AF54">
        <v>2</v>
      </c>
      <c r="AG54">
        <v>1</v>
      </c>
      <c r="AH54">
        <f t="shared" si="23"/>
        <v>1</v>
      </c>
      <c r="AI54">
        <f t="shared" si="24"/>
        <v>0</v>
      </c>
      <c r="AJ54">
        <f t="shared" si="25"/>
        <v>52510.507846919369</v>
      </c>
      <c r="AK54">
        <f t="shared" si="26"/>
        <v>1799.99</v>
      </c>
      <c r="AL54">
        <f t="shared" si="27"/>
        <v>1499.10198860935</v>
      </c>
      <c r="AM54">
        <f t="shared" si="28"/>
        <v>0.83283906499999993</v>
      </c>
      <c r="AN54">
        <f t="shared" si="29"/>
        <v>0.1533978403</v>
      </c>
      <c r="AO54">
        <v>31.8</v>
      </c>
      <c r="AP54">
        <v>0.5</v>
      </c>
      <c r="AQ54" t="s">
        <v>331</v>
      </c>
      <c r="AR54">
        <v>2</v>
      </c>
      <c r="AS54">
        <v>1690388655.5999999</v>
      </c>
      <c r="AT54">
        <v>750.07500000000005</v>
      </c>
      <c r="AU54">
        <v>799.803</v>
      </c>
      <c r="AV54">
        <v>21.826599999999999</v>
      </c>
      <c r="AW54">
        <v>17.076699999999999</v>
      </c>
      <c r="AX54">
        <v>749.89800000000002</v>
      </c>
      <c r="AY54">
        <v>21.6282</v>
      </c>
      <c r="AZ54">
        <v>300.16800000000001</v>
      </c>
      <c r="BA54">
        <v>98.664400000000001</v>
      </c>
      <c r="BB54">
        <v>0.10001599999999999</v>
      </c>
      <c r="BC54">
        <v>25.471599999999999</v>
      </c>
      <c r="BD54">
        <v>27.3566</v>
      </c>
      <c r="BE54">
        <v>27.1782</v>
      </c>
      <c r="BF54">
        <v>0</v>
      </c>
      <c r="BG54">
        <v>0</v>
      </c>
      <c r="BH54">
        <v>10014.4</v>
      </c>
      <c r="BI54">
        <v>1060.6099999999999</v>
      </c>
      <c r="BJ54">
        <v>1.5137799999999999</v>
      </c>
      <c r="BK54">
        <v>-49.728499999999997</v>
      </c>
      <c r="BL54">
        <v>766.81200000000001</v>
      </c>
      <c r="BM54">
        <v>813.69899999999996</v>
      </c>
      <c r="BN54">
        <v>4.7499099999999999</v>
      </c>
      <c r="BO54">
        <v>799.803</v>
      </c>
      <c r="BP54">
        <v>17.076699999999999</v>
      </c>
      <c r="BQ54">
        <v>2.1535099999999998</v>
      </c>
      <c r="BR54">
        <v>1.68486</v>
      </c>
      <c r="BS54">
        <v>18.6206</v>
      </c>
      <c r="BT54">
        <v>14.7576</v>
      </c>
      <c r="BU54">
        <v>1799.99</v>
      </c>
      <c r="BV54">
        <v>0.90998400000000002</v>
      </c>
      <c r="BW54">
        <v>3.4005800000000003E-2</v>
      </c>
      <c r="BX54">
        <v>2.2003499999999999E-2</v>
      </c>
      <c r="BY54">
        <v>3.4007200000000001E-2</v>
      </c>
      <c r="BZ54">
        <v>25</v>
      </c>
      <c r="CA54">
        <v>33528.1</v>
      </c>
      <c r="CB54">
        <v>1690387638</v>
      </c>
      <c r="CC54" t="s">
        <v>332</v>
      </c>
      <c r="CD54">
        <v>1690387638</v>
      </c>
      <c r="CE54">
        <v>1690387638</v>
      </c>
      <c r="CF54">
        <v>6</v>
      </c>
      <c r="CG54">
        <v>0.43</v>
      </c>
      <c r="CH54">
        <v>-8.1000000000000003E-2</v>
      </c>
      <c r="CI54">
        <v>0.14199999999999999</v>
      </c>
      <c r="CJ54">
        <v>-2.7E-2</v>
      </c>
      <c r="CK54">
        <v>800</v>
      </c>
      <c r="CL54">
        <v>0</v>
      </c>
      <c r="CM54">
        <v>0.01</v>
      </c>
      <c r="CN54">
        <v>0.01</v>
      </c>
      <c r="CO54">
        <v>-47.107704878048779</v>
      </c>
      <c r="CP54">
        <v>-12.926912195121989</v>
      </c>
      <c r="CQ54">
        <v>1.281817127467443</v>
      </c>
      <c r="CR54">
        <v>-1</v>
      </c>
      <c r="CS54">
        <v>6.3860402439024382</v>
      </c>
      <c r="CT54">
        <v>-10.59347414634146</v>
      </c>
      <c r="CU54">
        <v>1.0495233509817861</v>
      </c>
      <c r="CV54">
        <v>-1</v>
      </c>
      <c r="CW54">
        <v>0</v>
      </c>
      <c r="CX54">
        <v>0</v>
      </c>
      <c r="CY54" t="s">
        <v>333</v>
      </c>
      <c r="CZ54">
        <v>2.3645200000000002</v>
      </c>
      <c r="DA54">
        <v>2.7138200000000001</v>
      </c>
      <c r="DB54">
        <v>0.139936</v>
      </c>
      <c r="DC54">
        <v>0.14572499999999999</v>
      </c>
      <c r="DD54">
        <v>0.106029</v>
      </c>
      <c r="DE54">
        <v>8.7801299999999999E-2</v>
      </c>
      <c r="DF54">
        <v>31416</v>
      </c>
      <c r="DG54">
        <v>27547.599999999999</v>
      </c>
      <c r="DH54">
        <v>31183.200000000001</v>
      </c>
      <c r="DI54">
        <v>28098</v>
      </c>
      <c r="DJ54">
        <v>37852.199999999997</v>
      </c>
      <c r="DK54">
        <v>36448.9</v>
      </c>
      <c r="DL54">
        <v>44379.6</v>
      </c>
      <c r="DM54">
        <v>42591.3</v>
      </c>
      <c r="DN54">
        <v>1.4597</v>
      </c>
      <c r="DO54">
        <v>2.0546500000000001</v>
      </c>
      <c r="DP54">
        <v>0.16006100000000001</v>
      </c>
      <c r="DQ54">
        <v>0.16006100000000001</v>
      </c>
      <c r="DR54">
        <v>24.7349</v>
      </c>
      <c r="DS54">
        <v>24.555700000000002</v>
      </c>
      <c r="DT54">
        <v>57</v>
      </c>
      <c r="DU54">
        <v>28.8</v>
      </c>
      <c r="DV54">
        <v>22.971499999999999</v>
      </c>
      <c r="DW54">
        <v>61.672199999999997</v>
      </c>
      <c r="DX54">
        <v>36.778799999999997</v>
      </c>
      <c r="DY54">
        <v>1</v>
      </c>
      <c r="DZ54">
        <v>-8.1775899999999999E-2</v>
      </c>
      <c r="EA54">
        <v>5.4419000000000004</v>
      </c>
      <c r="EB54">
        <v>20.0778</v>
      </c>
      <c r="EC54">
        <v>5.2408000000000001</v>
      </c>
      <c r="ED54">
        <v>12.039899999999999</v>
      </c>
      <c r="EE54">
        <v>5.0165499999999996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1.8646100000000001</v>
      </c>
      <c r="EM54">
        <v>1.8692</v>
      </c>
      <c r="EN54">
        <v>1.8672299999999999</v>
      </c>
      <c r="EO54">
        <v>1.8633599999999999</v>
      </c>
      <c r="EP54">
        <v>1.8644700000000001</v>
      </c>
      <c r="EQ54">
        <v>1.8701399999999999</v>
      </c>
      <c r="ER54">
        <v>1.8693599999999999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0.17699999999999999</v>
      </c>
      <c r="FG54">
        <v>0.19839999999999999</v>
      </c>
      <c r="FH54">
        <v>0.69281559908863044</v>
      </c>
      <c r="FI54">
        <v>-6.1462078757559423E-4</v>
      </c>
      <c r="FJ54">
        <v>-1.8861989874597051E-7</v>
      </c>
      <c r="FK54">
        <v>1.1980462299894961E-10</v>
      </c>
      <c r="FL54">
        <v>0.19840465858211129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17</v>
      </c>
      <c r="FU54">
        <v>17</v>
      </c>
      <c r="FV54">
        <v>1.79077</v>
      </c>
      <c r="FW54">
        <v>2.5830099999999998</v>
      </c>
      <c r="FX54">
        <v>1.5490699999999999</v>
      </c>
      <c r="FY54">
        <v>2.3327599999999999</v>
      </c>
      <c r="FZ54">
        <v>1.50146</v>
      </c>
      <c r="GA54">
        <v>2.3645</v>
      </c>
      <c r="GB54">
        <v>33.535499999999999</v>
      </c>
      <c r="GC54">
        <v>23.938700000000001</v>
      </c>
      <c r="GD54">
        <v>19</v>
      </c>
      <c r="GE54">
        <v>275.49299999999999</v>
      </c>
      <c r="GF54">
        <v>597.15599999999995</v>
      </c>
      <c r="GG54">
        <v>20.679200000000002</v>
      </c>
      <c r="GH54">
        <v>26.2089</v>
      </c>
      <c r="GI54">
        <v>29.999500000000001</v>
      </c>
      <c r="GJ54">
        <v>26.254200000000001</v>
      </c>
      <c r="GK54">
        <v>26.230699999999999</v>
      </c>
      <c r="GL54">
        <v>35.805700000000002</v>
      </c>
      <c r="GM54">
        <v>33.044899999999998</v>
      </c>
      <c r="GN54">
        <v>98.492099999999994</v>
      </c>
      <c r="GO54">
        <v>20.4665</v>
      </c>
      <c r="GP54">
        <v>800</v>
      </c>
      <c r="GQ54">
        <v>17.332100000000001</v>
      </c>
      <c r="GR54">
        <v>99.776899999999998</v>
      </c>
      <c r="GS54">
        <v>99.631799999999998</v>
      </c>
    </row>
    <row r="55" spans="1:201" x14ac:dyDescent="0.25">
      <c r="A55">
        <v>39</v>
      </c>
      <c r="B55">
        <v>1690388665.5999999</v>
      </c>
      <c r="C55">
        <v>407.09999990463263</v>
      </c>
      <c r="D55" t="s">
        <v>411</v>
      </c>
      <c r="E55" t="s">
        <v>412</v>
      </c>
      <c r="F55" t="s">
        <v>330</v>
      </c>
      <c r="H55">
        <v>1690388665.5999999</v>
      </c>
      <c r="I55">
        <f t="shared" si="0"/>
        <v>3.8549622031112138E-4</v>
      </c>
      <c r="J55">
        <f t="shared" si="1"/>
        <v>0.38549622031112141</v>
      </c>
      <c r="K55">
        <f t="shared" si="2"/>
        <v>4.6507292064896477</v>
      </c>
      <c r="L55">
        <f t="shared" si="3"/>
        <v>747.58299999999997</v>
      </c>
      <c r="M55">
        <f t="shared" si="4"/>
        <v>422.37066193802042</v>
      </c>
      <c r="N55">
        <f t="shared" si="5"/>
        <v>41.715170009752924</v>
      </c>
      <c r="O55">
        <f t="shared" si="6"/>
        <v>73.834559906003506</v>
      </c>
      <c r="P55">
        <f t="shared" si="7"/>
        <v>2.4117757237119151E-2</v>
      </c>
      <c r="Q55">
        <f t="shared" si="8"/>
        <v>2.1603538666770068</v>
      </c>
      <c r="R55">
        <f t="shared" si="9"/>
        <v>2.3969171178021022E-2</v>
      </c>
      <c r="S55">
        <f t="shared" si="10"/>
        <v>1.4994005433054812E-2</v>
      </c>
      <c r="T55">
        <f t="shared" si="11"/>
        <v>276.11410808021083</v>
      </c>
      <c r="U55">
        <f t="shared" si="12"/>
        <v>27.328590143305654</v>
      </c>
      <c r="V55">
        <f t="shared" si="13"/>
        <v>27.328590143305654</v>
      </c>
      <c r="W55">
        <f t="shared" si="14"/>
        <v>3.6488181729031655</v>
      </c>
      <c r="X55">
        <f t="shared" si="15"/>
        <v>65.070313024326836</v>
      </c>
      <c r="Y55">
        <f t="shared" si="16"/>
        <v>2.1066735240943499</v>
      </c>
      <c r="Z55">
        <f t="shared" si="17"/>
        <v>3.2375340246277289</v>
      </c>
      <c r="AA55">
        <f t="shared" si="18"/>
        <v>1.5421446488088155</v>
      </c>
      <c r="AB55">
        <f t="shared" si="19"/>
        <v>-17.000383315720452</v>
      </c>
      <c r="AC55">
        <f t="shared" si="20"/>
        <v>-235.94174746090619</v>
      </c>
      <c r="AD55">
        <f t="shared" si="21"/>
        <v>-23.409090963589435</v>
      </c>
      <c r="AE55">
        <f t="shared" si="22"/>
        <v>-0.23711366000526368</v>
      </c>
      <c r="AF55">
        <v>2</v>
      </c>
      <c r="AG55">
        <v>1</v>
      </c>
      <c r="AH55">
        <f t="shared" si="23"/>
        <v>1</v>
      </c>
      <c r="AI55">
        <f t="shared" si="24"/>
        <v>0</v>
      </c>
      <c r="AJ55">
        <f t="shared" si="25"/>
        <v>52568.388749231926</v>
      </c>
      <c r="AK55">
        <f t="shared" si="26"/>
        <v>1799.99</v>
      </c>
      <c r="AL55">
        <f t="shared" si="27"/>
        <v>1499.1016142114304</v>
      </c>
      <c r="AM55">
        <f t="shared" si="28"/>
        <v>0.83283885700000015</v>
      </c>
      <c r="AN55">
        <f t="shared" si="29"/>
        <v>0.15339757892</v>
      </c>
      <c r="AO55">
        <v>31.8</v>
      </c>
      <c r="AP55">
        <v>0.5</v>
      </c>
      <c r="AQ55" t="s">
        <v>331</v>
      </c>
      <c r="AR55">
        <v>2</v>
      </c>
      <c r="AS55">
        <v>1690388665.5999999</v>
      </c>
      <c r="AT55">
        <v>747.58299999999997</v>
      </c>
      <c r="AU55">
        <v>799.91200000000003</v>
      </c>
      <c r="AV55">
        <v>21.330300000000001</v>
      </c>
      <c r="AW55">
        <v>17.332999999999998</v>
      </c>
      <c r="AX55">
        <v>747.40499999999997</v>
      </c>
      <c r="AY55">
        <v>21.131900000000002</v>
      </c>
      <c r="AZ55">
        <v>300.13499999999999</v>
      </c>
      <c r="BA55">
        <v>98.664400000000001</v>
      </c>
      <c r="BB55">
        <v>9.9964499999999998E-2</v>
      </c>
      <c r="BC55">
        <v>25.302800000000001</v>
      </c>
      <c r="BD55">
        <v>27.162099999999999</v>
      </c>
      <c r="BE55">
        <v>26.964200000000002</v>
      </c>
      <c r="BF55">
        <v>0</v>
      </c>
      <c r="BG55">
        <v>0</v>
      </c>
      <c r="BH55">
        <v>10020</v>
      </c>
      <c r="BI55">
        <v>1060.1199999999999</v>
      </c>
      <c r="BJ55">
        <v>1.5137799999999999</v>
      </c>
      <c r="BK55">
        <v>-52.329700000000003</v>
      </c>
      <c r="BL55">
        <v>763.87699999999995</v>
      </c>
      <c r="BM55">
        <v>814.02200000000005</v>
      </c>
      <c r="BN55">
        <v>3.9973299999999998</v>
      </c>
      <c r="BO55">
        <v>799.91200000000003</v>
      </c>
      <c r="BP55">
        <v>17.332999999999998</v>
      </c>
      <c r="BQ55">
        <v>2.1045400000000001</v>
      </c>
      <c r="BR55">
        <v>1.7101500000000001</v>
      </c>
      <c r="BS55">
        <v>18.253599999999999</v>
      </c>
      <c r="BT55">
        <v>14.988899999999999</v>
      </c>
      <c r="BU55">
        <v>1799.99</v>
      </c>
      <c r="BV55">
        <v>0.90998900000000005</v>
      </c>
      <c r="BW55">
        <v>3.4003600000000002E-2</v>
      </c>
      <c r="BX55">
        <v>2.20021E-2</v>
      </c>
      <c r="BY55">
        <v>3.4005000000000001E-2</v>
      </c>
      <c r="BZ55">
        <v>25</v>
      </c>
      <c r="CA55">
        <v>33528.199999999997</v>
      </c>
      <c r="CB55">
        <v>1690387638</v>
      </c>
      <c r="CC55" t="s">
        <v>332</v>
      </c>
      <c r="CD55">
        <v>1690387638</v>
      </c>
      <c r="CE55">
        <v>1690387638</v>
      </c>
      <c r="CF55">
        <v>6</v>
      </c>
      <c r="CG55">
        <v>0.43</v>
      </c>
      <c r="CH55">
        <v>-8.1000000000000003E-2</v>
      </c>
      <c r="CI55">
        <v>0.14199999999999999</v>
      </c>
      <c r="CJ55">
        <v>-2.7E-2</v>
      </c>
      <c r="CK55">
        <v>800</v>
      </c>
      <c r="CL55">
        <v>0</v>
      </c>
      <c r="CM55">
        <v>0.01</v>
      </c>
      <c r="CN55">
        <v>0.01</v>
      </c>
      <c r="CO55">
        <v>-49.3894375</v>
      </c>
      <c r="CP55">
        <v>-15.24716510318944</v>
      </c>
      <c r="CQ55">
        <v>1.4672154151125021</v>
      </c>
      <c r="CR55">
        <v>-1</v>
      </c>
      <c r="CS55">
        <v>4.9764810000000006</v>
      </c>
      <c r="CT55">
        <v>-6.5933193996247654</v>
      </c>
      <c r="CU55">
        <v>0.64001534370982072</v>
      </c>
      <c r="CV55">
        <v>-1</v>
      </c>
      <c r="CW55">
        <v>0</v>
      </c>
      <c r="CX55">
        <v>0</v>
      </c>
      <c r="CY55" t="s">
        <v>333</v>
      </c>
      <c r="CZ55">
        <v>2.3643999999999998</v>
      </c>
      <c r="DA55">
        <v>2.7137699999999998</v>
      </c>
      <c r="DB55">
        <v>0.13961100000000001</v>
      </c>
      <c r="DC55">
        <v>0.14574300000000001</v>
      </c>
      <c r="DD55">
        <v>0.104298</v>
      </c>
      <c r="DE55">
        <v>8.8750200000000001E-2</v>
      </c>
      <c r="DF55">
        <v>31428.799999999999</v>
      </c>
      <c r="DG55">
        <v>27547.9</v>
      </c>
      <c r="DH55">
        <v>31184.2</v>
      </c>
      <c r="DI55">
        <v>28099</v>
      </c>
      <c r="DJ55">
        <v>37927.4</v>
      </c>
      <c r="DK55">
        <v>36412.1</v>
      </c>
      <c r="DL55">
        <v>44381</v>
      </c>
      <c r="DM55">
        <v>42592.6</v>
      </c>
      <c r="DN55">
        <v>1.4596800000000001</v>
      </c>
      <c r="DO55">
        <v>2.0549499999999998</v>
      </c>
      <c r="DP55">
        <v>0.148974</v>
      </c>
      <c r="DQ55">
        <v>0.147894</v>
      </c>
      <c r="DR55">
        <v>24.721499999999999</v>
      </c>
      <c r="DS55">
        <v>24.540500000000002</v>
      </c>
      <c r="DT55">
        <v>57</v>
      </c>
      <c r="DU55">
        <v>28.8</v>
      </c>
      <c r="DV55">
        <v>22.966899999999999</v>
      </c>
      <c r="DW55">
        <v>61.452199999999998</v>
      </c>
      <c r="DX55">
        <v>36.7348</v>
      </c>
      <c r="DY55">
        <v>1</v>
      </c>
      <c r="DZ55">
        <v>-8.4286100000000003E-2</v>
      </c>
      <c r="EA55">
        <v>4.87948</v>
      </c>
      <c r="EB55">
        <v>20.1035</v>
      </c>
      <c r="EC55">
        <v>5.2411000000000003</v>
      </c>
      <c r="ED55">
        <v>12.039899999999999</v>
      </c>
      <c r="EE55">
        <v>5.0172999999999996</v>
      </c>
      <c r="EF55">
        <v>3.2879499999999999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1.8646100000000001</v>
      </c>
      <c r="EM55">
        <v>1.8692</v>
      </c>
      <c r="EN55">
        <v>1.8672200000000001</v>
      </c>
      <c r="EO55">
        <v>1.86337</v>
      </c>
      <c r="EP55">
        <v>1.8644700000000001</v>
      </c>
      <c r="EQ55">
        <v>1.87015</v>
      </c>
      <c r="ER55">
        <v>1.86937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0.17799999999999999</v>
      </c>
      <c r="FG55">
        <v>0.19839999999999999</v>
      </c>
      <c r="FH55">
        <v>0.69281559908863044</v>
      </c>
      <c r="FI55">
        <v>-6.1462078757559423E-4</v>
      </c>
      <c r="FJ55">
        <v>-1.8861989874597051E-7</v>
      </c>
      <c r="FK55">
        <v>1.1980462299894961E-10</v>
      </c>
      <c r="FL55">
        <v>0.19840465858211129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17.100000000000001</v>
      </c>
      <c r="FU55">
        <v>17.100000000000001</v>
      </c>
      <c r="FV55">
        <v>1.79199</v>
      </c>
      <c r="FW55">
        <v>2.5817899999999998</v>
      </c>
      <c r="FX55">
        <v>1.5490699999999999</v>
      </c>
      <c r="FY55">
        <v>2.3327599999999999</v>
      </c>
      <c r="FZ55">
        <v>1.50146</v>
      </c>
      <c r="GA55">
        <v>2.3877000000000002</v>
      </c>
      <c r="GB55">
        <v>33.535499999999999</v>
      </c>
      <c r="GC55">
        <v>23.956199999999999</v>
      </c>
      <c r="GD55">
        <v>19</v>
      </c>
      <c r="GE55">
        <v>275.49799999999999</v>
      </c>
      <c r="GF55">
        <v>597.41899999999998</v>
      </c>
      <c r="GG55">
        <v>19.9587</v>
      </c>
      <c r="GH55">
        <v>26.206700000000001</v>
      </c>
      <c r="GI55">
        <v>29.998999999999999</v>
      </c>
      <c r="GJ55">
        <v>26.258099999999999</v>
      </c>
      <c r="GK55">
        <v>26.231400000000001</v>
      </c>
      <c r="GL55">
        <v>35.817500000000003</v>
      </c>
      <c r="GM55">
        <v>32.167499999999997</v>
      </c>
      <c r="GN55">
        <v>98.492099999999994</v>
      </c>
      <c r="GO55">
        <v>19.866599999999998</v>
      </c>
      <c r="GP55">
        <v>800</v>
      </c>
      <c r="GQ55">
        <v>17.539899999999999</v>
      </c>
      <c r="GR55">
        <v>99.779899999999998</v>
      </c>
      <c r="GS55">
        <v>99.634900000000002</v>
      </c>
    </row>
    <row r="56" spans="1:201" x14ac:dyDescent="0.25">
      <c r="A56">
        <v>40</v>
      </c>
      <c r="B56">
        <v>1690388675.5999999</v>
      </c>
      <c r="C56">
        <v>417.09999990463263</v>
      </c>
      <c r="D56" t="s">
        <v>413</v>
      </c>
      <c r="E56" t="s">
        <v>414</v>
      </c>
      <c r="F56" t="s">
        <v>330</v>
      </c>
      <c r="H56">
        <v>1690388675.5999999</v>
      </c>
      <c r="I56">
        <f t="shared" si="0"/>
        <v>3.4953969167227995E-4</v>
      </c>
      <c r="J56">
        <f t="shared" si="1"/>
        <v>0.34953969167227994</v>
      </c>
      <c r="K56">
        <f t="shared" si="2"/>
        <v>4.9195975150248348</v>
      </c>
      <c r="L56">
        <f t="shared" si="3"/>
        <v>745.07399999999996</v>
      </c>
      <c r="M56">
        <f t="shared" si="4"/>
        <v>369.15064119929218</v>
      </c>
      <c r="N56">
        <f t="shared" si="5"/>
        <v>36.458332489105395</v>
      </c>
      <c r="O56">
        <f t="shared" si="6"/>
        <v>73.585557193499994</v>
      </c>
      <c r="P56">
        <f t="shared" si="7"/>
        <v>2.1872315502388981E-2</v>
      </c>
      <c r="Q56">
        <f t="shared" si="8"/>
        <v>2.1608589403333931</v>
      </c>
      <c r="R56">
        <f t="shared" si="9"/>
        <v>2.1750061864308473E-2</v>
      </c>
      <c r="S56">
        <f t="shared" si="10"/>
        <v>1.3604715599770372E-2</v>
      </c>
      <c r="T56">
        <f t="shared" si="11"/>
        <v>276.11558037000003</v>
      </c>
      <c r="U56">
        <f t="shared" si="12"/>
        <v>27.198725233162047</v>
      </c>
      <c r="V56">
        <f t="shared" si="13"/>
        <v>27.198725233162047</v>
      </c>
      <c r="W56">
        <f t="shared" si="14"/>
        <v>3.6211477218187671</v>
      </c>
      <c r="X56">
        <f t="shared" si="15"/>
        <v>64.784776280118621</v>
      </c>
      <c r="Y56">
        <f t="shared" si="16"/>
        <v>2.0797657420499998</v>
      </c>
      <c r="Z56">
        <f t="shared" si="17"/>
        <v>3.2102692352558844</v>
      </c>
      <c r="AA56">
        <f t="shared" si="18"/>
        <v>1.5413819797687673</v>
      </c>
      <c r="AB56">
        <f t="shared" si="19"/>
        <v>-15.414700402747545</v>
      </c>
      <c r="AC56">
        <f t="shared" si="20"/>
        <v>-237.42225058395425</v>
      </c>
      <c r="AD56">
        <f t="shared" si="21"/>
        <v>-23.518394347994757</v>
      </c>
      <c r="AE56">
        <f t="shared" si="22"/>
        <v>-0.2397649646965192</v>
      </c>
      <c r="AF56">
        <v>1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52614.674115647817</v>
      </c>
      <c r="AK56">
        <f t="shared" si="26"/>
        <v>1800</v>
      </c>
      <c r="AL56">
        <f t="shared" si="27"/>
        <v>1499.1113429999998</v>
      </c>
      <c r="AM56">
        <f t="shared" si="28"/>
        <v>0.83283963499999991</v>
      </c>
      <c r="AN56">
        <f t="shared" si="29"/>
        <v>0.15339754465000002</v>
      </c>
      <c r="AO56">
        <v>31.8</v>
      </c>
      <c r="AP56">
        <v>0.5</v>
      </c>
      <c r="AQ56" t="s">
        <v>331</v>
      </c>
      <c r="AR56">
        <v>2</v>
      </c>
      <c r="AS56">
        <v>1690388675.5999999</v>
      </c>
      <c r="AT56">
        <v>745.07399999999996</v>
      </c>
      <c r="AU56">
        <v>799.94299999999998</v>
      </c>
      <c r="AV56">
        <v>21.058199999999999</v>
      </c>
      <c r="AW56">
        <v>17.433700000000002</v>
      </c>
      <c r="AX56">
        <v>744.89400000000001</v>
      </c>
      <c r="AY56">
        <v>20.8598</v>
      </c>
      <c r="AZ56">
        <v>300.21499999999997</v>
      </c>
      <c r="BA56">
        <v>98.662700000000001</v>
      </c>
      <c r="BB56">
        <v>0.10005</v>
      </c>
      <c r="BC56">
        <v>25.160699999999999</v>
      </c>
      <c r="BD56">
        <v>27.009</v>
      </c>
      <c r="BE56">
        <v>26.781099999999999</v>
      </c>
      <c r="BF56">
        <v>0</v>
      </c>
      <c r="BG56">
        <v>0</v>
      </c>
      <c r="BH56">
        <v>10024.4</v>
      </c>
      <c r="BI56">
        <v>1059.53</v>
      </c>
      <c r="BJ56">
        <v>1.5137799999999999</v>
      </c>
      <c r="BK56">
        <v>-54.868899999999996</v>
      </c>
      <c r="BL56">
        <v>761.10199999999998</v>
      </c>
      <c r="BM56">
        <v>814.13699999999994</v>
      </c>
      <c r="BN56">
        <v>3.6245400000000001</v>
      </c>
      <c r="BO56">
        <v>799.94299999999998</v>
      </c>
      <c r="BP56">
        <v>17.433700000000002</v>
      </c>
      <c r="BQ56">
        <v>2.0776599999999998</v>
      </c>
      <c r="BR56">
        <v>1.7200500000000001</v>
      </c>
      <c r="BS56">
        <v>18.0489</v>
      </c>
      <c r="BT56">
        <v>15.0786</v>
      </c>
      <c r="BU56">
        <v>1800</v>
      </c>
      <c r="BV56">
        <v>0.90999399999999997</v>
      </c>
      <c r="BW56">
        <v>3.4001900000000002E-2</v>
      </c>
      <c r="BX56">
        <v>2.2001E-2</v>
      </c>
      <c r="BY56">
        <v>3.40033E-2</v>
      </c>
      <c r="BZ56">
        <v>25</v>
      </c>
      <c r="CA56">
        <v>33528.300000000003</v>
      </c>
      <c r="CB56">
        <v>1690387638</v>
      </c>
      <c r="CC56" t="s">
        <v>332</v>
      </c>
      <c r="CD56">
        <v>1690387638</v>
      </c>
      <c r="CE56">
        <v>1690387638</v>
      </c>
      <c r="CF56">
        <v>6</v>
      </c>
      <c r="CG56">
        <v>0.43</v>
      </c>
      <c r="CH56">
        <v>-8.1000000000000003E-2</v>
      </c>
      <c r="CI56">
        <v>0.14199999999999999</v>
      </c>
      <c r="CJ56">
        <v>-2.7E-2</v>
      </c>
      <c r="CK56">
        <v>800</v>
      </c>
      <c r="CL56">
        <v>0</v>
      </c>
      <c r="CM56">
        <v>0.01</v>
      </c>
      <c r="CN56">
        <v>0.01</v>
      </c>
      <c r="CO56">
        <v>-52.033439024390248</v>
      </c>
      <c r="CP56">
        <v>-15.50829825783984</v>
      </c>
      <c r="CQ56">
        <v>1.5297441247664869</v>
      </c>
      <c r="CR56">
        <v>-1</v>
      </c>
      <c r="CS56">
        <v>4.1175526829268287</v>
      </c>
      <c r="CT56">
        <v>-3.6050784668989491</v>
      </c>
      <c r="CU56">
        <v>0.36135408589808549</v>
      </c>
      <c r="CV56">
        <v>-1</v>
      </c>
      <c r="CW56">
        <v>0</v>
      </c>
      <c r="CX56">
        <v>0</v>
      </c>
      <c r="CY56" t="s">
        <v>333</v>
      </c>
      <c r="CZ56">
        <v>2.3646699999999998</v>
      </c>
      <c r="DA56">
        <v>2.7138599999999999</v>
      </c>
      <c r="DB56">
        <v>0.13928599999999999</v>
      </c>
      <c r="DC56">
        <v>0.14574599999999999</v>
      </c>
      <c r="DD56">
        <v>0.103339</v>
      </c>
      <c r="DE56">
        <v>8.9119699999999996E-2</v>
      </c>
      <c r="DF56">
        <v>31441.599999999999</v>
      </c>
      <c r="DG56">
        <v>27548.1</v>
      </c>
      <c r="DH56">
        <v>31185.1</v>
      </c>
      <c r="DI56">
        <v>28099.200000000001</v>
      </c>
      <c r="DJ56">
        <v>37969.5</v>
      </c>
      <c r="DK56">
        <v>36397.699999999997</v>
      </c>
      <c r="DL56">
        <v>44382.3</v>
      </c>
      <c r="DM56">
        <v>42593.1</v>
      </c>
      <c r="DN56">
        <v>1.46</v>
      </c>
      <c r="DO56">
        <v>2.0550799999999998</v>
      </c>
      <c r="DP56">
        <v>0.14104700000000001</v>
      </c>
      <c r="DQ56">
        <v>0.13880400000000001</v>
      </c>
      <c r="DR56">
        <v>24.698</v>
      </c>
      <c r="DS56">
        <v>24.5061</v>
      </c>
      <c r="DT56">
        <v>57</v>
      </c>
      <c r="DU56">
        <v>28.8</v>
      </c>
      <c r="DV56">
        <v>22.968</v>
      </c>
      <c r="DW56">
        <v>61.142200000000003</v>
      </c>
      <c r="DX56">
        <v>36.177900000000001</v>
      </c>
      <c r="DY56">
        <v>1</v>
      </c>
      <c r="DZ56">
        <v>-8.7942099999999995E-2</v>
      </c>
      <c r="EA56">
        <v>3.95092</v>
      </c>
      <c r="EB56">
        <v>20.135200000000001</v>
      </c>
      <c r="EC56">
        <v>5.24125</v>
      </c>
      <c r="ED56">
        <v>12.039899999999999</v>
      </c>
      <c r="EE56">
        <v>5.0170500000000002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1.8689100000000001</v>
      </c>
      <c r="EL56">
        <v>1.8646100000000001</v>
      </c>
      <c r="EM56">
        <v>1.8692</v>
      </c>
      <c r="EN56">
        <v>1.8672200000000001</v>
      </c>
      <c r="EO56">
        <v>1.86337</v>
      </c>
      <c r="EP56">
        <v>1.86446</v>
      </c>
      <c r="EQ56">
        <v>1.87016</v>
      </c>
      <c r="ER56">
        <v>1.8693599999999999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0.18</v>
      </c>
      <c r="FG56">
        <v>0.19839999999999999</v>
      </c>
      <c r="FH56">
        <v>0.69281559908863044</v>
      </c>
      <c r="FI56">
        <v>-6.1462078757559423E-4</v>
      </c>
      <c r="FJ56">
        <v>-1.8861989874597051E-7</v>
      </c>
      <c r="FK56">
        <v>1.1980462299894961E-10</v>
      </c>
      <c r="FL56">
        <v>0.19840465858211129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17.3</v>
      </c>
      <c r="FU56">
        <v>17.3</v>
      </c>
      <c r="FV56">
        <v>1.79199</v>
      </c>
      <c r="FW56">
        <v>2.5781200000000002</v>
      </c>
      <c r="FX56">
        <v>1.5490699999999999</v>
      </c>
      <c r="FY56">
        <v>2.3327599999999999</v>
      </c>
      <c r="FZ56">
        <v>1.50146</v>
      </c>
      <c r="GA56">
        <v>2.4218799999999998</v>
      </c>
      <c r="GB56">
        <v>33.558</v>
      </c>
      <c r="GC56">
        <v>23.973700000000001</v>
      </c>
      <c r="GD56">
        <v>19</v>
      </c>
      <c r="GE56">
        <v>275.65199999999999</v>
      </c>
      <c r="GF56">
        <v>597.54899999999998</v>
      </c>
      <c r="GG56">
        <v>19.598700000000001</v>
      </c>
      <c r="GH56">
        <v>26.206700000000001</v>
      </c>
      <c r="GI56">
        <v>29.9984</v>
      </c>
      <c r="GJ56">
        <v>26.2621</v>
      </c>
      <c r="GK56">
        <v>26.233599999999999</v>
      </c>
      <c r="GL56">
        <v>35.824399999999997</v>
      </c>
      <c r="GM56">
        <v>31.837399999999999</v>
      </c>
      <c r="GN56">
        <v>98.492099999999994</v>
      </c>
      <c r="GO56">
        <v>19.6629</v>
      </c>
      <c r="GP56">
        <v>800</v>
      </c>
      <c r="GQ56">
        <v>17.488499999999998</v>
      </c>
      <c r="GR56">
        <v>99.783000000000001</v>
      </c>
      <c r="GS56">
        <v>99.635900000000007</v>
      </c>
    </row>
    <row r="57" spans="1:201" x14ac:dyDescent="0.25">
      <c r="A57">
        <v>41</v>
      </c>
      <c r="B57">
        <v>1690388685.5999999</v>
      </c>
      <c r="C57">
        <v>427.09999990463263</v>
      </c>
      <c r="D57" t="s">
        <v>415</v>
      </c>
      <c r="E57" t="s">
        <v>416</v>
      </c>
      <c r="F57" t="s">
        <v>330</v>
      </c>
      <c r="H57">
        <v>1690388685.5999999</v>
      </c>
      <c r="I57">
        <f t="shared" si="0"/>
        <v>3.5114015673761416E-4</v>
      </c>
      <c r="J57">
        <f t="shared" si="1"/>
        <v>0.35114015673761417</v>
      </c>
      <c r="K57">
        <f t="shared" si="2"/>
        <v>5.1744728507035882</v>
      </c>
      <c r="L57">
        <f t="shared" si="3"/>
        <v>742.40200000000004</v>
      </c>
      <c r="M57">
        <f t="shared" si="4"/>
        <v>355.30547391216135</v>
      </c>
      <c r="N57">
        <f t="shared" si="5"/>
        <v>35.092266719370315</v>
      </c>
      <c r="O57">
        <f t="shared" si="6"/>
        <v>73.324423376135996</v>
      </c>
      <c r="P57">
        <f t="shared" si="7"/>
        <v>2.2293570782257799E-2</v>
      </c>
      <c r="Q57">
        <f t="shared" si="8"/>
        <v>2.1547642028822045</v>
      </c>
      <c r="R57">
        <f t="shared" si="9"/>
        <v>2.2166220417648021E-2</v>
      </c>
      <c r="S57">
        <f t="shared" si="10"/>
        <v>1.38652689347733E-2</v>
      </c>
      <c r="T57">
        <f t="shared" si="11"/>
        <v>276.11367395862266</v>
      </c>
      <c r="U57">
        <f t="shared" si="12"/>
        <v>27.141020574460416</v>
      </c>
      <c r="V57">
        <f t="shared" si="13"/>
        <v>27.141020574460416</v>
      </c>
      <c r="W57">
        <f t="shared" si="14"/>
        <v>3.6089114200184311</v>
      </c>
      <c r="X57">
        <f t="shared" si="15"/>
        <v>65.329615838255378</v>
      </c>
      <c r="Y57">
        <f t="shared" si="16"/>
        <v>2.0894638904207996</v>
      </c>
      <c r="Z57">
        <f t="shared" si="17"/>
        <v>3.1983410029441228</v>
      </c>
      <c r="AA57">
        <f t="shared" si="18"/>
        <v>1.5194475295976315</v>
      </c>
      <c r="AB57">
        <f t="shared" si="19"/>
        <v>-15.485280912128784</v>
      </c>
      <c r="AC57">
        <f t="shared" si="20"/>
        <v>-237.30966082004798</v>
      </c>
      <c r="AD57">
        <f t="shared" si="21"/>
        <v>-23.559528649256784</v>
      </c>
      <c r="AE57">
        <f t="shared" si="22"/>
        <v>-0.24079642281088809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52369.429509560745</v>
      </c>
      <c r="AK57">
        <f t="shared" si="26"/>
        <v>1799.99</v>
      </c>
      <c r="AL57">
        <f t="shared" si="27"/>
        <v>1499.1030578034101</v>
      </c>
      <c r="AM57">
        <f t="shared" si="28"/>
        <v>0.83283965900000001</v>
      </c>
      <c r="AN57">
        <f t="shared" si="29"/>
        <v>0.15339733774000003</v>
      </c>
      <c r="AO57">
        <v>31.8</v>
      </c>
      <c r="AP57">
        <v>0.5</v>
      </c>
      <c r="AQ57" t="s">
        <v>331</v>
      </c>
      <c r="AR57">
        <v>2</v>
      </c>
      <c r="AS57">
        <v>1690388685.5999999</v>
      </c>
      <c r="AT57">
        <v>742.40200000000004</v>
      </c>
      <c r="AU57">
        <v>799.96500000000003</v>
      </c>
      <c r="AV57">
        <v>21.1556</v>
      </c>
      <c r="AW57">
        <v>17.5154</v>
      </c>
      <c r="AX57">
        <v>742.221</v>
      </c>
      <c r="AY57">
        <v>20.9572</v>
      </c>
      <c r="AZ57">
        <v>300.25900000000001</v>
      </c>
      <c r="BA57">
        <v>98.666399999999996</v>
      </c>
      <c r="BB57">
        <v>0.100068</v>
      </c>
      <c r="BC57">
        <v>25.098199999999999</v>
      </c>
      <c r="BD57">
        <v>26.912700000000001</v>
      </c>
      <c r="BE57">
        <v>26.680299999999999</v>
      </c>
      <c r="BF57">
        <v>0</v>
      </c>
      <c r="BG57">
        <v>0</v>
      </c>
      <c r="BH57">
        <v>9973.1200000000008</v>
      </c>
      <c r="BI57">
        <v>1058.94</v>
      </c>
      <c r="BJ57">
        <v>1.5137799999999999</v>
      </c>
      <c r="BK57">
        <v>-57.5623</v>
      </c>
      <c r="BL57">
        <v>758.44799999999998</v>
      </c>
      <c r="BM57">
        <v>814.226</v>
      </c>
      <c r="BN57">
        <v>3.6401500000000002</v>
      </c>
      <c r="BO57">
        <v>799.96500000000003</v>
      </c>
      <c r="BP57">
        <v>17.5154</v>
      </c>
      <c r="BQ57">
        <v>2.0873400000000002</v>
      </c>
      <c r="BR57">
        <v>1.72818</v>
      </c>
      <c r="BS57">
        <v>18.122900000000001</v>
      </c>
      <c r="BT57">
        <v>15.151899999999999</v>
      </c>
      <c r="BU57">
        <v>1799.99</v>
      </c>
      <c r="BV57">
        <v>0.909999</v>
      </c>
      <c r="BW57">
        <v>3.3999799999999997E-2</v>
      </c>
      <c r="BX57">
        <v>2.1999700000000001E-2</v>
      </c>
      <c r="BY57">
        <v>3.4001200000000002E-2</v>
      </c>
      <c r="BZ57">
        <v>25</v>
      </c>
      <c r="CA57">
        <v>33528.300000000003</v>
      </c>
      <c r="CB57">
        <v>1690387638</v>
      </c>
      <c r="CC57" t="s">
        <v>332</v>
      </c>
      <c r="CD57">
        <v>1690387638</v>
      </c>
      <c r="CE57">
        <v>1690387638</v>
      </c>
      <c r="CF57">
        <v>6</v>
      </c>
      <c r="CG57">
        <v>0.43</v>
      </c>
      <c r="CH57">
        <v>-8.1000000000000003E-2</v>
      </c>
      <c r="CI57">
        <v>0.14199999999999999</v>
      </c>
      <c r="CJ57">
        <v>-2.7E-2</v>
      </c>
      <c r="CK57">
        <v>800</v>
      </c>
      <c r="CL57">
        <v>0</v>
      </c>
      <c r="CM57">
        <v>0.01</v>
      </c>
      <c r="CN57">
        <v>0.01</v>
      </c>
      <c r="CO57">
        <v>-54.814657500000003</v>
      </c>
      <c r="CP57">
        <v>-15.48007317073149</v>
      </c>
      <c r="CQ57">
        <v>1.4894688215749099</v>
      </c>
      <c r="CR57">
        <v>-1</v>
      </c>
      <c r="CS57">
        <v>3.6608995000000002</v>
      </c>
      <c r="CT57">
        <v>-1.492722326454037</v>
      </c>
      <c r="CU57">
        <v>0.15412800472253571</v>
      </c>
      <c r="CV57">
        <v>-1</v>
      </c>
      <c r="CW57">
        <v>0</v>
      </c>
      <c r="CX57">
        <v>0</v>
      </c>
      <c r="CY57" t="s">
        <v>333</v>
      </c>
      <c r="CZ57">
        <v>2.3648099999999999</v>
      </c>
      <c r="DA57">
        <v>2.7138399999999998</v>
      </c>
      <c r="DB57">
        <v>0.13895199999999999</v>
      </c>
      <c r="DC57">
        <v>0.145755</v>
      </c>
      <c r="DD57">
        <v>0.103683</v>
      </c>
      <c r="DE57">
        <v>8.94234E-2</v>
      </c>
      <c r="DF57">
        <v>31453.7</v>
      </c>
      <c r="DG57">
        <v>27548</v>
      </c>
      <c r="DH57">
        <v>31185.1</v>
      </c>
      <c r="DI57">
        <v>28099.4</v>
      </c>
      <c r="DJ57">
        <v>37954.699999999997</v>
      </c>
      <c r="DK57">
        <v>36385.800000000003</v>
      </c>
      <c r="DL57">
        <v>44382.3</v>
      </c>
      <c r="DM57">
        <v>42593.4</v>
      </c>
      <c r="DN57">
        <v>1.46675</v>
      </c>
      <c r="DO57">
        <v>2.0548999999999999</v>
      </c>
      <c r="DP57">
        <v>0.13697899999999999</v>
      </c>
      <c r="DQ57">
        <v>0.135295</v>
      </c>
      <c r="DR57">
        <v>24.668099999999999</v>
      </c>
      <c r="DS57">
        <v>24.462499999999999</v>
      </c>
      <c r="DT57">
        <v>57</v>
      </c>
      <c r="DU57">
        <v>28.8</v>
      </c>
      <c r="DV57">
        <v>22.967300000000002</v>
      </c>
      <c r="DW57">
        <v>61.312199999999997</v>
      </c>
      <c r="DX57">
        <v>35.652999999999999</v>
      </c>
      <c r="DY57">
        <v>1</v>
      </c>
      <c r="DZ57">
        <v>-8.5571599999999998E-2</v>
      </c>
      <c r="EA57">
        <v>-3.6927300000000001</v>
      </c>
      <c r="EB57">
        <v>20.115400000000001</v>
      </c>
      <c r="EC57">
        <v>5.2404999999999999</v>
      </c>
      <c r="ED57">
        <v>12.039899999999999</v>
      </c>
      <c r="EE57">
        <v>5.0162500000000003</v>
      </c>
      <c r="EF57">
        <v>3.2879499999999999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1.8692</v>
      </c>
      <c r="EN57">
        <v>1.8672299999999999</v>
      </c>
      <c r="EO57">
        <v>1.86337</v>
      </c>
      <c r="EP57">
        <v>1.8644499999999999</v>
      </c>
      <c r="EQ57">
        <v>1.87015</v>
      </c>
      <c r="ER57">
        <v>1.8693599999999999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0.18099999999999999</v>
      </c>
      <c r="FG57">
        <v>0.19839999999999999</v>
      </c>
      <c r="FH57">
        <v>0.69281559908863044</v>
      </c>
      <c r="FI57">
        <v>-6.1462078757559423E-4</v>
      </c>
      <c r="FJ57">
        <v>-1.8861989874597051E-7</v>
      </c>
      <c r="FK57">
        <v>1.1980462299894961E-10</v>
      </c>
      <c r="FL57">
        <v>0.19840465858211129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17.5</v>
      </c>
      <c r="FU57">
        <v>17.5</v>
      </c>
      <c r="FV57">
        <v>1.79199</v>
      </c>
      <c r="FW57">
        <v>2.5756800000000002</v>
      </c>
      <c r="FX57">
        <v>1.5490699999999999</v>
      </c>
      <c r="FY57">
        <v>2.3327599999999999</v>
      </c>
      <c r="FZ57">
        <v>1.50146</v>
      </c>
      <c r="GA57">
        <v>2.3913600000000002</v>
      </c>
      <c r="GB57">
        <v>33.558</v>
      </c>
      <c r="GC57">
        <v>23.982399999999998</v>
      </c>
      <c r="GD57">
        <v>19</v>
      </c>
      <c r="GE57">
        <v>278.50900000000001</v>
      </c>
      <c r="GF57">
        <v>597.40200000000004</v>
      </c>
      <c r="GG57">
        <v>21.7333</v>
      </c>
      <c r="GH57">
        <v>26.2089</v>
      </c>
      <c r="GI57">
        <v>30.0015</v>
      </c>
      <c r="GJ57">
        <v>26.267800000000001</v>
      </c>
      <c r="GK57">
        <v>26.233599999999999</v>
      </c>
      <c r="GL57">
        <v>35.827800000000003</v>
      </c>
      <c r="GM57">
        <v>32.133000000000003</v>
      </c>
      <c r="GN57">
        <v>98.119</v>
      </c>
      <c r="GO57">
        <v>22.109100000000002</v>
      </c>
      <c r="GP57">
        <v>800</v>
      </c>
      <c r="GQ57">
        <v>17.2912</v>
      </c>
      <c r="GR57">
        <v>99.782899999999998</v>
      </c>
      <c r="GS57">
        <v>99.636600000000001</v>
      </c>
    </row>
    <row r="58" spans="1:201" x14ac:dyDescent="0.25">
      <c r="A58">
        <v>42</v>
      </c>
      <c r="B58">
        <v>1690388695.5999999</v>
      </c>
      <c r="C58">
        <v>437.09999990463263</v>
      </c>
      <c r="D58" t="s">
        <v>417</v>
      </c>
      <c r="E58" t="s">
        <v>418</v>
      </c>
      <c r="F58" t="s">
        <v>330</v>
      </c>
      <c r="H58">
        <v>1690388695.5999999</v>
      </c>
      <c r="I58">
        <f t="shared" si="0"/>
        <v>4.7533757533894282E-4</v>
      </c>
      <c r="J58">
        <f t="shared" si="1"/>
        <v>0.47533757533894283</v>
      </c>
      <c r="K58">
        <f t="shared" si="2"/>
        <v>5.3807544958093034</v>
      </c>
      <c r="L58">
        <f t="shared" si="3"/>
        <v>739.39499999999998</v>
      </c>
      <c r="M58">
        <f t="shared" si="4"/>
        <v>447.80606221489654</v>
      </c>
      <c r="N58">
        <f t="shared" si="5"/>
        <v>44.226313668904304</v>
      </c>
      <c r="O58">
        <f t="shared" si="6"/>
        <v>73.024279826579999</v>
      </c>
      <c r="P58">
        <f t="shared" si="7"/>
        <v>3.1287090689774359E-2</v>
      </c>
      <c r="Q58">
        <f t="shared" si="8"/>
        <v>2.1631683024558619</v>
      </c>
      <c r="R58">
        <f t="shared" si="9"/>
        <v>3.1037851383264144E-2</v>
      </c>
      <c r="S58">
        <f t="shared" si="10"/>
        <v>1.9420884674161774E-2</v>
      </c>
      <c r="T58">
        <f t="shared" si="11"/>
        <v>276.11496889199998</v>
      </c>
      <c r="U58">
        <f t="shared" si="12"/>
        <v>27.276691042115768</v>
      </c>
      <c r="V58">
        <f t="shared" si="13"/>
        <v>27.276691042115768</v>
      </c>
      <c r="W58">
        <f t="shared" si="14"/>
        <v>3.6377379190123813</v>
      </c>
      <c r="X58">
        <f t="shared" si="15"/>
        <v>67.090851148999363</v>
      </c>
      <c r="Y58">
        <f t="shared" si="16"/>
        <v>2.1696871072352</v>
      </c>
      <c r="Z58">
        <f t="shared" si="17"/>
        <v>3.2339537657923425</v>
      </c>
      <c r="AA58">
        <f t="shared" si="18"/>
        <v>1.4680508117771813</v>
      </c>
      <c r="AB58">
        <f t="shared" si="19"/>
        <v>-20.962387072447378</v>
      </c>
      <c r="AC58">
        <f t="shared" si="20"/>
        <v>-232.36575889759197</v>
      </c>
      <c r="AD58">
        <f t="shared" si="21"/>
        <v>-23.016159906782256</v>
      </c>
      <c r="AE58">
        <f t="shared" si="22"/>
        <v>-0.22933698482162868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52690.157234881808</v>
      </c>
      <c r="AK58">
        <f t="shared" si="26"/>
        <v>1800</v>
      </c>
      <c r="AL58">
        <f t="shared" si="27"/>
        <v>1499.1123672000001</v>
      </c>
      <c r="AM58">
        <f t="shared" si="28"/>
        <v>0.83284020400000003</v>
      </c>
      <c r="AN58">
        <f t="shared" si="29"/>
        <v>0.15339720494</v>
      </c>
      <c r="AO58">
        <v>31.8</v>
      </c>
      <c r="AP58">
        <v>0.5</v>
      </c>
      <c r="AQ58" t="s">
        <v>331</v>
      </c>
      <c r="AR58">
        <v>2</v>
      </c>
      <c r="AS58">
        <v>1690388695.5999999</v>
      </c>
      <c r="AT58">
        <v>739.39499999999998</v>
      </c>
      <c r="AU58">
        <v>800.13199999999995</v>
      </c>
      <c r="AV58">
        <v>21.968800000000002</v>
      </c>
      <c r="AW58">
        <v>17.042899999999999</v>
      </c>
      <c r="AX58">
        <v>739.21100000000001</v>
      </c>
      <c r="AY58">
        <v>21.770399999999999</v>
      </c>
      <c r="AZ58">
        <v>300.12099999999998</v>
      </c>
      <c r="BA58">
        <v>98.662199999999999</v>
      </c>
      <c r="BB58">
        <v>0.100004</v>
      </c>
      <c r="BC58">
        <v>25.284199999999998</v>
      </c>
      <c r="BD58">
        <v>26.9877</v>
      </c>
      <c r="BE58">
        <v>26.811399999999999</v>
      </c>
      <c r="BF58">
        <v>0</v>
      </c>
      <c r="BG58">
        <v>0</v>
      </c>
      <c r="BH58">
        <v>10043.799999999999</v>
      </c>
      <c r="BI58">
        <v>1058.8699999999999</v>
      </c>
      <c r="BJ58">
        <v>1.5137799999999999</v>
      </c>
      <c r="BK58">
        <v>-60.736899999999999</v>
      </c>
      <c r="BL58">
        <v>756.00300000000004</v>
      </c>
      <c r="BM58">
        <v>814.005</v>
      </c>
      <c r="BN58">
        <v>4.9259399999999998</v>
      </c>
      <c r="BO58">
        <v>800.13199999999995</v>
      </c>
      <c r="BP58">
        <v>17.042899999999999</v>
      </c>
      <c r="BQ58">
        <v>2.1674899999999999</v>
      </c>
      <c r="BR58">
        <v>1.6814899999999999</v>
      </c>
      <c r="BS58">
        <v>18.724</v>
      </c>
      <c r="BT58">
        <v>14.726599999999999</v>
      </c>
      <c r="BU58">
        <v>1800</v>
      </c>
      <c r="BV58">
        <v>0.91000499999999995</v>
      </c>
      <c r="BW58">
        <v>3.3997600000000003E-2</v>
      </c>
      <c r="BX58">
        <v>2.1998199999999999E-2</v>
      </c>
      <c r="BY58">
        <v>3.3999000000000001E-2</v>
      </c>
      <c r="BZ58">
        <v>25</v>
      </c>
      <c r="CA58">
        <v>33528.400000000001</v>
      </c>
      <c r="CB58">
        <v>1690387638</v>
      </c>
      <c r="CC58" t="s">
        <v>332</v>
      </c>
      <c r="CD58">
        <v>1690387638</v>
      </c>
      <c r="CE58">
        <v>1690387638</v>
      </c>
      <c r="CF58">
        <v>6</v>
      </c>
      <c r="CG58">
        <v>0.43</v>
      </c>
      <c r="CH58">
        <v>-8.1000000000000003E-2</v>
      </c>
      <c r="CI58">
        <v>0.14199999999999999</v>
      </c>
      <c r="CJ58">
        <v>-2.7E-2</v>
      </c>
      <c r="CK58">
        <v>800</v>
      </c>
      <c r="CL58">
        <v>0</v>
      </c>
      <c r="CM58">
        <v>0.01</v>
      </c>
      <c r="CN58">
        <v>0.01</v>
      </c>
      <c r="CO58">
        <v>-57.428021951219513</v>
      </c>
      <c r="CP58">
        <v>-18.20045017421587</v>
      </c>
      <c r="CQ58">
        <v>1.798757725319392</v>
      </c>
      <c r="CR58">
        <v>-1</v>
      </c>
      <c r="CS58">
        <v>3.8467970731707322</v>
      </c>
      <c r="CT58">
        <v>3.5778211149825792</v>
      </c>
      <c r="CU58">
        <v>0.4160568723216429</v>
      </c>
      <c r="CV58">
        <v>-1</v>
      </c>
      <c r="CW58">
        <v>0</v>
      </c>
      <c r="CX58">
        <v>0</v>
      </c>
      <c r="CY58" t="s">
        <v>333</v>
      </c>
      <c r="CZ58">
        <v>2.3643999999999998</v>
      </c>
      <c r="DA58">
        <v>2.7138300000000002</v>
      </c>
      <c r="DB58">
        <v>0.138575</v>
      </c>
      <c r="DC58">
        <v>0.14576</v>
      </c>
      <c r="DD58">
        <v>0.106514</v>
      </c>
      <c r="DE58">
        <v>8.7673100000000004E-2</v>
      </c>
      <c r="DF58">
        <v>31467.8</v>
      </c>
      <c r="DG58">
        <v>27548.5</v>
      </c>
      <c r="DH58">
        <v>31185.3</v>
      </c>
      <c r="DI58">
        <v>28100.2</v>
      </c>
      <c r="DJ58">
        <v>37833.9</v>
      </c>
      <c r="DK58">
        <v>36456.800000000003</v>
      </c>
      <c r="DL58">
        <v>44382.6</v>
      </c>
      <c r="DM58">
        <v>42594.5</v>
      </c>
      <c r="DN58">
        <v>1.4628300000000001</v>
      </c>
      <c r="DO58">
        <v>2.0545</v>
      </c>
      <c r="DP58">
        <v>0.14352100000000001</v>
      </c>
      <c r="DQ58">
        <v>0.14572599999999999</v>
      </c>
      <c r="DR58">
        <v>24.635999999999999</v>
      </c>
      <c r="DS58">
        <v>24.422799999999999</v>
      </c>
      <c r="DT58">
        <v>57</v>
      </c>
      <c r="DU58">
        <v>28.8</v>
      </c>
      <c r="DV58">
        <v>22.967300000000002</v>
      </c>
      <c r="DW58">
        <v>60.732199999999999</v>
      </c>
      <c r="DX58">
        <v>35.757199999999997</v>
      </c>
      <c r="DY58">
        <v>1</v>
      </c>
      <c r="DZ58">
        <v>-9.6549800000000005E-2</v>
      </c>
      <c r="EA58">
        <v>0.68245900000000004</v>
      </c>
      <c r="EB58">
        <v>20.187999999999999</v>
      </c>
      <c r="EC58">
        <v>5.2406499999999996</v>
      </c>
      <c r="ED58">
        <v>12.039899999999999</v>
      </c>
      <c r="EE58">
        <v>5.0156999999999998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1.8692</v>
      </c>
      <c r="EN58">
        <v>1.86724</v>
      </c>
      <c r="EO58">
        <v>1.8633999999999999</v>
      </c>
      <c r="EP58">
        <v>1.86446</v>
      </c>
      <c r="EQ58">
        <v>1.87015</v>
      </c>
      <c r="ER58">
        <v>1.8693500000000001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0.184</v>
      </c>
      <c r="FG58">
        <v>0.19839999999999999</v>
      </c>
      <c r="FH58">
        <v>0.69281559908863044</v>
      </c>
      <c r="FI58">
        <v>-6.1462078757559423E-4</v>
      </c>
      <c r="FJ58">
        <v>-1.8861989874597051E-7</v>
      </c>
      <c r="FK58">
        <v>1.1980462299894961E-10</v>
      </c>
      <c r="FL58">
        <v>0.19840465858211129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17.600000000000001</v>
      </c>
      <c r="FU58">
        <v>17.600000000000001</v>
      </c>
      <c r="FV58">
        <v>1.79077</v>
      </c>
      <c r="FW58">
        <v>2.5817899999999998</v>
      </c>
      <c r="FX58">
        <v>1.5490699999999999</v>
      </c>
      <c r="FY58">
        <v>2.3327599999999999</v>
      </c>
      <c r="FZ58">
        <v>1.50146</v>
      </c>
      <c r="GA58">
        <v>2.34131</v>
      </c>
      <c r="GB58">
        <v>33.558</v>
      </c>
      <c r="GC58">
        <v>23.991199999999999</v>
      </c>
      <c r="GD58">
        <v>19</v>
      </c>
      <c r="GE58">
        <v>276.91699999999997</v>
      </c>
      <c r="GF58">
        <v>597.06500000000005</v>
      </c>
      <c r="GG58">
        <v>22.4238</v>
      </c>
      <c r="GH58">
        <v>26.210999999999999</v>
      </c>
      <c r="GI58">
        <v>29.997499999999999</v>
      </c>
      <c r="GJ58">
        <v>26.281300000000002</v>
      </c>
      <c r="GK58">
        <v>26.233599999999999</v>
      </c>
      <c r="GL58">
        <v>35.814999999999998</v>
      </c>
      <c r="GM58">
        <v>34.652000000000001</v>
      </c>
      <c r="GN58">
        <v>97.742500000000007</v>
      </c>
      <c r="GO58">
        <v>22.186800000000002</v>
      </c>
      <c r="GP58">
        <v>800</v>
      </c>
      <c r="GQ58">
        <v>16.8049</v>
      </c>
      <c r="GR58">
        <v>99.783699999999996</v>
      </c>
      <c r="GS58">
        <v>99.639300000000006</v>
      </c>
    </row>
    <row r="59" spans="1:201" x14ac:dyDescent="0.25">
      <c r="A59">
        <v>43</v>
      </c>
      <c r="B59">
        <v>1690388705.5999999</v>
      </c>
      <c r="C59">
        <v>447.09999990463263</v>
      </c>
      <c r="D59" t="s">
        <v>419</v>
      </c>
      <c r="E59" t="s">
        <v>420</v>
      </c>
      <c r="F59" t="s">
        <v>330</v>
      </c>
      <c r="H59">
        <v>1690388705.5999999</v>
      </c>
      <c r="I59">
        <f t="shared" si="0"/>
        <v>4.9920978994365554E-4</v>
      </c>
      <c r="J59">
        <f t="shared" si="1"/>
        <v>0.4992097899436555</v>
      </c>
      <c r="K59">
        <f t="shared" si="2"/>
        <v>5.5953735126128104</v>
      </c>
      <c r="L59">
        <f t="shared" si="3"/>
        <v>736.95399999999995</v>
      </c>
      <c r="M59">
        <f t="shared" si="4"/>
        <v>445.10951500677237</v>
      </c>
      <c r="N59">
        <f t="shared" si="5"/>
        <v>43.958198970619755</v>
      </c>
      <c r="O59">
        <f t="shared" si="6"/>
        <v>72.780224803105384</v>
      </c>
      <c r="P59">
        <f t="shared" si="7"/>
        <v>3.2525276934496541E-2</v>
      </c>
      <c r="Q59">
        <f t="shared" si="8"/>
        <v>2.154364706902363</v>
      </c>
      <c r="R59">
        <f t="shared" si="9"/>
        <v>3.225492113335561E-2</v>
      </c>
      <c r="S59">
        <f t="shared" si="10"/>
        <v>2.0183428692383182E-2</v>
      </c>
      <c r="T59">
        <f t="shared" si="11"/>
        <v>276.11484987600005</v>
      </c>
      <c r="U59">
        <f t="shared" si="12"/>
        <v>27.353011909795484</v>
      </c>
      <c r="V59">
        <f t="shared" si="13"/>
        <v>27.353011909795484</v>
      </c>
      <c r="W59">
        <f t="shared" si="14"/>
        <v>3.6540423074627211</v>
      </c>
      <c r="X59">
        <f t="shared" si="15"/>
        <v>66.81230302441557</v>
      </c>
      <c r="Y59">
        <f t="shared" si="16"/>
        <v>2.1706353381824295</v>
      </c>
      <c r="Z59">
        <f t="shared" si="17"/>
        <v>3.2488557345332083</v>
      </c>
      <c r="AA59">
        <f t="shared" si="18"/>
        <v>1.4834069692802916</v>
      </c>
      <c r="AB59">
        <f t="shared" si="19"/>
        <v>-22.015151736515211</v>
      </c>
      <c r="AC59">
        <f t="shared" si="20"/>
        <v>-231.30636149779033</v>
      </c>
      <c r="AD59">
        <f t="shared" si="21"/>
        <v>-23.02256628267741</v>
      </c>
      <c r="AE59">
        <f t="shared" si="22"/>
        <v>-0.22922964098290777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52306.27781257344</v>
      </c>
      <c r="AK59">
        <f t="shared" si="26"/>
        <v>1800</v>
      </c>
      <c r="AL59">
        <f t="shared" si="27"/>
        <v>1499.1135065999999</v>
      </c>
      <c r="AM59">
        <f t="shared" si="28"/>
        <v>0.832840837</v>
      </c>
      <c r="AN59">
        <f t="shared" si="29"/>
        <v>0.15339713882000003</v>
      </c>
      <c r="AO59">
        <v>31.8</v>
      </c>
      <c r="AP59">
        <v>0.5</v>
      </c>
      <c r="AQ59" t="s">
        <v>331</v>
      </c>
      <c r="AR59">
        <v>2</v>
      </c>
      <c r="AS59">
        <v>1690388705.5999999</v>
      </c>
      <c r="AT59">
        <v>736.95399999999995</v>
      </c>
      <c r="AU59">
        <v>800.14</v>
      </c>
      <c r="AV59">
        <v>21.979299999999999</v>
      </c>
      <c r="AW59">
        <v>16.806000000000001</v>
      </c>
      <c r="AX59">
        <v>736.76800000000003</v>
      </c>
      <c r="AY59">
        <v>21.780899999999999</v>
      </c>
      <c r="AZ59">
        <v>300.11700000000002</v>
      </c>
      <c r="BA59">
        <v>98.658199999999994</v>
      </c>
      <c r="BB59">
        <v>9.9965100000000001E-2</v>
      </c>
      <c r="BC59">
        <v>25.361499999999999</v>
      </c>
      <c r="BD59">
        <v>27.089600000000001</v>
      </c>
      <c r="BE59">
        <v>26.941600000000001</v>
      </c>
      <c r="BF59">
        <v>0</v>
      </c>
      <c r="BG59">
        <v>0</v>
      </c>
      <c r="BH59">
        <v>9970.6200000000008</v>
      </c>
      <c r="BI59">
        <v>1058.8800000000001</v>
      </c>
      <c r="BJ59">
        <v>1.5053799999999999</v>
      </c>
      <c r="BK59">
        <v>-63.186</v>
      </c>
      <c r="BL59">
        <v>753.51599999999996</v>
      </c>
      <c r="BM59">
        <v>813.81700000000001</v>
      </c>
      <c r="BN59">
        <v>5.1732699999999996</v>
      </c>
      <c r="BO59">
        <v>800.14</v>
      </c>
      <c r="BP59">
        <v>16.806000000000001</v>
      </c>
      <c r="BQ59">
        <v>2.1684399999999999</v>
      </c>
      <c r="BR59">
        <v>1.65805</v>
      </c>
      <c r="BS59">
        <v>18.731000000000002</v>
      </c>
      <c r="BT59">
        <v>14.5092</v>
      </c>
      <c r="BU59">
        <v>1800</v>
      </c>
      <c r="BV59">
        <v>0.91000999999999999</v>
      </c>
      <c r="BW59">
        <v>3.39958E-2</v>
      </c>
      <c r="BX59">
        <v>2.1997099999999999E-2</v>
      </c>
      <c r="BY59">
        <v>3.3997199999999998E-2</v>
      </c>
      <c r="BZ59">
        <v>25</v>
      </c>
      <c r="CA59">
        <v>33528.400000000001</v>
      </c>
      <c r="CB59">
        <v>1690387638</v>
      </c>
      <c r="CC59" t="s">
        <v>332</v>
      </c>
      <c r="CD59">
        <v>1690387638</v>
      </c>
      <c r="CE59">
        <v>1690387638</v>
      </c>
      <c r="CF59">
        <v>6</v>
      </c>
      <c r="CG59">
        <v>0.43</v>
      </c>
      <c r="CH59">
        <v>-8.1000000000000003E-2</v>
      </c>
      <c r="CI59">
        <v>0.14199999999999999</v>
      </c>
      <c r="CJ59">
        <v>-2.7E-2</v>
      </c>
      <c r="CK59">
        <v>800</v>
      </c>
      <c r="CL59">
        <v>0</v>
      </c>
      <c r="CM59">
        <v>0.01</v>
      </c>
      <c r="CN59">
        <v>0.01</v>
      </c>
      <c r="CO59">
        <v>-60.544935000000009</v>
      </c>
      <c r="CP59">
        <v>-16.528642401500971</v>
      </c>
      <c r="CQ59">
        <v>1.5967660681123581</v>
      </c>
      <c r="CR59">
        <v>-1</v>
      </c>
      <c r="CS59">
        <v>4.6685072500000002</v>
      </c>
      <c r="CT59">
        <v>5.105369268292673</v>
      </c>
      <c r="CU59">
        <v>0.51977086787346727</v>
      </c>
      <c r="CV59">
        <v>-1</v>
      </c>
      <c r="CW59">
        <v>0</v>
      </c>
      <c r="CX59">
        <v>0</v>
      </c>
      <c r="CY59" t="s">
        <v>333</v>
      </c>
      <c r="CZ59">
        <v>2.3643800000000001</v>
      </c>
      <c r="DA59">
        <v>2.71373</v>
      </c>
      <c r="DB59">
        <v>0.13825999999999999</v>
      </c>
      <c r="DC59">
        <v>0.14574999999999999</v>
      </c>
      <c r="DD59">
        <v>0.106546</v>
      </c>
      <c r="DE59">
        <v>8.6787000000000003E-2</v>
      </c>
      <c r="DF59">
        <v>31479.5</v>
      </c>
      <c r="DG59">
        <v>27548.9</v>
      </c>
      <c r="DH59">
        <v>31185.599999999999</v>
      </c>
      <c r="DI59">
        <v>28100.3</v>
      </c>
      <c r="DJ59">
        <v>37832.9</v>
      </c>
      <c r="DK59">
        <v>36492.300000000003</v>
      </c>
      <c r="DL59">
        <v>44383</v>
      </c>
      <c r="DM59">
        <v>42594.5</v>
      </c>
      <c r="DN59">
        <v>1.4619500000000001</v>
      </c>
      <c r="DO59">
        <v>2.0541499999999999</v>
      </c>
      <c r="DP59">
        <v>0.15134400000000001</v>
      </c>
      <c r="DQ59">
        <v>0.154972</v>
      </c>
      <c r="DR59">
        <v>24.6098</v>
      </c>
      <c r="DS59">
        <v>24.401700000000002</v>
      </c>
      <c r="DT59">
        <v>57</v>
      </c>
      <c r="DU59">
        <v>28.8</v>
      </c>
      <c r="DV59">
        <v>22.9682</v>
      </c>
      <c r="DW59">
        <v>61.172199999999997</v>
      </c>
      <c r="DX59">
        <v>36.274000000000001</v>
      </c>
      <c r="DY59">
        <v>1</v>
      </c>
      <c r="DZ59">
        <v>-9.51626E-2</v>
      </c>
      <c r="EA59">
        <v>1.54297</v>
      </c>
      <c r="EB59">
        <v>20.1812</v>
      </c>
      <c r="EC59">
        <v>5.2406499999999996</v>
      </c>
      <c r="ED59">
        <v>12.039899999999999</v>
      </c>
      <c r="EE59">
        <v>5.0156000000000001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1.8692</v>
      </c>
      <c r="EN59">
        <v>1.86724</v>
      </c>
      <c r="EO59">
        <v>1.86338</v>
      </c>
      <c r="EP59">
        <v>1.86446</v>
      </c>
      <c r="EQ59">
        <v>1.87015</v>
      </c>
      <c r="ER59">
        <v>1.8693599999999999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0.186</v>
      </c>
      <c r="FG59">
        <v>0.19839999999999999</v>
      </c>
      <c r="FH59">
        <v>0.69281559908863044</v>
      </c>
      <c r="FI59">
        <v>-6.1462078757559423E-4</v>
      </c>
      <c r="FJ59">
        <v>-1.8861989874597051E-7</v>
      </c>
      <c r="FK59">
        <v>1.1980462299894961E-10</v>
      </c>
      <c r="FL59">
        <v>0.19840465858211129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17.8</v>
      </c>
      <c r="FU59">
        <v>17.8</v>
      </c>
      <c r="FV59">
        <v>1.79077</v>
      </c>
      <c r="FW59">
        <v>2.5866699999999998</v>
      </c>
      <c r="FX59">
        <v>1.5490699999999999</v>
      </c>
      <c r="FY59">
        <v>2.3327599999999999</v>
      </c>
      <c r="FZ59">
        <v>1.50146</v>
      </c>
      <c r="GA59">
        <v>2.2912599999999999</v>
      </c>
      <c r="GB59">
        <v>33.558</v>
      </c>
      <c r="GC59">
        <v>23.973700000000001</v>
      </c>
      <c r="GD59">
        <v>19</v>
      </c>
      <c r="GE59">
        <v>276.53699999999998</v>
      </c>
      <c r="GF59">
        <v>596.78700000000003</v>
      </c>
      <c r="GG59">
        <v>22.281199999999998</v>
      </c>
      <c r="GH59">
        <v>26.211099999999998</v>
      </c>
      <c r="GI59">
        <v>30.000399999999999</v>
      </c>
      <c r="GJ59">
        <v>26.278199999999998</v>
      </c>
      <c r="GK59">
        <v>26.235099999999999</v>
      </c>
      <c r="GL59">
        <v>35.805700000000002</v>
      </c>
      <c r="GM59">
        <v>35.231499999999997</v>
      </c>
      <c r="GN59">
        <v>97.742500000000007</v>
      </c>
      <c r="GO59">
        <v>22.1861</v>
      </c>
      <c r="GP59">
        <v>800</v>
      </c>
      <c r="GQ59">
        <v>16.804099999999998</v>
      </c>
      <c r="GR59">
        <v>99.784499999999994</v>
      </c>
      <c r="GS59">
        <v>99.639499999999998</v>
      </c>
    </row>
    <row r="60" spans="1:201" x14ac:dyDescent="0.25">
      <c r="A60">
        <v>44</v>
      </c>
      <c r="B60">
        <v>1690388715.5999999</v>
      </c>
      <c r="C60">
        <v>457.09999990463263</v>
      </c>
      <c r="D60" t="s">
        <v>421</v>
      </c>
      <c r="E60" t="s">
        <v>422</v>
      </c>
      <c r="F60" t="s">
        <v>330</v>
      </c>
      <c r="H60">
        <v>1690388715.5999999</v>
      </c>
      <c r="I60">
        <f t="shared" si="0"/>
        <v>4.8699319293879885E-4</v>
      </c>
      <c r="J60">
        <f t="shared" si="1"/>
        <v>0.48699319293879884</v>
      </c>
      <c r="K60">
        <f t="shared" si="2"/>
        <v>5.8372205150014009</v>
      </c>
      <c r="L60">
        <f t="shared" si="3"/>
        <v>734.49</v>
      </c>
      <c r="M60">
        <f t="shared" si="4"/>
        <v>419.78124782497491</v>
      </c>
      <c r="N60">
        <f t="shared" si="5"/>
        <v>41.45595897228425</v>
      </c>
      <c r="O60">
        <f t="shared" si="6"/>
        <v>72.535368035897989</v>
      </c>
      <c r="P60">
        <f t="shared" si="7"/>
        <v>3.1320039253551084E-2</v>
      </c>
      <c r="Q60">
        <f t="shared" si="8"/>
        <v>2.1614488252267208</v>
      </c>
      <c r="R60">
        <f t="shared" si="9"/>
        <v>3.1070080001832989E-2</v>
      </c>
      <c r="S60">
        <f t="shared" si="10"/>
        <v>1.9441091463025445E-2</v>
      </c>
      <c r="T60">
        <f t="shared" si="11"/>
        <v>276.11463392999997</v>
      </c>
      <c r="U60">
        <f t="shared" si="12"/>
        <v>27.35706632369687</v>
      </c>
      <c r="V60">
        <f t="shared" si="13"/>
        <v>27.35706632369687</v>
      </c>
      <c r="W60">
        <f t="shared" si="14"/>
        <v>3.654910231029235</v>
      </c>
      <c r="X60">
        <f t="shared" si="15"/>
        <v>66.231793755514119</v>
      </c>
      <c r="Y60">
        <f t="shared" si="16"/>
        <v>2.1525175867892599</v>
      </c>
      <c r="Z60">
        <f t="shared" si="17"/>
        <v>3.2499762798739726</v>
      </c>
      <c r="AA60">
        <f t="shared" si="18"/>
        <v>1.5023926442399751</v>
      </c>
      <c r="AB60">
        <f t="shared" si="19"/>
        <v>-21.47639980860103</v>
      </c>
      <c r="AC60">
        <f t="shared" si="20"/>
        <v>-231.8635480015466</v>
      </c>
      <c r="AD60">
        <f t="shared" si="21"/>
        <v>-23.00352207680228</v>
      </c>
      <c r="AE60">
        <f t="shared" si="22"/>
        <v>-0.22883595694995051</v>
      </c>
      <c r="AF60">
        <v>1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52602.928200807277</v>
      </c>
      <c r="AK60">
        <f t="shared" si="26"/>
        <v>1800</v>
      </c>
      <c r="AL60">
        <f t="shared" si="27"/>
        <v>1499.1132419999999</v>
      </c>
      <c r="AM60">
        <f t="shared" si="28"/>
        <v>0.83284068999999994</v>
      </c>
      <c r="AN60">
        <f t="shared" si="29"/>
        <v>0.15339701884999998</v>
      </c>
      <c r="AO60">
        <v>31.8</v>
      </c>
      <c r="AP60">
        <v>0.5</v>
      </c>
      <c r="AQ60" t="s">
        <v>331</v>
      </c>
      <c r="AR60">
        <v>2</v>
      </c>
      <c r="AS60">
        <v>1690388715.5999999</v>
      </c>
      <c r="AT60">
        <v>734.49</v>
      </c>
      <c r="AU60">
        <v>800.13900000000001</v>
      </c>
      <c r="AV60">
        <v>21.796299999999999</v>
      </c>
      <c r="AW60">
        <v>16.748000000000001</v>
      </c>
      <c r="AX60">
        <v>734.303</v>
      </c>
      <c r="AY60">
        <v>21.597899999999999</v>
      </c>
      <c r="AZ60">
        <v>300.07799999999997</v>
      </c>
      <c r="BA60">
        <v>98.656199999999998</v>
      </c>
      <c r="BB60">
        <v>9.9900199999999995E-2</v>
      </c>
      <c r="BC60">
        <v>25.3673</v>
      </c>
      <c r="BD60">
        <v>27.151399999999999</v>
      </c>
      <c r="BE60">
        <v>26.970500000000001</v>
      </c>
      <c r="BF60">
        <v>0</v>
      </c>
      <c r="BG60">
        <v>0</v>
      </c>
      <c r="BH60">
        <v>10030</v>
      </c>
      <c r="BI60">
        <v>1058.8399999999999</v>
      </c>
      <c r="BJ60">
        <v>1.47174</v>
      </c>
      <c r="BK60">
        <v>-65.649600000000007</v>
      </c>
      <c r="BL60">
        <v>750.85599999999999</v>
      </c>
      <c r="BM60">
        <v>813.76800000000003</v>
      </c>
      <c r="BN60">
        <v>5.0483200000000004</v>
      </c>
      <c r="BO60">
        <v>800.13900000000001</v>
      </c>
      <c r="BP60">
        <v>16.748000000000001</v>
      </c>
      <c r="BQ60">
        <v>2.1503399999999999</v>
      </c>
      <c r="BR60">
        <v>1.6523000000000001</v>
      </c>
      <c r="BS60">
        <v>18.597100000000001</v>
      </c>
      <c r="BT60">
        <v>14.455399999999999</v>
      </c>
      <c r="BU60">
        <v>1800</v>
      </c>
      <c r="BV60">
        <v>0.91001200000000004</v>
      </c>
      <c r="BW60">
        <v>3.3994900000000002E-2</v>
      </c>
      <c r="BX60">
        <v>2.1996499999999999E-2</v>
      </c>
      <c r="BY60">
        <v>3.39963E-2</v>
      </c>
      <c r="BZ60">
        <v>25</v>
      </c>
      <c r="CA60">
        <v>33528.5</v>
      </c>
      <c r="CB60">
        <v>1690387638</v>
      </c>
      <c r="CC60" t="s">
        <v>332</v>
      </c>
      <c r="CD60">
        <v>1690387638</v>
      </c>
      <c r="CE60">
        <v>1690387638</v>
      </c>
      <c r="CF60">
        <v>6</v>
      </c>
      <c r="CG60">
        <v>0.43</v>
      </c>
      <c r="CH60">
        <v>-8.1000000000000003E-2</v>
      </c>
      <c r="CI60">
        <v>0.14199999999999999</v>
      </c>
      <c r="CJ60">
        <v>-2.7E-2</v>
      </c>
      <c r="CK60">
        <v>800</v>
      </c>
      <c r="CL60">
        <v>0</v>
      </c>
      <c r="CM60">
        <v>0.01</v>
      </c>
      <c r="CN60">
        <v>0.01</v>
      </c>
      <c r="CO60">
        <v>-63.073912500000013</v>
      </c>
      <c r="CP60">
        <v>-14.12882138836757</v>
      </c>
      <c r="CQ60">
        <v>1.359973808238141</v>
      </c>
      <c r="CR60">
        <v>-1</v>
      </c>
      <c r="CS60">
        <v>5.1176112500000004</v>
      </c>
      <c r="CT60">
        <v>0.16800123827390631</v>
      </c>
      <c r="CU60">
        <v>5.6539858559581643E-2</v>
      </c>
      <c r="CV60">
        <v>-1</v>
      </c>
      <c r="CW60">
        <v>0</v>
      </c>
      <c r="CX60">
        <v>0</v>
      </c>
      <c r="CY60" t="s">
        <v>333</v>
      </c>
      <c r="CZ60">
        <v>2.3642300000000001</v>
      </c>
      <c r="DA60">
        <v>2.7137199999999999</v>
      </c>
      <c r="DB60">
        <v>0.13794200000000001</v>
      </c>
      <c r="DC60">
        <v>0.14574599999999999</v>
      </c>
      <c r="DD60">
        <v>0.10591100000000001</v>
      </c>
      <c r="DE60">
        <v>8.6568500000000007E-2</v>
      </c>
      <c r="DF60">
        <v>31489.9</v>
      </c>
      <c r="DG60">
        <v>27548.3</v>
      </c>
      <c r="DH60">
        <v>31184.3</v>
      </c>
      <c r="DI60">
        <v>28099.5</v>
      </c>
      <c r="DJ60">
        <v>37858.5</v>
      </c>
      <c r="DK60">
        <v>36500</v>
      </c>
      <c r="DL60">
        <v>44381.2</v>
      </c>
      <c r="DM60">
        <v>42593.3</v>
      </c>
      <c r="DN60">
        <v>1.4614799999999999</v>
      </c>
      <c r="DO60">
        <v>2.0541299999999998</v>
      </c>
      <c r="DP60">
        <v>0.15631300000000001</v>
      </c>
      <c r="DQ60">
        <v>0.15740799999999999</v>
      </c>
      <c r="DR60">
        <v>24.590299999999999</v>
      </c>
      <c r="DS60">
        <v>24.390699999999999</v>
      </c>
      <c r="DT60">
        <v>57</v>
      </c>
      <c r="DU60">
        <v>28.8</v>
      </c>
      <c r="DV60">
        <v>22.966100000000001</v>
      </c>
      <c r="DW60">
        <v>60.772199999999998</v>
      </c>
      <c r="DX60">
        <v>36.806899999999999</v>
      </c>
      <c r="DY60">
        <v>1</v>
      </c>
      <c r="DZ60">
        <v>-9.3777899999999997E-2</v>
      </c>
      <c r="EA60">
        <v>2.0507599999999999</v>
      </c>
      <c r="EB60">
        <v>20.174099999999999</v>
      </c>
      <c r="EC60">
        <v>5.2409499999999998</v>
      </c>
      <c r="ED60">
        <v>12.039899999999999</v>
      </c>
      <c r="EE60">
        <v>5.0162000000000004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1.8689100000000001</v>
      </c>
      <c r="EL60">
        <v>1.8646199999999999</v>
      </c>
      <c r="EM60">
        <v>1.8692</v>
      </c>
      <c r="EN60">
        <v>1.8672599999999999</v>
      </c>
      <c r="EO60">
        <v>1.8633999999999999</v>
      </c>
      <c r="EP60">
        <v>1.8644700000000001</v>
      </c>
      <c r="EQ60">
        <v>1.8701399999999999</v>
      </c>
      <c r="ER60">
        <v>1.86938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0.187</v>
      </c>
      <c r="FG60">
        <v>0.19839999999999999</v>
      </c>
      <c r="FH60">
        <v>0.69281559908863044</v>
      </c>
      <c r="FI60">
        <v>-6.1462078757559423E-4</v>
      </c>
      <c r="FJ60">
        <v>-1.8861989874597051E-7</v>
      </c>
      <c r="FK60">
        <v>1.1980462299894961E-10</v>
      </c>
      <c r="FL60">
        <v>0.19840465858211129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18</v>
      </c>
      <c r="FU60">
        <v>18</v>
      </c>
      <c r="FV60">
        <v>1.79077</v>
      </c>
      <c r="FW60">
        <v>2.5854499999999998</v>
      </c>
      <c r="FX60">
        <v>1.5490699999999999</v>
      </c>
      <c r="FY60">
        <v>2.3327599999999999</v>
      </c>
      <c r="FZ60">
        <v>1.50146</v>
      </c>
      <c r="GA60">
        <v>2.3156699999999999</v>
      </c>
      <c r="GB60">
        <v>33.558</v>
      </c>
      <c r="GC60">
        <v>23.973700000000001</v>
      </c>
      <c r="GD60">
        <v>19</v>
      </c>
      <c r="GE60">
        <v>276.32499999999999</v>
      </c>
      <c r="GF60">
        <v>596.78399999999999</v>
      </c>
      <c r="GG60">
        <v>22.090399999999999</v>
      </c>
      <c r="GH60">
        <v>26.211099999999998</v>
      </c>
      <c r="GI60">
        <v>30.000800000000002</v>
      </c>
      <c r="GJ60">
        <v>26.275300000000001</v>
      </c>
      <c r="GK60">
        <v>26.236699999999999</v>
      </c>
      <c r="GL60">
        <v>35.801000000000002</v>
      </c>
      <c r="GM60">
        <v>34.937600000000003</v>
      </c>
      <c r="GN60">
        <v>97.372200000000007</v>
      </c>
      <c r="GO60">
        <v>21.9285</v>
      </c>
      <c r="GP60">
        <v>800</v>
      </c>
      <c r="GQ60">
        <v>16.848800000000001</v>
      </c>
      <c r="GR60">
        <v>99.780500000000004</v>
      </c>
      <c r="GS60">
        <v>99.636600000000001</v>
      </c>
    </row>
    <row r="61" spans="1:201" x14ac:dyDescent="0.25">
      <c r="A61">
        <v>45</v>
      </c>
      <c r="B61">
        <v>1690388725.5999999</v>
      </c>
      <c r="C61">
        <v>467.09999990463263</v>
      </c>
      <c r="D61" t="s">
        <v>423</v>
      </c>
      <c r="E61" t="s">
        <v>424</v>
      </c>
      <c r="F61" t="s">
        <v>330</v>
      </c>
      <c r="H61">
        <v>1690388725.5999999</v>
      </c>
      <c r="I61">
        <f t="shared" si="0"/>
        <v>4.6320490550412989E-4</v>
      </c>
      <c r="J61">
        <f t="shared" si="1"/>
        <v>0.4632049055041299</v>
      </c>
      <c r="K61">
        <f t="shared" si="2"/>
        <v>6.0905725513015225</v>
      </c>
      <c r="L61">
        <f t="shared" si="3"/>
        <v>731.87800000000004</v>
      </c>
      <c r="M61">
        <f t="shared" si="4"/>
        <v>385.3351275331035</v>
      </c>
      <c r="N61">
        <f t="shared" si="5"/>
        <v>38.054016363343003</v>
      </c>
      <c r="O61">
        <f t="shared" si="6"/>
        <v>72.277078828164008</v>
      </c>
      <c r="P61">
        <f t="shared" si="7"/>
        <v>2.9505789975498079E-2</v>
      </c>
      <c r="Q61">
        <f t="shared" si="8"/>
        <v>2.1558326521922502</v>
      </c>
      <c r="R61">
        <f t="shared" si="9"/>
        <v>2.9283266132254931E-2</v>
      </c>
      <c r="S61">
        <f t="shared" si="10"/>
        <v>1.8321894219571675E-2</v>
      </c>
      <c r="T61">
        <f t="shared" si="11"/>
        <v>276.11449293599992</v>
      </c>
      <c r="U61">
        <f t="shared" si="12"/>
        <v>27.345145925555801</v>
      </c>
      <c r="V61">
        <f t="shared" si="13"/>
        <v>27.345145925555801</v>
      </c>
      <c r="W61">
        <f t="shared" si="14"/>
        <v>3.6523589585730201</v>
      </c>
      <c r="X61">
        <f t="shared" si="15"/>
        <v>65.821408600152864</v>
      </c>
      <c r="Y61">
        <f t="shared" si="16"/>
        <v>2.1360153209934003</v>
      </c>
      <c r="Z61">
        <f t="shared" si="17"/>
        <v>3.245168048543464</v>
      </c>
      <c r="AA61">
        <f t="shared" si="18"/>
        <v>1.5163436375796198</v>
      </c>
      <c r="AB61">
        <f t="shared" si="19"/>
        <v>-20.427336332732128</v>
      </c>
      <c r="AC61">
        <f t="shared" si="20"/>
        <v>-232.76964577403041</v>
      </c>
      <c r="AD61">
        <f t="shared" si="21"/>
        <v>-23.149310107809391</v>
      </c>
      <c r="AE61">
        <f t="shared" si="22"/>
        <v>-0.231799278571998</v>
      </c>
      <c r="AF61">
        <v>1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52371.180548479031</v>
      </c>
      <c r="AK61">
        <f t="shared" si="26"/>
        <v>1800</v>
      </c>
      <c r="AL61">
        <f t="shared" si="27"/>
        <v>1499.1146406</v>
      </c>
      <c r="AM61">
        <f t="shared" si="28"/>
        <v>0.83284146700000006</v>
      </c>
      <c r="AN61">
        <f t="shared" si="29"/>
        <v>0.15339694051999997</v>
      </c>
      <c r="AO61">
        <v>31.8</v>
      </c>
      <c r="AP61">
        <v>0.5</v>
      </c>
      <c r="AQ61" t="s">
        <v>331</v>
      </c>
      <c r="AR61">
        <v>2</v>
      </c>
      <c r="AS61">
        <v>1690388725.5999999</v>
      </c>
      <c r="AT61">
        <v>731.87800000000004</v>
      </c>
      <c r="AU61">
        <v>800.005</v>
      </c>
      <c r="AV61">
        <v>21.629300000000001</v>
      </c>
      <c r="AW61">
        <v>16.827400000000001</v>
      </c>
      <c r="AX61">
        <v>731.68899999999996</v>
      </c>
      <c r="AY61">
        <v>21.430900000000001</v>
      </c>
      <c r="AZ61">
        <v>300.11700000000002</v>
      </c>
      <c r="BA61">
        <v>98.655600000000007</v>
      </c>
      <c r="BB61">
        <v>0.100038</v>
      </c>
      <c r="BC61">
        <v>25.342400000000001</v>
      </c>
      <c r="BD61">
        <v>27.118200000000002</v>
      </c>
      <c r="BE61">
        <v>26.958200000000001</v>
      </c>
      <c r="BF61">
        <v>0</v>
      </c>
      <c r="BG61">
        <v>0</v>
      </c>
      <c r="BH61">
        <v>9983.1200000000008</v>
      </c>
      <c r="BI61">
        <v>1058.72</v>
      </c>
      <c r="BJ61">
        <v>1.4577199999999999</v>
      </c>
      <c r="BK61">
        <v>-68.127600000000001</v>
      </c>
      <c r="BL61">
        <v>748.05799999999999</v>
      </c>
      <c r="BM61">
        <v>813.69799999999998</v>
      </c>
      <c r="BN61">
        <v>4.8018299999999998</v>
      </c>
      <c r="BO61">
        <v>800.005</v>
      </c>
      <c r="BP61">
        <v>16.827400000000001</v>
      </c>
      <c r="BQ61">
        <v>2.1338499999999998</v>
      </c>
      <c r="BR61">
        <v>1.66012</v>
      </c>
      <c r="BS61">
        <v>18.4741</v>
      </c>
      <c r="BT61">
        <v>14.528499999999999</v>
      </c>
      <c r="BU61">
        <v>1800</v>
      </c>
      <c r="BV61">
        <v>0.91001799999999999</v>
      </c>
      <c r="BW61">
        <v>3.3992799999999997E-2</v>
      </c>
      <c r="BX61">
        <v>2.19951E-2</v>
      </c>
      <c r="BY61">
        <v>3.3994200000000002E-2</v>
      </c>
      <c r="BZ61">
        <v>25</v>
      </c>
      <c r="CA61">
        <v>33528.5</v>
      </c>
      <c r="CB61">
        <v>1690387638</v>
      </c>
      <c r="CC61" t="s">
        <v>332</v>
      </c>
      <c r="CD61">
        <v>1690387638</v>
      </c>
      <c r="CE61">
        <v>1690387638</v>
      </c>
      <c r="CF61">
        <v>6</v>
      </c>
      <c r="CG61">
        <v>0.43</v>
      </c>
      <c r="CH61">
        <v>-8.1000000000000003E-2</v>
      </c>
      <c r="CI61">
        <v>0.14199999999999999</v>
      </c>
      <c r="CJ61">
        <v>-2.7E-2</v>
      </c>
      <c r="CK61">
        <v>800</v>
      </c>
      <c r="CL61">
        <v>0</v>
      </c>
      <c r="CM61">
        <v>0.01</v>
      </c>
      <c r="CN61">
        <v>0.01</v>
      </c>
      <c r="CO61">
        <v>-65.2746475</v>
      </c>
      <c r="CP61">
        <v>-14.997292682926711</v>
      </c>
      <c r="CQ61">
        <v>1.4443370808068841</v>
      </c>
      <c r="CR61">
        <v>-1</v>
      </c>
      <c r="CS61">
        <v>5.0546105000000008</v>
      </c>
      <c r="CT61">
        <v>-1.0212589868667921</v>
      </c>
      <c r="CU61">
        <v>9.9852217074784977E-2</v>
      </c>
      <c r="CV61">
        <v>-1</v>
      </c>
      <c r="CW61">
        <v>0</v>
      </c>
      <c r="CX61">
        <v>0</v>
      </c>
      <c r="CY61" t="s">
        <v>333</v>
      </c>
      <c r="CZ61">
        <v>2.36435</v>
      </c>
      <c r="DA61">
        <v>2.7138100000000001</v>
      </c>
      <c r="DB61">
        <v>0.13760500000000001</v>
      </c>
      <c r="DC61">
        <v>0.145729</v>
      </c>
      <c r="DD61">
        <v>0.10532900000000001</v>
      </c>
      <c r="DE61">
        <v>8.6864200000000003E-2</v>
      </c>
      <c r="DF61">
        <v>31501.7</v>
      </c>
      <c r="DG61">
        <v>27548.2</v>
      </c>
      <c r="DH61">
        <v>31183.9</v>
      </c>
      <c r="DI61">
        <v>28098.799999999999</v>
      </c>
      <c r="DJ61">
        <v>37882.800000000003</v>
      </c>
      <c r="DK61">
        <v>36487.300000000003</v>
      </c>
      <c r="DL61">
        <v>44380.6</v>
      </c>
      <c r="DM61">
        <v>42592.2</v>
      </c>
      <c r="DN61">
        <v>1.4617</v>
      </c>
      <c r="DO61">
        <v>2.0539700000000001</v>
      </c>
      <c r="DP61">
        <v>0.15532199999999999</v>
      </c>
      <c r="DQ61">
        <v>0.15728200000000001</v>
      </c>
      <c r="DR61">
        <v>24.5732</v>
      </c>
      <c r="DS61">
        <v>24.380400000000002</v>
      </c>
      <c r="DT61">
        <v>57</v>
      </c>
      <c r="DU61">
        <v>28.8</v>
      </c>
      <c r="DV61">
        <v>22.972300000000001</v>
      </c>
      <c r="DW61">
        <v>60.702199999999998</v>
      </c>
      <c r="DX61">
        <v>36.955100000000002</v>
      </c>
      <c r="DY61">
        <v>1</v>
      </c>
      <c r="DZ61">
        <v>-9.2621999999999996E-2</v>
      </c>
      <c r="EA61">
        <v>2.4472100000000001</v>
      </c>
      <c r="EB61">
        <v>20.167300000000001</v>
      </c>
      <c r="EC61">
        <v>5.24125</v>
      </c>
      <c r="ED61">
        <v>12.039899999999999</v>
      </c>
      <c r="EE61">
        <v>5.0164999999999997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1.8646199999999999</v>
      </c>
      <c r="EM61">
        <v>1.8692</v>
      </c>
      <c r="EN61">
        <v>1.86724</v>
      </c>
      <c r="EO61">
        <v>1.86337</v>
      </c>
      <c r="EP61">
        <v>1.8644700000000001</v>
      </c>
      <c r="EQ61">
        <v>1.87015</v>
      </c>
      <c r="ER61">
        <v>1.86937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0.189</v>
      </c>
      <c r="FG61">
        <v>0.19839999999999999</v>
      </c>
      <c r="FH61">
        <v>0.69281559908863044</v>
      </c>
      <c r="FI61">
        <v>-6.1462078757559423E-4</v>
      </c>
      <c r="FJ61">
        <v>-1.8861989874597051E-7</v>
      </c>
      <c r="FK61">
        <v>1.1980462299894961E-10</v>
      </c>
      <c r="FL61">
        <v>0.19840465858211129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18.100000000000001</v>
      </c>
      <c r="FU61">
        <v>18.100000000000001</v>
      </c>
      <c r="FV61">
        <v>1.79077</v>
      </c>
      <c r="FW61">
        <v>2.5842299999999998</v>
      </c>
      <c r="FX61">
        <v>1.5490699999999999</v>
      </c>
      <c r="FY61">
        <v>2.3327599999999999</v>
      </c>
      <c r="FZ61">
        <v>1.50146</v>
      </c>
      <c r="GA61">
        <v>2.34741</v>
      </c>
      <c r="GB61">
        <v>33.558</v>
      </c>
      <c r="GC61">
        <v>23.973700000000001</v>
      </c>
      <c r="GD61">
        <v>19</v>
      </c>
      <c r="GE61">
        <v>276.42</v>
      </c>
      <c r="GF61">
        <v>596.69000000000005</v>
      </c>
      <c r="GG61">
        <v>21.7502</v>
      </c>
      <c r="GH61">
        <v>26.211099999999998</v>
      </c>
      <c r="GI61">
        <v>30.000499999999999</v>
      </c>
      <c r="GJ61">
        <v>26.275300000000001</v>
      </c>
      <c r="GK61">
        <v>26.2394</v>
      </c>
      <c r="GL61">
        <v>35.802700000000002</v>
      </c>
      <c r="GM61">
        <v>34.637900000000002</v>
      </c>
      <c r="GN61">
        <v>97.372200000000007</v>
      </c>
      <c r="GO61">
        <v>21.6174</v>
      </c>
      <c r="GP61">
        <v>800</v>
      </c>
      <c r="GQ61">
        <v>16.908100000000001</v>
      </c>
      <c r="GR61">
        <v>99.7791</v>
      </c>
      <c r="GS61">
        <v>99.634100000000004</v>
      </c>
    </row>
    <row r="62" spans="1:201" x14ac:dyDescent="0.25">
      <c r="A62">
        <v>46</v>
      </c>
      <c r="B62">
        <v>1690388735.5999999</v>
      </c>
      <c r="C62">
        <v>477.09999990463263</v>
      </c>
      <c r="D62" t="s">
        <v>425</v>
      </c>
      <c r="E62" t="s">
        <v>426</v>
      </c>
      <c r="F62" t="s">
        <v>330</v>
      </c>
      <c r="H62">
        <v>1690388735.5999999</v>
      </c>
      <c r="I62">
        <f t="shared" si="0"/>
        <v>4.4933252901917519E-4</v>
      </c>
      <c r="J62">
        <f t="shared" si="1"/>
        <v>0.4493325290191752</v>
      </c>
      <c r="K62">
        <f t="shared" si="2"/>
        <v>6.3563317188494581</v>
      </c>
      <c r="L62">
        <f t="shared" si="3"/>
        <v>729.15800000000002</v>
      </c>
      <c r="M62">
        <f t="shared" si="4"/>
        <v>357.35585586286459</v>
      </c>
      <c r="N62">
        <f t="shared" si="5"/>
        <v>35.292317880586779</v>
      </c>
      <c r="O62">
        <f t="shared" si="6"/>
        <v>72.011345271051596</v>
      </c>
      <c r="P62">
        <f t="shared" si="7"/>
        <v>2.8582768188758642E-2</v>
      </c>
      <c r="Q62">
        <f t="shared" si="8"/>
        <v>2.1601534159575495</v>
      </c>
      <c r="R62">
        <f t="shared" si="9"/>
        <v>2.8374310212674857E-2</v>
      </c>
      <c r="S62">
        <f t="shared" si="10"/>
        <v>1.7752546165386209E-2</v>
      </c>
      <c r="T62">
        <f t="shared" si="11"/>
        <v>276.11441785800002</v>
      </c>
      <c r="U62">
        <f t="shared" si="12"/>
        <v>27.3013620980525</v>
      </c>
      <c r="V62">
        <f t="shared" si="13"/>
        <v>27.3013620980525</v>
      </c>
      <c r="W62">
        <f t="shared" si="14"/>
        <v>3.6430014249757567</v>
      </c>
      <c r="X62">
        <f t="shared" si="15"/>
        <v>65.648925758639578</v>
      </c>
      <c r="Y62">
        <f t="shared" si="16"/>
        <v>2.1247236995218199</v>
      </c>
      <c r="Z62">
        <f t="shared" si="17"/>
        <v>3.2364942380526318</v>
      </c>
      <c r="AA62">
        <f t="shared" si="18"/>
        <v>1.5182777254539368</v>
      </c>
      <c r="AB62">
        <f t="shared" si="19"/>
        <v>-19.815564529745625</v>
      </c>
      <c r="AC62">
        <f t="shared" si="20"/>
        <v>-233.37780069381159</v>
      </c>
      <c r="AD62">
        <f t="shared" si="21"/>
        <v>-23.153064300427783</v>
      </c>
      <c r="AE62">
        <f t="shared" si="22"/>
        <v>-0.23201166598497025</v>
      </c>
      <c r="AF62">
        <v>1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52560.800979986299</v>
      </c>
      <c r="AK62">
        <f t="shared" si="26"/>
        <v>1800</v>
      </c>
      <c r="AL62">
        <f t="shared" si="27"/>
        <v>1499.1136758</v>
      </c>
      <c r="AM62">
        <f t="shared" si="28"/>
        <v>0.83284093100000001</v>
      </c>
      <c r="AN62">
        <f t="shared" si="29"/>
        <v>0.15339689881000002</v>
      </c>
      <c r="AO62">
        <v>31.8</v>
      </c>
      <c r="AP62">
        <v>0.5</v>
      </c>
      <c r="AQ62" t="s">
        <v>331</v>
      </c>
      <c r="AR62">
        <v>2</v>
      </c>
      <c r="AS62">
        <v>1690388735.5999999</v>
      </c>
      <c r="AT62">
        <v>729.15800000000002</v>
      </c>
      <c r="AU62">
        <v>799.95399999999995</v>
      </c>
      <c r="AV62">
        <v>21.514099999999999</v>
      </c>
      <c r="AW62">
        <v>16.857199999999999</v>
      </c>
      <c r="AX62">
        <v>728.96699999999998</v>
      </c>
      <c r="AY62">
        <v>21.3157</v>
      </c>
      <c r="AZ62">
        <v>300.22899999999998</v>
      </c>
      <c r="BA62">
        <v>98.659700000000001</v>
      </c>
      <c r="BB62">
        <v>9.9890199999999998E-2</v>
      </c>
      <c r="BC62">
        <v>25.2974</v>
      </c>
      <c r="BD62">
        <v>27.058199999999999</v>
      </c>
      <c r="BE62">
        <v>26.921900000000001</v>
      </c>
      <c r="BF62">
        <v>0</v>
      </c>
      <c r="BG62">
        <v>0</v>
      </c>
      <c r="BH62">
        <v>10018.799999999999</v>
      </c>
      <c r="BI62">
        <v>1058.57</v>
      </c>
      <c r="BJ62">
        <v>1.4577199999999999</v>
      </c>
      <c r="BK62">
        <v>-70.795900000000003</v>
      </c>
      <c r="BL62">
        <v>745.19</v>
      </c>
      <c r="BM62">
        <v>813.67</v>
      </c>
      <c r="BN62">
        <v>4.6569500000000001</v>
      </c>
      <c r="BO62">
        <v>799.95399999999995</v>
      </c>
      <c r="BP62">
        <v>16.857199999999999</v>
      </c>
      <c r="BQ62">
        <v>2.1225700000000001</v>
      </c>
      <c r="BR62">
        <v>1.6631199999999999</v>
      </c>
      <c r="BS62">
        <v>18.389600000000002</v>
      </c>
      <c r="BT62">
        <v>14.5564</v>
      </c>
      <c r="BU62">
        <v>1800</v>
      </c>
      <c r="BV62">
        <v>0.91001600000000005</v>
      </c>
      <c r="BW62">
        <v>3.3998300000000002E-2</v>
      </c>
      <c r="BX62">
        <v>2.1993800000000001E-2</v>
      </c>
      <c r="BY62">
        <v>3.3992099999999997E-2</v>
      </c>
      <c r="BZ62">
        <v>25</v>
      </c>
      <c r="CA62">
        <v>33528.5</v>
      </c>
      <c r="CB62">
        <v>1690387638</v>
      </c>
      <c r="CC62" t="s">
        <v>332</v>
      </c>
      <c r="CD62">
        <v>1690387638</v>
      </c>
      <c r="CE62">
        <v>1690387638</v>
      </c>
      <c r="CF62">
        <v>6</v>
      </c>
      <c r="CG62">
        <v>0.43</v>
      </c>
      <c r="CH62">
        <v>-8.1000000000000003E-2</v>
      </c>
      <c r="CI62">
        <v>0.14199999999999999</v>
      </c>
      <c r="CJ62">
        <v>-2.7E-2</v>
      </c>
      <c r="CK62">
        <v>800</v>
      </c>
      <c r="CL62">
        <v>0</v>
      </c>
      <c r="CM62">
        <v>0.01</v>
      </c>
      <c r="CN62">
        <v>0.01</v>
      </c>
      <c r="CO62">
        <v>-67.902590243902438</v>
      </c>
      <c r="CP62">
        <v>-15.51770592334497</v>
      </c>
      <c r="CQ62">
        <v>1.5307080261657451</v>
      </c>
      <c r="CR62">
        <v>-1</v>
      </c>
      <c r="CS62">
        <v>4.8530697560975611</v>
      </c>
      <c r="CT62">
        <v>-1.2550312891986051</v>
      </c>
      <c r="CU62">
        <v>0.12483690545409699</v>
      </c>
      <c r="CV62">
        <v>-1</v>
      </c>
      <c r="CW62">
        <v>0</v>
      </c>
      <c r="CX62">
        <v>0</v>
      </c>
      <c r="CY62" t="s">
        <v>333</v>
      </c>
      <c r="CZ62">
        <v>2.3647300000000002</v>
      </c>
      <c r="DA62">
        <v>2.7136999999999998</v>
      </c>
      <c r="DB62">
        <v>0.13726099999999999</v>
      </c>
      <c r="DC62">
        <v>0.145729</v>
      </c>
      <c r="DD62">
        <v>0.104931</v>
      </c>
      <c r="DE62">
        <v>8.69785E-2</v>
      </c>
      <c r="DF62">
        <v>31514.2</v>
      </c>
      <c r="DG62">
        <v>27548.3</v>
      </c>
      <c r="DH62">
        <v>31183.8</v>
      </c>
      <c r="DI62">
        <v>28098.9</v>
      </c>
      <c r="DJ62">
        <v>37899.5</v>
      </c>
      <c r="DK62">
        <v>36483.199999999997</v>
      </c>
      <c r="DL62">
        <v>44380.4</v>
      </c>
      <c r="DM62">
        <v>42592.800000000003</v>
      </c>
      <c r="DN62">
        <v>1.4614</v>
      </c>
      <c r="DO62">
        <v>2.0537999999999998</v>
      </c>
      <c r="DP62">
        <v>0.15263299999999999</v>
      </c>
      <c r="DQ62">
        <v>0.155747</v>
      </c>
      <c r="DR62">
        <v>24.557200000000002</v>
      </c>
      <c r="DS62">
        <v>24.3691</v>
      </c>
      <c r="DT62">
        <v>57</v>
      </c>
      <c r="DU62">
        <v>28.8</v>
      </c>
      <c r="DV62">
        <v>22.9682</v>
      </c>
      <c r="DW62">
        <v>60.962200000000003</v>
      </c>
      <c r="DX62">
        <v>36.438299999999998</v>
      </c>
      <c r="DY62">
        <v>1</v>
      </c>
      <c r="DZ62">
        <v>-9.2332300000000006E-2</v>
      </c>
      <c r="EA62">
        <v>2.3330600000000001</v>
      </c>
      <c r="EB62">
        <v>20.170500000000001</v>
      </c>
      <c r="EC62">
        <v>5.2409499999999998</v>
      </c>
      <c r="ED62">
        <v>12.039899999999999</v>
      </c>
      <c r="EE62">
        <v>5.0163500000000001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1.8646100000000001</v>
      </c>
      <c r="EM62">
        <v>1.8692</v>
      </c>
      <c r="EN62">
        <v>1.8672299999999999</v>
      </c>
      <c r="EO62">
        <v>1.86337</v>
      </c>
      <c r="EP62">
        <v>1.8644700000000001</v>
      </c>
      <c r="EQ62">
        <v>1.87015</v>
      </c>
      <c r="ER62">
        <v>1.8693500000000001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0.191</v>
      </c>
      <c r="FG62">
        <v>0.19839999999999999</v>
      </c>
      <c r="FH62">
        <v>0.69281559908863044</v>
      </c>
      <c r="FI62">
        <v>-6.1462078757559423E-4</v>
      </c>
      <c r="FJ62">
        <v>-1.8861989874597051E-7</v>
      </c>
      <c r="FK62">
        <v>1.1980462299894961E-10</v>
      </c>
      <c r="FL62">
        <v>0.19840465858211129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18.3</v>
      </c>
      <c r="FU62">
        <v>18.3</v>
      </c>
      <c r="FV62">
        <v>1.79077</v>
      </c>
      <c r="FW62">
        <v>2.5805699999999998</v>
      </c>
      <c r="FX62">
        <v>1.5490699999999999</v>
      </c>
      <c r="FY62">
        <v>2.3327599999999999</v>
      </c>
      <c r="FZ62">
        <v>1.50146</v>
      </c>
      <c r="GA62">
        <v>2.3889200000000002</v>
      </c>
      <c r="GB62">
        <v>33.558</v>
      </c>
      <c r="GC62">
        <v>23.982399999999998</v>
      </c>
      <c r="GD62">
        <v>19</v>
      </c>
      <c r="GE62">
        <v>276.29399999999998</v>
      </c>
      <c r="GF62">
        <v>596.55200000000002</v>
      </c>
      <c r="GG62">
        <v>21.4664</v>
      </c>
      <c r="GH62">
        <v>26.2089</v>
      </c>
      <c r="GI62">
        <v>30.0002</v>
      </c>
      <c r="GJ62">
        <v>26.275300000000001</v>
      </c>
      <c r="GK62">
        <v>26.240200000000002</v>
      </c>
      <c r="GL62">
        <v>35.806699999999999</v>
      </c>
      <c r="GM62">
        <v>34.350299999999997</v>
      </c>
      <c r="GN62">
        <v>96.993600000000001</v>
      </c>
      <c r="GO62">
        <v>21.4282</v>
      </c>
      <c r="GP62">
        <v>800</v>
      </c>
      <c r="GQ62">
        <v>16.9543</v>
      </c>
      <c r="GR62">
        <v>99.778700000000001</v>
      </c>
      <c r="GS62">
        <v>99.635199999999998</v>
      </c>
    </row>
    <row r="63" spans="1:201" x14ac:dyDescent="0.25">
      <c r="A63">
        <v>47</v>
      </c>
      <c r="B63">
        <v>1690388745.5999999</v>
      </c>
      <c r="C63">
        <v>487.09999990463263</v>
      </c>
      <c r="D63" t="s">
        <v>427</v>
      </c>
      <c r="E63" t="s">
        <v>428</v>
      </c>
      <c r="F63" t="s">
        <v>330</v>
      </c>
      <c r="H63">
        <v>1690388745.5999999</v>
      </c>
      <c r="I63">
        <f t="shared" si="0"/>
        <v>4.3659339481893101E-4</v>
      </c>
      <c r="J63">
        <f t="shared" si="1"/>
        <v>0.436593394818931</v>
      </c>
      <c r="K63">
        <f t="shared" si="2"/>
        <v>6.6281135039789874</v>
      </c>
      <c r="L63">
        <f t="shared" si="3"/>
        <v>726.39400000000001</v>
      </c>
      <c r="M63">
        <f t="shared" si="4"/>
        <v>329.77792931987852</v>
      </c>
      <c r="N63">
        <f t="shared" si="5"/>
        <v>32.56746367649685</v>
      </c>
      <c r="O63">
        <f t="shared" si="6"/>
        <v>71.735577510035796</v>
      </c>
      <c r="P63">
        <f t="shared" si="7"/>
        <v>2.7838320664667029E-2</v>
      </c>
      <c r="Q63">
        <f t="shared" si="8"/>
        <v>2.1598789874486783</v>
      </c>
      <c r="R63">
        <f t="shared" si="9"/>
        <v>2.7640514511076887E-2</v>
      </c>
      <c r="S63">
        <f t="shared" si="10"/>
        <v>1.7292976394740579E-2</v>
      </c>
      <c r="T63">
        <f t="shared" si="11"/>
        <v>276.11286308112744</v>
      </c>
      <c r="U63">
        <f t="shared" si="12"/>
        <v>27.262952752504209</v>
      </c>
      <c r="V63">
        <f t="shared" si="13"/>
        <v>27.262952752504209</v>
      </c>
      <c r="W63">
        <f t="shared" si="14"/>
        <v>3.6348097686166194</v>
      </c>
      <c r="X63">
        <f t="shared" si="15"/>
        <v>65.682761898442607</v>
      </c>
      <c r="Y63">
        <f t="shared" si="16"/>
        <v>2.1203746329956301</v>
      </c>
      <c r="Z63">
        <f t="shared" si="17"/>
        <v>3.2282056535230836</v>
      </c>
      <c r="AA63">
        <f t="shared" si="18"/>
        <v>1.5144351356209893</v>
      </c>
      <c r="AB63">
        <f t="shared" si="19"/>
        <v>-19.253768711514859</v>
      </c>
      <c r="AC63">
        <f t="shared" si="20"/>
        <v>-233.89434782875574</v>
      </c>
      <c r="AD63">
        <f t="shared" si="21"/>
        <v>-23.19778084948998</v>
      </c>
      <c r="AE63">
        <f t="shared" si="22"/>
        <v>-0.23303430863313679</v>
      </c>
      <c r="AF63">
        <v>1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52556.761231493096</v>
      </c>
      <c r="AK63">
        <f t="shared" si="26"/>
        <v>1799.99</v>
      </c>
      <c r="AL63">
        <f t="shared" si="27"/>
        <v>1499.10297860385</v>
      </c>
      <c r="AM63">
        <f t="shared" si="28"/>
        <v>0.83283961500000003</v>
      </c>
      <c r="AN63">
        <f t="shared" si="29"/>
        <v>0.15339688724999997</v>
      </c>
      <c r="AO63">
        <v>31.8</v>
      </c>
      <c r="AP63">
        <v>0.5</v>
      </c>
      <c r="AQ63" t="s">
        <v>331</v>
      </c>
      <c r="AR63">
        <v>2</v>
      </c>
      <c r="AS63">
        <v>1690388745.5999999</v>
      </c>
      <c r="AT63">
        <v>726.39400000000001</v>
      </c>
      <c r="AU63">
        <v>799.971</v>
      </c>
      <c r="AV63">
        <v>21.4709</v>
      </c>
      <c r="AW63">
        <v>16.945</v>
      </c>
      <c r="AX63">
        <v>726.20100000000002</v>
      </c>
      <c r="AY63">
        <v>21.272500000000001</v>
      </c>
      <c r="AZ63">
        <v>300.17399999999998</v>
      </c>
      <c r="BA63">
        <v>98.655799999999999</v>
      </c>
      <c r="BB63">
        <v>9.9940699999999993E-2</v>
      </c>
      <c r="BC63">
        <v>25.254300000000001</v>
      </c>
      <c r="BD63">
        <v>27.013200000000001</v>
      </c>
      <c r="BE63">
        <v>26.884599999999999</v>
      </c>
      <c r="BF63">
        <v>0</v>
      </c>
      <c r="BG63">
        <v>0</v>
      </c>
      <c r="BH63">
        <v>10016.9</v>
      </c>
      <c r="BI63">
        <v>1058.3499999999999</v>
      </c>
      <c r="BJ63">
        <v>1.4577199999999999</v>
      </c>
      <c r="BK63">
        <v>-73.576400000000007</v>
      </c>
      <c r="BL63">
        <v>742.33299999999997</v>
      </c>
      <c r="BM63">
        <v>813.76</v>
      </c>
      <c r="BN63">
        <v>4.5259200000000002</v>
      </c>
      <c r="BO63">
        <v>799.971</v>
      </c>
      <c r="BP63">
        <v>16.945</v>
      </c>
      <c r="BQ63">
        <v>2.1182300000000001</v>
      </c>
      <c r="BR63">
        <v>1.6717200000000001</v>
      </c>
      <c r="BS63">
        <v>18.3569</v>
      </c>
      <c r="BT63">
        <v>14.6363</v>
      </c>
      <c r="BU63">
        <v>1799.99</v>
      </c>
      <c r="BV63">
        <v>0.91000899999999996</v>
      </c>
      <c r="BW63">
        <v>3.4007099999999998E-2</v>
      </c>
      <c r="BX63">
        <v>2.1992999999999999E-2</v>
      </c>
      <c r="BY63">
        <v>3.3990899999999998E-2</v>
      </c>
      <c r="BZ63">
        <v>25</v>
      </c>
      <c r="CA63">
        <v>33528.300000000003</v>
      </c>
      <c r="CB63">
        <v>1690387638</v>
      </c>
      <c r="CC63" t="s">
        <v>332</v>
      </c>
      <c r="CD63">
        <v>1690387638</v>
      </c>
      <c r="CE63">
        <v>1690387638</v>
      </c>
      <c r="CF63">
        <v>6</v>
      </c>
      <c r="CG63">
        <v>0.43</v>
      </c>
      <c r="CH63">
        <v>-8.1000000000000003E-2</v>
      </c>
      <c r="CI63">
        <v>0.14199999999999999</v>
      </c>
      <c r="CJ63">
        <v>-2.7E-2</v>
      </c>
      <c r="CK63">
        <v>800</v>
      </c>
      <c r="CL63">
        <v>0</v>
      </c>
      <c r="CM63">
        <v>0.01</v>
      </c>
      <c r="CN63">
        <v>0.01</v>
      </c>
      <c r="CO63">
        <v>-70.481739999999988</v>
      </c>
      <c r="CP63">
        <v>-16.268848030018649</v>
      </c>
      <c r="CQ63">
        <v>1.5650585819387079</v>
      </c>
      <c r="CR63">
        <v>-1</v>
      </c>
      <c r="CS63">
        <v>4.6754599999999993</v>
      </c>
      <c r="CT63">
        <v>-0.8686878799249661</v>
      </c>
      <c r="CU63">
        <v>8.387925264926957E-2</v>
      </c>
      <c r="CV63">
        <v>-1</v>
      </c>
      <c r="CW63">
        <v>0</v>
      </c>
      <c r="CX63">
        <v>0</v>
      </c>
      <c r="CY63" t="s">
        <v>333</v>
      </c>
      <c r="CZ63">
        <v>2.36456</v>
      </c>
      <c r="DA63">
        <v>2.7137500000000001</v>
      </c>
      <c r="DB63">
        <v>0.13689999999999999</v>
      </c>
      <c r="DC63">
        <v>0.145727</v>
      </c>
      <c r="DD63">
        <v>0.10477599999999999</v>
      </c>
      <c r="DE63">
        <v>8.7302099999999994E-2</v>
      </c>
      <c r="DF63">
        <v>31527.599999999999</v>
      </c>
      <c r="DG63">
        <v>27548.6</v>
      </c>
      <c r="DH63">
        <v>31184.1</v>
      </c>
      <c r="DI63">
        <v>28099.1</v>
      </c>
      <c r="DJ63">
        <v>37906.5</v>
      </c>
      <c r="DK63">
        <v>36470.300000000003</v>
      </c>
      <c r="DL63">
        <v>44380.800000000003</v>
      </c>
      <c r="DM63">
        <v>42592.9</v>
      </c>
      <c r="DN63">
        <v>1.4613700000000001</v>
      </c>
      <c r="DO63">
        <v>2.0542799999999999</v>
      </c>
      <c r="DP63">
        <v>0.151031</v>
      </c>
      <c r="DQ63">
        <v>0.154331</v>
      </c>
      <c r="DR63">
        <v>24.5383</v>
      </c>
      <c r="DS63">
        <v>24.355</v>
      </c>
      <c r="DT63">
        <v>57</v>
      </c>
      <c r="DU63">
        <v>28.8</v>
      </c>
      <c r="DV63">
        <v>22.9697</v>
      </c>
      <c r="DW63">
        <v>60.8322</v>
      </c>
      <c r="DX63">
        <v>36.053699999999999</v>
      </c>
      <c r="DY63">
        <v>1</v>
      </c>
      <c r="DZ63">
        <v>-9.3038599999999999E-2</v>
      </c>
      <c r="EA63">
        <v>2.0785399999999998</v>
      </c>
      <c r="EB63">
        <v>20.174299999999999</v>
      </c>
      <c r="EC63">
        <v>5.2411000000000003</v>
      </c>
      <c r="ED63">
        <v>12.039899999999999</v>
      </c>
      <c r="EE63">
        <v>5.0164999999999997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1.8646199999999999</v>
      </c>
      <c r="EM63">
        <v>1.8692</v>
      </c>
      <c r="EN63">
        <v>1.8672200000000001</v>
      </c>
      <c r="EO63">
        <v>1.86337</v>
      </c>
      <c r="EP63">
        <v>1.8644700000000001</v>
      </c>
      <c r="EQ63">
        <v>1.87012</v>
      </c>
      <c r="ER63">
        <v>1.86937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0.193</v>
      </c>
      <c r="FG63">
        <v>0.19839999999999999</v>
      </c>
      <c r="FH63">
        <v>0.69281559908863044</v>
      </c>
      <c r="FI63">
        <v>-6.1462078757559423E-4</v>
      </c>
      <c r="FJ63">
        <v>-1.8861989874597051E-7</v>
      </c>
      <c r="FK63">
        <v>1.1980462299894961E-10</v>
      </c>
      <c r="FL63">
        <v>0.19840465858211129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18.5</v>
      </c>
      <c r="FU63">
        <v>18.5</v>
      </c>
      <c r="FV63">
        <v>1.79077</v>
      </c>
      <c r="FW63">
        <v>2.5769000000000002</v>
      </c>
      <c r="FX63">
        <v>1.5490699999999999</v>
      </c>
      <c r="FY63">
        <v>2.3327599999999999</v>
      </c>
      <c r="FZ63">
        <v>1.50146</v>
      </c>
      <c r="GA63">
        <v>2.4194300000000002</v>
      </c>
      <c r="GB63">
        <v>33.558</v>
      </c>
      <c r="GC63">
        <v>23.991199999999999</v>
      </c>
      <c r="GD63">
        <v>19</v>
      </c>
      <c r="GE63">
        <v>276.29300000000001</v>
      </c>
      <c r="GF63">
        <v>596.97699999999998</v>
      </c>
      <c r="GG63">
        <v>21.330100000000002</v>
      </c>
      <c r="GH63">
        <v>26.2074</v>
      </c>
      <c r="GI63">
        <v>29.999700000000001</v>
      </c>
      <c r="GJ63">
        <v>26.2776</v>
      </c>
      <c r="GK63">
        <v>26.2424</v>
      </c>
      <c r="GL63">
        <v>35.810400000000001</v>
      </c>
      <c r="GM63">
        <v>34.078099999999999</v>
      </c>
      <c r="GN63">
        <v>96.993600000000001</v>
      </c>
      <c r="GO63">
        <v>21.338100000000001</v>
      </c>
      <c r="GP63">
        <v>800</v>
      </c>
      <c r="GQ63">
        <v>16.959599999999998</v>
      </c>
      <c r="GR63">
        <v>99.779600000000002</v>
      </c>
      <c r="GS63">
        <v>99.635499999999993</v>
      </c>
    </row>
    <row r="64" spans="1:201" x14ac:dyDescent="0.25">
      <c r="A64">
        <v>48</v>
      </c>
      <c r="B64">
        <v>1690388755.5999999</v>
      </c>
      <c r="C64">
        <v>497.09999990463263</v>
      </c>
      <c r="D64" t="s">
        <v>429</v>
      </c>
      <c r="E64" t="s">
        <v>430</v>
      </c>
      <c r="F64" t="s">
        <v>330</v>
      </c>
      <c r="H64">
        <v>1690388755.5999999</v>
      </c>
      <c r="I64">
        <f t="shared" si="0"/>
        <v>4.3960042131212061E-4</v>
      </c>
      <c r="J64">
        <f t="shared" si="1"/>
        <v>0.43960042131212063</v>
      </c>
      <c r="K64">
        <f t="shared" si="2"/>
        <v>6.911080546951065</v>
      </c>
      <c r="L64">
        <f t="shared" si="3"/>
        <v>723.42399999999998</v>
      </c>
      <c r="M64">
        <f t="shared" si="4"/>
        <v>316.1940726785752</v>
      </c>
      <c r="N64">
        <f t="shared" si="5"/>
        <v>31.22654119165955</v>
      </c>
      <c r="O64">
        <f t="shared" si="6"/>
        <v>71.443557254783997</v>
      </c>
      <c r="P64">
        <f t="shared" si="7"/>
        <v>2.8225642626756614E-2</v>
      </c>
      <c r="Q64">
        <f t="shared" si="8"/>
        <v>2.1596724858547756</v>
      </c>
      <c r="R64">
        <f t="shared" si="9"/>
        <v>2.8022296325058812E-2</v>
      </c>
      <c r="S64">
        <f t="shared" si="10"/>
        <v>1.7532082834109633E-2</v>
      </c>
      <c r="T64">
        <f t="shared" si="11"/>
        <v>276.11284605322209</v>
      </c>
      <c r="U64">
        <f t="shared" si="12"/>
        <v>27.225955763209868</v>
      </c>
      <c r="V64">
        <f t="shared" si="13"/>
        <v>27.225955763209868</v>
      </c>
      <c r="W64">
        <f t="shared" si="14"/>
        <v>3.6269345345125559</v>
      </c>
      <c r="X64">
        <f t="shared" si="15"/>
        <v>65.898876313315341</v>
      </c>
      <c r="Y64">
        <f t="shared" si="16"/>
        <v>2.1227730549168</v>
      </c>
      <c r="Z64">
        <f t="shared" si="17"/>
        <v>3.2212583486615216</v>
      </c>
      <c r="AA64">
        <f t="shared" si="18"/>
        <v>1.5041614795957559</v>
      </c>
      <c r="AB64">
        <f t="shared" si="19"/>
        <v>-19.38637857986452</v>
      </c>
      <c r="AC64">
        <f t="shared" si="20"/>
        <v>-233.77919040337338</v>
      </c>
      <c r="AD64">
        <f t="shared" si="21"/>
        <v>-23.180069682146989</v>
      </c>
      <c r="AE64">
        <f t="shared" si="22"/>
        <v>-0.23279261216279679</v>
      </c>
      <c r="AF64">
        <v>1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52554.487705597356</v>
      </c>
      <c r="AK64">
        <f t="shared" si="26"/>
        <v>1799.99</v>
      </c>
      <c r="AL64">
        <f t="shared" si="27"/>
        <v>1499.1032558023098</v>
      </c>
      <c r="AM64">
        <f t="shared" si="28"/>
        <v>0.8328397689999999</v>
      </c>
      <c r="AN64">
        <f t="shared" si="29"/>
        <v>0.15339687779</v>
      </c>
      <c r="AO64">
        <v>31.8</v>
      </c>
      <c r="AP64">
        <v>0.5</v>
      </c>
      <c r="AQ64" t="s">
        <v>331</v>
      </c>
      <c r="AR64">
        <v>2</v>
      </c>
      <c r="AS64">
        <v>1690388755.5999999</v>
      </c>
      <c r="AT64">
        <v>723.42399999999998</v>
      </c>
      <c r="AU64">
        <v>800.00699999999995</v>
      </c>
      <c r="AV64">
        <v>21.494800000000001</v>
      </c>
      <c r="AW64">
        <v>16.937899999999999</v>
      </c>
      <c r="AX64">
        <v>723.22900000000004</v>
      </c>
      <c r="AY64">
        <v>21.296399999999998</v>
      </c>
      <c r="AZ64">
        <v>300.178</v>
      </c>
      <c r="BA64">
        <v>98.657499999999999</v>
      </c>
      <c r="BB64">
        <v>0.10001599999999999</v>
      </c>
      <c r="BC64">
        <v>25.2181</v>
      </c>
      <c r="BD64">
        <v>26.9587</v>
      </c>
      <c r="BE64">
        <v>26.831199999999999</v>
      </c>
      <c r="BF64">
        <v>0</v>
      </c>
      <c r="BG64">
        <v>0</v>
      </c>
      <c r="BH64">
        <v>10015</v>
      </c>
      <c r="BI64">
        <v>1058.02</v>
      </c>
      <c r="BJ64">
        <v>1.4577199999999999</v>
      </c>
      <c r="BK64">
        <v>-76.582700000000003</v>
      </c>
      <c r="BL64">
        <v>739.31600000000003</v>
      </c>
      <c r="BM64">
        <v>813.79100000000005</v>
      </c>
      <c r="BN64">
        <v>4.5569600000000001</v>
      </c>
      <c r="BO64">
        <v>800.00699999999995</v>
      </c>
      <c r="BP64">
        <v>16.937899999999999</v>
      </c>
      <c r="BQ64">
        <v>2.1206299999999998</v>
      </c>
      <c r="BR64">
        <v>1.6710499999999999</v>
      </c>
      <c r="BS64">
        <v>18.375</v>
      </c>
      <c r="BT64">
        <v>14.630100000000001</v>
      </c>
      <c r="BU64">
        <v>1799.99</v>
      </c>
      <c r="BV64">
        <v>0.91000999999999999</v>
      </c>
      <c r="BW64">
        <v>3.4008400000000001E-2</v>
      </c>
      <c r="BX64">
        <v>2.19922E-2</v>
      </c>
      <c r="BY64">
        <v>3.3989699999999998E-2</v>
      </c>
      <c r="BZ64">
        <v>25</v>
      </c>
      <c r="CA64">
        <v>33528.300000000003</v>
      </c>
      <c r="CB64">
        <v>1690387638</v>
      </c>
      <c r="CC64" t="s">
        <v>332</v>
      </c>
      <c r="CD64">
        <v>1690387638</v>
      </c>
      <c r="CE64">
        <v>1690387638</v>
      </c>
      <c r="CF64">
        <v>6</v>
      </c>
      <c r="CG64">
        <v>0.43</v>
      </c>
      <c r="CH64">
        <v>-8.1000000000000003E-2</v>
      </c>
      <c r="CI64">
        <v>0.14199999999999999</v>
      </c>
      <c r="CJ64">
        <v>-2.7E-2</v>
      </c>
      <c r="CK64">
        <v>800</v>
      </c>
      <c r="CL64">
        <v>0</v>
      </c>
      <c r="CM64">
        <v>0.01</v>
      </c>
      <c r="CN64">
        <v>0.01</v>
      </c>
      <c r="CO64">
        <v>-73.267567499999998</v>
      </c>
      <c r="CP64">
        <v>-17.201591369605989</v>
      </c>
      <c r="CQ64">
        <v>1.6554021545212969</v>
      </c>
      <c r="CR64">
        <v>-1</v>
      </c>
      <c r="CS64">
        <v>4.5677892499999997</v>
      </c>
      <c r="CT64">
        <v>-0.43144964352721571</v>
      </c>
      <c r="CU64">
        <v>4.9351858343303578E-2</v>
      </c>
      <c r="CV64">
        <v>-1</v>
      </c>
      <c r="CW64">
        <v>0</v>
      </c>
      <c r="CX64">
        <v>0</v>
      </c>
      <c r="CY64" t="s">
        <v>333</v>
      </c>
      <c r="CZ64">
        <v>2.36456</v>
      </c>
      <c r="DA64">
        <v>2.7138200000000001</v>
      </c>
      <c r="DB64">
        <v>0.136521</v>
      </c>
      <c r="DC64">
        <v>0.145733</v>
      </c>
      <c r="DD64">
        <v>0.104861</v>
      </c>
      <c r="DE64">
        <v>8.7276999999999993E-2</v>
      </c>
      <c r="DF64">
        <v>31541.599999999999</v>
      </c>
      <c r="DG64">
        <v>27549.1</v>
      </c>
      <c r="DH64">
        <v>31184.2</v>
      </c>
      <c r="DI64">
        <v>28099.8</v>
      </c>
      <c r="DJ64">
        <v>37903</v>
      </c>
      <c r="DK64">
        <v>36472.300000000003</v>
      </c>
      <c r="DL64">
        <v>44381</v>
      </c>
      <c r="DM64">
        <v>42594</v>
      </c>
      <c r="DN64">
        <v>1.4618500000000001</v>
      </c>
      <c r="DO64">
        <v>2.0543499999999999</v>
      </c>
      <c r="DP64">
        <v>0.14901900000000001</v>
      </c>
      <c r="DQ64">
        <v>0.152111</v>
      </c>
      <c r="DR64">
        <v>24.5166</v>
      </c>
      <c r="DS64">
        <v>24.337800000000001</v>
      </c>
      <c r="DT64">
        <v>57</v>
      </c>
      <c r="DU64">
        <v>28.8</v>
      </c>
      <c r="DV64">
        <v>22.9648</v>
      </c>
      <c r="DW64">
        <v>60.882199999999997</v>
      </c>
      <c r="DX64">
        <v>35.697099999999999</v>
      </c>
      <c r="DY64">
        <v>1</v>
      </c>
      <c r="DZ64">
        <v>-9.3859200000000004E-2</v>
      </c>
      <c r="EA64">
        <v>1.0419499999999999</v>
      </c>
      <c r="EB64">
        <v>20.1813</v>
      </c>
      <c r="EC64">
        <v>5.2408000000000001</v>
      </c>
      <c r="ED64">
        <v>12.039899999999999</v>
      </c>
      <c r="EE64">
        <v>5.0163500000000001</v>
      </c>
      <c r="EF64">
        <v>3.2879299999999998</v>
      </c>
      <c r="EG64">
        <v>9999</v>
      </c>
      <c r="EH64">
        <v>9999</v>
      </c>
      <c r="EI64">
        <v>9999</v>
      </c>
      <c r="EJ64">
        <v>999.9</v>
      </c>
      <c r="EK64">
        <v>1.8689100000000001</v>
      </c>
      <c r="EL64">
        <v>1.8646199999999999</v>
      </c>
      <c r="EM64">
        <v>1.8692</v>
      </c>
      <c r="EN64">
        <v>1.8672299999999999</v>
      </c>
      <c r="EO64">
        <v>1.86338</v>
      </c>
      <c r="EP64">
        <v>1.8644700000000001</v>
      </c>
      <c r="EQ64">
        <v>1.8701399999999999</v>
      </c>
      <c r="ER64">
        <v>1.8693500000000001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0.19500000000000001</v>
      </c>
      <c r="FG64">
        <v>0.19839999999999999</v>
      </c>
      <c r="FH64">
        <v>0.69281559908863044</v>
      </c>
      <c r="FI64">
        <v>-6.1462078757559423E-4</v>
      </c>
      <c r="FJ64">
        <v>-1.8861989874597051E-7</v>
      </c>
      <c r="FK64">
        <v>1.1980462299894961E-10</v>
      </c>
      <c r="FL64">
        <v>0.19840465858211129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18.600000000000001</v>
      </c>
      <c r="FU64">
        <v>18.600000000000001</v>
      </c>
      <c r="FV64">
        <v>1.79077</v>
      </c>
      <c r="FW64">
        <v>2.5793499999999998</v>
      </c>
      <c r="FX64">
        <v>1.5490699999999999</v>
      </c>
      <c r="FY64">
        <v>2.3327599999999999</v>
      </c>
      <c r="FZ64">
        <v>1.50146</v>
      </c>
      <c r="GA64">
        <v>2.3840300000000001</v>
      </c>
      <c r="GB64">
        <v>33.558</v>
      </c>
      <c r="GC64">
        <v>23.991199999999999</v>
      </c>
      <c r="GD64">
        <v>19</v>
      </c>
      <c r="GE64">
        <v>276.49900000000002</v>
      </c>
      <c r="GF64">
        <v>597.04</v>
      </c>
      <c r="GG64">
        <v>21.3123</v>
      </c>
      <c r="GH64">
        <v>26.206700000000001</v>
      </c>
      <c r="GI64">
        <v>29.999700000000001</v>
      </c>
      <c r="GJ64">
        <v>26.279199999999999</v>
      </c>
      <c r="GK64">
        <v>26.2424</v>
      </c>
      <c r="GL64">
        <v>35.811500000000002</v>
      </c>
      <c r="GM64">
        <v>34.3521</v>
      </c>
      <c r="GN64">
        <v>96.613500000000002</v>
      </c>
      <c r="GO64">
        <v>21.743500000000001</v>
      </c>
      <c r="GP64">
        <v>800</v>
      </c>
      <c r="GQ64">
        <v>16.827100000000002</v>
      </c>
      <c r="GR64">
        <v>99.78</v>
      </c>
      <c r="GS64">
        <v>99.638199999999998</v>
      </c>
    </row>
    <row r="65" spans="1:201" x14ac:dyDescent="0.25">
      <c r="A65">
        <v>49</v>
      </c>
      <c r="B65">
        <v>1690388765.5999999</v>
      </c>
      <c r="C65">
        <v>507.09999990463263</v>
      </c>
      <c r="D65" t="s">
        <v>431</v>
      </c>
      <c r="E65" t="s">
        <v>432</v>
      </c>
      <c r="F65" t="s">
        <v>330</v>
      </c>
      <c r="H65">
        <v>1690388765.5999999</v>
      </c>
      <c r="I65">
        <f t="shared" si="0"/>
        <v>4.6456413234196415E-4</v>
      </c>
      <c r="J65">
        <f t="shared" si="1"/>
        <v>0.46456413234196414</v>
      </c>
      <c r="K65">
        <f t="shared" si="2"/>
        <v>7.1750758572152131</v>
      </c>
      <c r="L65">
        <f t="shared" si="3"/>
        <v>720.44799999999998</v>
      </c>
      <c r="M65">
        <f t="shared" si="4"/>
        <v>323.66840549893544</v>
      </c>
      <c r="N65">
        <f t="shared" si="5"/>
        <v>31.963679507672477</v>
      </c>
      <c r="O65">
        <f t="shared" si="6"/>
        <v>71.147410691647991</v>
      </c>
      <c r="P65">
        <f t="shared" si="7"/>
        <v>3.0109507046644005E-2</v>
      </c>
      <c r="Q65">
        <f t="shared" si="8"/>
        <v>2.1596348628444413</v>
      </c>
      <c r="R65">
        <f t="shared" si="9"/>
        <v>2.9878227034577261E-2</v>
      </c>
      <c r="S65">
        <f t="shared" si="10"/>
        <v>1.8694523297083574E-2</v>
      </c>
      <c r="T65">
        <f t="shared" si="11"/>
        <v>276.11404617599999</v>
      </c>
      <c r="U65">
        <f t="shared" si="12"/>
        <v>27.227268939106359</v>
      </c>
      <c r="V65">
        <f t="shared" si="13"/>
        <v>27.227268939106359</v>
      </c>
      <c r="W65">
        <f t="shared" si="14"/>
        <v>3.6272138039564688</v>
      </c>
      <c r="X65">
        <f t="shared" si="15"/>
        <v>66.286926533839107</v>
      </c>
      <c r="Y65">
        <f t="shared" si="16"/>
        <v>2.1365317147548</v>
      </c>
      <c r="Z65">
        <f t="shared" si="17"/>
        <v>3.2231570031597592</v>
      </c>
      <c r="AA65">
        <f t="shared" si="18"/>
        <v>1.4906820892016688</v>
      </c>
      <c r="AB65">
        <f t="shared" si="19"/>
        <v>-20.48727823628062</v>
      </c>
      <c r="AC65">
        <f t="shared" si="20"/>
        <v>-232.77535185989353</v>
      </c>
      <c r="AD65">
        <f t="shared" si="21"/>
        <v>-23.082232685790188</v>
      </c>
      <c r="AE65">
        <f t="shared" si="22"/>
        <v>-0.23081660596434972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52551.091798925823</v>
      </c>
      <c r="AK65">
        <f t="shared" si="26"/>
        <v>1800</v>
      </c>
      <c r="AL65">
        <f t="shared" si="27"/>
        <v>1499.1114726000001</v>
      </c>
      <c r="AM65">
        <f t="shared" si="28"/>
        <v>0.83283970699999998</v>
      </c>
      <c r="AN65">
        <f t="shared" si="29"/>
        <v>0.15339669232</v>
      </c>
      <c r="AO65">
        <v>31.8</v>
      </c>
      <c r="AP65">
        <v>0.5</v>
      </c>
      <c r="AQ65" t="s">
        <v>331</v>
      </c>
      <c r="AR65">
        <v>2</v>
      </c>
      <c r="AS65">
        <v>1690388765.5999999</v>
      </c>
      <c r="AT65">
        <v>720.44799999999998</v>
      </c>
      <c r="AU65">
        <v>799.99800000000005</v>
      </c>
      <c r="AV65">
        <v>21.634799999999998</v>
      </c>
      <c r="AW65">
        <v>16.8202</v>
      </c>
      <c r="AX65">
        <v>720.25099999999998</v>
      </c>
      <c r="AY65">
        <v>21.436399999999999</v>
      </c>
      <c r="AZ65">
        <v>300.202</v>
      </c>
      <c r="BA65">
        <v>98.654399999999995</v>
      </c>
      <c r="BB65">
        <v>0.10000100000000001</v>
      </c>
      <c r="BC65">
        <v>25.228000000000002</v>
      </c>
      <c r="BD65">
        <v>26.948599999999999</v>
      </c>
      <c r="BE65">
        <v>26.809899999999999</v>
      </c>
      <c r="BF65">
        <v>0</v>
      </c>
      <c r="BG65">
        <v>0</v>
      </c>
      <c r="BH65">
        <v>10015</v>
      </c>
      <c r="BI65">
        <v>1057.97</v>
      </c>
      <c r="BJ65">
        <v>1.4577199999999999</v>
      </c>
      <c r="BK65">
        <v>-79.550200000000004</v>
      </c>
      <c r="BL65">
        <v>736.37900000000002</v>
      </c>
      <c r="BM65">
        <v>813.68399999999997</v>
      </c>
      <c r="BN65">
        <v>4.8145300000000004</v>
      </c>
      <c r="BO65">
        <v>799.99800000000005</v>
      </c>
      <c r="BP65">
        <v>16.8202</v>
      </c>
      <c r="BQ65">
        <v>2.13436</v>
      </c>
      <c r="BR65">
        <v>1.6593899999999999</v>
      </c>
      <c r="BS65">
        <v>18.478000000000002</v>
      </c>
      <c r="BT65">
        <v>14.521699999999999</v>
      </c>
      <c r="BU65">
        <v>1800</v>
      </c>
      <c r="BV65">
        <v>0.91001399999999999</v>
      </c>
      <c r="BW65">
        <v>3.4006700000000001E-2</v>
      </c>
      <c r="BX65">
        <v>2.19911E-2</v>
      </c>
      <c r="BY65">
        <v>3.3987999999999997E-2</v>
      </c>
      <c r="BZ65">
        <v>25</v>
      </c>
      <c r="CA65">
        <v>33528.400000000001</v>
      </c>
      <c r="CB65">
        <v>1690387638</v>
      </c>
      <c r="CC65" t="s">
        <v>332</v>
      </c>
      <c r="CD65">
        <v>1690387638</v>
      </c>
      <c r="CE65">
        <v>1690387638</v>
      </c>
      <c r="CF65">
        <v>6</v>
      </c>
      <c r="CG65">
        <v>0.43</v>
      </c>
      <c r="CH65">
        <v>-8.1000000000000003E-2</v>
      </c>
      <c r="CI65">
        <v>0.14199999999999999</v>
      </c>
      <c r="CJ65">
        <v>-2.7E-2</v>
      </c>
      <c r="CK65">
        <v>800</v>
      </c>
      <c r="CL65">
        <v>0</v>
      </c>
      <c r="CM65">
        <v>0.01</v>
      </c>
      <c r="CN65">
        <v>0.01</v>
      </c>
      <c r="CO65">
        <v>-76.248272499999999</v>
      </c>
      <c r="CP65">
        <v>-18.534455909943581</v>
      </c>
      <c r="CQ65">
        <v>1.7835048703308189</v>
      </c>
      <c r="CR65">
        <v>-1</v>
      </c>
      <c r="CS65">
        <v>4.5810187500000001</v>
      </c>
      <c r="CT65">
        <v>0.62813144465290105</v>
      </c>
      <c r="CU65">
        <v>6.7824205789212902E-2</v>
      </c>
      <c r="CV65">
        <v>-1</v>
      </c>
      <c r="CW65">
        <v>0</v>
      </c>
      <c r="CX65">
        <v>0</v>
      </c>
      <c r="CY65" t="s">
        <v>333</v>
      </c>
      <c r="CZ65">
        <v>2.36463</v>
      </c>
      <c r="DA65">
        <v>2.7138100000000001</v>
      </c>
      <c r="DB65">
        <v>0.13613700000000001</v>
      </c>
      <c r="DC65">
        <v>0.14572499999999999</v>
      </c>
      <c r="DD65">
        <v>0.105346</v>
      </c>
      <c r="DE65">
        <v>8.6835300000000004E-2</v>
      </c>
      <c r="DF65">
        <v>31556.400000000001</v>
      </c>
      <c r="DG65">
        <v>27549.200000000001</v>
      </c>
      <c r="DH65">
        <v>31184.9</v>
      </c>
      <c r="DI65">
        <v>28099.7</v>
      </c>
      <c r="DJ65">
        <v>37883</v>
      </c>
      <c r="DK65">
        <v>36489.599999999999</v>
      </c>
      <c r="DL65">
        <v>44381.9</v>
      </c>
      <c r="DM65">
        <v>42593.599999999999</v>
      </c>
      <c r="DN65">
        <v>1.4623699999999999</v>
      </c>
      <c r="DO65">
        <v>2.0540500000000002</v>
      </c>
      <c r="DP65">
        <v>0.149533</v>
      </c>
      <c r="DQ65">
        <v>0.15193200000000001</v>
      </c>
      <c r="DR65">
        <v>24.498000000000001</v>
      </c>
      <c r="DS65">
        <v>24.319400000000002</v>
      </c>
      <c r="DT65">
        <v>57</v>
      </c>
      <c r="DU65">
        <v>28.8</v>
      </c>
      <c r="DV65">
        <v>22.9711</v>
      </c>
      <c r="DW65">
        <v>60.3322</v>
      </c>
      <c r="DX65">
        <v>35.697099999999999</v>
      </c>
      <c r="DY65">
        <v>1</v>
      </c>
      <c r="DZ65">
        <v>-9.5652899999999999E-2</v>
      </c>
      <c r="EA65">
        <v>0.90254100000000004</v>
      </c>
      <c r="EB65">
        <v>20.187100000000001</v>
      </c>
      <c r="EC65">
        <v>5.2411000000000003</v>
      </c>
      <c r="ED65">
        <v>12.039899999999999</v>
      </c>
      <c r="EE65">
        <v>5.0167000000000002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1.8646199999999999</v>
      </c>
      <c r="EM65">
        <v>1.8692</v>
      </c>
      <c r="EN65">
        <v>1.8672299999999999</v>
      </c>
      <c r="EO65">
        <v>1.8633999999999999</v>
      </c>
      <c r="EP65">
        <v>1.8644700000000001</v>
      </c>
      <c r="EQ65">
        <v>1.8701300000000001</v>
      </c>
      <c r="ER65">
        <v>1.8693900000000001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0.19700000000000001</v>
      </c>
      <c r="FG65">
        <v>0.19839999999999999</v>
      </c>
      <c r="FH65">
        <v>0.69281559908863044</v>
      </c>
      <c r="FI65">
        <v>-6.1462078757559423E-4</v>
      </c>
      <c r="FJ65">
        <v>-1.8861989874597051E-7</v>
      </c>
      <c r="FK65">
        <v>1.1980462299894961E-10</v>
      </c>
      <c r="FL65">
        <v>0.19840465858211129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18.8</v>
      </c>
      <c r="FU65">
        <v>18.8</v>
      </c>
      <c r="FV65">
        <v>1.79077</v>
      </c>
      <c r="FW65">
        <v>2.5793499999999998</v>
      </c>
      <c r="FX65">
        <v>1.5490699999999999</v>
      </c>
      <c r="FY65">
        <v>2.3327599999999999</v>
      </c>
      <c r="FZ65">
        <v>1.50146</v>
      </c>
      <c r="GA65">
        <v>2.36084</v>
      </c>
      <c r="GB65">
        <v>33.558</v>
      </c>
      <c r="GC65">
        <v>23.982399999999998</v>
      </c>
      <c r="GD65">
        <v>19</v>
      </c>
      <c r="GE65">
        <v>276.72500000000002</v>
      </c>
      <c r="GF65">
        <v>596.80700000000002</v>
      </c>
      <c r="GG65">
        <v>21.810099999999998</v>
      </c>
      <c r="GH65">
        <v>26.204000000000001</v>
      </c>
      <c r="GI65">
        <v>29.9998</v>
      </c>
      <c r="GJ65">
        <v>26.2807</v>
      </c>
      <c r="GK65">
        <v>26.244</v>
      </c>
      <c r="GL65">
        <v>35.8078</v>
      </c>
      <c r="GM65">
        <v>34.946599999999997</v>
      </c>
      <c r="GN65">
        <v>96.240300000000005</v>
      </c>
      <c r="GO65">
        <v>21.816099999999999</v>
      </c>
      <c r="GP65">
        <v>800</v>
      </c>
      <c r="GQ65">
        <v>16.661100000000001</v>
      </c>
      <c r="GR65">
        <v>99.7821</v>
      </c>
      <c r="GS65">
        <v>99.6374</v>
      </c>
    </row>
    <row r="66" spans="1:201" x14ac:dyDescent="0.25">
      <c r="A66">
        <v>50</v>
      </c>
      <c r="B66">
        <v>1690388775.5999999</v>
      </c>
      <c r="C66">
        <v>517.09999990463257</v>
      </c>
      <c r="D66" t="s">
        <v>433</v>
      </c>
      <c r="E66" t="s">
        <v>434</v>
      </c>
      <c r="F66" t="s">
        <v>330</v>
      </c>
      <c r="H66">
        <v>1690388775.5999999</v>
      </c>
      <c r="I66">
        <f t="shared" si="0"/>
        <v>4.9064185018706582E-4</v>
      </c>
      <c r="J66">
        <f t="shared" si="1"/>
        <v>0.49064185018706585</v>
      </c>
      <c r="K66">
        <f t="shared" si="2"/>
        <v>7.4501274097636569</v>
      </c>
      <c r="L66">
        <f t="shared" si="3"/>
        <v>717.41899999999998</v>
      </c>
      <c r="M66">
        <f t="shared" si="4"/>
        <v>329.03263899259656</v>
      </c>
      <c r="N66">
        <f t="shared" si="5"/>
        <v>32.49313379605622</v>
      </c>
      <c r="O66">
        <f t="shared" si="6"/>
        <v>70.847657017264396</v>
      </c>
      <c r="P66">
        <f t="shared" si="7"/>
        <v>3.1972848433937461E-2</v>
      </c>
      <c r="Q66">
        <f t="shared" si="8"/>
        <v>2.1577564298471454</v>
      </c>
      <c r="R66">
        <f t="shared" si="9"/>
        <v>3.1711965700598005E-2</v>
      </c>
      <c r="S66">
        <f t="shared" si="10"/>
        <v>1.9843240308225082E-2</v>
      </c>
      <c r="T66">
        <f t="shared" si="11"/>
        <v>276.11402632200003</v>
      </c>
      <c r="U66">
        <f t="shared" si="12"/>
        <v>27.241513087231461</v>
      </c>
      <c r="V66">
        <f t="shared" si="13"/>
        <v>27.241513087231461</v>
      </c>
      <c r="W66">
        <f t="shared" si="14"/>
        <v>3.6302442732373583</v>
      </c>
      <c r="X66">
        <f t="shared" si="15"/>
        <v>66.52698008509384</v>
      </c>
      <c r="Y66">
        <f t="shared" si="16"/>
        <v>2.1470399449626396</v>
      </c>
      <c r="Z66">
        <f t="shared" si="17"/>
        <v>3.2273221213654777</v>
      </c>
      <c r="AA66">
        <f t="shared" si="18"/>
        <v>1.4832043282747187</v>
      </c>
      <c r="AB66">
        <f t="shared" si="19"/>
        <v>-21.637305593249604</v>
      </c>
      <c r="AC66">
        <f t="shared" si="20"/>
        <v>-231.70555420582789</v>
      </c>
      <c r="AD66">
        <f t="shared" si="21"/>
        <v>-23.000294227521003</v>
      </c>
      <c r="AE66">
        <f t="shared" si="22"/>
        <v>-0.22912770459848275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52468.24834086372</v>
      </c>
      <c r="AK66">
        <f t="shared" si="26"/>
        <v>1800</v>
      </c>
      <c r="AL66">
        <f t="shared" si="27"/>
        <v>1499.1120432</v>
      </c>
      <c r="AM66">
        <f t="shared" si="28"/>
        <v>0.83284002400000001</v>
      </c>
      <c r="AN66">
        <f t="shared" si="29"/>
        <v>0.15339668129</v>
      </c>
      <c r="AO66">
        <v>31.8</v>
      </c>
      <c r="AP66">
        <v>0.5</v>
      </c>
      <c r="AQ66" t="s">
        <v>331</v>
      </c>
      <c r="AR66">
        <v>2</v>
      </c>
      <c r="AS66">
        <v>1690388775.5999999</v>
      </c>
      <c r="AT66">
        <v>717.41899999999998</v>
      </c>
      <c r="AU66">
        <v>800.10799999999995</v>
      </c>
      <c r="AV66">
        <v>21.741399999999999</v>
      </c>
      <c r="AW66">
        <v>16.654499999999999</v>
      </c>
      <c r="AX66">
        <v>717.22</v>
      </c>
      <c r="AY66">
        <v>21.542999999999999</v>
      </c>
      <c r="AZ66">
        <v>300.04899999999998</v>
      </c>
      <c r="BA66">
        <v>98.653599999999997</v>
      </c>
      <c r="BB66">
        <v>9.9927600000000005E-2</v>
      </c>
      <c r="BC66">
        <v>25.249700000000001</v>
      </c>
      <c r="BD66">
        <v>26.953199999999999</v>
      </c>
      <c r="BE66">
        <v>26.838899999999999</v>
      </c>
      <c r="BF66">
        <v>0</v>
      </c>
      <c r="BG66">
        <v>0</v>
      </c>
      <c r="BH66">
        <v>9999.3799999999992</v>
      </c>
      <c r="BI66">
        <v>1057.8499999999999</v>
      </c>
      <c r="BJ66">
        <v>1.4577199999999999</v>
      </c>
      <c r="BK66">
        <v>-82.688800000000001</v>
      </c>
      <c r="BL66">
        <v>733.36400000000003</v>
      </c>
      <c r="BM66">
        <v>813.65899999999999</v>
      </c>
      <c r="BN66">
        <v>5.08697</v>
      </c>
      <c r="BO66">
        <v>800.10799999999995</v>
      </c>
      <c r="BP66">
        <v>16.654499999999999</v>
      </c>
      <c r="BQ66">
        <v>2.1448700000000001</v>
      </c>
      <c r="BR66">
        <v>1.6430199999999999</v>
      </c>
      <c r="BS66">
        <v>18.5564</v>
      </c>
      <c r="BT66">
        <v>14.3683</v>
      </c>
      <c r="BU66">
        <v>1800</v>
      </c>
      <c r="BV66">
        <v>0.91001600000000005</v>
      </c>
      <c r="BW66">
        <v>3.4006000000000002E-2</v>
      </c>
      <c r="BX66">
        <v>2.1990699999999998E-2</v>
      </c>
      <c r="BY66">
        <v>3.3987299999999998E-2</v>
      </c>
      <c r="BZ66">
        <v>25</v>
      </c>
      <c r="CA66">
        <v>33528.5</v>
      </c>
      <c r="CB66">
        <v>1690387638</v>
      </c>
      <c r="CC66" t="s">
        <v>332</v>
      </c>
      <c r="CD66">
        <v>1690387638</v>
      </c>
      <c r="CE66">
        <v>1690387638</v>
      </c>
      <c r="CF66">
        <v>6</v>
      </c>
      <c r="CG66">
        <v>0.43</v>
      </c>
      <c r="CH66">
        <v>-8.1000000000000003E-2</v>
      </c>
      <c r="CI66">
        <v>0.14199999999999999</v>
      </c>
      <c r="CJ66">
        <v>-2.7E-2</v>
      </c>
      <c r="CK66">
        <v>800</v>
      </c>
      <c r="CL66">
        <v>0</v>
      </c>
      <c r="CM66">
        <v>0.01</v>
      </c>
      <c r="CN66">
        <v>0.01</v>
      </c>
      <c r="CO66">
        <v>-79.356326829268284</v>
      </c>
      <c r="CP66">
        <v>-18.099020905923499</v>
      </c>
      <c r="CQ66">
        <v>1.7859685479196541</v>
      </c>
      <c r="CR66">
        <v>-1</v>
      </c>
      <c r="CS66">
        <v>4.7848748780487806</v>
      </c>
      <c r="CT66">
        <v>1.7115643902438931</v>
      </c>
      <c r="CU66">
        <v>0.1695991899877394</v>
      </c>
      <c r="CV66">
        <v>-1</v>
      </c>
      <c r="CW66">
        <v>0</v>
      </c>
      <c r="CX66">
        <v>0</v>
      </c>
      <c r="CY66" t="s">
        <v>333</v>
      </c>
      <c r="CZ66">
        <v>2.3641299999999998</v>
      </c>
      <c r="DA66">
        <v>2.7137199999999999</v>
      </c>
      <c r="DB66">
        <v>0.13574700000000001</v>
      </c>
      <c r="DC66">
        <v>0.145734</v>
      </c>
      <c r="DD66">
        <v>0.105716</v>
      </c>
      <c r="DE66">
        <v>8.6214299999999994E-2</v>
      </c>
      <c r="DF66">
        <v>31570.6</v>
      </c>
      <c r="DG66">
        <v>27548.799999999999</v>
      </c>
      <c r="DH66">
        <v>31184.799999999999</v>
      </c>
      <c r="DI66">
        <v>28099.5</v>
      </c>
      <c r="DJ66">
        <v>37867</v>
      </c>
      <c r="DK66">
        <v>36514.400000000001</v>
      </c>
      <c r="DL66">
        <v>44381.8</v>
      </c>
      <c r="DM66">
        <v>42593.5</v>
      </c>
      <c r="DN66">
        <v>1.462</v>
      </c>
      <c r="DO66">
        <v>2.0537299999999998</v>
      </c>
      <c r="DP66">
        <v>0.15098600000000001</v>
      </c>
      <c r="DQ66">
        <v>0.15474099999999999</v>
      </c>
      <c r="DR66">
        <v>24.4788</v>
      </c>
      <c r="DS66">
        <v>24.302299999999999</v>
      </c>
      <c r="DT66">
        <v>57</v>
      </c>
      <c r="DU66">
        <v>28.8</v>
      </c>
      <c r="DV66">
        <v>22.97</v>
      </c>
      <c r="DW66">
        <v>60.802199999999999</v>
      </c>
      <c r="DX66">
        <v>36.133800000000001</v>
      </c>
      <c r="DY66">
        <v>1</v>
      </c>
      <c r="DZ66">
        <v>-9.4961900000000002E-2</v>
      </c>
      <c r="EA66">
        <v>1.2084699999999999</v>
      </c>
      <c r="EB66">
        <v>20.1846</v>
      </c>
      <c r="EC66">
        <v>5.2406499999999996</v>
      </c>
      <c r="ED66">
        <v>12.039899999999999</v>
      </c>
      <c r="EE66">
        <v>5.0161499999999997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1.8689199999999999</v>
      </c>
      <c r="EL66">
        <v>1.8646100000000001</v>
      </c>
      <c r="EM66">
        <v>1.8692</v>
      </c>
      <c r="EN66">
        <v>1.8672299999999999</v>
      </c>
      <c r="EO66">
        <v>1.86337</v>
      </c>
      <c r="EP66">
        <v>1.86446</v>
      </c>
      <c r="EQ66">
        <v>1.8701399999999999</v>
      </c>
      <c r="ER66">
        <v>1.8694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0.19900000000000001</v>
      </c>
      <c r="FG66">
        <v>0.19839999999999999</v>
      </c>
      <c r="FH66">
        <v>0.69281559908863044</v>
      </c>
      <c r="FI66">
        <v>-6.1462078757559423E-4</v>
      </c>
      <c r="FJ66">
        <v>-1.8861989874597051E-7</v>
      </c>
      <c r="FK66">
        <v>1.1980462299894961E-10</v>
      </c>
      <c r="FL66">
        <v>0.19840465858211129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19</v>
      </c>
      <c r="FU66">
        <v>19</v>
      </c>
      <c r="FV66">
        <v>1.79077</v>
      </c>
      <c r="FW66">
        <v>2.5830099999999998</v>
      </c>
      <c r="FX66">
        <v>1.5490699999999999</v>
      </c>
      <c r="FY66">
        <v>2.3327599999999999</v>
      </c>
      <c r="FZ66">
        <v>1.50146</v>
      </c>
      <c r="GA66">
        <v>2.2961399999999998</v>
      </c>
      <c r="GB66">
        <v>33.558</v>
      </c>
      <c r="GC66">
        <v>23.982399999999998</v>
      </c>
      <c r="GD66">
        <v>19</v>
      </c>
      <c r="GE66">
        <v>276.57400000000001</v>
      </c>
      <c r="GF66">
        <v>596.54</v>
      </c>
      <c r="GG66">
        <v>21.8856</v>
      </c>
      <c r="GH66">
        <v>26.2013</v>
      </c>
      <c r="GI66">
        <v>30.000399999999999</v>
      </c>
      <c r="GJ66">
        <v>26.2819</v>
      </c>
      <c r="GK66">
        <v>26.244499999999999</v>
      </c>
      <c r="GL66">
        <v>35.799700000000001</v>
      </c>
      <c r="GM66">
        <v>35.805399999999999</v>
      </c>
      <c r="GN66">
        <v>96.240300000000005</v>
      </c>
      <c r="GO66">
        <v>21.883600000000001</v>
      </c>
      <c r="GP66">
        <v>800</v>
      </c>
      <c r="GQ66">
        <v>16.5168</v>
      </c>
      <c r="GR66">
        <v>99.781899999999993</v>
      </c>
      <c r="GS66">
        <v>99.637</v>
      </c>
    </row>
    <row r="67" spans="1:201" x14ac:dyDescent="0.25">
      <c r="A67">
        <v>51</v>
      </c>
      <c r="B67">
        <v>1690388785.5999999</v>
      </c>
      <c r="C67">
        <v>527.09999990463257</v>
      </c>
      <c r="D67" t="s">
        <v>435</v>
      </c>
      <c r="E67" t="s">
        <v>436</v>
      </c>
      <c r="F67" t="s">
        <v>330</v>
      </c>
      <c r="H67">
        <v>1690388785.5999999</v>
      </c>
      <c r="I67">
        <f t="shared" si="0"/>
        <v>5.0632993670588411E-4</v>
      </c>
      <c r="J67">
        <f t="shared" si="1"/>
        <v>0.50632993670588411</v>
      </c>
      <c r="K67">
        <f t="shared" si="2"/>
        <v>7.7280681758453387</v>
      </c>
      <c r="L67">
        <f t="shared" si="3"/>
        <v>714.30899999999997</v>
      </c>
      <c r="M67">
        <f t="shared" si="4"/>
        <v>324.74126839464492</v>
      </c>
      <c r="N67">
        <f t="shared" si="5"/>
        <v>32.069610930041094</v>
      </c>
      <c r="O67">
        <f t="shared" si="6"/>
        <v>70.541116708296002</v>
      </c>
      <c r="P67">
        <f t="shared" si="7"/>
        <v>3.3059746040343008E-2</v>
      </c>
      <c r="Q67">
        <f t="shared" si="8"/>
        <v>2.1557425451779961</v>
      </c>
      <c r="R67">
        <f t="shared" si="9"/>
        <v>3.2780650065923379E-2</v>
      </c>
      <c r="S67">
        <f t="shared" si="10"/>
        <v>2.0512785469243774E-2</v>
      </c>
      <c r="T67">
        <f t="shared" si="11"/>
        <v>276.11605229400004</v>
      </c>
      <c r="U67">
        <f t="shared" si="12"/>
        <v>27.2451900639577</v>
      </c>
      <c r="V67">
        <f t="shared" si="13"/>
        <v>27.2451900639577</v>
      </c>
      <c r="W67">
        <f t="shared" si="14"/>
        <v>3.6310269157078348</v>
      </c>
      <c r="X67">
        <f t="shared" si="15"/>
        <v>66.599175455837099</v>
      </c>
      <c r="Y67">
        <f t="shared" si="16"/>
        <v>2.1503165879936001</v>
      </c>
      <c r="Z67">
        <f t="shared" si="17"/>
        <v>3.2287435591744029</v>
      </c>
      <c r="AA67">
        <f t="shared" si="18"/>
        <v>1.4807103277142346</v>
      </c>
      <c r="AB67">
        <f t="shared" si="19"/>
        <v>-22.329150208729487</v>
      </c>
      <c r="AC67">
        <f t="shared" si="20"/>
        <v>-231.05660675460211</v>
      </c>
      <c r="AD67">
        <f t="shared" si="21"/>
        <v>-22.958576686613011</v>
      </c>
      <c r="AE67">
        <f t="shared" si="22"/>
        <v>-0.22828135594457422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52382.346369166116</v>
      </c>
      <c r="AK67">
        <f t="shared" si="26"/>
        <v>1800</v>
      </c>
      <c r="AL67">
        <f t="shared" si="27"/>
        <v>1499.1130584</v>
      </c>
      <c r="AM67">
        <f t="shared" si="28"/>
        <v>0.83284058800000005</v>
      </c>
      <c r="AN67">
        <f t="shared" si="29"/>
        <v>0.15339780683000001</v>
      </c>
      <c r="AO67">
        <v>31.8</v>
      </c>
      <c r="AP67">
        <v>0.5</v>
      </c>
      <c r="AQ67" t="s">
        <v>331</v>
      </c>
      <c r="AR67">
        <v>2</v>
      </c>
      <c r="AS67">
        <v>1690388785.5999999</v>
      </c>
      <c r="AT67">
        <v>714.30899999999997</v>
      </c>
      <c r="AU67">
        <v>800.03200000000004</v>
      </c>
      <c r="AV67">
        <v>21.7744</v>
      </c>
      <c r="AW67">
        <v>16.5259</v>
      </c>
      <c r="AX67">
        <v>714.10699999999997</v>
      </c>
      <c r="AY67">
        <v>21.576000000000001</v>
      </c>
      <c r="AZ67">
        <v>300.09899999999999</v>
      </c>
      <c r="BA67">
        <v>98.654300000000006</v>
      </c>
      <c r="BB67">
        <v>0.10004399999999999</v>
      </c>
      <c r="BC67">
        <v>25.257100000000001</v>
      </c>
      <c r="BD67">
        <v>26.970099999999999</v>
      </c>
      <c r="BE67">
        <v>26.852900000000002</v>
      </c>
      <c r="BF67">
        <v>0</v>
      </c>
      <c r="BG67">
        <v>0</v>
      </c>
      <c r="BH67">
        <v>9982.5</v>
      </c>
      <c r="BI67">
        <v>1057.6500000000001</v>
      </c>
      <c r="BJ67">
        <v>1.4577199999999999</v>
      </c>
      <c r="BK67">
        <v>-85.723299999999995</v>
      </c>
      <c r="BL67">
        <v>730.20799999999997</v>
      </c>
      <c r="BM67">
        <v>813.47500000000002</v>
      </c>
      <c r="BN67">
        <v>5.2485200000000001</v>
      </c>
      <c r="BO67">
        <v>800.03200000000004</v>
      </c>
      <c r="BP67">
        <v>16.5259</v>
      </c>
      <c r="BQ67">
        <v>2.1481400000000002</v>
      </c>
      <c r="BR67">
        <v>1.63035</v>
      </c>
      <c r="BS67">
        <v>18.5807</v>
      </c>
      <c r="BT67">
        <v>14.248699999999999</v>
      </c>
      <c r="BU67">
        <v>1800</v>
      </c>
      <c r="BV67">
        <v>0.91000300000000001</v>
      </c>
      <c r="BW67">
        <v>3.4004199999999998E-2</v>
      </c>
      <c r="BX67">
        <v>2.2006899999999999E-2</v>
      </c>
      <c r="BY67">
        <v>3.3985500000000002E-2</v>
      </c>
      <c r="BZ67">
        <v>25</v>
      </c>
      <c r="CA67">
        <v>33528.199999999997</v>
      </c>
      <c r="CB67">
        <v>1690387638</v>
      </c>
      <c r="CC67" t="s">
        <v>332</v>
      </c>
      <c r="CD67">
        <v>1690387638</v>
      </c>
      <c r="CE67">
        <v>1690387638</v>
      </c>
      <c r="CF67">
        <v>6</v>
      </c>
      <c r="CG67">
        <v>0.43</v>
      </c>
      <c r="CH67">
        <v>-8.1000000000000003E-2</v>
      </c>
      <c r="CI67">
        <v>0.14199999999999999</v>
      </c>
      <c r="CJ67">
        <v>-2.7E-2</v>
      </c>
      <c r="CK67">
        <v>800</v>
      </c>
      <c r="CL67">
        <v>0</v>
      </c>
      <c r="CM67">
        <v>0.01</v>
      </c>
      <c r="CN67">
        <v>0.01</v>
      </c>
      <c r="CO67">
        <v>-82.601797500000004</v>
      </c>
      <c r="CP67">
        <v>-18.449629643527128</v>
      </c>
      <c r="CQ67">
        <v>1.7752458299468701</v>
      </c>
      <c r="CR67">
        <v>-1</v>
      </c>
      <c r="CS67">
        <v>5.0649087499999998</v>
      </c>
      <c r="CT67">
        <v>1.3525966604127599</v>
      </c>
      <c r="CU67">
        <v>0.13126597821194</v>
      </c>
      <c r="CV67">
        <v>-1</v>
      </c>
      <c r="CW67">
        <v>0</v>
      </c>
      <c r="CX67">
        <v>0</v>
      </c>
      <c r="CY67" t="s">
        <v>333</v>
      </c>
      <c r="CZ67">
        <v>2.3643100000000001</v>
      </c>
      <c r="DA67">
        <v>2.7138200000000001</v>
      </c>
      <c r="DB67">
        <v>0.135348</v>
      </c>
      <c r="DC67">
        <v>0.14572299999999999</v>
      </c>
      <c r="DD67">
        <v>0.105832</v>
      </c>
      <c r="DE67">
        <v>8.5732299999999997E-2</v>
      </c>
      <c r="DF67">
        <v>31585.200000000001</v>
      </c>
      <c r="DG67">
        <v>27549.1</v>
      </c>
      <c r="DH67">
        <v>31184.9</v>
      </c>
      <c r="DI67">
        <v>28099.5</v>
      </c>
      <c r="DJ67">
        <v>37862.199999999997</v>
      </c>
      <c r="DK67">
        <v>36533.699999999997</v>
      </c>
      <c r="DL67">
        <v>44382</v>
      </c>
      <c r="DM67">
        <v>42593.5</v>
      </c>
      <c r="DN67">
        <v>1.4621</v>
      </c>
      <c r="DO67">
        <v>2.0537800000000002</v>
      </c>
      <c r="DP67">
        <v>0.15298999999999999</v>
      </c>
      <c r="DQ67">
        <v>0.15632799999999999</v>
      </c>
      <c r="DR67">
        <v>24.462800000000001</v>
      </c>
      <c r="DS67">
        <v>24.290299999999998</v>
      </c>
      <c r="DT67">
        <v>57</v>
      </c>
      <c r="DU67">
        <v>28.8</v>
      </c>
      <c r="DV67">
        <v>22.9679</v>
      </c>
      <c r="DW67">
        <v>61.542200000000001</v>
      </c>
      <c r="DX67">
        <v>36.526400000000002</v>
      </c>
      <c r="DY67">
        <v>1</v>
      </c>
      <c r="DZ67">
        <v>-9.5086400000000001E-2</v>
      </c>
      <c r="EA67">
        <v>1.20153</v>
      </c>
      <c r="EB67">
        <v>20.184200000000001</v>
      </c>
      <c r="EC67">
        <v>5.24125</v>
      </c>
      <c r="ED67">
        <v>12.039899999999999</v>
      </c>
      <c r="EE67">
        <v>5.0172499999999998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1.86893</v>
      </c>
      <c r="EL67">
        <v>1.8646199999999999</v>
      </c>
      <c r="EM67">
        <v>1.8692</v>
      </c>
      <c r="EN67">
        <v>1.8672299999999999</v>
      </c>
      <c r="EO67">
        <v>1.86338</v>
      </c>
      <c r="EP67">
        <v>1.8644700000000001</v>
      </c>
      <c r="EQ67">
        <v>1.87018</v>
      </c>
      <c r="ER67">
        <v>1.86941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0.20200000000000001</v>
      </c>
      <c r="FG67">
        <v>0.19839999999999999</v>
      </c>
      <c r="FH67">
        <v>0.69281559908863044</v>
      </c>
      <c r="FI67">
        <v>-6.1462078757559423E-4</v>
      </c>
      <c r="FJ67">
        <v>-1.8861989874597051E-7</v>
      </c>
      <c r="FK67">
        <v>1.1980462299894961E-10</v>
      </c>
      <c r="FL67">
        <v>0.19840465858211129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19.100000000000001</v>
      </c>
      <c r="FU67">
        <v>19.100000000000001</v>
      </c>
      <c r="FV67">
        <v>1.79077</v>
      </c>
      <c r="FW67">
        <v>2.5854499999999998</v>
      </c>
      <c r="FX67">
        <v>1.5490699999999999</v>
      </c>
      <c r="FY67">
        <v>2.3327599999999999</v>
      </c>
      <c r="FZ67">
        <v>1.50146</v>
      </c>
      <c r="GA67">
        <v>2.2973599999999998</v>
      </c>
      <c r="GB67">
        <v>33.558</v>
      </c>
      <c r="GC67">
        <v>23.973700000000001</v>
      </c>
      <c r="GD67">
        <v>19</v>
      </c>
      <c r="GE67">
        <v>276.60599999999999</v>
      </c>
      <c r="GF67">
        <v>596.572</v>
      </c>
      <c r="GG67">
        <v>21.924800000000001</v>
      </c>
      <c r="GH67">
        <v>26.198</v>
      </c>
      <c r="GI67">
        <v>30</v>
      </c>
      <c r="GJ67">
        <v>26.279699999999998</v>
      </c>
      <c r="GK67">
        <v>26.2438</v>
      </c>
      <c r="GL67">
        <v>35.798000000000002</v>
      </c>
      <c r="GM67">
        <v>36.094499999999996</v>
      </c>
      <c r="GN67">
        <v>95.857699999999994</v>
      </c>
      <c r="GO67">
        <v>21.939900000000002</v>
      </c>
      <c r="GP67">
        <v>800</v>
      </c>
      <c r="GQ67">
        <v>16.410900000000002</v>
      </c>
      <c r="GR67">
        <v>99.782200000000003</v>
      </c>
      <c r="GS67">
        <v>99.636799999999994</v>
      </c>
    </row>
    <row r="68" spans="1:201" x14ac:dyDescent="0.25">
      <c r="A68">
        <v>52</v>
      </c>
      <c r="B68">
        <v>1690388795.5999999</v>
      </c>
      <c r="C68">
        <v>537.09999990463257</v>
      </c>
      <c r="D68" t="s">
        <v>437</v>
      </c>
      <c r="E68" t="s">
        <v>438</v>
      </c>
      <c r="F68" t="s">
        <v>330</v>
      </c>
      <c r="H68">
        <v>1690388795.5999999</v>
      </c>
      <c r="I68">
        <f t="shared" si="0"/>
        <v>5.201301140105272E-4</v>
      </c>
      <c r="J68">
        <f t="shared" si="1"/>
        <v>0.52013011401052722</v>
      </c>
      <c r="K68">
        <f t="shared" si="2"/>
        <v>8.0253753011103139</v>
      </c>
      <c r="L68">
        <f t="shared" si="3"/>
        <v>711.09400000000005</v>
      </c>
      <c r="M68">
        <f t="shared" si="4"/>
        <v>318.7683146699099</v>
      </c>
      <c r="N68">
        <f t="shared" si="5"/>
        <v>31.479208095494261</v>
      </c>
      <c r="O68">
        <f t="shared" si="6"/>
        <v>70.222399690625195</v>
      </c>
      <c r="P68">
        <f t="shared" si="7"/>
        <v>3.4075145449629037E-2</v>
      </c>
      <c r="Q68">
        <f t="shared" si="8"/>
        <v>2.1620031792898109</v>
      </c>
      <c r="R68">
        <f t="shared" si="9"/>
        <v>3.3779575102483028E-2</v>
      </c>
      <c r="S68">
        <f t="shared" si="10"/>
        <v>2.1138576475575082E-2</v>
      </c>
      <c r="T68">
        <f t="shared" si="11"/>
        <v>276.11648074800001</v>
      </c>
      <c r="U68">
        <f t="shared" si="12"/>
        <v>27.232700174661378</v>
      </c>
      <c r="V68">
        <f t="shared" si="13"/>
        <v>27.232700174661378</v>
      </c>
      <c r="W68">
        <f t="shared" si="14"/>
        <v>3.6283690489772962</v>
      </c>
      <c r="X68">
        <f t="shared" si="15"/>
        <v>66.670634198223269</v>
      </c>
      <c r="Y68">
        <f t="shared" si="16"/>
        <v>2.1523036040484196</v>
      </c>
      <c r="Z68">
        <f t="shared" si="17"/>
        <v>3.228263282525933</v>
      </c>
      <c r="AA68">
        <f t="shared" si="18"/>
        <v>1.4760654449288766</v>
      </c>
      <c r="AB68">
        <f t="shared" si="19"/>
        <v>-22.937738027864249</v>
      </c>
      <c r="AC68">
        <f t="shared" si="20"/>
        <v>-230.56323281460973</v>
      </c>
      <c r="AD68">
        <f t="shared" si="21"/>
        <v>-22.841494037509882</v>
      </c>
      <c r="AE68">
        <f t="shared" si="22"/>
        <v>-0.22598413198383582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52646.076987777364</v>
      </c>
      <c r="AK68">
        <f t="shared" si="26"/>
        <v>1800</v>
      </c>
      <c r="AL68">
        <f t="shared" si="27"/>
        <v>1499.1111558</v>
      </c>
      <c r="AM68">
        <f t="shared" si="28"/>
        <v>0.83283953099999997</v>
      </c>
      <c r="AN68">
        <f t="shared" si="29"/>
        <v>0.15339804486</v>
      </c>
      <c r="AO68">
        <v>31.8</v>
      </c>
      <c r="AP68">
        <v>0.5</v>
      </c>
      <c r="AQ68" t="s">
        <v>331</v>
      </c>
      <c r="AR68">
        <v>2</v>
      </c>
      <c r="AS68">
        <v>1690388795.5999999</v>
      </c>
      <c r="AT68">
        <v>711.09400000000005</v>
      </c>
      <c r="AU68">
        <v>800.04200000000003</v>
      </c>
      <c r="AV68">
        <v>21.794899999999998</v>
      </c>
      <c r="AW68">
        <v>16.404199999999999</v>
      </c>
      <c r="AX68">
        <v>710.89099999999996</v>
      </c>
      <c r="AY68">
        <v>21.596499999999999</v>
      </c>
      <c r="AZ68">
        <v>300.14</v>
      </c>
      <c r="BA68">
        <v>98.652699999999996</v>
      </c>
      <c r="BB68">
        <v>9.9925799999999995E-2</v>
      </c>
      <c r="BC68">
        <v>25.2546</v>
      </c>
      <c r="BD68">
        <v>26.976099999999999</v>
      </c>
      <c r="BE68">
        <v>26.854500000000002</v>
      </c>
      <c r="BF68">
        <v>0</v>
      </c>
      <c r="BG68">
        <v>0</v>
      </c>
      <c r="BH68">
        <v>10035</v>
      </c>
      <c r="BI68">
        <v>1057.57</v>
      </c>
      <c r="BJ68">
        <v>1.4577199999999999</v>
      </c>
      <c r="BK68">
        <v>-88.947500000000005</v>
      </c>
      <c r="BL68">
        <v>726.93799999999999</v>
      </c>
      <c r="BM68">
        <v>813.38499999999999</v>
      </c>
      <c r="BN68">
        <v>5.3906599999999996</v>
      </c>
      <c r="BO68">
        <v>800.04200000000003</v>
      </c>
      <c r="BP68">
        <v>16.404199999999999</v>
      </c>
      <c r="BQ68">
        <v>2.1501299999999999</v>
      </c>
      <c r="BR68">
        <v>1.61832</v>
      </c>
      <c r="BS68">
        <v>18.595500000000001</v>
      </c>
      <c r="BT68">
        <v>14.134399999999999</v>
      </c>
      <c r="BU68">
        <v>1800</v>
      </c>
      <c r="BV68">
        <v>0.90998800000000002</v>
      </c>
      <c r="BW68">
        <v>3.4002600000000001E-2</v>
      </c>
      <c r="BX68">
        <v>2.2009299999999999E-2</v>
      </c>
      <c r="BY68">
        <v>3.3999599999999998E-2</v>
      </c>
      <c r="BZ68">
        <v>25</v>
      </c>
      <c r="CA68">
        <v>33528.199999999997</v>
      </c>
      <c r="CB68">
        <v>1690387638</v>
      </c>
      <c r="CC68" t="s">
        <v>332</v>
      </c>
      <c r="CD68">
        <v>1690387638</v>
      </c>
      <c r="CE68">
        <v>1690387638</v>
      </c>
      <c r="CF68">
        <v>6</v>
      </c>
      <c r="CG68">
        <v>0.43</v>
      </c>
      <c r="CH68">
        <v>-8.1000000000000003E-2</v>
      </c>
      <c r="CI68">
        <v>0.14199999999999999</v>
      </c>
      <c r="CJ68">
        <v>-2.7E-2</v>
      </c>
      <c r="CK68">
        <v>800</v>
      </c>
      <c r="CL68">
        <v>0</v>
      </c>
      <c r="CM68">
        <v>0.01</v>
      </c>
      <c r="CN68">
        <v>0.01</v>
      </c>
      <c r="CO68">
        <v>-85.695349999999991</v>
      </c>
      <c r="CP68">
        <v>-18.98718348968081</v>
      </c>
      <c r="CQ68">
        <v>1.827550984377728</v>
      </c>
      <c r="CR68">
        <v>-1</v>
      </c>
      <c r="CS68">
        <v>5.2436225000000007</v>
      </c>
      <c r="CT68">
        <v>0.85118116322700377</v>
      </c>
      <c r="CU68">
        <v>8.2678559607373428E-2</v>
      </c>
      <c r="CV68">
        <v>-1</v>
      </c>
      <c r="CW68">
        <v>0</v>
      </c>
      <c r="CX68">
        <v>0</v>
      </c>
      <c r="CY68" t="s">
        <v>333</v>
      </c>
      <c r="CZ68">
        <v>2.3644500000000002</v>
      </c>
      <c r="DA68">
        <v>2.7137500000000001</v>
      </c>
      <c r="DB68">
        <v>0.13492999999999999</v>
      </c>
      <c r="DC68">
        <v>0.14571999999999999</v>
      </c>
      <c r="DD68">
        <v>0.105901</v>
      </c>
      <c r="DE68">
        <v>8.5273100000000004E-2</v>
      </c>
      <c r="DF68">
        <v>31600.6</v>
      </c>
      <c r="DG68">
        <v>27549.599999999999</v>
      </c>
      <c r="DH68">
        <v>31185</v>
      </c>
      <c r="DI68">
        <v>28099.9</v>
      </c>
      <c r="DJ68">
        <v>37859.300000000003</v>
      </c>
      <c r="DK68">
        <v>36552.800000000003</v>
      </c>
      <c r="DL68">
        <v>44382.1</v>
      </c>
      <c r="DM68">
        <v>42594.3</v>
      </c>
      <c r="DN68">
        <v>1.4621299999999999</v>
      </c>
      <c r="DO68">
        <v>2.05382</v>
      </c>
      <c r="DP68">
        <v>0.15426400000000001</v>
      </c>
      <c r="DQ68">
        <v>0.15698400000000001</v>
      </c>
      <c r="DR68">
        <v>24.447900000000001</v>
      </c>
      <c r="DS68">
        <v>24.281099999999999</v>
      </c>
      <c r="DT68">
        <v>57</v>
      </c>
      <c r="DU68">
        <v>28.8</v>
      </c>
      <c r="DV68">
        <v>22.968</v>
      </c>
      <c r="DW68">
        <v>60.812199999999997</v>
      </c>
      <c r="DX68">
        <v>36.818899999999999</v>
      </c>
      <c r="DY68">
        <v>1</v>
      </c>
      <c r="DZ68">
        <v>-9.5462400000000003E-2</v>
      </c>
      <c r="EA68">
        <v>1.18994</v>
      </c>
      <c r="EB68">
        <v>20.184200000000001</v>
      </c>
      <c r="EC68">
        <v>5.2409499999999998</v>
      </c>
      <c r="ED68">
        <v>12.039899999999999</v>
      </c>
      <c r="EE68">
        <v>5.0170500000000002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1.8692</v>
      </c>
      <c r="EN68">
        <v>1.8672299999999999</v>
      </c>
      <c r="EO68">
        <v>1.86338</v>
      </c>
      <c r="EP68">
        <v>1.8644700000000001</v>
      </c>
      <c r="EQ68">
        <v>1.87015</v>
      </c>
      <c r="ER68">
        <v>1.86938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0.20300000000000001</v>
      </c>
      <c r="FG68">
        <v>0.19839999999999999</v>
      </c>
      <c r="FH68">
        <v>0.69281559908863044</v>
      </c>
      <c r="FI68">
        <v>-6.1462078757559423E-4</v>
      </c>
      <c r="FJ68">
        <v>-1.8861989874597051E-7</v>
      </c>
      <c r="FK68">
        <v>1.1980462299894961E-10</v>
      </c>
      <c r="FL68">
        <v>0.19840465858211129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19.3</v>
      </c>
      <c r="FU68">
        <v>19.3</v>
      </c>
      <c r="FV68">
        <v>1.79077</v>
      </c>
      <c r="FW68">
        <v>2.5830099999999998</v>
      </c>
      <c r="FX68">
        <v>1.5490699999999999</v>
      </c>
      <c r="FY68">
        <v>2.3327599999999999</v>
      </c>
      <c r="FZ68">
        <v>1.50146</v>
      </c>
      <c r="GA68">
        <v>2.3059099999999999</v>
      </c>
      <c r="GB68">
        <v>33.558</v>
      </c>
      <c r="GC68">
        <v>23.982399999999998</v>
      </c>
      <c r="GD68">
        <v>19</v>
      </c>
      <c r="GE68">
        <v>276.61700000000002</v>
      </c>
      <c r="GF68">
        <v>596.59900000000005</v>
      </c>
      <c r="GG68">
        <v>21.965800000000002</v>
      </c>
      <c r="GH68">
        <v>26.194600000000001</v>
      </c>
      <c r="GI68">
        <v>30.0001</v>
      </c>
      <c r="GJ68">
        <v>26.279699999999998</v>
      </c>
      <c r="GK68">
        <v>26.2424</v>
      </c>
      <c r="GL68">
        <v>35.792999999999999</v>
      </c>
      <c r="GM68">
        <v>36.367199999999997</v>
      </c>
      <c r="GN68">
        <v>95.477999999999994</v>
      </c>
      <c r="GO68">
        <v>21.970600000000001</v>
      </c>
      <c r="GP68">
        <v>800</v>
      </c>
      <c r="GQ68">
        <v>16.300899999999999</v>
      </c>
      <c r="GR68">
        <v>99.782600000000002</v>
      </c>
      <c r="GS68">
        <v>99.638599999999997</v>
      </c>
    </row>
    <row r="69" spans="1:201" x14ac:dyDescent="0.25">
      <c r="A69">
        <v>53</v>
      </c>
      <c r="B69">
        <v>1690388805.5999999</v>
      </c>
      <c r="C69">
        <v>547.09999990463257</v>
      </c>
      <c r="D69" t="s">
        <v>439</v>
      </c>
      <c r="E69" t="s">
        <v>440</v>
      </c>
      <c r="F69" t="s">
        <v>330</v>
      </c>
      <c r="H69">
        <v>1690388805.5999999</v>
      </c>
      <c r="I69">
        <f t="shared" si="0"/>
        <v>5.3120673461056107E-4</v>
      </c>
      <c r="J69">
        <f t="shared" si="1"/>
        <v>0.53120673461056112</v>
      </c>
      <c r="K69">
        <f t="shared" si="2"/>
        <v>8.3390145331132235</v>
      </c>
      <c r="L69">
        <f t="shared" si="3"/>
        <v>707.81100000000004</v>
      </c>
      <c r="M69">
        <f t="shared" si="4"/>
        <v>309.36533117284046</v>
      </c>
      <c r="N69">
        <f t="shared" si="5"/>
        <v>30.551096398002457</v>
      </c>
      <c r="O69">
        <f t="shared" si="6"/>
        <v>69.899241814155005</v>
      </c>
      <c r="P69">
        <f t="shared" si="7"/>
        <v>3.4837031373124501E-2</v>
      </c>
      <c r="Q69">
        <f t="shared" si="8"/>
        <v>2.1526648298250661</v>
      </c>
      <c r="R69">
        <f t="shared" si="9"/>
        <v>3.4526833566694143E-2</v>
      </c>
      <c r="S69">
        <f t="shared" si="10"/>
        <v>2.1606910716729381E-2</v>
      </c>
      <c r="T69">
        <f t="shared" si="11"/>
        <v>276.11668319400002</v>
      </c>
      <c r="U69">
        <f t="shared" si="12"/>
        <v>27.2354838601239</v>
      </c>
      <c r="V69">
        <f t="shared" si="13"/>
        <v>27.2354838601239</v>
      </c>
      <c r="W69">
        <f t="shared" si="14"/>
        <v>3.6289612742184429</v>
      </c>
      <c r="X69">
        <f t="shared" si="15"/>
        <v>66.730542808273086</v>
      </c>
      <c r="Y69">
        <f t="shared" si="16"/>
        <v>2.1540837907229999</v>
      </c>
      <c r="Z69">
        <f t="shared" si="17"/>
        <v>3.2280327719077717</v>
      </c>
      <c r="AA69">
        <f t="shared" si="18"/>
        <v>1.474877483495443</v>
      </c>
      <c r="AB69">
        <f t="shared" si="19"/>
        <v>-23.426216996325742</v>
      </c>
      <c r="AC69">
        <f t="shared" si="20"/>
        <v>-230.02968455948201</v>
      </c>
      <c r="AD69">
        <f t="shared" si="21"/>
        <v>-22.887677099595187</v>
      </c>
      <c r="AE69">
        <f t="shared" si="22"/>
        <v>-0.22689546140290417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52253.83973174532</v>
      </c>
      <c r="AK69">
        <f t="shared" si="26"/>
        <v>1800</v>
      </c>
      <c r="AL69">
        <f t="shared" si="27"/>
        <v>1499.1102594000001</v>
      </c>
      <c r="AM69">
        <f t="shared" si="28"/>
        <v>0.83283903300000006</v>
      </c>
      <c r="AN69">
        <f t="shared" si="29"/>
        <v>0.15339815733000001</v>
      </c>
      <c r="AO69">
        <v>31.8</v>
      </c>
      <c r="AP69">
        <v>0.5</v>
      </c>
      <c r="AQ69" t="s">
        <v>331</v>
      </c>
      <c r="AR69">
        <v>2</v>
      </c>
      <c r="AS69">
        <v>1690388805.5999999</v>
      </c>
      <c r="AT69">
        <v>707.81100000000004</v>
      </c>
      <c r="AU69">
        <v>800.14700000000005</v>
      </c>
      <c r="AV69">
        <v>21.8126</v>
      </c>
      <c r="AW69">
        <v>16.307200000000002</v>
      </c>
      <c r="AX69">
        <v>707.60500000000002</v>
      </c>
      <c r="AY69">
        <v>21.6142</v>
      </c>
      <c r="AZ69">
        <v>300.14</v>
      </c>
      <c r="BA69">
        <v>98.6541</v>
      </c>
      <c r="BB69">
        <v>0.100005</v>
      </c>
      <c r="BC69">
        <v>25.253399999999999</v>
      </c>
      <c r="BD69">
        <v>26.96</v>
      </c>
      <c r="BE69">
        <v>26.848299999999998</v>
      </c>
      <c r="BF69">
        <v>0</v>
      </c>
      <c r="BG69">
        <v>0</v>
      </c>
      <c r="BH69">
        <v>9956.8799999999992</v>
      </c>
      <c r="BI69">
        <v>1057.42</v>
      </c>
      <c r="BJ69">
        <v>1.4577199999999999</v>
      </c>
      <c r="BK69">
        <v>-92.336200000000005</v>
      </c>
      <c r="BL69">
        <v>723.59400000000005</v>
      </c>
      <c r="BM69">
        <v>813.41200000000003</v>
      </c>
      <c r="BN69">
        <v>5.50542</v>
      </c>
      <c r="BO69">
        <v>800.14700000000005</v>
      </c>
      <c r="BP69">
        <v>16.307200000000002</v>
      </c>
      <c r="BQ69">
        <v>2.1518999999999999</v>
      </c>
      <c r="BR69">
        <v>1.60877</v>
      </c>
      <c r="BS69">
        <v>18.608699999999999</v>
      </c>
      <c r="BT69">
        <v>14.043100000000001</v>
      </c>
      <c r="BU69">
        <v>1800</v>
      </c>
      <c r="BV69">
        <v>0.90997700000000004</v>
      </c>
      <c r="BW69">
        <v>3.4001099999999999E-2</v>
      </c>
      <c r="BX69">
        <v>2.2008400000000001E-2</v>
      </c>
      <c r="BY69">
        <v>3.4013700000000001E-2</v>
      </c>
      <c r="BZ69">
        <v>25</v>
      </c>
      <c r="CA69">
        <v>33528.199999999997</v>
      </c>
      <c r="CB69">
        <v>1690387638</v>
      </c>
      <c r="CC69" t="s">
        <v>332</v>
      </c>
      <c r="CD69">
        <v>1690387638</v>
      </c>
      <c r="CE69">
        <v>1690387638</v>
      </c>
      <c r="CF69">
        <v>6</v>
      </c>
      <c r="CG69">
        <v>0.43</v>
      </c>
      <c r="CH69">
        <v>-8.1000000000000003E-2</v>
      </c>
      <c r="CI69">
        <v>0.14199999999999999</v>
      </c>
      <c r="CJ69">
        <v>-2.7E-2</v>
      </c>
      <c r="CK69">
        <v>800</v>
      </c>
      <c r="CL69">
        <v>0</v>
      </c>
      <c r="CM69">
        <v>0.01</v>
      </c>
      <c r="CN69">
        <v>0.01</v>
      </c>
      <c r="CO69">
        <v>-88.900999999999996</v>
      </c>
      <c r="CP69">
        <v>-19.816772983114362</v>
      </c>
      <c r="CQ69">
        <v>1.906832340689659</v>
      </c>
      <c r="CR69">
        <v>-1</v>
      </c>
      <c r="CS69">
        <v>5.3744934999999998</v>
      </c>
      <c r="CT69">
        <v>0.7740011257035635</v>
      </c>
      <c r="CU69">
        <v>7.4899146642334963E-2</v>
      </c>
      <c r="CV69">
        <v>-1</v>
      </c>
      <c r="CW69">
        <v>0</v>
      </c>
      <c r="CX69">
        <v>0</v>
      </c>
      <c r="CY69" t="s">
        <v>333</v>
      </c>
      <c r="CZ69">
        <v>2.3644500000000002</v>
      </c>
      <c r="DA69">
        <v>2.7137600000000002</v>
      </c>
      <c r="DB69">
        <v>0.13450699999999999</v>
      </c>
      <c r="DC69">
        <v>0.145733</v>
      </c>
      <c r="DD69">
        <v>0.105965</v>
      </c>
      <c r="DE69">
        <v>8.4907899999999994E-2</v>
      </c>
      <c r="DF69">
        <v>31616.5</v>
      </c>
      <c r="DG69">
        <v>27549.7</v>
      </c>
      <c r="DH69">
        <v>31185.4</v>
      </c>
      <c r="DI69">
        <v>28100.400000000001</v>
      </c>
      <c r="DJ69">
        <v>37857</v>
      </c>
      <c r="DK69">
        <v>36567.9</v>
      </c>
      <c r="DL69">
        <v>44382.7</v>
      </c>
      <c r="DM69">
        <v>42594.8</v>
      </c>
      <c r="DN69">
        <v>1.46235</v>
      </c>
      <c r="DO69">
        <v>2.05362</v>
      </c>
      <c r="DP69">
        <v>0.15410799999999999</v>
      </c>
      <c r="DQ69">
        <v>0.15723000000000001</v>
      </c>
      <c r="DR69">
        <v>24.4343</v>
      </c>
      <c r="DS69">
        <v>24.270900000000001</v>
      </c>
      <c r="DT69">
        <v>56.9</v>
      </c>
      <c r="DU69">
        <v>28.8</v>
      </c>
      <c r="DV69">
        <v>22.929500000000001</v>
      </c>
      <c r="DW69">
        <v>61.402200000000001</v>
      </c>
      <c r="DX69">
        <v>36.951099999999997</v>
      </c>
      <c r="DY69">
        <v>1</v>
      </c>
      <c r="DZ69">
        <v>-9.5787600000000001E-2</v>
      </c>
      <c r="EA69">
        <v>1.08805</v>
      </c>
      <c r="EB69">
        <v>20.184899999999999</v>
      </c>
      <c r="EC69">
        <v>5.2408000000000001</v>
      </c>
      <c r="ED69">
        <v>12.039899999999999</v>
      </c>
      <c r="EE69">
        <v>5.0170500000000002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1.8689100000000001</v>
      </c>
      <c r="EL69">
        <v>1.8646100000000001</v>
      </c>
      <c r="EM69">
        <v>1.8692</v>
      </c>
      <c r="EN69">
        <v>1.8672200000000001</v>
      </c>
      <c r="EO69">
        <v>1.86337</v>
      </c>
      <c r="EP69">
        <v>1.8644700000000001</v>
      </c>
      <c r="EQ69">
        <v>1.87015</v>
      </c>
      <c r="ER69">
        <v>1.86937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0.20599999999999999</v>
      </c>
      <c r="FG69">
        <v>0.19839999999999999</v>
      </c>
      <c r="FH69">
        <v>0.69281559908863044</v>
      </c>
      <c r="FI69">
        <v>-6.1462078757559423E-4</v>
      </c>
      <c r="FJ69">
        <v>-1.8861989874597051E-7</v>
      </c>
      <c r="FK69">
        <v>1.1980462299894961E-10</v>
      </c>
      <c r="FL69">
        <v>0.19840465858211129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19.5</v>
      </c>
      <c r="FU69">
        <v>19.5</v>
      </c>
      <c r="FV69">
        <v>1.78955</v>
      </c>
      <c r="FW69">
        <v>2.5830099999999998</v>
      </c>
      <c r="FX69">
        <v>1.5490699999999999</v>
      </c>
      <c r="FY69">
        <v>2.3327599999999999</v>
      </c>
      <c r="FZ69">
        <v>1.50146</v>
      </c>
      <c r="GA69">
        <v>2.34253</v>
      </c>
      <c r="GB69">
        <v>33.558</v>
      </c>
      <c r="GC69">
        <v>23.982399999999998</v>
      </c>
      <c r="GD69">
        <v>19</v>
      </c>
      <c r="GE69">
        <v>276.70100000000002</v>
      </c>
      <c r="GF69">
        <v>596.43100000000004</v>
      </c>
      <c r="GG69">
        <v>22.000900000000001</v>
      </c>
      <c r="GH69">
        <v>26.190200000000001</v>
      </c>
      <c r="GI69">
        <v>29.9999</v>
      </c>
      <c r="GJ69">
        <v>26.2776</v>
      </c>
      <c r="GK69">
        <v>26.2424</v>
      </c>
      <c r="GL69">
        <v>35.7851</v>
      </c>
      <c r="GM69">
        <v>36.933500000000002</v>
      </c>
      <c r="GN69">
        <v>95.095100000000002</v>
      </c>
      <c r="GO69">
        <v>22.035</v>
      </c>
      <c r="GP69">
        <v>800</v>
      </c>
      <c r="GQ69">
        <v>16.193899999999999</v>
      </c>
      <c r="GR69">
        <v>99.783799999999999</v>
      </c>
      <c r="GS69">
        <v>99.640100000000004</v>
      </c>
    </row>
    <row r="70" spans="1:201" x14ac:dyDescent="0.25">
      <c r="A70">
        <v>54</v>
      </c>
      <c r="B70">
        <v>1690388815.5999999</v>
      </c>
      <c r="C70">
        <v>557.09999990463257</v>
      </c>
      <c r="D70" t="s">
        <v>441</v>
      </c>
      <c r="E70" t="s">
        <v>442</v>
      </c>
      <c r="F70" t="s">
        <v>330</v>
      </c>
      <c r="H70">
        <v>1690388815.5999999</v>
      </c>
      <c r="I70">
        <f t="shared" si="0"/>
        <v>5.4528565172706441E-4</v>
      </c>
      <c r="J70">
        <f t="shared" si="1"/>
        <v>0.54528565172706445</v>
      </c>
      <c r="K70">
        <f t="shared" si="2"/>
        <v>8.6416380014230985</v>
      </c>
      <c r="L70">
        <f t="shared" si="3"/>
        <v>704.38699999999994</v>
      </c>
      <c r="M70">
        <f t="shared" si="4"/>
        <v>304.00725029939628</v>
      </c>
      <c r="N70">
        <f t="shared" si="5"/>
        <v>30.022924883746057</v>
      </c>
      <c r="O70">
        <f t="shared" si="6"/>
        <v>69.563334325941995</v>
      </c>
      <c r="P70">
        <f t="shared" si="7"/>
        <v>3.5914686046110665E-2</v>
      </c>
      <c r="Q70">
        <f t="shared" si="8"/>
        <v>2.1555522987802007</v>
      </c>
      <c r="R70">
        <f t="shared" si="9"/>
        <v>3.5585535066229849E-2</v>
      </c>
      <c r="S70">
        <f t="shared" si="10"/>
        <v>2.2270280817341302E-2</v>
      </c>
      <c r="T70">
        <f t="shared" si="11"/>
        <v>276.11485396006702</v>
      </c>
      <c r="U70">
        <f t="shared" si="12"/>
        <v>27.22279765516716</v>
      </c>
      <c r="V70">
        <f t="shared" si="13"/>
        <v>27.22279765516716</v>
      </c>
      <c r="W70">
        <f t="shared" si="14"/>
        <v>3.626262985348252</v>
      </c>
      <c r="X70">
        <f t="shared" si="15"/>
        <v>66.851444935030585</v>
      </c>
      <c r="Y70">
        <f t="shared" si="16"/>
        <v>2.1572932214103999</v>
      </c>
      <c r="Z70">
        <f t="shared" si="17"/>
        <v>3.226995652086444</v>
      </c>
      <c r="AA70">
        <f t="shared" si="18"/>
        <v>1.4689697639378521</v>
      </c>
      <c r="AB70">
        <f t="shared" si="19"/>
        <v>-24.047097241163542</v>
      </c>
      <c r="AC70">
        <f t="shared" si="20"/>
        <v>-229.49150315493173</v>
      </c>
      <c r="AD70">
        <f t="shared" si="21"/>
        <v>-22.801472139534869</v>
      </c>
      <c r="AE70">
        <f t="shared" si="22"/>
        <v>-0.22521857556310465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52376.017572454271</v>
      </c>
      <c r="AK70">
        <f t="shared" si="26"/>
        <v>1799.99</v>
      </c>
      <c r="AL70">
        <f t="shared" si="27"/>
        <v>1499.1016646111498</v>
      </c>
      <c r="AM70">
        <f t="shared" si="28"/>
        <v>0.83283888499999992</v>
      </c>
      <c r="AN70">
        <f t="shared" si="29"/>
        <v>0.15339799330000001</v>
      </c>
      <c r="AO70">
        <v>31.8</v>
      </c>
      <c r="AP70">
        <v>0.5</v>
      </c>
      <c r="AQ70" t="s">
        <v>331</v>
      </c>
      <c r="AR70">
        <v>2</v>
      </c>
      <c r="AS70">
        <v>1690388815.5999999</v>
      </c>
      <c r="AT70">
        <v>704.38699999999994</v>
      </c>
      <c r="AU70">
        <v>799.99599999999998</v>
      </c>
      <c r="AV70">
        <v>21.8444</v>
      </c>
      <c r="AW70">
        <v>16.194400000000002</v>
      </c>
      <c r="AX70">
        <v>704.17899999999997</v>
      </c>
      <c r="AY70">
        <v>21.646000000000001</v>
      </c>
      <c r="AZ70">
        <v>300.2</v>
      </c>
      <c r="BA70">
        <v>98.657200000000003</v>
      </c>
      <c r="BB70">
        <v>0.100066</v>
      </c>
      <c r="BC70">
        <v>25.248000000000001</v>
      </c>
      <c r="BD70">
        <v>26.960899999999999</v>
      </c>
      <c r="BE70">
        <v>26.843499999999999</v>
      </c>
      <c r="BF70">
        <v>0</v>
      </c>
      <c r="BG70">
        <v>0</v>
      </c>
      <c r="BH70">
        <v>9980.6200000000008</v>
      </c>
      <c r="BI70">
        <v>1057.42</v>
      </c>
      <c r="BJ70">
        <v>1.4577199999999999</v>
      </c>
      <c r="BK70">
        <v>-95.608900000000006</v>
      </c>
      <c r="BL70">
        <v>720.11800000000005</v>
      </c>
      <c r="BM70">
        <v>813.16499999999996</v>
      </c>
      <c r="BN70">
        <v>5.65001</v>
      </c>
      <c r="BO70">
        <v>799.99599999999998</v>
      </c>
      <c r="BP70">
        <v>16.194400000000002</v>
      </c>
      <c r="BQ70">
        <v>2.1551100000000001</v>
      </c>
      <c r="BR70">
        <v>1.5976900000000001</v>
      </c>
      <c r="BS70">
        <v>18.632400000000001</v>
      </c>
      <c r="BT70">
        <v>13.9366</v>
      </c>
      <c r="BU70">
        <v>1799.99</v>
      </c>
      <c r="BV70">
        <v>0.90998000000000001</v>
      </c>
      <c r="BW70">
        <v>3.3999799999999997E-2</v>
      </c>
      <c r="BX70">
        <v>2.2007499999999999E-2</v>
      </c>
      <c r="BY70">
        <v>3.4012399999999998E-2</v>
      </c>
      <c r="BZ70">
        <v>25</v>
      </c>
      <c r="CA70">
        <v>33528.1</v>
      </c>
      <c r="CB70">
        <v>1690387638</v>
      </c>
      <c r="CC70" t="s">
        <v>332</v>
      </c>
      <c r="CD70">
        <v>1690387638</v>
      </c>
      <c r="CE70">
        <v>1690387638</v>
      </c>
      <c r="CF70">
        <v>6</v>
      </c>
      <c r="CG70">
        <v>0.43</v>
      </c>
      <c r="CH70">
        <v>-8.1000000000000003E-2</v>
      </c>
      <c r="CI70">
        <v>0.14199999999999999</v>
      </c>
      <c r="CJ70">
        <v>-2.7E-2</v>
      </c>
      <c r="CK70">
        <v>800</v>
      </c>
      <c r="CL70">
        <v>0</v>
      </c>
      <c r="CM70">
        <v>0.01</v>
      </c>
      <c r="CN70">
        <v>0.01</v>
      </c>
      <c r="CO70">
        <v>-91.86412</v>
      </c>
      <c r="CP70">
        <v>-19.94475196998102</v>
      </c>
      <c r="CQ70">
        <v>1.9191249606526399</v>
      </c>
      <c r="CR70">
        <v>-1</v>
      </c>
      <c r="CS70">
        <v>5.4978385000000003</v>
      </c>
      <c r="CT70">
        <v>0.81796705440899076</v>
      </c>
      <c r="CU70">
        <v>7.9226547998445557E-2</v>
      </c>
      <c r="CV70">
        <v>-1</v>
      </c>
      <c r="CW70">
        <v>0</v>
      </c>
      <c r="CX70">
        <v>0</v>
      </c>
      <c r="CY70" t="s">
        <v>333</v>
      </c>
      <c r="CZ70">
        <v>2.3646500000000001</v>
      </c>
      <c r="DA70">
        <v>2.7138399999999998</v>
      </c>
      <c r="DB70">
        <v>0.13406699999999999</v>
      </c>
      <c r="DC70">
        <v>0.14571700000000001</v>
      </c>
      <c r="DD70">
        <v>0.10607800000000001</v>
      </c>
      <c r="DE70">
        <v>8.4483600000000006E-2</v>
      </c>
      <c r="DF70">
        <v>31632.7</v>
      </c>
      <c r="DG70">
        <v>27550.799999999999</v>
      </c>
      <c r="DH70">
        <v>31185.5</v>
      </c>
      <c r="DI70">
        <v>28101</v>
      </c>
      <c r="DJ70">
        <v>37852.5</v>
      </c>
      <c r="DK70">
        <v>36585.699999999997</v>
      </c>
      <c r="DL70">
        <v>44383.1</v>
      </c>
      <c r="DM70">
        <v>42595.8</v>
      </c>
      <c r="DN70">
        <v>1.46245</v>
      </c>
      <c r="DO70">
        <v>2.0534300000000001</v>
      </c>
      <c r="DP70">
        <v>0.15499399999999999</v>
      </c>
      <c r="DQ70">
        <v>0.157557</v>
      </c>
      <c r="DR70">
        <v>24.4207</v>
      </c>
      <c r="DS70">
        <v>24.2607</v>
      </c>
      <c r="DT70">
        <v>56.9</v>
      </c>
      <c r="DU70">
        <v>28.8</v>
      </c>
      <c r="DV70">
        <v>22.927700000000002</v>
      </c>
      <c r="DW70">
        <v>61.3322</v>
      </c>
      <c r="DX70">
        <v>36.726799999999997</v>
      </c>
      <c r="DY70">
        <v>1</v>
      </c>
      <c r="DZ70">
        <v>-9.6577700000000002E-2</v>
      </c>
      <c r="EA70">
        <v>0.98498600000000003</v>
      </c>
      <c r="EB70">
        <v>20.186299999999999</v>
      </c>
      <c r="EC70">
        <v>5.2408000000000001</v>
      </c>
      <c r="ED70">
        <v>12.039899999999999</v>
      </c>
      <c r="EE70">
        <v>5.0171000000000001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1.8689100000000001</v>
      </c>
      <c r="EL70">
        <v>1.8646199999999999</v>
      </c>
      <c r="EM70">
        <v>1.8692</v>
      </c>
      <c r="EN70">
        <v>1.8672299999999999</v>
      </c>
      <c r="EO70">
        <v>1.8633900000000001</v>
      </c>
      <c r="EP70">
        <v>1.8644700000000001</v>
      </c>
      <c r="EQ70">
        <v>1.87015</v>
      </c>
      <c r="ER70">
        <v>1.8693900000000001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0.20799999999999999</v>
      </c>
      <c r="FG70">
        <v>0.19839999999999999</v>
      </c>
      <c r="FH70">
        <v>0.69281559908863044</v>
      </c>
      <c r="FI70">
        <v>-6.1462078757559423E-4</v>
      </c>
      <c r="FJ70">
        <v>-1.8861989874597051E-7</v>
      </c>
      <c r="FK70">
        <v>1.1980462299894961E-10</v>
      </c>
      <c r="FL70">
        <v>0.19840465858211129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19.600000000000001</v>
      </c>
      <c r="FU70">
        <v>19.600000000000001</v>
      </c>
      <c r="FV70">
        <v>1.78955</v>
      </c>
      <c r="FW70">
        <v>2.5842299999999998</v>
      </c>
      <c r="FX70">
        <v>1.5490699999999999</v>
      </c>
      <c r="FY70">
        <v>2.3327599999999999</v>
      </c>
      <c r="FZ70">
        <v>1.50146</v>
      </c>
      <c r="GA70">
        <v>2.36206</v>
      </c>
      <c r="GB70">
        <v>33.558</v>
      </c>
      <c r="GC70">
        <v>23.982399999999998</v>
      </c>
      <c r="GD70">
        <v>19</v>
      </c>
      <c r="GE70">
        <v>276.74</v>
      </c>
      <c r="GF70">
        <v>596.26300000000003</v>
      </c>
      <c r="GG70">
        <v>22.070799999999998</v>
      </c>
      <c r="GH70">
        <v>26.185300000000002</v>
      </c>
      <c r="GI70">
        <v>29.999700000000001</v>
      </c>
      <c r="GJ70">
        <v>26.276499999999999</v>
      </c>
      <c r="GK70">
        <v>26.2424</v>
      </c>
      <c r="GL70">
        <v>35.787399999999998</v>
      </c>
      <c r="GM70">
        <v>37.4831</v>
      </c>
      <c r="GN70">
        <v>95.095100000000002</v>
      </c>
      <c r="GO70">
        <v>22.11</v>
      </c>
      <c r="GP70">
        <v>800</v>
      </c>
      <c r="GQ70">
        <v>16.069099999999999</v>
      </c>
      <c r="GR70">
        <v>99.784599999999998</v>
      </c>
      <c r="GS70">
        <v>99.642300000000006</v>
      </c>
    </row>
    <row r="71" spans="1:201" x14ac:dyDescent="0.25">
      <c r="A71">
        <v>55</v>
      </c>
      <c r="B71">
        <v>1690388825.5999999</v>
      </c>
      <c r="C71">
        <v>567.09999990463257</v>
      </c>
      <c r="D71" t="s">
        <v>443</v>
      </c>
      <c r="E71" t="s">
        <v>444</v>
      </c>
      <c r="F71" t="s">
        <v>330</v>
      </c>
      <c r="H71">
        <v>1690388825.5999999</v>
      </c>
      <c r="I71">
        <f t="shared" si="0"/>
        <v>5.6374746146527893E-4</v>
      </c>
      <c r="J71">
        <f t="shared" si="1"/>
        <v>0.56374746146527899</v>
      </c>
      <c r="K71">
        <f t="shared" si="2"/>
        <v>8.9693399275652155</v>
      </c>
      <c r="L71">
        <f t="shared" si="3"/>
        <v>700.91099999999994</v>
      </c>
      <c r="M71">
        <f t="shared" si="4"/>
        <v>300.3248234174855</v>
      </c>
      <c r="N71">
        <f t="shared" si="5"/>
        <v>29.659008542325594</v>
      </c>
      <c r="O71">
        <f t="shared" si="6"/>
        <v>69.219470771191794</v>
      </c>
      <c r="P71">
        <f t="shared" si="7"/>
        <v>3.7255061835226873E-2</v>
      </c>
      <c r="Q71">
        <f t="shared" si="8"/>
        <v>2.1601145784267493</v>
      </c>
      <c r="R71">
        <f t="shared" si="9"/>
        <v>3.6901754608061318E-2</v>
      </c>
      <c r="S71">
        <f t="shared" si="10"/>
        <v>2.3095060551969381E-2</v>
      </c>
      <c r="T71">
        <f t="shared" si="11"/>
        <v>276.11489993181158</v>
      </c>
      <c r="U71">
        <f t="shared" si="12"/>
        <v>27.218423504777135</v>
      </c>
      <c r="V71">
        <f t="shared" si="13"/>
        <v>27.218423504777135</v>
      </c>
      <c r="W71">
        <f t="shared" si="14"/>
        <v>3.6253330327041251</v>
      </c>
      <c r="X71">
        <f t="shared" si="15"/>
        <v>66.937946261480619</v>
      </c>
      <c r="Y71">
        <f t="shared" si="16"/>
        <v>2.1608302741175205</v>
      </c>
      <c r="Z71">
        <f t="shared" si="17"/>
        <v>3.2281096071825082</v>
      </c>
      <c r="AA71">
        <f t="shared" si="18"/>
        <v>1.4645027585866046</v>
      </c>
      <c r="AB71">
        <f t="shared" si="19"/>
        <v>-24.861263050618803</v>
      </c>
      <c r="AC71">
        <f t="shared" si="20"/>
        <v>-228.79238573970977</v>
      </c>
      <c r="AD71">
        <f t="shared" si="21"/>
        <v>-22.684158631275864</v>
      </c>
      <c r="AE71">
        <f t="shared" si="22"/>
        <v>-0.22290748979284558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52566.779495623225</v>
      </c>
      <c r="AK71">
        <f t="shared" si="26"/>
        <v>1799.99</v>
      </c>
      <c r="AL71">
        <f t="shared" si="27"/>
        <v>1499.1032018026096</v>
      </c>
      <c r="AM71">
        <f t="shared" si="28"/>
        <v>0.83283973899999986</v>
      </c>
      <c r="AN71">
        <f t="shared" si="29"/>
        <v>0.15339801883999998</v>
      </c>
      <c r="AO71">
        <v>31.8</v>
      </c>
      <c r="AP71">
        <v>0.5</v>
      </c>
      <c r="AQ71" t="s">
        <v>331</v>
      </c>
      <c r="AR71">
        <v>2</v>
      </c>
      <c r="AS71">
        <v>1690388825.5999999</v>
      </c>
      <c r="AT71">
        <v>700.91099999999994</v>
      </c>
      <c r="AU71">
        <v>800.10699999999997</v>
      </c>
      <c r="AV71">
        <v>21.880400000000002</v>
      </c>
      <c r="AW71">
        <v>16.039400000000001</v>
      </c>
      <c r="AX71">
        <v>700.7</v>
      </c>
      <c r="AY71">
        <v>21.681999999999999</v>
      </c>
      <c r="AZ71">
        <v>300.20400000000001</v>
      </c>
      <c r="BA71">
        <v>98.656499999999994</v>
      </c>
      <c r="BB71">
        <v>9.9933800000000003E-2</v>
      </c>
      <c r="BC71">
        <v>25.253799999999998</v>
      </c>
      <c r="BD71">
        <v>26.907299999999999</v>
      </c>
      <c r="BE71">
        <v>26.857500000000002</v>
      </c>
      <c r="BF71">
        <v>0</v>
      </c>
      <c r="BG71">
        <v>0</v>
      </c>
      <c r="BH71">
        <v>10018.799999999999</v>
      </c>
      <c r="BI71">
        <v>1057.33</v>
      </c>
      <c r="BJ71">
        <v>1.4801500000000001</v>
      </c>
      <c r="BK71">
        <v>-99.1965</v>
      </c>
      <c r="BL71">
        <v>716.59</v>
      </c>
      <c r="BM71">
        <v>813.15</v>
      </c>
      <c r="BN71">
        <v>5.8410200000000003</v>
      </c>
      <c r="BO71">
        <v>800.10699999999997</v>
      </c>
      <c r="BP71">
        <v>16.039400000000001</v>
      </c>
      <c r="BQ71">
        <v>2.1586400000000001</v>
      </c>
      <c r="BR71">
        <v>1.58239</v>
      </c>
      <c r="BS71">
        <v>18.6586</v>
      </c>
      <c r="BT71">
        <v>13.788399999999999</v>
      </c>
      <c r="BU71">
        <v>1799.99</v>
      </c>
      <c r="BV71">
        <v>0.90998400000000002</v>
      </c>
      <c r="BW71">
        <v>3.3998500000000001E-2</v>
      </c>
      <c r="BX71">
        <v>2.2006700000000001E-2</v>
      </c>
      <c r="BY71">
        <v>3.4011199999999998E-2</v>
      </c>
      <c r="BZ71">
        <v>25</v>
      </c>
      <c r="CA71">
        <v>33528.199999999997</v>
      </c>
      <c r="CB71">
        <v>1690387638</v>
      </c>
      <c r="CC71" t="s">
        <v>332</v>
      </c>
      <c r="CD71">
        <v>1690387638</v>
      </c>
      <c r="CE71">
        <v>1690387638</v>
      </c>
      <c r="CF71">
        <v>6</v>
      </c>
      <c r="CG71">
        <v>0.43</v>
      </c>
      <c r="CH71">
        <v>-8.1000000000000003E-2</v>
      </c>
      <c r="CI71">
        <v>0.14199999999999999</v>
      </c>
      <c r="CJ71">
        <v>-2.7E-2</v>
      </c>
      <c r="CK71">
        <v>800</v>
      </c>
      <c r="CL71">
        <v>0</v>
      </c>
      <c r="CM71">
        <v>0.01</v>
      </c>
      <c r="CN71">
        <v>0.01</v>
      </c>
      <c r="CO71">
        <v>-95.318934146341462</v>
      </c>
      <c r="CP71">
        <v>-20.541806968641051</v>
      </c>
      <c r="CQ71">
        <v>2.0263590409245</v>
      </c>
      <c r="CR71">
        <v>-1</v>
      </c>
      <c r="CS71">
        <v>5.6420492682926824</v>
      </c>
      <c r="CT71">
        <v>0.87707101045296365</v>
      </c>
      <c r="CU71">
        <v>8.7199773226104921E-2</v>
      </c>
      <c r="CV71">
        <v>-1</v>
      </c>
      <c r="CW71">
        <v>0</v>
      </c>
      <c r="CX71">
        <v>0</v>
      </c>
      <c r="CY71" t="s">
        <v>333</v>
      </c>
      <c r="CZ71">
        <v>2.3646600000000002</v>
      </c>
      <c r="DA71">
        <v>2.71374</v>
      </c>
      <c r="DB71">
        <v>0.13361400000000001</v>
      </c>
      <c r="DC71">
        <v>0.14572599999999999</v>
      </c>
      <c r="DD71">
        <v>0.10620300000000001</v>
      </c>
      <c r="DE71">
        <v>8.3894399999999994E-2</v>
      </c>
      <c r="DF71">
        <v>31649</v>
      </c>
      <c r="DG71">
        <v>27550.2</v>
      </c>
      <c r="DH71">
        <v>31185.3</v>
      </c>
      <c r="DI71">
        <v>28100.7</v>
      </c>
      <c r="DJ71">
        <v>37846.5</v>
      </c>
      <c r="DK71">
        <v>36609.1</v>
      </c>
      <c r="DL71">
        <v>44382.5</v>
      </c>
      <c r="DM71">
        <v>42595.6</v>
      </c>
      <c r="DN71">
        <v>1.46265</v>
      </c>
      <c r="DO71">
        <v>2.0533999999999999</v>
      </c>
      <c r="DP71">
        <v>0.15254300000000001</v>
      </c>
      <c r="DQ71">
        <v>0.158973</v>
      </c>
      <c r="DR71">
        <v>24.4071</v>
      </c>
      <c r="DS71">
        <v>24.2515</v>
      </c>
      <c r="DT71">
        <v>56.9</v>
      </c>
      <c r="DU71">
        <v>28.8</v>
      </c>
      <c r="DV71">
        <v>22.930399999999999</v>
      </c>
      <c r="DW71">
        <v>60.962200000000003</v>
      </c>
      <c r="DX71">
        <v>36.3902</v>
      </c>
      <c r="DY71">
        <v>1</v>
      </c>
      <c r="DZ71">
        <v>-9.6890199999999996E-2</v>
      </c>
      <c r="EA71">
        <v>0.90242599999999995</v>
      </c>
      <c r="EB71">
        <v>20.187100000000001</v>
      </c>
      <c r="EC71">
        <v>5.2409499999999998</v>
      </c>
      <c r="ED71">
        <v>12.039899999999999</v>
      </c>
      <c r="EE71">
        <v>5.0170000000000003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1.8672299999999999</v>
      </c>
      <c r="EO71">
        <v>1.86338</v>
      </c>
      <c r="EP71">
        <v>1.8644700000000001</v>
      </c>
      <c r="EQ71">
        <v>1.8701399999999999</v>
      </c>
      <c r="ER71">
        <v>1.86938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0.21099999999999999</v>
      </c>
      <c r="FG71">
        <v>0.19839999999999999</v>
      </c>
      <c r="FH71">
        <v>0.69281559908863044</v>
      </c>
      <c r="FI71">
        <v>-6.1462078757559423E-4</v>
      </c>
      <c r="FJ71">
        <v>-1.8861989874597051E-7</v>
      </c>
      <c r="FK71">
        <v>1.1980462299894961E-10</v>
      </c>
      <c r="FL71">
        <v>0.19840465858211129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19.8</v>
      </c>
      <c r="FU71">
        <v>19.8</v>
      </c>
      <c r="FV71">
        <v>1.78955</v>
      </c>
      <c r="FW71">
        <v>2.5769000000000002</v>
      </c>
      <c r="FX71">
        <v>1.5490699999999999</v>
      </c>
      <c r="FY71">
        <v>2.3327599999999999</v>
      </c>
      <c r="FZ71">
        <v>1.50146</v>
      </c>
      <c r="GA71">
        <v>2.4011200000000001</v>
      </c>
      <c r="GB71">
        <v>33.558</v>
      </c>
      <c r="GC71">
        <v>23.991199999999999</v>
      </c>
      <c r="GD71">
        <v>19</v>
      </c>
      <c r="GE71">
        <v>276.81799999999998</v>
      </c>
      <c r="GF71">
        <v>596.24199999999996</v>
      </c>
      <c r="GG71">
        <v>22.148</v>
      </c>
      <c r="GH71">
        <v>26.180299999999999</v>
      </c>
      <c r="GI71">
        <v>30</v>
      </c>
      <c r="GJ71">
        <v>26.275300000000001</v>
      </c>
      <c r="GK71">
        <v>26.2424</v>
      </c>
      <c r="GL71">
        <v>35.781199999999998</v>
      </c>
      <c r="GM71">
        <v>37.761699999999998</v>
      </c>
      <c r="GN71">
        <v>94.711299999999994</v>
      </c>
      <c r="GO71">
        <v>22.192499999999999</v>
      </c>
      <c r="GP71">
        <v>800</v>
      </c>
      <c r="GQ71">
        <v>15.937799999999999</v>
      </c>
      <c r="GR71">
        <v>99.7834</v>
      </c>
      <c r="GS71">
        <v>99.641499999999994</v>
      </c>
    </row>
    <row r="72" spans="1:201" x14ac:dyDescent="0.25">
      <c r="A72">
        <v>56</v>
      </c>
      <c r="B72">
        <v>1690388835.5999999</v>
      </c>
      <c r="C72">
        <v>577.09999990463257</v>
      </c>
      <c r="D72" t="s">
        <v>445</v>
      </c>
      <c r="E72" t="s">
        <v>446</v>
      </c>
      <c r="F72" t="s">
        <v>330</v>
      </c>
      <c r="H72">
        <v>1690388835.5999999</v>
      </c>
      <c r="I72">
        <f t="shared" si="0"/>
        <v>5.7902862898914244E-4</v>
      </c>
      <c r="J72">
        <f t="shared" si="1"/>
        <v>0.57902862898914242</v>
      </c>
      <c r="K72">
        <f t="shared" si="2"/>
        <v>9.2913640159881012</v>
      </c>
      <c r="L72">
        <f t="shared" si="3"/>
        <v>697.41200000000003</v>
      </c>
      <c r="M72">
        <f t="shared" si="4"/>
        <v>293.99931855861615</v>
      </c>
      <c r="N72">
        <f t="shared" si="5"/>
        <v>29.032860182672529</v>
      </c>
      <c r="O72">
        <f t="shared" si="6"/>
        <v>68.870449037048004</v>
      </c>
      <c r="P72">
        <f t="shared" si="7"/>
        <v>3.831066428572609E-2</v>
      </c>
      <c r="Q72">
        <f t="shared" si="8"/>
        <v>2.1539076922308649</v>
      </c>
      <c r="R72">
        <f t="shared" si="9"/>
        <v>3.7936095175718658E-2</v>
      </c>
      <c r="S72">
        <f t="shared" si="10"/>
        <v>2.3743407743255347E-2</v>
      </c>
      <c r="T72">
        <f t="shared" si="11"/>
        <v>276.11621796599997</v>
      </c>
      <c r="U72">
        <f t="shared" si="12"/>
        <v>27.228486524565415</v>
      </c>
      <c r="V72">
        <f t="shared" si="13"/>
        <v>27.228486524565415</v>
      </c>
      <c r="W72">
        <f t="shared" si="14"/>
        <v>3.6274727612182027</v>
      </c>
      <c r="X72">
        <f t="shared" si="15"/>
        <v>67.00799407144018</v>
      </c>
      <c r="Y72">
        <f t="shared" si="16"/>
        <v>2.1644047433358002</v>
      </c>
      <c r="Z72">
        <f t="shared" si="17"/>
        <v>3.2300694466815898</v>
      </c>
      <c r="AA72">
        <f t="shared" si="18"/>
        <v>1.4630680178824025</v>
      </c>
      <c r="AB72">
        <f t="shared" si="19"/>
        <v>-25.535162538421183</v>
      </c>
      <c r="AC72">
        <f t="shared" si="20"/>
        <v>-228.1190659814317</v>
      </c>
      <c r="AD72">
        <f t="shared" si="21"/>
        <v>-22.684880996275488</v>
      </c>
      <c r="AE72">
        <f t="shared" si="22"/>
        <v>-0.22289155012842343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52304.054891809596</v>
      </c>
      <c r="AK72">
        <f t="shared" si="26"/>
        <v>1800</v>
      </c>
      <c r="AL72">
        <f t="shared" si="27"/>
        <v>1499.1112656</v>
      </c>
      <c r="AM72">
        <f t="shared" si="28"/>
        <v>0.83283959200000002</v>
      </c>
      <c r="AN72">
        <f t="shared" si="29"/>
        <v>0.15339789886999999</v>
      </c>
      <c r="AO72">
        <v>31.8</v>
      </c>
      <c r="AP72">
        <v>0.5</v>
      </c>
      <c r="AQ72" t="s">
        <v>331</v>
      </c>
      <c r="AR72">
        <v>2</v>
      </c>
      <c r="AS72">
        <v>1690388835.5999999</v>
      </c>
      <c r="AT72">
        <v>697.41200000000003</v>
      </c>
      <c r="AU72">
        <v>800.10599999999999</v>
      </c>
      <c r="AV72">
        <v>21.9177</v>
      </c>
      <c r="AW72">
        <v>15.918900000000001</v>
      </c>
      <c r="AX72">
        <v>697.19899999999996</v>
      </c>
      <c r="AY72">
        <v>21.7193</v>
      </c>
      <c r="AZ72">
        <v>300.21899999999999</v>
      </c>
      <c r="BA72">
        <v>98.651399999999995</v>
      </c>
      <c r="BB72">
        <v>0.100054</v>
      </c>
      <c r="BC72">
        <v>25.263999999999999</v>
      </c>
      <c r="BD72">
        <v>26.9436</v>
      </c>
      <c r="BE72">
        <v>26.856100000000001</v>
      </c>
      <c r="BF72">
        <v>0</v>
      </c>
      <c r="BG72">
        <v>0</v>
      </c>
      <c r="BH72">
        <v>9967.5</v>
      </c>
      <c r="BI72">
        <v>1057.3800000000001</v>
      </c>
      <c r="BJ72">
        <v>1.5081800000000001</v>
      </c>
      <c r="BK72">
        <v>-102.693</v>
      </c>
      <c r="BL72">
        <v>713.04</v>
      </c>
      <c r="BM72">
        <v>813.048</v>
      </c>
      <c r="BN72">
        <v>5.9988099999999998</v>
      </c>
      <c r="BO72">
        <v>800.10599999999999</v>
      </c>
      <c r="BP72">
        <v>15.918900000000001</v>
      </c>
      <c r="BQ72">
        <v>2.16221</v>
      </c>
      <c r="BR72">
        <v>1.5704199999999999</v>
      </c>
      <c r="BS72">
        <v>18.685099999999998</v>
      </c>
      <c r="BT72">
        <v>13.6716</v>
      </c>
      <c r="BU72">
        <v>1800</v>
      </c>
      <c r="BV72">
        <v>0.90998599999999996</v>
      </c>
      <c r="BW72">
        <v>3.3997600000000003E-2</v>
      </c>
      <c r="BX72">
        <v>2.2006100000000001E-2</v>
      </c>
      <c r="BY72">
        <v>3.40103E-2</v>
      </c>
      <c r="BZ72">
        <v>25</v>
      </c>
      <c r="CA72">
        <v>33528.300000000003</v>
      </c>
      <c r="CB72">
        <v>1690387638</v>
      </c>
      <c r="CC72" t="s">
        <v>332</v>
      </c>
      <c r="CD72">
        <v>1690387638</v>
      </c>
      <c r="CE72">
        <v>1690387638</v>
      </c>
      <c r="CF72">
        <v>6</v>
      </c>
      <c r="CG72">
        <v>0.43</v>
      </c>
      <c r="CH72">
        <v>-8.1000000000000003E-2</v>
      </c>
      <c r="CI72">
        <v>0.14199999999999999</v>
      </c>
      <c r="CJ72">
        <v>-2.7E-2</v>
      </c>
      <c r="CK72">
        <v>800</v>
      </c>
      <c r="CL72">
        <v>0</v>
      </c>
      <c r="CM72">
        <v>0.01</v>
      </c>
      <c r="CN72">
        <v>0.01</v>
      </c>
      <c r="CO72">
        <v>-98.784009756097561</v>
      </c>
      <c r="CP72">
        <v>-21.116368641115169</v>
      </c>
      <c r="CQ72">
        <v>2.0825364269709459</v>
      </c>
      <c r="CR72">
        <v>-1</v>
      </c>
      <c r="CS72">
        <v>5.7995795121951206</v>
      </c>
      <c r="CT72">
        <v>1.020010452961684</v>
      </c>
      <c r="CU72">
        <v>0.1011256546049233</v>
      </c>
      <c r="CV72">
        <v>-1</v>
      </c>
      <c r="CW72">
        <v>0</v>
      </c>
      <c r="CX72">
        <v>0</v>
      </c>
      <c r="CY72" t="s">
        <v>333</v>
      </c>
      <c r="CZ72">
        <v>2.3647300000000002</v>
      </c>
      <c r="DA72">
        <v>2.7138200000000001</v>
      </c>
      <c r="DB72">
        <v>0.13315099999999999</v>
      </c>
      <c r="DC72">
        <v>0.14571700000000001</v>
      </c>
      <c r="DD72">
        <v>0.10632800000000001</v>
      </c>
      <c r="DE72">
        <v>8.3431599999999995E-2</v>
      </c>
      <c r="DF72">
        <v>31666.5</v>
      </c>
      <c r="DG72">
        <v>27550.2</v>
      </c>
      <c r="DH72">
        <v>31185.9</v>
      </c>
      <c r="DI72">
        <v>28100.400000000001</v>
      </c>
      <c r="DJ72">
        <v>37841.9</v>
      </c>
      <c r="DK72">
        <v>36627.199999999997</v>
      </c>
      <c r="DL72">
        <v>44383.4</v>
      </c>
      <c r="DM72">
        <v>42595.1</v>
      </c>
      <c r="DN72">
        <v>1.4626699999999999</v>
      </c>
      <c r="DO72">
        <v>2.0531700000000002</v>
      </c>
      <c r="DP72">
        <v>0.15551599999999999</v>
      </c>
      <c r="DQ72">
        <v>0.15935299999999999</v>
      </c>
      <c r="DR72">
        <v>24.3948</v>
      </c>
      <c r="DS72">
        <v>24.2439</v>
      </c>
      <c r="DT72">
        <v>56.9</v>
      </c>
      <c r="DU72">
        <v>28.8</v>
      </c>
      <c r="DV72">
        <v>22.9299</v>
      </c>
      <c r="DW72">
        <v>60.862200000000001</v>
      </c>
      <c r="DX72">
        <v>36.133800000000001</v>
      </c>
      <c r="DY72">
        <v>1</v>
      </c>
      <c r="DZ72">
        <v>-9.7527900000000001E-2</v>
      </c>
      <c r="EA72">
        <v>0.79352699999999998</v>
      </c>
      <c r="EB72">
        <v>20.187799999999999</v>
      </c>
      <c r="EC72">
        <v>5.2409499999999998</v>
      </c>
      <c r="ED72">
        <v>12.039899999999999</v>
      </c>
      <c r="EE72">
        <v>5.0168499999999998</v>
      </c>
      <c r="EF72">
        <v>3.2879499999999999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1.8692</v>
      </c>
      <c r="EN72">
        <v>1.8672299999999999</v>
      </c>
      <c r="EO72">
        <v>1.86337</v>
      </c>
      <c r="EP72">
        <v>1.8644700000000001</v>
      </c>
      <c r="EQ72">
        <v>1.87015</v>
      </c>
      <c r="ER72">
        <v>1.8693900000000001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0.21299999999999999</v>
      </c>
      <c r="FG72">
        <v>0.19839999999999999</v>
      </c>
      <c r="FH72">
        <v>0.69281559908863044</v>
      </c>
      <c r="FI72">
        <v>-6.1462078757559423E-4</v>
      </c>
      <c r="FJ72">
        <v>-1.8861989874597051E-7</v>
      </c>
      <c r="FK72">
        <v>1.1980462299894961E-10</v>
      </c>
      <c r="FL72">
        <v>0.19840465858211129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20</v>
      </c>
      <c r="FU72">
        <v>20</v>
      </c>
      <c r="FV72">
        <v>1.78955</v>
      </c>
      <c r="FW72">
        <v>2.5769000000000002</v>
      </c>
      <c r="FX72">
        <v>1.5490699999999999</v>
      </c>
      <c r="FY72">
        <v>2.3327599999999999</v>
      </c>
      <c r="FZ72">
        <v>1.50146</v>
      </c>
      <c r="GA72">
        <v>2.4194300000000002</v>
      </c>
      <c r="GB72">
        <v>33.558</v>
      </c>
      <c r="GC72">
        <v>23.991199999999999</v>
      </c>
      <c r="GD72">
        <v>19</v>
      </c>
      <c r="GE72">
        <v>276.81900000000002</v>
      </c>
      <c r="GF72">
        <v>596.02800000000002</v>
      </c>
      <c r="GG72">
        <v>22.255700000000001</v>
      </c>
      <c r="GH72">
        <v>26.174800000000001</v>
      </c>
      <c r="GI72">
        <v>29.9999</v>
      </c>
      <c r="GJ72">
        <v>26.273099999999999</v>
      </c>
      <c r="GK72">
        <v>26.240200000000002</v>
      </c>
      <c r="GL72">
        <v>35.776499999999999</v>
      </c>
      <c r="GM72">
        <v>38.339100000000002</v>
      </c>
      <c r="GN72">
        <v>94.328400000000002</v>
      </c>
      <c r="GO72">
        <v>22.2804</v>
      </c>
      <c r="GP72">
        <v>800</v>
      </c>
      <c r="GQ72">
        <v>15.7948</v>
      </c>
      <c r="GR72">
        <v>99.785399999999996</v>
      </c>
      <c r="GS72">
        <v>99.640500000000003</v>
      </c>
    </row>
    <row r="73" spans="1:201" x14ac:dyDescent="0.25">
      <c r="A73">
        <v>57</v>
      </c>
      <c r="B73">
        <v>1690388845.5999999</v>
      </c>
      <c r="C73">
        <v>587.09999990463257</v>
      </c>
      <c r="D73" t="s">
        <v>447</v>
      </c>
      <c r="E73" t="s">
        <v>448</v>
      </c>
      <c r="F73" t="s">
        <v>330</v>
      </c>
      <c r="H73">
        <v>1690388845.5999999</v>
      </c>
      <c r="I73">
        <f t="shared" si="0"/>
        <v>5.9534311776106589E-4</v>
      </c>
      <c r="J73">
        <f t="shared" si="1"/>
        <v>0.59534311776106585</v>
      </c>
      <c r="K73">
        <f t="shared" si="2"/>
        <v>9.6291267440868129</v>
      </c>
      <c r="L73">
        <f t="shared" si="3"/>
        <v>693.73500000000001</v>
      </c>
      <c r="M73">
        <f t="shared" si="4"/>
        <v>288.32704233044046</v>
      </c>
      <c r="N73">
        <f t="shared" si="5"/>
        <v>28.473564357444292</v>
      </c>
      <c r="O73">
        <f t="shared" si="6"/>
        <v>68.509384377735003</v>
      </c>
      <c r="P73">
        <f t="shared" si="7"/>
        <v>3.949686237989463E-2</v>
      </c>
      <c r="Q73">
        <f t="shared" si="8"/>
        <v>2.1596348628444413</v>
      </c>
      <c r="R73">
        <f t="shared" si="9"/>
        <v>3.9099912889056627E-2</v>
      </c>
      <c r="S73">
        <f t="shared" si="10"/>
        <v>2.447277734797576E-2</v>
      </c>
      <c r="T73">
        <f t="shared" si="11"/>
        <v>276.11456608766633</v>
      </c>
      <c r="U73">
        <f t="shared" si="12"/>
        <v>27.229383136065326</v>
      </c>
      <c r="V73">
        <f t="shared" si="13"/>
        <v>27.229383136065326</v>
      </c>
      <c r="W73">
        <f t="shared" si="14"/>
        <v>3.6276634637417882</v>
      </c>
      <c r="X73">
        <f t="shared" si="15"/>
        <v>67.078307261843449</v>
      </c>
      <c r="Y73">
        <f t="shared" si="16"/>
        <v>2.1681331230748002</v>
      </c>
      <c r="Z73">
        <f t="shared" si="17"/>
        <v>3.2322418551967727</v>
      </c>
      <c r="AA73">
        <f t="shared" si="18"/>
        <v>1.4595303406669879</v>
      </c>
      <c r="AB73">
        <f t="shared" si="19"/>
        <v>-26.254631493263005</v>
      </c>
      <c r="AC73">
        <f t="shared" si="20"/>
        <v>-227.51435820555821</v>
      </c>
      <c r="AD73">
        <f t="shared" si="21"/>
        <v>-22.566124994822363</v>
      </c>
      <c r="AE73">
        <f t="shared" si="22"/>
        <v>-0.22054860597722836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52542.758334364422</v>
      </c>
      <c r="AK73">
        <f t="shared" si="26"/>
        <v>1799.99</v>
      </c>
      <c r="AL73">
        <f t="shared" si="27"/>
        <v>1499.1030902032298</v>
      </c>
      <c r="AM73">
        <f t="shared" si="28"/>
        <v>0.83283967699999994</v>
      </c>
      <c r="AN73">
        <f t="shared" si="29"/>
        <v>0.15339783337000001</v>
      </c>
      <c r="AO73">
        <v>31.8</v>
      </c>
      <c r="AP73">
        <v>0.5</v>
      </c>
      <c r="AQ73" t="s">
        <v>331</v>
      </c>
      <c r="AR73">
        <v>2</v>
      </c>
      <c r="AS73">
        <v>1690388845.5999999</v>
      </c>
      <c r="AT73">
        <v>693.73500000000001</v>
      </c>
      <c r="AU73">
        <v>800.08699999999999</v>
      </c>
      <c r="AV73">
        <v>21.954799999999999</v>
      </c>
      <c r="AW73">
        <v>15.7882</v>
      </c>
      <c r="AX73">
        <v>693.51900000000001</v>
      </c>
      <c r="AY73">
        <v>21.756399999999999</v>
      </c>
      <c r="AZ73">
        <v>300.267</v>
      </c>
      <c r="BA73">
        <v>98.654399999999995</v>
      </c>
      <c r="BB73">
        <v>0.10000100000000001</v>
      </c>
      <c r="BC73">
        <v>25.275300000000001</v>
      </c>
      <c r="BD73">
        <v>26.944199999999999</v>
      </c>
      <c r="BE73">
        <v>26.856000000000002</v>
      </c>
      <c r="BF73">
        <v>0</v>
      </c>
      <c r="BG73">
        <v>0</v>
      </c>
      <c r="BH73">
        <v>10015</v>
      </c>
      <c r="BI73">
        <v>1057.3499999999999</v>
      </c>
      <c r="BJ73">
        <v>1.5137799999999999</v>
      </c>
      <c r="BK73">
        <v>-106.352</v>
      </c>
      <c r="BL73">
        <v>709.30700000000002</v>
      </c>
      <c r="BM73">
        <v>812.92100000000005</v>
      </c>
      <c r="BN73">
        <v>6.1665999999999999</v>
      </c>
      <c r="BO73">
        <v>800.08699999999999</v>
      </c>
      <c r="BP73">
        <v>15.7882</v>
      </c>
      <c r="BQ73">
        <v>2.16594</v>
      </c>
      <c r="BR73">
        <v>1.5575699999999999</v>
      </c>
      <c r="BS73">
        <v>18.712599999999998</v>
      </c>
      <c r="BT73">
        <v>13.545400000000001</v>
      </c>
      <c r="BU73">
        <v>1799.99</v>
      </c>
      <c r="BV73">
        <v>0.90998800000000002</v>
      </c>
      <c r="BW73">
        <v>3.3996800000000001E-2</v>
      </c>
      <c r="BX73">
        <v>2.20056E-2</v>
      </c>
      <c r="BY73">
        <v>3.4009499999999998E-2</v>
      </c>
      <c r="BZ73">
        <v>25</v>
      </c>
      <c r="CA73">
        <v>33528.199999999997</v>
      </c>
      <c r="CB73">
        <v>1690387638</v>
      </c>
      <c r="CC73" t="s">
        <v>332</v>
      </c>
      <c r="CD73">
        <v>1690387638</v>
      </c>
      <c r="CE73">
        <v>1690387638</v>
      </c>
      <c r="CF73">
        <v>6</v>
      </c>
      <c r="CG73">
        <v>0.43</v>
      </c>
      <c r="CH73">
        <v>-8.1000000000000003E-2</v>
      </c>
      <c r="CI73">
        <v>0.14199999999999999</v>
      </c>
      <c r="CJ73">
        <v>-2.7E-2</v>
      </c>
      <c r="CK73">
        <v>800</v>
      </c>
      <c r="CL73">
        <v>0</v>
      </c>
      <c r="CM73">
        <v>0.01</v>
      </c>
      <c r="CN73">
        <v>0.01</v>
      </c>
      <c r="CO73">
        <v>-102.24240500000001</v>
      </c>
      <c r="CP73">
        <v>-21.402506566604021</v>
      </c>
      <c r="CQ73">
        <v>2.059300844941069</v>
      </c>
      <c r="CR73">
        <v>-1</v>
      </c>
      <c r="CS73">
        <v>5.9736829999999994</v>
      </c>
      <c r="CT73">
        <v>1.0297864165103101</v>
      </c>
      <c r="CU73">
        <v>9.9813774430185784E-2</v>
      </c>
      <c r="CV73">
        <v>-1</v>
      </c>
      <c r="CW73">
        <v>0</v>
      </c>
      <c r="CX73">
        <v>0</v>
      </c>
      <c r="CY73" t="s">
        <v>333</v>
      </c>
      <c r="CZ73">
        <v>2.3648799999999999</v>
      </c>
      <c r="DA73">
        <v>2.7138100000000001</v>
      </c>
      <c r="DB73">
        <v>0.13267499999999999</v>
      </c>
      <c r="DC73">
        <v>0.14571700000000001</v>
      </c>
      <c r="DD73">
        <v>0.10646</v>
      </c>
      <c r="DE73">
        <v>8.2934900000000006E-2</v>
      </c>
      <c r="DF73">
        <v>31683.7</v>
      </c>
      <c r="DG73">
        <v>27550.799999999999</v>
      </c>
      <c r="DH73">
        <v>31185.599999999999</v>
      </c>
      <c r="DI73">
        <v>28100.9</v>
      </c>
      <c r="DJ73">
        <v>37836</v>
      </c>
      <c r="DK73">
        <v>36647.800000000003</v>
      </c>
      <c r="DL73">
        <v>44383.199999999997</v>
      </c>
      <c r="DM73">
        <v>42595.9</v>
      </c>
      <c r="DN73">
        <v>1.4631000000000001</v>
      </c>
      <c r="DO73">
        <v>2.0528499999999998</v>
      </c>
      <c r="DP73">
        <v>0.15626799999999999</v>
      </c>
      <c r="DQ73">
        <v>0.15979299999999999</v>
      </c>
      <c r="DR73">
        <v>24.382999999999999</v>
      </c>
      <c r="DS73">
        <v>24.236499999999999</v>
      </c>
      <c r="DT73">
        <v>56.9</v>
      </c>
      <c r="DU73">
        <v>28.8</v>
      </c>
      <c r="DV73">
        <v>22.927700000000002</v>
      </c>
      <c r="DW73">
        <v>60.882199999999997</v>
      </c>
      <c r="DX73">
        <v>35.685099999999998</v>
      </c>
      <c r="DY73">
        <v>1</v>
      </c>
      <c r="DZ73">
        <v>-9.7553399999999998E-2</v>
      </c>
      <c r="EA73">
        <v>0.74196099999999998</v>
      </c>
      <c r="EB73">
        <v>20.187999999999999</v>
      </c>
      <c r="EC73">
        <v>5.2409499999999998</v>
      </c>
      <c r="ED73">
        <v>12.039899999999999</v>
      </c>
      <c r="EE73">
        <v>5.0169499999999996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1.8689100000000001</v>
      </c>
      <c r="EL73">
        <v>1.8646100000000001</v>
      </c>
      <c r="EM73">
        <v>1.8692</v>
      </c>
      <c r="EN73">
        <v>1.86724</v>
      </c>
      <c r="EO73">
        <v>1.86337</v>
      </c>
      <c r="EP73">
        <v>1.8644700000000001</v>
      </c>
      <c r="EQ73">
        <v>1.8701300000000001</v>
      </c>
      <c r="ER73">
        <v>1.86937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0.216</v>
      </c>
      <c r="FG73">
        <v>0.19839999999999999</v>
      </c>
      <c r="FH73">
        <v>0.69281559908863044</v>
      </c>
      <c r="FI73">
        <v>-6.1462078757559423E-4</v>
      </c>
      <c r="FJ73">
        <v>-1.8861989874597051E-7</v>
      </c>
      <c r="FK73">
        <v>1.1980462299894961E-10</v>
      </c>
      <c r="FL73">
        <v>0.19840465858211129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20.100000000000001</v>
      </c>
      <c r="FU73">
        <v>20.100000000000001</v>
      </c>
      <c r="FV73">
        <v>1.78833</v>
      </c>
      <c r="FW73">
        <v>2.5805699999999998</v>
      </c>
      <c r="FX73">
        <v>1.5490699999999999</v>
      </c>
      <c r="FY73">
        <v>2.3327599999999999</v>
      </c>
      <c r="FZ73">
        <v>1.50146</v>
      </c>
      <c r="GA73">
        <v>2.4060100000000002</v>
      </c>
      <c r="GB73">
        <v>33.580399999999997</v>
      </c>
      <c r="GC73">
        <v>23.991199999999999</v>
      </c>
      <c r="GD73">
        <v>19</v>
      </c>
      <c r="GE73">
        <v>276.98700000000002</v>
      </c>
      <c r="GF73">
        <v>595.73900000000003</v>
      </c>
      <c r="GG73">
        <v>22.336300000000001</v>
      </c>
      <c r="GH73">
        <v>26.168800000000001</v>
      </c>
      <c r="GI73">
        <v>29.9999</v>
      </c>
      <c r="GJ73">
        <v>26.270900000000001</v>
      </c>
      <c r="GK73">
        <v>26.238700000000001</v>
      </c>
      <c r="GL73">
        <v>35.770400000000002</v>
      </c>
      <c r="GM73">
        <v>38.928600000000003</v>
      </c>
      <c r="GN73">
        <v>93.9572</v>
      </c>
      <c r="GO73">
        <v>22.375299999999999</v>
      </c>
      <c r="GP73">
        <v>800</v>
      </c>
      <c r="GQ73">
        <v>15.649800000000001</v>
      </c>
      <c r="GR73">
        <v>99.784700000000001</v>
      </c>
      <c r="GS73">
        <v>99.642399999999995</v>
      </c>
    </row>
    <row r="74" spans="1:201" x14ac:dyDescent="0.25">
      <c r="A74">
        <v>58</v>
      </c>
      <c r="B74">
        <v>1690388855.5999999</v>
      </c>
      <c r="C74">
        <v>597.09999990463257</v>
      </c>
      <c r="D74" t="s">
        <v>449</v>
      </c>
      <c r="E74" t="s">
        <v>450</v>
      </c>
      <c r="F74" t="s">
        <v>330</v>
      </c>
      <c r="H74">
        <v>1690388855.5999999</v>
      </c>
      <c r="I74">
        <f t="shared" si="0"/>
        <v>6.1258948646050033E-4</v>
      </c>
      <c r="J74">
        <f t="shared" si="1"/>
        <v>0.61258948646050038</v>
      </c>
      <c r="K74">
        <f t="shared" si="2"/>
        <v>9.9627405208676141</v>
      </c>
      <c r="L74">
        <f t="shared" si="3"/>
        <v>690.01300000000003</v>
      </c>
      <c r="M74">
        <f t="shared" si="4"/>
        <v>283.11899610343374</v>
      </c>
      <c r="N74">
        <f t="shared" si="5"/>
        <v>27.958774346311436</v>
      </c>
      <c r="O74">
        <f t="shared" si="6"/>
        <v>68.140668865515991</v>
      </c>
      <c r="P74">
        <f t="shared" si="7"/>
        <v>4.0709810757497501E-2</v>
      </c>
      <c r="Q74">
        <f t="shared" si="8"/>
        <v>2.1569958574544628</v>
      </c>
      <c r="R74">
        <f t="shared" si="9"/>
        <v>4.0287736637931656E-2</v>
      </c>
      <c r="S74">
        <f t="shared" si="10"/>
        <v>2.5217392336780629E-2</v>
      </c>
      <c r="T74">
        <f t="shared" si="11"/>
        <v>276.11587450800005</v>
      </c>
      <c r="U74">
        <f t="shared" si="12"/>
        <v>27.236096853402319</v>
      </c>
      <c r="V74">
        <f t="shared" si="13"/>
        <v>27.236096853402319</v>
      </c>
      <c r="W74">
        <f t="shared" si="14"/>
        <v>3.6290916990270459</v>
      </c>
      <c r="X74">
        <f t="shared" si="15"/>
        <v>67.144288730533859</v>
      </c>
      <c r="Y74">
        <f t="shared" si="16"/>
        <v>2.1716219530459999</v>
      </c>
      <c r="Z74">
        <f t="shared" si="17"/>
        <v>3.2342616089973633</v>
      </c>
      <c r="AA74">
        <f t="shared" si="18"/>
        <v>1.4574697459810459</v>
      </c>
      <c r="AB74">
        <f t="shared" si="19"/>
        <v>-27.015196352908063</v>
      </c>
      <c r="AC74">
        <f t="shared" si="20"/>
        <v>-226.79604377758875</v>
      </c>
      <c r="AD74">
        <f t="shared" si="21"/>
        <v>-22.524342706866531</v>
      </c>
      <c r="AE74">
        <f t="shared" si="22"/>
        <v>-0.21970832936329998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52429.91590115305</v>
      </c>
      <c r="AK74">
        <f t="shared" si="26"/>
        <v>1800</v>
      </c>
      <c r="AL74">
        <f t="shared" si="27"/>
        <v>1499.1114347999999</v>
      </c>
      <c r="AM74">
        <f t="shared" si="28"/>
        <v>0.83283968599999991</v>
      </c>
      <c r="AN74">
        <f t="shared" si="29"/>
        <v>0.15339770806000003</v>
      </c>
      <c r="AO74">
        <v>31.8</v>
      </c>
      <c r="AP74">
        <v>0.5</v>
      </c>
      <c r="AQ74" t="s">
        <v>331</v>
      </c>
      <c r="AR74">
        <v>2</v>
      </c>
      <c r="AS74">
        <v>1690388855.5999999</v>
      </c>
      <c r="AT74">
        <v>690.01300000000003</v>
      </c>
      <c r="AU74">
        <v>800.03700000000003</v>
      </c>
      <c r="AV74">
        <v>21.990500000000001</v>
      </c>
      <c r="AW74">
        <v>15.6434</v>
      </c>
      <c r="AX74">
        <v>689.79399999999998</v>
      </c>
      <c r="AY74">
        <v>21.792100000000001</v>
      </c>
      <c r="AZ74">
        <v>300.16800000000001</v>
      </c>
      <c r="BA74">
        <v>98.652699999999996</v>
      </c>
      <c r="BB74">
        <v>0.100032</v>
      </c>
      <c r="BC74">
        <v>25.285799999999998</v>
      </c>
      <c r="BD74">
        <v>26.972000000000001</v>
      </c>
      <c r="BE74">
        <v>26.866700000000002</v>
      </c>
      <c r="BF74">
        <v>0</v>
      </c>
      <c r="BG74">
        <v>0</v>
      </c>
      <c r="BH74">
        <v>9993.1200000000008</v>
      </c>
      <c r="BI74">
        <v>1057.3499999999999</v>
      </c>
      <c r="BJ74">
        <v>1.5137799999999999</v>
      </c>
      <c r="BK74">
        <v>-110.024</v>
      </c>
      <c r="BL74">
        <v>705.52700000000004</v>
      </c>
      <c r="BM74">
        <v>812.75099999999998</v>
      </c>
      <c r="BN74">
        <v>6.3471099999999998</v>
      </c>
      <c r="BO74">
        <v>800.03700000000003</v>
      </c>
      <c r="BP74">
        <v>15.6434</v>
      </c>
      <c r="BQ74">
        <v>2.1694200000000001</v>
      </c>
      <c r="BR74">
        <v>1.5432600000000001</v>
      </c>
      <c r="BS74">
        <v>18.738299999999999</v>
      </c>
      <c r="BT74">
        <v>13.403600000000001</v>
      </c>
      <c r="BU74">
        <v>1800</v>
      </c>
      <c r="BV74">
        <v>0.90999099999999999</v>
      </c>
      <c r="BW74">
        <v>3.3995600000000001E-2</v>
      </c>
      <c r="BX74">
        <v>2.2004800000000001E-2</v>
      </c>
      <c r="BY74">
        <v>3.4008200000000002E-2</v>
      </c>
      <c r="BZ74">
        <v>25</v>
      </c>
      <c r="CA74">
        <v>33528.199999999997</v>
      </c>
      <c r="CB74">
        <v>1690387638</v>
      </c>
      <c r="CC74" t="s">
        <v>332</v>
      </c>
      <c r="CD74">
        <v>1690387638</v>
      </c>
      <c r="CE74">
        <v>1690387638</v>
      </c>
      <c r="CF74">
        <v>6</v>
      </c>
      <c r="CG74">
        <v>0.43</v>
      </c>
      <c r="CH74">
        <v>-8.1000000000000003E-2</v>
      </c>
      <c r="CI74">
        <v>0.14199999999999999</v>
      </c>
      <c r="CJ74">
        <v>-2.7E-2</v>
      </c>
      <c r="CK74">
        <v>800</v>
      </c>
      <c r="CL74">
        <v>0</v>
      </c>
      <c r="CM74">
        <v>0.01</v>
      </c>
      <c r="CN74">
        <v>0.01</v>
      </c>
      <c r="CO74">
        <v>-105.9733414634146</v>
      </c>
      <c r="CP74">
        <v>-22.139121951219689</v>
      </c>
      <c r="CQ74">
        <v>2.1831641459772979</v>
      </c>
      <c r="CR74">
        <v>-1</v>
      </c>
      <c r="CS74">
        <v>6.1601748780487808</v>
      </c>
      <c r="CT74">
        <v>1.0776407665505141</v>
      </c>
      <c r="CU74">
        <v>0.106860964652433</v>
      </c>
      <c r="CV74">
        <v>-1</v>
      </c>
      <c r="CW74">
        <v>0</v>
      </c>
      <c r="CX74">
        <v>0</v>
      </c>
      <c r="CY74" t="s">
        <v>333</v>
      </c>
      <c r="CZ74">
        <v>2.36456</v>
      </c>
      <c r="DA74">
        <v>2.7138200000000001</v>
      </c>
      <c r="DB74">
        <v>0.132185</v>
      </c>
      <c r="DC74">
        <v>0.145706</v>
      </c>
      <c r="DD74">
        <v>0.106582</v>
      </c>
      <c r="DE74">
        <v>8.2378300000000002E-2</v>
      </c>
      <c r="DF74">
        <v>31702.1</v>
      </c>
      <c r="DG74">
        <v>27551.7</v>
      </c>
      <c r="DH74">
        <v>31186.2</v>
      </c>
      <c r="DI74">
        <v>28101.5</v>
      </c>
      <c r="DJ74">
        <v>37831.300000000003</v>
      </c>
      <c r="DK74">
        <v>36670.9</v>
      </c>
      <c r="DL74">
        <v>44383.9</v>
      </c>
      <c r="DM74">
        <v>42596.9</v>
      </c>
      <c r="DN74">
        <v>1.4631799999999999</v>
      </c>
      <c r="DO74">
        <v>2.0529000000000002</v>
      </c>
      <c r="DP74">
        <v>0.15862299999999999</v>
      </c>
      <c r="DQ74">
        <v>0.16085099999999999</v>
      </c>
      <c r="DR74">
        <v>24.372199999999999</v>
      </c>
      <c r="DS74">
        <v>24.229900000000001</v>
      </c>
      <c r="DT74">
        <v>56.9</v>
      </c>
      <c r="DU74">
        <v>28.8</v>
      </c>
      <c r="DV74">
        <v>22.928599999999999</v>
      </c>
      <c r="DW74">
        <v>61.022199999999998</v>
      </c>
      <c r="DX74">
        <v>35.781199999999998</v>
      </c>
      <c r="DY74">
        <v>1</v>
      </c>
      <c r="DZ74">
        <v>-9.8295199999999999E-2</v>
      </c>
      <c r="EA74">
        <v>0.70266300000000004</v>
      </c>
      <c r="EB74">
        <v>20.187999999999999</v>
      </c>
      <c r="EC74">
        <v>5.2409499999999998</v>
      </c>
      <c r="ED74">
        <v>12.039899999999999</v>
      </c>
      <c r="EE74">
        <v>5.0168499999999998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1.8689100000000001</v>
      </c>
      <c r="EL74">
        <v>1.8646199999999999</v>
      </c>
      <c r="EM74">
        <v>1.8692</v>
      </c>
      <c r="EN74">
        <v>1.8672200000000001</v>
      </c>
      <c r="EO74">
        <v>1.86338</v>
      </c>
      <c r="EP74">
        <v>1.8644700000000001</v>
      </c>
      <c r="EQ74">
        <v>1.87015</v>
      </c>
      <c r="ER74">
        <v>1.8693900000000001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0.219</v>
      </c>
      <c r="FG74">
        <v>0.19839999999999999</v>
      </c>
      <c r="FH74">
        <v>0.69281559908863044</v>
      </c>
      <c r="FI74">
        <v>-6.1462078757559423E-4</v>
      </c>
      <c r="FJ74">
        <v>-1.8861989874597051E-7</v>
      </c>
      <c r="FK74">
        <v>1.1980462299894961E-10</v>
      </c>
      <c r="FL74">
        <v>0.19840465858211129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20.3</v>
      </c>
      <c r="FU74">
        <v>20.3</v>
      </c>
      <c r="FV74">
        <v>1.78833</v>
      </c>
      <c r="FW74">
        <v>2.5793499999999998</v>
      </c>
      <c r="FX74">
        <v>1.5490699999999999</v>
      </c>
      <c r="FY74">
        <v>2.3327599999999999</v>
      </c>
      <c r="FZ74">
        <v>1.50024</v>
      </c>
      <c r="GA74">
        <v>2.36084</v>
      </c>
      <c r="GB74">
        <v>33.580399999999997</v>
      </c>
      <c r="GC74">
        <v>23.991199999999999</v>
      </c>
      <c r="GD74">
        <v>19</v>
      </c>
      <c r="GE74">
        <v>277.00900000000001</v>
      </c>
      <c r="GF74">
        <v>595.77099999999996</v>
      </c>
      <c r="GG74">
        <v>22.427</v>
      </c>
      <c r="GH74">
        <v>26.162600000000001</v>
      </c>
      <c r="GI74">
        <v>29.9998</v>
      </c>
      <c r="GJ74">
        <v>26.2683</v>
      </c>
      <c r="GK74">
        <v>26.238</v>
      </c>
      <c r="GL74">
        <v>35.765900000000002</v>
      </c>
      <c r="GM74">
        <v>39.531100000000002</v>
      </c>
      <c r="GN74">
        <v>93.568600000000004</v>
      </c>
      <c r="GO74">
        <v>22.450900000000001</v>
      </c>
      <c r="GP74">
        <v>800</v>
      </c>
      <c r="GQ74">
        <v>15.4998</v>
      </c>
      <c r="GR74">
        <v>99.786500000000004</v>
      </c>
      <c r="GS74">
        <v>99.644599999999997</v>
      </c>
    </row>
    <row r="75" spans="1:201" x14ac:dyDescent="0.25">
      <c r="A75">
        <v>59</v>
      </c>
      <c r="B75">
        <v>1690388865.5999999</v>
      </c>
      <c r="C75">
        <v>607.09999990463257</v>
      </c>
      <c r="D75" t="s">
        <v>451</v>
      </c>
      <c r="E75" t="s">
        <v>452</v>
      </c>
      <c r="F75" t="s">
        <v>330</v>
      </c>
      <c r="H75">
        <v>1690388865.5999999</v>
      </c>
      <c r="I75">
        <f t="shared" si="0"/>
        <v>6.3171493186220222E-4</v>
      </c>
      <c r="J75">
        <f t="shared" si="1"/>
        <v>0.63171493186220218</v>
      </c>
      <c r="K75">
        <f t="shared" si="2"/>
        <v>10.303586552009133</v>
      </c>
      <c r="L75">
        <f t="shared" si="3"/>
        <v>686.25900000000001</v>
      </c>
      <c r="M75">
        <f t="shared" si="4"/>
        <v>279.084068536784</v>
      </c>
      <c r="N75">
        <f t="shared" si="5"/>
        <v>27.560428845509609</v>
      </c>
      <c r="O75">
        <f t="shared" si="6"/>
        <v>67.770232956159305</v>
      </c>
      <c r="P75">
        <f t="shared" si="7"/>
        <v>4.2072723727125692E-2</v>
      </c>
      <c r="Q75">
        <f t="shared" si="8"/>
        <v>2.1571528461361615</v>
      </c>
      <c r="R75">
        <f t="shared" si="9"/>
        <v>4.1622116679521606E-2</v>
      </c>
      <c r="S75">
        <f t="shared" si="10"/>
        <v>2.6053905944722143E-2</v>
      </c>
      <c r="T75">
        <f t="shared" si="11"/>
        <v>276.11412347012526</v>
      </c>
      <c r="U75">
        <f t="shared" si="12"/>
        <v>27.238335077160592</v>
      </c>
      <c r="V75">
        <f t="shared" si="13"/>
        <v>27.238335077160592</v>
      </c>
      <c r="W75">
        <f t="shared" si="14"/>
        <v>3.629567954171077</v>
      </c>
      <c r="X75">
        <f t="shared" si="15"/>
        <v>67.206588122841822</v>
      </c>
      <c r="Y75">
        <f t="shared" si="16"/>
        <v>2.1748009604250202</v>
      </c>
      <c r="Z75">
        <f t="shared" si="17"/>
        <v>3.2359937041438056</v>
      </c>
      <c r="AA75">
        <f t="shared" si="18"/>
        <v>1.4547669937460568</v>
      </c>
      <c r="AB75">
        <f t="shared" si="19"/>
        <v>-27.858628495123117</v>
      </c>
      <c r="AC75">
        <f t="shared" si="20"/>
        <v>-226.02617986052456</v>
      </c>
      <c r="AD75">
        <f t="shared" si="21"/>
        <v>-22.447512449581172</v>
      </c>
      <c r="AE75">
        <f t="shared" si="22"/>
        <v>-0.21819733510361061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52434.941073271359</v>
      </c>
      <c r="AK75">
        <f t="shared" si="26"/>
        <v>1799.99</v>
      </c>
      <c r="AL75">
        <f t="shared" si="27"/>
        <v>1499.1038281991298</v>
      </c>
      <c r="AM75">
        <f t="shared" si="28"/>
        <v>0.8328400869999999</v>
      </c>
      <c r="AN75">
        <f t="shared" si="29"/>
        <v>0.15339758746999999</v>
      </c>
      <c r="AO75">
        <v>31.8</v>
      </c>
      <c r="AP75">
        <v>0.5</v>
      </c>
      <c r="AQ75" t="s">
        <v>331</v>
      </c>
      <c r="AR75">
        <v>2</v>
      </c>
      <c r="AS75">
        <v>1690388865.5999999</v>
      </c>
      <c r="AT75">
        <v>686.25900000000001</v>
      </c>
      <c r="AU75">
        <v>800.02</v>
      </c>
      <c r="AV75">
        <v>22.022600000000001</v>
      </c>
      <c r="AW75">
        <v>15.476900000000001</v>
      </c>
      <c r="AX75">
        <v>686.03800000000001</v>
      </c>
      <c r="AY75">
        <v>21.824100000000001</v>
      </c>
      <c r="AZ75">
        <v>300.13799999999998</v>
      </c>
      <c r="BA75">
        <v>98.653199999999998</v>
      </c>
      <c r="BB75">
        <v>9.9942699999999995E-2</v>
      </c>
      <c r="BC75">
        <v>25.294799999999999</v>
      </c>
      <c r="BD75">
        <v>27.003299999999999</v>
      </c>
      <c r="BE75">
        <v>26.8794</v>
      </c>
      <c r="BF75">
        <v>0</v>
      </c>
      <c r="BG75">
        <v>0</v>
      </c>
      <c r="BH75">
        <v>9994.3799999999992</v>
      </c>
      <c r="BI75">
        <v>1057.31</v>
      </c>
      <c r="BJ75">
        <v>1.5922799999999999</v>
      </c>
      <c r="BK75">
        <v>-113.761</v>
      </c>
      <c r="BL75">
        <v>701.71299999999997</v>
      </c>
      <c r="BM75">
        <v>812.596</v>
      </c>
      <c r="BN75">
        <v>6.5456399999999997</v>
      </c>
      <c r="BO75">
        <v>800.02</v>
      </c>
      <c r="BP75">
        <v>15.476900000000001</v>
      </c>
      <c r="BQ75">
        <v>2.1726000000000001</v>
      </c>
      <c r="BR75">
        <v>1.52685</v>
      </c>
      <c r="BS75">
        <v>18.761700000000001</v>
      </c>
      <c r="BT75">
        <v>13.239699999999999</v>
      </c>
      <c r="BU75">
        <v>1799.99</v>
      </c>
      <c r="BV75">
        <v>0.90999600000000003</v>
      </c>
      <c r="BW75">
        <v>3.3993700000000002E-2</v>
      </c>
      <c r="BX75">
        <v>2.2003600000000002E-2</v>
      </c>
      <c r="BY75">
        <v>3.4006300000000003E-2</v>
      </c>
      <c r="BZ75">
        <v>25</v>
      </c>
      <c r="CA75">
        <v>33528.199999999997</v>
      </c>
      <c r="CB75">
        <v>1690387638</v>
      </c>
      <c r="CC75" t="s">
        <v>332</v>
      </c>
      <c r="CD75">
        <v>1690387638</v>
      </c>
      <c r="CE75">
        <v>1690387638</v>
      </c>
      <c r="CF75">
        <v>6</v>
      </c>
      <c r="CG75">
        <v>0.43</v>
      </c>
      <c r="CH75">
        <v>-8.1000000000000003E-2</v>
      </c>
      <c r="CI75">
        <v>0.14199999999999999</v>
      </c>
      <c r="CJ75">
        <v>-2.7E-2</v>
      </c>
      <c r="CK75">
        <v>800</v>
      </c>
      <c r="CL75">
        <v>0</v>
      </c>
      <c r="CM75">
        <v>0.01</v>
      </c>
      <c r="CN75">
        <v>0.01</v>
      </c>
      <c r="CO75">
        <v>-109.6894878048781</v>
      </c>
      <c r="CP75">
        <v>-22.392543554006991</v>
      </c>
      <c r="CQ75">
        <v>2.2081045742507048</v>
      </c>
      <c r="CR75">
        <v>-1</v>
      </c>
      <c r="CS75">
        <v>6.3443026829268288</v>
      </c>
      <c r="CT75">
        <v>1.1230678745644489</v>
      </c>
      <c r="CU75">
        <v>0.11134086861754409</v>
      </c>
      <c r="CV75">
        <v>-1</v>
      </c>
      <c r="CW75">
        <v>0</v>
      </c>
      <c r="CX75">
        <v>0</v>
      </c>
      <c r="CY75" t="s">
        <v>333</v>
      </c>
      <c r="CZ75">
        <v>2.3644599999999998</v>
      </c>
      <c r="DA75">
        <v>2.71373</v>
      </c>
      <c r="DB75">
        <v>0.131693</v>
      </c>
      <c r="DC75">
        <v>0.145702</v>
      </c>
      <c r="DD75">
        <v>0.106695</v>
      </c>
      <c r="DE75">
        <v>8.1738400000000003E-2</v>
      </c>
      <c r="DF75">
        <v>31720.2</v>
      </c>
      <c r="DG75">
        <v>27551.7</v>
      </c>
      <c r="DH75">
        <v>31186.3</v>
      </c>
      <c r="DI75">
        <v>28101.3</v>
      </c>
      <c r="DJ75">
        <v>37826.699999999997</v>
      </c>
      <c r="DK75">
        <v>36696.300000000003</v>
      </c>
      <c r="DL75">
        <v>44384.1</v>
      </c>
      <c r="DM75">
        <v>42596.6</v>
      </c>
      <c r="DN75">
        <v>1.4629799999999999</v>
      </c>
      <c r="DO75">
        <v>2.0526</v>
      </c>
      <c r="DP75">
        <v>0.161164</v>
      </c>
      <c r="DQ75">
        <v>0.161938</v>
      </c>
      <c r="DR75">
        <v>24.361899999999999</v>
      </c>
      <c r="DS75">
        <v>24.224799999999998</v>
      </c>
      <c r="DT75">
        <v>56.8</v>
      </c>
      <c r="DU75">
        <v>28.8</v>
      </c>
      <c r="DV75">
        <v>22.8887</v>
      </c>
      <c r="DW75">
        <v>60.802199999999999</v>
      </c>
      <c r="DX75">
        <v>36.0777</v>
      </c>
      <c r="DY75">
        <v>1</v>
      </c>
      <c r="DZ75">
        <v>-9.8879599999999998E-2</v>
      </c>
      <c r="EA75">
        <v>0.75330900000000001</v>
      </c>
      <c r="EB75">
        <v>20.187999999999999</v>
      </c>
      <c r="EC75">
        <v>5.2408000000000001</v>
      </c>
      <c r="ED75">
        <v>12.039899999999999</v>
      </c>
      <c r="EE75">
        <v>5.01675</v>
      </c>
      <c r="EF75">
        <v>3.2879700000000001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1.8646199999999999</v>
      </c>
      <c r="EM75">
        <v>1.8692</v>
      </c>
      <c r="EN75">
        <v>1.8672299999999999</v>
      </c>
      <c r="EO75">
        <v>1.86338</v>
      </c>
      <c r="EP75">
        <v>1.8644700000000001</v>
      </c>
      <c r="EQ75">
        <v>1.8701399999999999</v>
      </c>
      <c r="ER75">
        <v>1.86938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0.221</v>
      </c>
      <c r="FG75">
        <v>0.19850000000000001</v>
      </c>
      <c r="FH75">
        <v>0.69281559908863044</v>
      </c>
      <c r="FI75">
        <v>-6.1462078757559423E-4</v>
      </c>
      <c r="FJ75">
        <v>-1.8861989874597051E-7</v>
      </c>
      <c r="FK75">
        <v>1.1980462299894961E-10</v>
      </c>
      <c r="FL75">
        <v>0.19840465858211129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20.5</v>
      </c>
      <c r="FU75">
        <v>20.5</v>
      </c>
      <c r="FV75">
        <v>1.78833</v>
      </c>
      <c r="FW75">
        <v>2.5830099999999998</v>
      </c>
      <c r="FX75">
        <v>1.5490699999999999</v>
      </c>
      <c r="FY75">
        <v>2.3327599999999999</v>
      </c>
      <c r="FZ75">
        <v>1.50146</v>
      </c>
      <c r="GA75">
        <v>2.3278799999999999</v>
      </c>
      <c r="GB75">
        <v>33.580399999999997</v>
      </c>
      <c r="GC75">
        <v>23.991199999999999</v>
      </c>
      <c r="GD75">
        <v>19</v>
      </c>
      <c r="GE75">
        <v>276.90800000000002</v>
      </c>
      <c r="GF75">
        <v>595.49400000000003</v>
      </c>
      <c r="GG75">
        <v>22.4849</v>
      </c>
      <c r="GH75">
        <v>26.156600000000001</v>
      </c>
      <c r="GI75">
        <v>29.9998</v>
      </c>
      <c r="GJ75">
        <v>26.264399999999998</v>
      </c>
      <c r="GK75">
        <v>26.235800000000001</v>
      </c>
      <c r="GL75">
        <v>35.7607</v>
      </c>
      <c r="GM75">
        <v>40.095100000000002</v>
      </c>
      <c r="GN75">
        <v>93.19</v>
      </c>
      <c r="GO75">
        <v>22.4878</v>
      </c>
      <c r="GP75">
        <v>800</v>
      </c>
      <c r="GQ75">
        <v>15.3436</v>
      </c>
      <c r="GR75">
        <v>99.786900000000003</v>
      </c>
      <c r="GS75">
        <v>99.643799999999999</v>
      </c>
    </row>
    <row r="76" spans="1:201" x14ac:dyDescent="0.25">
      <c r="A76">
        <v>60</v>
      </c>
      <c r="B76">
        <v>1690388875.5999999</v>
      </c>
      <c r="C76">
        <v>617.09999990463257</v>
      </c>
      <c r="D76" t="s">
        <v>453</v>
      </c>
      <c r="E76" t="s">
        <v>454</v>
      </c>
      <c r="F76" t="s">
        <v>330</v>
      </c>
      <c r="H76">
        <v>1690388875.5999999</v>
      </c>
      <c r="I76">
        <f t="shared" si="0"/>
        <v>6.487157782599218E-4</v>
      </c>
      <c r="J76">
        <f t="shared" si="1"/>
        <v>0.64871577825992177</v>
      </c>
      <c r="K76">
        <f t="shared" si="2"/>
        <v>10.656894715733126</v>
      </c>
      <c r="L76">
        <f t="shared" si="3"/>
        <v>682.42100000000005</v>
      </c>
      <c r="M76">
        <f t="shared" si="4"/>
        <v>273.06153564250548</v>
      </c>
      <c r="N76">
        <f t="shared" si="5"/>
        <v>26.964836474912701</v>
      </c>
      <c r="O76">
        <f t="shared" si="6"/>
        <v>67.389098317156012</v>
      </c>
      <c r="P76">
        <f t="shared" si="7"/>
        <v>4.327364843858731E-2</v>
      </c>
      <c r="Q76">
        <f t="shared" si="8"/>
        <v>2.1538162720724658</v>
      </c>
      <c r="R76">
        <f t="shared" si="9"/>
        <v>4.2796377688075087E-2</v>
      </c>
      <c r="S76">
        <f t="shared" si="10"/>
        <v>2.6790178239331802E-2</v>
      </c>
      <c r="T76">
        <f t="shared" si="11"/>
        <v>276.11571365999998</v>
      </c>
      <c r="U76">
        <f t="shared" si="12"/>
        <v>27.239503064020614</v>
      </c>
      <c r="V76">
        <f t="shared" si="13"/>
        <v>27.239503064020614</v>
      </c>
      <c r="W76">
        <f t="shared" si="14"/>
        <v>3.6298165031502716</v>
      </c>
      <c r="X76">
        <f t="shared" si="15"/>
        <v>67.255929533025594</v>
      </c>
      <c r="Y76">
        <f t="shared" si="16"/>
        <v>2.1769544186236005</v>
      </c>
      <c r="Z76">
        <f t="shared" si="17"/>
        <v>3.2368215467970316</v>
      </c>
      <c r="AA76">
        <f t="shared" si="18"/>
        <v>1.4528620845266711</v>
      </c>
      <c r="AB76">
        <f t="shared" si="19"/>
        <v>-28.608365821262552</v>
      </c>
      <c r="AC76">
        <f t="shared" si="20"/>
        <v>-225.31289554896833</v>
      </c>
      <c r="AD76">
        <f t="shared" si="21"/>
        <v>-22.411951676224522</v>
      </c>
      <c r="AE76">
        <f t="shared" si="22"/>
        <v>-0.21749938645544376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52294.035627814905</v>
      </c>
      <c r="AK76">
        <f t="shared" si="26"/>
        <v>1800</v>
      </c>
      <c r="AL76">
        <f t="shared" si="27"/>
        <v>1499.1134039999999</v>
      </c>
      <c r="AM76">
        <f t="shared" si="28"/>
        <v>0.83284077999999995</v>
      </c>
      <c r="AN76">
        <f t="shared" si="29"/>
        <v>0.15339761869999999</v>
      </c>
      <c r="AO76">
        <v>31.8</v>
      </c>
      <c r="AP76">
        <v>0.5</v>
      </c>
      <c r="AQ76" t="s">
        <v>331</v>
      </c>
      <c r="AR76">
        <v>2</v>
      </c>
      <c r="AS76">
        <v>1690388875.5999999</v>
      </c>
      <c r="AT76">
        <v>682.42100000000005</v>
      </c>
      <c r="AU76">
        <v>800.01199999999994</v>
      </c>
      <c r="AV76">
        <v>22.045100000000001</v>
      </c>
      <c r="AW76">
        <v>15.324</v>
      </c>
      <c r="AX76">
        <v>682.197</v>
      </c>
      <c r="AY76">
        <v>21.846699999999998</v>
      </c>
      <c r="AZ76">
        <v>300.16500000000002</v>
      </c>
      <c r="BA76">
        <v>98.65</v>
      </c>
      <c r="BB76">
        <v>0.100036</v>
      </c>
      <c r="BC76">
        <v>25.299099999999999</v>
      </c>
      <c r="BD76">
        <v>26.956099999999999</v>
      </c>
      <c r="BE76">
        <v>26.886900000000001</v>
      </c>
      <c r="BF76">
        <v>0</v>
      </c>
      <c r="BG76">
        <v>0</v>
      </c>
      <c r="BH76">
        <v>9966.8799999999992</v>
      </c>
      <c r="BI76">
        <v>1057.31</v>
      </c>
      <c r="BJ76">
        <v>1.70441</v>
      </c>
      <c r="BK76">
        <v>-117.59099999999999</v>
      </c>
      <c r="BL76">
        <v>697.80399999999997</v>
      </c>
      <c r="BM76">
        <v>812.46299999999997</v>
      </c>
      <c r="BN76">
        <v>6.7210700000000001</v>
      </c>
      <c r="BO76">
        <v>800.01199999999994</v>
      </c>
      <c r="BP76">
        <v>15.324</v>
      </c>
      <c r="BQ76">
        <v>2.1747399999999999</v>
      </c>
      <c r="BR76">
        <v>1.5117100000000001</v>
      </c>
      <c r="BS76">
        <v>18.7775</v>
      </c>
      <c r="BT76">
        <v>13.0871</v>
      </c>
      <c r="BU76">
        <v>1800</v>
      </c>
      <c r="BV76">
        <v>0.909999</v>
      </c>
      <c r="BW76">
        <v>3.3992799999999997E-2</v>
      </c>
      <c r="BX76">
        <v>2.2003000000000002E-2</v>
      </c>
      <c r="BY76">
        <v>3.4005399999999998E-2</v>
      </c>
      <c r="BZ76">
        <v>25</v>
      </c>
      <c r="CA76">
        <v>33528.300000000003</v>
      </c>
      <c r="CB76">
        <v>1690387638</v>
      </c>
      <c r="CC76" t="s">
        <v>332</v>
      </c>
      <c r="CD76">
        <v>1690387638</v>
      </c>
      <c r="CE76">
        <v>1690387638</v>
      </c>
      <c r="CF76">
        <v>6</v>
      </c>
      <c r="CG76">
        <v>0.43</v>
      </c>
      <c r="CH76">
        <v>-8.1000000000000003E-2</v>
      </c>
      <c r="CI76">
        <v>0.14199999999999999</v>
      </c>
      <c r="CJ76">
        <v>-2.7E-2</v>
      </c>
      <c r="CK76">
        <v>800</v>
      </c>
      <c r="CL76">
        <v>0</v>
      </c>
      <c r="CM76">
        <v>0.01</v>
      </c>
      <c r="CN76">
        <v>0.01</v>
      </c>
      <c r="CO76">
        <v>-113.35415</v>
      </c>
      <c r="CP76">
        <v>-22.80934333958708</v>
      </c>
      <c r="CQ76">
        <v>2.1943668853452931</v>
      </c>
      <c r="CR76">
        <v>-1</v>
      </c>
      <c r="CS76">
        <v>6.5292265</v>
      </c>
      <c r="CT76">
        <v>1.198435497185719</v>
      </c>
      <c r="CU76">
        <v>0.1156927408170019</v>
      </c>
      <c r="CV76">
        <v>-1</v>
      </c>
      <c r="CW76">
        <v>0</v>
      </c>
      <c r="CX76">
        <v>0</v>
      </c>
      <c r="CY76" t="s">
        <v>333</v>
      </c>
      <c r="CZ76">
        <v>2.3645399999999999</v>
      </c>
      <c r="DA76">
        <v>2.7138</v>
      </c>
      <c r="DB76">
        <v>0.13118299999999999</v>
      </c>
      <c r="DC76">
        <v>0.14569399999999999</v>
      </c>
      <c r="DD76">
        <v>0.10677</v>
      </c>
      <c r="DE76">
        <v>8.1145300000000004E-2</v>
      </c>
      <c r="DF76">
        <v>31738.5</v>
      </c>
      <c r="DG76">
        <v>27552.5</v>
      </c>
      <c r="DH76">
        <v>31185.9</v>
      </c>
      <c r="DI76">
        <v>28101.9</v>
      </c>
      <c r="DJ76">
        <v>37823.199999999997</v>
      </c>
      <c r="DK76">
        <v>36720.6</v>
      </c>
      <c r="DL76">
        <v>44383.9</v>
      </c>
      <c r="DM76">
        <v>42597.2</v>
      </c>
      <c r="DN76">
        <v>1.4634499999999999</v>
      </c>
      <c r="DO76">
        <v>2.0526499999999999</v>
      </c>
      <c r="DP76">
        <v>0.15886900000000001</v>
      </c>
      <c r="DQ76">
        <v>0.16270599999999999</v>
      </c>
      <c r="DR76">
        <v>24.3522</v>
      </c>
      <c r="DS76">
        <v>24.2197</v>
      </c>
      <c r="DT76">
        <v>56.8</v>
      </c>
      <c r="DU76">
        <v>28.8</v>
      </c>
      <c r="DV76">
        <v>22.8874</v>
      </c>
      <c r="DW76">
        <v>61.062199999999997</v>
      </c>
      <c r="DX76">
        <v>36.490400000000001</v>
      </c>
      <c r="DY76">
        <v>1</v>
      </c>
      <c r="DZ76">
        <v>-9.8655999999999994E-2</v>
      </c>
      <c r="EA76">
        <v>0.79666700000000001</v>
      </c>
      <c r="EB76">
        <v>20.1874</v>
      </c>
      <c r="EC76">
        <v>5.2408000000000001</v>
      </c>
      <c r="ED76">
        <v>12.039899999999999</v>
      </c>
      <c r="EE76">
        <v>5.0167000000000002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1.8689199999999999</v>
      </c>
      <c r="EL76">
        <v>1.8646199999999999</v>
      </c>
      <c r="EM76">
        <v>1.8692</v>
      </c>
      <c r="EN76">
        <v>1.8672299999999999</v>
      </c>
      <c r="EO76">
        <v>1.86338</v>
      </c>
      <c r="EP76">
        <v>1.8644700000000001</v>
      </c>
      <c r="EQ76">
        <v>1.87015</v>
      </c>
      <c r="ER76">
        <v>1.8694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0.224</v>
      </c>
      <c r="FG76">
        <v>0.19839999999999999</v>
      </c>
      <c r="FH76">
        <v>0.69281559908863044</v>
      </c>
      <c r="FI76">
        <v>-6.1462078757559423E-4</v>
      </c>
      <c r="FJ76">
        <v>-1.8861989874597051E-7</v>
      </c>
      <c r="FK76">
        <v>1.1980462299894961E-10</v>
      </c>
      <c r="FL76">
        <v>0.19840465858211129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20.6</v>
      </c>
      <c r="FU76">
        <v>20.6</v>
      </c>
      <c r="FV76">
        <v>1.78833</v>
      </c>
      <c r="FW76">
        <v>2.5866699999999998</v>
      </c>
      <c r="FX76">
        <v>1.5490699999999999</v>
      </c>
      <c r="FY76">
        <v>2.3327599999999999</v>
      </c>
      <c r="FZ76">
        <v>1.50146</v>
      </c>
      <c r="GA76">
        <v>2.2949199999999998</v>
      </c>
      <c r="GB76">
        <v>33.558</v>
      </c>
      <c r="GC76">
        <v>23.982399999999998</v>
      </c>
      <c r="GD76">
        <v>19</v>
      </c>
      <c r="GE76">
        <v>277.09699999999998</v>
      </c>
      <c r="GF76">
        <v>595.51099999999997</v>
      </c>
      <c r="GG76">
        <v>22.498899999999999</v>
      </c>
      <c r="GH76">
        <v>26.15</v>
      </c>
      <c r="GI76">
        <v>30.0001</v>
      </c>
      <c r="GJ76">
        <v>26.2621</v>
      </c>
      <c r="GK76">
        <v>26.233599999999999</v>
      </c>
      <c r="GL76">
        <v>35.758200000000002</v>
      </c>
      <c r="GM76">
        <v>40.402000000000001</v>
      </c>
      <c r="GN76">
        <v>92.807299999999998</v>
      </c>
      <c r="GO76">
        <v>22.5139</v>
      </c>
      <c r="GP76">
        <v>800</v>
      </c>
      <c r="GQ76">
        <v>15.1927</v>
      </c>
      <c r="GR76">
        <v>99.786100000000005</v>
      </c>
      <c r="GS76">
        <v>99.645600000000002</v>
      </c>
    </row>
    <row r="77" spans="1:201" x14ac:dyDescent="0.25">
      <c r="A77">
        <v>61</v>
      </c>
      <c r="B77">
        <v>1690388885.5999999</v>
      </c>
      <c r="C77">
        <v>627.09999990463257</v>
      </c>
      <c r="D77" t="s">
        <v>455</v>
      </c>
      <c r="E77" t="s">
        <v>456</v>
      </c>
      <c r="F77" t="s">
        <v>330</v>
      </c>
      <c r="H77">
        <v>1690388885.5999999</v>
      </c>
      <c r="I77">
        <f t="shared" si="0"/>
        <v>6.6657008432366275E-4</v>
      </c>
      <c r="J77">
        <f t="shared" si="1"/>
        <v>0.66657008432366271</v>
      </c>
      <c r="K77">
        <f t="shared" si="2"/>
        <v>11.005245619147138</v>
      </c>
      <c r="L77">
        <f t="shared" si="3"/>
        <v>678.63</v>
      </c>
      <c r="M77">
        <f t="shared" si="4"/>
        <v>268.04740597555951</v>
      </c>
      <c r="N77">
        <f t="shared" si="5"/>
        <v>26.470251208871606</v>
      </c>
      <c r="O77">
        <f t="shared" si="6"/>
        <v>67.01615526738</v>
      </c>
      <c r="P77">
        <f t="shared" si="7"/>
        <v>4.4548395130186026E-2</v>
      </c>
      <c r="Q77">
        <f t="shared" si="8"/>
        <v>2.159834080812935</v>
      </c>
      <c r="R77">
        <f t="shared" si="9"/>
        <v>4.4044160324124837E-2</v>
      </c>
      <c r="S77">
        <f t="shared" si="10"/>
        <v>2.7572428064589295E-2</v>
      </c>
      <c r="T77">
        <f t="shared" si="11"/>
        <v>276.11394500111675</v>
      </c>
      <c r="U77">
        <f t="shared" si="12"/>
        <v>27.236694795463819</v>
      </c>
      <c r="V77">
        <f t="shared" si="13"/>
        <v>27.236694795463819</v>
      </c>
      <c r="W77">
        <f t="shared" si="14"/>
        <v>3.6292189253735199</v>
      </c>
      <c r="X77">
        <f t="shared" si="15"/>
        <v>67.274775318878568</v>
      </c>
      <c r="Y77">
        <f t="shared" si="16"/>
        <v>2.1786397781741997</v>
      </c>
      <c r="Z77">
        <f t="shared" si="17"/>
        <v>3.2384199989484506</v>
      </c>
      <c r="AA77">
        <f t="shared" si="18"/>
        <v>1.4505791471993201</v>
      </c>
      <c r="AB77">
        <f t="shared" si="19"/>
        <v>-29.395740718673526</v>
      </c>
      <c r="AC77">
        <f t="shared" si="20"/>
        <v>-224.64896697829624</v>
      </c>
      <c r="AD77">
        <f t="shared" si="21"/>
        <v>-22.284260178850751</v>
      </c>
      <c r="AE77">
        <f t="shared" si="22"/>
        <v>-0.21502287470377723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52545.435157216481</v>
      </c>
      <c r="AK77">
        <f t="shared" si="26"/>
        <v>1799.99</v>
      </c>
      <c r="AL77">
        <f t="shared" si="27"/>
        <v>1499.10439519598</v>
      </c>
      <c r="AM77">
        <f t="shared" si="28"/>
        <v>0.83284040199999998</v>
      </c>
      <c r="AN77">
        <f t="shared" si="29"/>
        <v>0.15339748831999997</v>
      </c>
      <c r="AO77">
        <v>31.8</v>
      </c>
      <c r="AP77">
        <v>0.5</v>
      </c>
      <c r="AQ77" t="s">
        <v>331</v>
      </c>
      <c r="AR77">
        <v>2</v>
      </c>
      <c r="AS77">
        <v>1690388885.5999999</v>
      </c>
      <c r="AT77">
        <v>678.63</v>
      </c>
      <c r="AU77">
        <v>800.03200000000004</v>
      </c>
      <c r="AV77">
        <v>22.061699999999998</v>
      </c>
      <c r="AW77">
        <v>15.1547</v>
      </c>
      <c r="AX77">
        <v>678.40300000000002</v>
      </c>
      <c r="AY77">
        <v>21.863299999999999</v>
      </c>
      <c r="AZ77">
        <v>300.12</v>
      </c>
      <c r="BA77">
        <v>98.652100000000004</v>
      </c>
      <c r="BB77">
        <v>0.100026</v>
      </c>
      <c r="BC77">
        <v>25.307400000000001</v>
      </c>
      <c r="BD77">
        <v>26.976900000000001</v>
      </c>
      <c r="BE77">
        <v>26.8535</v>
      </c>
      <c r="BF77">
        <v>0</v>
      </c>
      <c r="BG77">
        <v>0</v>
      </c>
      <c r="BH77">
        <v>10016.9</v>
      </c>
      <c r="BI77">
        <v>1057.49</v>
      </c>
      <c r="BJ77">
        <v>1.67357</v>
      </c>
      <c r="BK77">
        <v>-121.402</v>
      </c>
      <c r="BL77">
        <v>693.93899999999996</v>
      </c>
      <c r="BM77">
        <v>812.34299999999996</v>
      </c>
      <c r="BN77">
        <v>6.90707</v>
      </c>
      <c r="BO77">
        <v>800.03200000000004</v>
      </c>
      <c r="BP77">
        <v>15.1547</v>
      </c>
      <c r="BQ77">
        <v>2.1764399999999999</v>
      </c>
      <c r="BR77">
        <v>1.4950399999999999</v>
      </c>
      <c r="BS77">
        <v>18.789899999999999</v>
      </c>
      <c r="BT77">
        <v>12.9175</v>
      </c>
      <c r="BU77">
        <v>1799.99</v>
      </c>
      <c r="BV77">
        <v>0.91</v>
      </c>
      <c r="BW77">
        <v>3.39922E-2</v>
      </c>
      <c r="BX77">
        <v>2.2002600000000001E-2</v>
      </c>
      <c r="BY77">
        <v>3.4004800000000002E-2</v>
      </c>
      <c r="BZ77">
        <v>25</v>
      </c>
      <c r="CA77">
        <v>33528.199999999997</v>
      </c>
      <c r="CB77">
        <v>1690387638</v>
      </c>
      <c r="CC77" t="s">
        <v>332</v>
      </c>
      <c r="CD77">
        <v>1690387638</v>
      </c>
      <c r="CE77">
        <v>1690387638</v>
      </c>
      <c r="CF77">
        <v>6</v>
      </c>
      <c r="CG77">
        <v>0.43</v>
      </c>
      <c r="CH77">
        <v>-8.1000000000000003E-2</v>
      </c>
      <c r="CI77">
        <v>0.14199999999999999</v>
      </c>
      <c r="CJ77">
        <v>-2.7E-2</v>
      </c>
      <c r="CK77">
        <v>800</v>
      </c>
      <c r="CL77">
        <v>0</v>
      </c>
      <c r="CM77">
        <v>0.01</v>
      </c>
      <c r="CN77">
        <v>0.01</v>
      </c>
      <c r="CO77">
        <v>-117.55135</v>
      </c>
      <c r="CP77">
        <v>-23.076855534708741</v>
      </c>
      <c r="CQ77">
        <v>2.220228541727181</v>
      </c>
      <c r="CR77">
        <v>-1</v>
      </c>
      <c r="CS77">
        <v>6.7236152499999999</v>
      </c>
      <c r="CT77">
        <v>1.000051069418378</v>
      </c>
      <c r="CU77">
        <v>9.7141755233974975E-2</v>
      </c>
      <c r="CV77">
        <v>-1</v>
      </c>
      <c r="CW77">
        <v>0</v>
      </c>
      <c r="CX77">
        <v>0</v>
      </c>
      <c r="CY77" t="s">
        <v>333</v>
      </c>
      <c r="CZ77">
        <v>2.3643999999999998</v>
      </c>
      <c r="DA77">
        <v>2.7138300000000002</v>
      </c>
      <c r="DB77">
        <v>0.130685</v>
      </c>
      <c r="DC77">
        <v>0.14569699999999999</v>
      </c>
      <c r="DD77">
        <v>0.10682999999999999</v>
      </c>
      <c r="DE77">
        <v>8.0490400000000004E-2</v>
      </c>
      <c r="DF77">
        <v>31757.200000000001</v>
      </c>
      <c r="DG77">
        <v>27552.400000000001</v>
      </c>
      <c r="DH77">
        <v>31186.400000000001</v>
      </c>
      <c r="DI77">
        <v>28101.9</v>
      </c>
      <c r="DJ77">
        <v>37821</v>
      </c>
      <c r="DK77">
        <v>36747</v>
      </c>
      <c r="DL77">
        <v>44384.5</v>
      </c>
      <c r="DM77">
        <v>42597.4</v>
      </c>
      <c r="DN77">
        <v>1.46333</v>
      </c>
      <c r="DO77">
        <v>2.0522</v>
      </c>
      <c r="DP77">
        <v>0.16056000000000001</v>
      </c>
      <c r="DQ77">
        <v>0.160798</v>
      </c>
      <c r="DR77">
        <v>24.345400000000001</v>
      </c>
      <c r="DS77">
        <v>24.217400000000001</v>
      </c>
      <c r="DT77">
        <v>56.8</v>
      </c>
      <c r="DU77">
        <v>28.8</v>
      </c>
      <c r="DV77">
        <v>22.891300000000001</v>
      </c>
      <c r="DW77">
        <v>60.542200000000001</v>
      </c>
      <c r="DX77">
        <v>37.063299999999998</v>
      </c>
      <c r="DY77">
        <v>1</v>
      </c>
      <c r="DZ77">
        <v>-9.9850099999999997E-2</v>
      </c>
      <c r="EA77">
        <v>0.70467900000000006</v>
      </c>
      <c r="EB77">
        <v>20.187899999999999</v>
      </c>
      <c r="EC77">
        <v>5.2411000000000003</v>
      </c>
      <c r="ED77">
        <v>12.039899999999999</v>
      </c>
      <c r="EE77">
        <v>5.0168999999999997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1.8646100000000001</v>
      </c>
      <c r="EM77">
        <v>1.8692</v>
      </c>
      <c r="EN77">
        <v>1.8672299999999999</v>
      </c>
      <c r="EO77">
        <v>1.86338</v>
      </c>
      <c r="EP77">
        <v>1.8644700000000001</v>
      </c>
      <c r="EQ77">
        <v>1.8701399999999999</v>
      </c>
      <c r="ER77">
        <v>1.8693900000000001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0.22700000000000001</v>
      </c>
      <c r="FG77">
        <v>0.19839999999999999</v>
      </c>
      <c r="FH77">
        <v>0.69281559908863044</v>
      </c>
      <c r="FI77">
        <v>-6.1462078757559423E-4</v>
      </c>
      <c r="FJ77">
        <v>-1.8861989874597051E-7</v>
      </c>
      <c r="FK77">
        <v>1.1980462299894961E-10</v>
      </c>
      <c r="FL77">
        <v>0.19840465858211129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20.8</v>
      </c>
      <c r="FU77">
        <v>20.8</v>
      </c>
      <c r="FV77">
        <v>1.78833</v>
      </c>
      <c r="FW77">
        <v>2.5854499999999998</v>
      </c>
      <c r="FX77">
        <v>1.5490699999999999</v>
      </c>
      <c r="FY77">
        <v>2.3327599999999999</v>
      </c>
      <c r="FZ77">
        <v>1.50146</v>
      </c>
      <c r="GA77">
        <v>2.31934</v>
      </c>
      <c r="GB77">
        <v>33.558</v>
      </c>
      <c r="GC77">
        <v>23.982399999999998</v>
      </c>
      <c r="GD77">
        <v>19</v>
      </c>
      <c r="GE77">
        <v>277.02800000000002</v>
      </c>
      <c r="GF77">
        <v>595.10799999999995</v>
      </c>
      <c r="GG77">
        <v>22.541899999999998</v>
      </c>
      <c r="GH77">
        <v>26.1433</v>
      </c>
      <c r="GI77">
        <v>29.999600000000001</v>
      </c>
      <c r="GJ77">
        <v>26.258299999999998</v>
      </c>
      <c r="GK77">
        <v>26.231400000000001</v>
      </c>
      <c r="GL77">
        <v>35.749400000000001</v>
      </c>
      <c r="GM77">
        <v>40.957799999999999</v>
      </c>
      <c r="GN77">
        <v>92.431299999999993</v>
      </c>
      <c r="GO77">
        <v>22.561599999999999</v>
      </c>
      <c r="GP77">
        <v>800</v>
      </c>
      <c r="GQ77">
        <v>15.036300000000001</v>
      </c>
      <c r="GR77">
        <v>99.787499999999994</v>
      </c>
      <c r="GS77">
        <v>99.645799999999994</v>
      </c>
    </row>
    <row r="78" spans="1:201" x14ac:dyDescent="0.25">
      <c r="A78">
        <v>62</v>
      </c>
      <c r="B78">
        <v>1690388895.5999999</v>
      </c>
      <c r="C78">
        <v>637.09999990463257</v>
      </c>
      <c r="D78" t="s">
        <v>457</v>
      </c>
      <c r="E78" t="s">
        <v>458</v>
      </c>
      <c r="F78" t="s">
        <v>330</v>
      </c>
      <c r="H78">
        <v>1690388895.5999999</v>
      </c>
      <c r="I78">
        <f t="shared" si="0"/>
        <v>6.8590615773336621E-4</v>
      </c>
      <c r="J78">
        <f t="shared" si="1"/>
        <v>0.68590615773336616</v>
      </c>
      <c r="K78">
        <f t="shared" si="2"/>
        <v>11.377905378723908</v>
      </c>
      <c r="L78">
        <f t="shared" si="3"/>
        <v>674.64800000000002</v>
      </c>
      <c r="M78">
        <f t="shared" si="4"/>
        <v>262.94814858978538</v>
      </c>
      <c r="N78">
        <f t="shared" si="5"/>
        <v>25.966615049228785</v>
      </c>
      <c r="O78">
        <f t="shared" si="6"/>
        <v>66.62273533274319</v>
      </c>
      <c r="P78">
        <f t="shared" si="7"/>
        <v>4.592841307585166E-2</v>
      </c>
      <c r="Q78">
        <f t="shared" si="8"/>
        <v>2.1554136484776292</v>
      </c>
      <c r="R78">
        <f t="shared" si="9"/>
        <v>4.5391571798689717E-2</v>
      </c>
      <c r="S78">
        <f t="shared" si="10"/>
        <v>2.8417442524066076E-2</v>
      </c>
      <c r="T78">
        <f t="shared" si="11"/>
        <v>276.11537981399999</v>
      </c>
      <c r="U78">
        <f t="shared" si="12"/>
        <v>27.238818530015333</v>
      </c>
      <c r="V78">
        <f t="shared" si="13"/>
        <v>27.238818530015333</v>
      </c>
      <c r="W78">
        <f t="shared" si="14"/>
        <v>3.6296708317060231</v>
      </c>
      <c r="X78">
        <f t="shared" si="15"/>
        <v>67.337611947974779</v>
      </c>
      <c r="Y78">
        <f t="shared" si="16"/>
        <v>2.1813492744542802</v>
      </c>
      <c r="Z78">
        <f t="shared" si="17"/>
        <v>3.2394217902167317</v>
      </c>
      <c r="AA78">
        <f t="shared" si="18"/>
        <v>1.4483215572517429</v>
      </c>
      <c r="AB78">
        <f t="shared" si="19"/>
        <v>-30.248461556041448</v>
      </c>
      <c r="AC78">
        <f t="shared" si="20"/>
        <v>-223.83171811702053</v>
      </c>
      <c r="AD78">
        <f t="shared" si="21"/>
        <v>-22.249543837805401</v>
      </c>
      <c r="AE78">
        <f t="shared" si="22"/>
        <v>-0.21434369686735977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52358.74103349795</v>
      </c>
      <c r="AK78">
        <f t="shared" si="26"/>
        <v>1800</v>
      </c>
      <c r="AL78">
        <f t="shared" si="27"/>
        <v>1499.1132924000001</v>
      </c>
      <c r="AM78">
        <f t="shared" si="28"/>
        <v>0.83284071800000004</v>
      </c>
      <c r="AN78">
        <f t="shared" si="29"/>
        <v>0.15339743322999999</v>
      </c>
      <c r="AO78">
        <v>31.8</v>
      </c>
      <c r="AP78">
        <v>0.5</v>
      </c>
      <c r="AQ78" t="s">
        <v>331</v>
      </c>
      <c r="AR78">
        <v>2</v>
      </c>
      <c r="AS78">
        <v>1690388895.5999999</v>
      </c>
      <c r="AT78">
        <v>674.64800000000002</v>
      </c>
      <c r="AU78">
        <v>800.12</v>
      </c>
      <c r="AV78">
        <v>22.089200000000002</v>
      </c>
      <c r="AW78">
        <v>14.981400000000001</v>
      </c>
      <c r="AX78">
        <v>674.41899999999998</v>
      </c>
      <c r="AY78">
        <v>21.890799999999999</v>
      </c>
      <c r="AZ78">
        <v>300.09300000000002</v>
      </c>
      <c r="BA78">
        <v>98.651899999999998</v>
      </c>
      <c r="BB78">
        <v>9.9945900000000004E-2</v>
      </c>
      <c r="BC78">
        <v>25.3126</v>
      </c>
      <c r="BD78">
        <v>26.965299999999999</v>
      </c>
      <c r="BE78">
        <v>26.890699999999999</v>
      </c>
      <c r="BF78">
        <v>0</v>
      </c>
      <c r="BG78">
        <v>0</v>
      </c>
      <c r="BH78">
        <v>9980</v>
      </c>
      <c r="BI78">
        <v>1057.5999999999999</v>
      </c>
      <c r="BJ78">
        <v>1.7380500000000001</v>
      </c>
      <c r="BK78">
        <v>-125.47199999999999</v>
      </c>
      <c r="BL78">
        <v>689.88699999999994</v>
      </c>
      <c r="BM78">
        <v>812.28899999999999</v>
      </c>
      <c r="BN78">
        <v>7.10778</v>
      </c>
      <c r="BO78">
        <v>800.12</v>
      </c>
      <c r="BP78">
        <v>14.981400000000001</v>
      </c>
      <c r="BQ78">
        <v>2.1791399999999999</v>
      </c>
      <c r="BR78">
        <v>1.47794</v>
      </c>
      <c r="BS78">
        <v>18.809799999999999</v>
      </c>
      <c r="BT78">
        <v>12.7418</v>
      </c>
      <c r="BU78">
        <v>1800</v>
      </c>
      <c r="BV78">
        <v>0.91000300000000001</v>
      </c>
      <c r="BW78">
        <v>3.3991100000000003E-2</v>
      </c>
      <c r="BX78">
        <v>2.2001900000000001E-2</v>
      </c>
      <c r="BY78">
        <v>3.4003699999999998E-2</v>
      </c>
      <c r="BZ78">
        <v>25</v>
      </c>
      <c r="CA78">
        <v>33528.300000000003</v>
      </c>
      <c r="CB78">
        <v>1690387638</v>
      </c>
      <c r="CC78" t="s">
        <v>332</v>
      </c>
      <c r="CD78">
        <v>1690387638</v>
      </c>
      <c r="CE78">
        <v>1690387638</v>
      </c>
      <c r="CF78">
        <v>6</v>
      </c>
      <c r="CG78">
        <v>0.43</v>
      </c>
      <c r="CH78">
        <v>-8.1000000000000003E-2</v>
      </c>
      <c r="CI78">
        <v>0.14199999999999999</v>
      </c>
      <c r="CJ78">
        <v>-2.7E-2</v>
      </c>
      <c r="CK78">
        <v>800</v>
      </c>
      <c r="CL78">
        <v>0</v>
      </c>
      <c r="CM78">
        <v>0.01</v>
      </c>
      <c r="CN78">
        <v>0.01</v>
      </c>
      <c r="CO78">
        <v>-121.0974878048781</v>
      </c>
      <c r="CP78">
        <v>-23.171080139372929</v>
      </c>
      <c r="CQ78">
        <v>2.2852216002056349</v>
      </c>
      <c r="CR78">
        <v>-1</v>
      </c>
      <c r="CS78">
        <v>6.8795156097560994</v>
      </c>
      <c r="CT78">
        <v>1.080343275261324</v>
      </c>
      <c r="CU78">
        <v>0.1067753782947832</v>
      </c>
      <c r="CV78">
        <v>-1</v>
      </c>
      <c r="CW78">
        <v>0</v>
      </c>
      <c r="CX78">
        <v>0</v>
      </c>
      <c r="CY78" t="s">
        <v>333</v>
      </c>
      <c r="CZ78">
        <v>2.3643200000000002</v>
      </c>
      <c r="DA78">
        <v>2.7137199999999999</v>
      </c>
      <c r="DB78">
        <v>0.13015699999999999</v>
      </c>
      <c r="DC78">
        <v>0.145704</v>
      </c>
      <c r="DD78">
        <v>0.10692599999999999</v>
      </c>
      <c r="DE78">
        <v>7.9815300000000006E-2</v>
      </c>
      <c r="DF78">
        <v>31776.6</v>
      </c>
      <c r="DG78">
        <v>27552.9</v>
      </c>
      <c r="DH78">
        <v>31186.5</v>
      </c>
      <c r="DI78">
        <v>28102.6</v>
      </c>
      <c r="DJ78">
        <v>37817.199999999997</v>
      </c>
      <c r="DK78">
        <v>36774.800000000003</v>
      </c>
      <c r="DL78">
        <v>44384.9</v>
      </c>
      <c r="DM78">
        <v>42598.3</v>
      </c>
      <c r="DN78">
        <v>1.46347</v>
      </c>
      <c r="DO78">
        <v>2.0524200000000001</v>
      </c>
      <c r="DP78">
        <v>0.16022500000000001</v>
      </c>
      <c r="DQ78">
        <v>0.16325000000000001</v>
      </c>
      <c r="DR78">
        <v>24.339200000000002</v>
      </c>
      <c r="DS78">
        <v>24.214600000000001</v>
      </c>
      <c r="DT78">
        <v>56.7</v>
      </c>
      <c r="DU78">
        <v>28.8</v>
      </c>
      <c r="DV78">
        <v>22.849699999999999</v>
      </c>
      <c r="DW78">
        <v>60.862200000000001</v>
      </c>
      <c r="DX78">
        <v>37.291699999999999</v>
      </c>
      <c r="DY78">
        <v>1</v>
      </c>
      <c r="DZ78">
        <v>-0.100285</v>
      </c>
      <c r="EA78">
        <v>0.69261700000000004</v>
      </c>
      <c r="EB78">
        <v>20.188199999999998</v>
      </c>
      <c r="EC78">
        <v>5.2411000000000003</v>
      </c>
      <c r="ED78">
        <v>12.039899999999999</v>
      </c>
      <c r="EE78">
        <v>5.0167000000000002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1.8689100000000001</v>
      </c>
      <c r="EL78">
        <v>1.8646100000000001</v>
      </c>
      <c r="EM78">
        <v>1.8692</v>
      </c>
      <c r="EN78">
        <v>1.8672299999999999</v>
      </c>
      <c r="EO78">
        <v>1.86338</v>
      </c>
      <c r="EP78">
        <v>1.8644700000000001</v>
      </c>
      <c r="EQ78">
        <v>1.8701399999999999</v>
      </c>
      <c r="ER78">
        <v>1.86938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0.22900000000000001</v>
      </c>
      <c r="FG78">
        <v>0.19839999999999999</v>
      </c>
      <c r="FH78">
        <v>0.69281559908863044</v>
      </c>
      <c r="FI78">
        <v>-6.1462078757559423E-4</v>
      </c>
      <c r="FJ78">
        <v>-1.8861989874597051E-7</v>
      </c>
      <c r="FK78">
        <v>1.1980462299894961E-10</v>
      </c>
      <c r="FL78">
        <v>0.19840465858211129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21</v>
      </c>
      <c r="FU78">
        <v>21</v>
      </c>
      <c r="FV78">
        <v>1.78833</v>
      </c>
      <c r="FW78">
        <v>2.5866699999999998</v>
      </c>
      <c r="FX78">
        <v>1.5490699999999999</v>
      </c>
      <c r="FY78">
        <v>2.3327599999999999</v>
      </c>
      <c r="FZ78">
        <v>1.50146</v>
      </c>
      <c r="GA78">
        <v>2.3535200000000001</v>
      </c>
      <c r="GB78">
        <v>33.580399999999997</v>
      </c>
      <c r="GC78">
        <v>23.982399999999998</v>
      </c>
      <c r="GD78">
        <v>19</v>
      </c>
      <c r="GE78">
        <v>277.07900000000001</v>
      </c>
      <c r="GF78">
        <v>595.27200000000005</v>
      </c>
      <c r="GG78">
        <v>22.5825</v>
      </c>
      <c r="GH78">
        <v>26.136700000000001</v>
      </c>
      <c r="GI78">
        <v>29.9998</v>
      </c>
      <c r="GJ78">
        <v>26.255500000000001</v>
      </c>
      <c r="GK78">
        <v>26.229199999999999</v>
      </c>
      <c r="GL78">
        <v>35.745600000000003</v>
      </c>
      <c r="GM78">
        <v>41.248899999999999</v>
      </c>
      <c r="GN78">
        <v>92.042400000000001</v>
      </c>
      <c r="GO78">
        <v>22.596800000000002</v>
      </c>
      <c r="GP78">
        <v>800</v>
      </c>
      <c r="GQ78">
        <v>14.873200000000001</v>
      </c>
      <c r="GR78">
        <v>99.788200000000003</v>
      </c>
      <c r="GS78">
        <v>99.647999999999996</v>
      </c>
    </row>
    <row r="79" spans="1:201" x14ac:dyDescent="0.25">
      <c r="A79">
        <v>63</v>
      </c>
      <c r="B79">
        <v>1690388905.5999999</v>
      </c>
      <c r="C79">
        <v>647.09999990463257</v>
      </c>
      <c r="D79" t="s">
        <v>459</v>
      </c>
      <c r="E79" t="s">
        <v>460</v>
      </c>
      <c r="F79" t="s">
        <v>330</v>
      </c>
      <c r="H79">
        <v>1690388905.5999999</v>
      </c>
      <c r="I79">
        <f t="shared" si="0"/>
        <v>7.0183934625599068E-4</v>
      </c>
      <c r="J79">
        <f t="shared" si="1"/>
        <v>0.70183934625599065</v>
      </c>
      <c r="K79">
        <f t="shared" si="2"/>
        <v>11.738993756363726</v>
      </c>
      <c r="L79">
        <f t="shared" si="3"/>
        <v>670.70500000000004</v>
      </c>
      <c r="M79">
        <f t="shared" si="4"/>
        <v>257.1918326721148</v>
      </c>
      <c r="N79">
        <f t="shared" si="5"/>
        <v>25.398177537119608</v>
      </c>
      <c r="O79">
        <f t="shared" si="6"/>
        <v>66.233381083880502</v>
      </c>
      <c r="P79">
        <f t="shared" si="7"/>
        <v>4.7166009312268081E-2</v>
      </c>
      <c r="Q79">
        <f t="shared" si="8"/>
        <v>2.1595340006276342</v>
      </c>
      <c r="R79">
        <f t="shared" si="9"/>
        <v>4.6601104759930012E-2</v>
      </c>
      <c r="S79">
        <f t="shared" si="10"/>
        <v>2.9175881115329004E-2</v>
      </c>
      <c r="T79">
        <f t="shared" si="11"/>
        <v>276.11549942400001</v>
      </c>
      <c r="U79">
        <f t="shared" si="12"/>
        <v>27.227581920329456</v>
      </c>
      <c r="V79">
        <f t="shared" si="13"/>
        <v>27.227581920329456</v>
      </c>
      <c r="W79">
        <f t="shared" si="14"/>
        <v>3.6272803675671721</v>
      </c>
      <c r="X79">
        <f t="shared" si="15"/>
        <v>67.422252226991034</v>
      </c>
      <c r="Y79">
        <f t="shared" si="16"/>
        <v>2.1837793703829802</v>
      </c>
      <c r="Z79">
        <f t="shared" si="17"/>
        <v>3.2389593913754662</v>
      </c>
      <c r="AA79">
        <f t="shared" si="18"/>
        <v>1.4435009971841919</v>
      </c>
      <c r="AB79">
        <f t="shared" si="19"/>
        <v>-30.951115169889189</v>
      </c>
      <c r="AC79">
        <f t="shared" si="20"/>
        <v>-223.23080092604485</v>
      </c>
      <c r="AD79">
        <f t="shared" si="21"/>
        <v>-22.145957314718615</v>
      </c>
      <c r="AE79">
        <f t="shared" si="22"/>
        <v>-0.2123739866526364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52532.315512261353</v>
      </c>
      <c r="AK79">
        <f t="shared" si="26"/>
        <v>1800</v>
      </c>
      <c r="AL79">
        <f t="shared" si="27"/>
        <v>1499.1138324000001</v>
      </c>
      <c r="AM79">
        <f t="shared" si="28"/>
        <v>0.83284101799999999</v>
      </c>
      <c r="AN79">
        <f t="shared" si="29"/>
        <v>0.15339749967999999</v>
      </c>
      <c r="AO79">
        <v>31.8</v>
      </c>
      <c r="AP79">
        <v>0.5</v>
      </c>
      <c r="AQ79" t="s">
        <v>331</v>
      </c>
      <c r="AR79">
        <v>2</v>
      </c>
      <c r="AS79">
        <v>1690388905.5999999</v>
      </c>
      <c r="AT79">
        <v>670.70500000000004</v>
      </c>
      <c r="AU79">
        <v>800.07500000000005</v>
      </c>
      <c r="AV79">
        <v>22.113800000000001</v>
      </c>
      <c r="AW79">
        <v>14.841799999999999</v>
      </c>
      <c r="AX79">
        <v>670.47299999999996</v>
      </c>
      <c r="AY79">
        <v>21.915400000000002</v>
      </c>
      <c r="AZ79">
        <v>300.12299999999999</v>
      </c>
      <c r="BA79">
        <v>98.652000000000001</v>
      </c>
      <c r="BB79">
        <v>9.9882100000000001E-2</v>
      </c>
      <c r="BC79">
        <v>25.310199999999998</v>
      </c>
      <c r="BD79">
        <v>26.933499999999999</v>
      </c>
      <c r="BE79">
        <v>26.880600000000001</v>
      </c>
      <c r="BF79">
        <v>0</v>
      </c>
      <c r="BG79">
        <v>0</v>
      </c>
      <c r="BH79">
        <v>10014.4</v>
      </c>
      <c r="BI79">
        <v>1057.76</v>
      </c>
      <c r="BJ79">
        <v>1.7380500000000001</v>
      </c>
      <c r="BK79">
        <v>-129.37</v>
      </c>
      <c r="BL79">
        <v>685.87199999999996</v>
      </c>
      <c r="BM79">
        <v>812.12800000000004</v>
      </c>
      <c r="BN79">
        <v>7.2719899999999997</v>
      </c>
      <c r="BO79">
        <v>800.07500000000005</v>
      </c>
      <c r="BP79">
        <v>14.841799999999999</v>
      </c>
      <c r="BQ79">
        <v>2.1815699999999998</v>
      </c>
      <c r="BR79">
        <v>1.46418</v>
      </c>
      <c r="BS79">
        <v>18.8276</v>
      </c>
      <c r="BT79">
        <v>12.5991</v>
      </c>
      <c r="BU79">
        <v>1800</v>
      </c>
      <c r="BV79">
        <v>0.91000300000000001</v>
      </c>
      <c r="BW79">
        <v>3.39929E-2</v>
      </c>
      <c r="BX79">
        <v>2.2001400000000001E-2</v>
      </c>
      <c r="BY79">
        <v>3.4002999999999999E-2</v>
      </c>
      <c r="BZ79">
        <v>25</v>
      </c>
      <c r="CA79">
        <v>33528.300000000003</v>
      </c>
      <c r="CB79">
        <v>1690387638</v>
      </c>
      <c r="CC79" t="s">
        <v>332</v>
      </c>
      <c r="CD79">
        <v>1690387638</v>
      </c>
      <c r="CE79">
        <v>1690387638</v>
      </c>
      <c r="CF79">
        <v>6</v>
      </c>
      <c r="CG79">
        <v>0.43</v>
      </c>
      <c r="CH79">
        <v>-8.1000000000000003E-2</v>
      </c>
      <c r="CI79">
        <v>0.14199999999999999</v>
      </c>
      <c r="CJ79">
        <v>-2.7E-2</v>
      </c>
      <c r="CK79">
        <v>800</v>
      </c>
      <c r="CL79">
        <v>0</v>
      </c>
      <c r="CM79">
        <v>0.01</v>
      </c>
      <c r="CN79">
        <v>0.01</v>
      </c>
      <c r="CO79">
        <v>-125.2978</v>
      </c>
      <c r="CP79">
        <v>-23.889793621012782</v>
      </c>
      <c r="CQ79">
        <v>2.2983604177761139</v>
      </c>
      <c r="CR79">
        <v>-1</v>
      </c>
      <c r="CS79">
        <v>7.0797690000000006</v>
      </c>
      <c r="CT79">
        <v>1.1076655159474551</v>
      </c>
      <c r="CU79">
        <v>0.107195089551714</v>
      </c>
      <c r="CV79">
        <v>-1</v>
      </c>
      <c r="CW79">
        <v>0</v>
      </c>
      <c r="CX79">
        <v>0</v>
      </c>
      <c r="CY79" t="s">
        <v>333</v>
      </c>
      <c r="CZ79">
        <v>2.3644400000000001</v>
      </c>
      <c r="DA79">
        <v>2.7136900000000002</v>
      </c>
      <c r="DB79">
        <v>0.129634</v>
      </c>
      <c r="DC79">
        <v>0.14569699999999999</v>
      </c>
      <c r="DD79">
        <v>0.107012</v>
      </c>
      <c r="DE79">
        <v>7.9269800000000001E-2</v>
      </c>
      <c r="DF79">
        <v>31795.9</v>
      </c>
      <c r="DG79">
        <v>27553.200000000001</v>
      </c>
      <c r="DH79">
        <v>31186.6</v>
      </c>
      <c r="DI79">
        <v>28102.7</v>
      </c>
      <c r="DJ79">
        <v>37813.4</v>
      </c>
      <c r="DK79">
        <v>36796.6</v>
      </c>
      <c r="DL79">
        <v>44384.800000000003</v>
      </c>
      <c r="DM79">
        <v>42598.2</v>
      </c>
      <c r="DN79">
        <v>1.46353</v>
      </c>
      <c r="DO79">
        <v>2.0521799999999999</v>
      </c>
      <c r="DP79">
        <v>0.15870500000000001</v>
      </c>
      <c r="DQ79">
        <v>0.16284699999999999</v>
      </c>
      <c r="DR79">
        <v>24.3322</v>
      </c>
      <c r="DS79">
        <v>24.211099999999998</v>
      </c>
      <c r="DT79">
        <v>56.7</v>
      </c>
      <c r="DU79">
        <v>28.8</v>
      </c>
      <c r="DV79">
        <v>22.846299999999999</v>
      </c>
      <c r="DW79">
        <v>60.912199999999999</v>
      </c>
      <c r="DX79">
        <v>36.883000000000003</v>
      </c>
      <c r="DY79">
        <v>1</v>
      </c>
      <c r="DZ79">
        <v>-0.100783</v>
      </c>
      <c r="EA79">
        <v>0.64968400000000004</v>
      </c>
      <c r="EB79">
        <v>20.188600000000001</v>
      </c>
      <c r="EC79">
        <v>5.2411000000000003</v>
      </c>
      <c r="ED79">
        <v>12.039899999999999</v>
      </c>
      <c r="EE79">
        <v>5.0167999999999999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1.8646199999999999</v>
      </c>
      <c r="EM79">
        <v>1.8692</v>
      </c>
      <c r="EN79">
        <v>1.8672200000000001</v>
      </c>
      <c r="EO79">
        <v>1.8633900000000001</v>
      </c>
      <c r="EP79">
        <v>1.8644700000000001</v>
      </c>
      <c r="EQ79">
        <v>1.8701399999999999</v>
      </c>
      <c r="ER79">
        <v>1.86937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0.23200000000000001</v>
      </c>
      <c r="FG79">
        <v>0.19839999999999999</v>
      </c>
      <c r="FH79">
        <v>0.69281559908863044</v>
      </c>
      <c r="FI79">
        <v>-6.1462078757559423E-4</v>
      </c>
      <c r="FJ79">
        <v>-1.8861989874597051E-7</v>
      </c>
      <c r="FK79">
        <v>1.1980462299894961E-10</v>
      </c>
      <c r="FL79">
        <v>0.19840465858211129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21.1</v>
      </c>
      <c r="FU79">
        <v>21.1</v>
      </c>
      <c r="FV79">
        <v>1.78711</v>
      </c>
      <c r="FW79">
        <v>2.5805699999999998</v>
      </c>
      <c r="FX79">
        <v>1.5490699999999999</v>
      </c>
      <c r="FY79">
        <v>2.3327599999999999</v>
      </c>
      <c r="FZ79">
        <v>1.50146</v>
      </c>
      <c r="GA79">
        <v>2.3803700000000001</v>
      </c>
      <c r="GB79">
        <v>33.558</v>
      </c>
      <c r="GC79">
        <v>23.991199999999999</v>
      </c>
      <c r="GD79">
        <v>19</v>
      </c>
      <c r="GE79">
        <v>277.08199999999999</v>
      </c>
      <c r="GF79">
        <v>595.03599999999994</v>
      </c>
      <c r="GG79">
        <v>22.619700000000002</v>
      </c>
      <c r="GH79">
        <v>26.130099999999999</v>
      </c>
      <c r="GI79">
        <v>29.9998</v>
      </c>
      <c r="GJ79">
        <v>26.251200000000001</v>
      </c>
      <c r="GK79">
        <v>26.2271</v>
      </c>
      <c r="GL79">
        <v>35.7395</v>
      </c>
      <c r="GM79">
        <v>41.851900000000001</v>
      </c>
      <c r="GN79">
        <v>91.653300000000002</v>
      </c>
      <c r="GO79">
        <v>22.642700000000001</v>
      </c>
      <c r="GP79">
        <v>800</v>
      </c>
      <c r="GQ79">
        <v>14.705</v>
      </c>
      <c r="GR79">
        <v>99.788200000000003</v>
      </c>
      <c r="GS79">
        <v>99.648099999999999</v>
      </c>
    </row>
    <row r="80" spans="1:201" x14ac:dyDescent="0.25">
      <c r="A80">
        <v>64</v>
      </c>
      <c r="B80">
        <v>1690388915.5999999</v>
      </c>
      <c r="C80">
        <v>657.09999990463257</v>
      </c>
      <c r="D80" t="s">
        <v>461</v>
      </c>
      <c r="E80" t="s">
        <v>462</v>
      </c>
      <c r="F80" t="s">
        <v>330</v>
      </c>
      <c r="H80">
        <v>1690388915.5999999</v>
      </c>
      <c r="I80">
        <f t="shared" si="0"/>
        <v>7.2152877425353111E-4</v>
      </c>
      <c r="J80">
        <f t="shared" si="1"/>
        <v>0.72152877425353112</v>
      </c>
      <c r="K80">
        <f t="shared" si="2"/>
        <v>12.107187616060342</v>
      </c>
      <c r="L80">
        <f t="shared" si="3"/>
        <v>666.72699999999998</v>
      </c>
      <c r="M80">
        <f t="shared" si="4"/>
        <v>252.29586178835427</v>
      </c>
      <c r="N80">
        <f t="shared" si="5"/>
        <v>24.914483532917618</v>
      </c>
      <c r="O80">
        <f t="shared" si="6"/>
        <v>65.839997313892994</v>
      </c>
      <c r="P80">
        <f t="shared" si="7"/>
        <v>4.853555381769499E-2</v>
      </c>
      <c r="Q80">
        <f t="shared" si="8"/>
        <v>2.1588521629084165</v>
      </c>
      <c r="R80">
        <f t="shared" si="9"/>
        <v>4.7937405020936193E-2</v>
      </c>
      <c r="S80">
        <f t="shared" si="10"/>
        <v>3.0014005195711346E-2</v>
      </c>
      <c r="T80">
        <f t="shared" si="11"/>
        <v>276.11533348199998</v>
      </c>
      <c r="U80">
        <f t="shared" si="12"/>
        <v>27.236313417746111</v>
      </c>
      <c r="V80">
        <f t="shared" si="13"/>
        <v>27.236313417746111</v>
      </c>
      <c r="W80">
        <f t="shared" si="14"/>
        <v>3.6291377777747269</v>
      </c>
      <c r="X80">
        <f t="shared" si="15"/>
        <v>67.447772122578868</v>
      </c>
      <c r="Y80">
        <f t="shared" si="16"/>
        <v>2.1865558234839</v>
      </c>
      <c r="Z80">
        <f t="shared" si="17"/>
        <v>3.2418503305195556</v>
      </c>
      <c r="AA80">
        <f t="shared" si="18"/>
        <v>1.4425819542908269</v>
      </c>
      <c r="AB80">
        <f t="shared" si="19"/>
        <v>-31.819418944580722</v>
      </c>
      <c r="AC80">
        <f t="shared" si="20"/>
        <v>-222.43074071756158</v>
      </c>
      <c r="AD80">
        <f t="shared" si="21"/>
        <v>-22.076179667317732</v>
      </c>
      <c r="AE80">
        <f t="shared" si="22"/>
        <v>-0.21100584746002937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52500.976125534595</v>
      </c>
      <c r="AK80">
        <f t="shared" si="26"/>
        <v>1800</v>
      </c>
      <c r="AL80">
        <f t="shared" si="27"/>
        <v>1499.1104951999998</v>
      </c>
      <c r="AM80">
        <f t="shared" si="28"/>
        <v>0.83283916399999991</v>
      </c>
      <c r="AN80">
        <f t="shared" si="29"/>
        <v>0.15339740749</v>
      </c>
      <c r="AO80">
        <v>31.8</v>
      </c>
      <c r="AP80">
        <v>0.5</v>
      </c>
      <c r="AQ80" t="s">
        <v>331</v>
      </c>
      <c r="AR80">
        <v>2</v>
      </c>
      <c r="AS80">
        <v>1690388915.5999999</v>
      </c>
      <c r="AT80">
        <v>666.72699999999998</v>
      </c>
      <c r="AU80">
        <v>800.07399999999996</v>
      </c>
      <c r="AV80">
        <v>22.142099999999999</v>
      </c>
      <c r="AW80">
        <v>14.668200000000001</v>
      </c>
      <c r="AX80">
        <v>666.49199999999996</v>
      </c>
      <c r="AY80">
        <v>21.9437</v>
      </c>
      <c r="AZ80">
        <v>300.19900000000001</v>
      </c>
      <c r="BA80">
        <v>98.650999999999996</v>
      </c>
      <c r="BB80">
        <v>0.100059</v>
      </c>
      <c r="BC80">
        <v>25.325199999999999</v>
      </c>
      <c r="BD80">
        <v>26.962399999999999</v>
      </c>
      <c r="BE80">
        <v>26.863600000000002</v>
      </c>
      <c r="BF80">
        <v>0</v>
      </c>
      <c r="BG80">
        <v>0</v>
      </c>
      <c r="BH80">
        <v>10008.799999999999</v>
      </c>
      <c r="BI80">
        <v>1057.8499999999999</v>
      </c>
      <c r="BJ80">
        <v>1.6399300000000001</v>
      </c>
      <c r="BK80">
        <v>-133.34700000000001</v>
      </c>
      <c r="BL80">
        <v>681.82399999999996</v>
      </c>
      <c r="BM80">
        <v>811.98400000000004</v>
      </c>
      <c r="BN80">
        <v>7.47384</v>
      </c>
      <c r="BO80">
        <v>800.07399999999996</v>
      </c>
      <c r="BP80">
        <v>14.668200000000001</v>
      </c>
      <c r="BQ80">
        <v>2.1843400000000002</v>
      </c>
      <c r="BR80">
        <v>1.4470400000000001</v>
      </c>
      <c r="BS80">
        <v>18.847899999999999</v>
      </c>
      <c r="BT80">
        <v>12.419700000000001</v>
      </c>
      <c r="BU80">
        <v>1800</v>
      </c>
      <c r="BV80">
        <v>0.909995</v>
      </c>
      <c r="BW80">
        <v>3.4001900000000002E-2</v>
      </c>
      <c r="BX80">
        <v>2.2000700000000002E-2</v>
      </c>
      <c r="BY80">
        <v>3.4001900000000002E-2</v>
      </c>
      <c r="BZ80">
        <v>25</v>
      </c>
      <c r="CA80">
        <v>33528.400000000001</v>
      </c>
      <c r="CB80">
        <v>1690387638</v>
      </c>
      <c r="CC80" t="s">
        <v>332</v>
      </c>
      <c r="CD80">
        <v>1690387638</v>
      </c>
      <c r="CE80">
        <v>1690387638</v>
      </c>
      <c r="CF80">
        <v>6</v>
      </c>
      <c r="CG80">
        <v>0.43</v>
      </c>
      <c r="CH80">
        <v>-8.1000000000000003E-2</v>
      </c>
      <c r="CI80">
        <v>0.14199999999999999</v>
      </c>
      <c r="CJ80">
        <v>-2.7E-2</v>
      </c>
      <c r="CK80">
        <v>800</v>
      </c>
      <c r="CL80">
        <v>0</v>
      </c>
      <c r="CM80">
        <v>0.01</v>
      </c>
      <c r="CN80">
        <v>0.01</v>
      </c>
      <c r="CO80">
        <v>-128.87412499999999</v>
      </c>
      <c r="CP80">
        <v>-23.724911819887492</v>
      </c>
      <c r="CQ80">
        <v>2.2825058399432399</v>
      </c>
      <c r="CR80">
        <v>-1</v>
      </c>
      <c r="CS80">
        <v>7.2543577499999996</v>
      </c>
      <c r="CT80">
        <v>1.1054990994371521</v>
      </c>
      <c r="CU80">
        <v>0.10704243374679739</v>
      </c>
      <c r="CV80">
        <v>-1</v>
      </c>
      <c r="CW80">
        <v>0</v>
      </c>
      <c r="CX80">
        <v>0</v>
      </c>
      <c r="CY80" t="s">
        <v>333</v>
      </c>
      <c r="CZ80">
        <v>2.3647</v>
      </c>
      <c r="DA80">
        <v>2.7138599999999999</v>
      </c>
      <c r="DB80">
        <v>0.12910199999999999</v>
      </c>
      <c r="DC80">
        <v>0.14569299999999999</v>
      </c>
      <c r="DD80">
        <v>0.107109</v>
      </c>
      <c r="DE80">
        <v>7.8587400000000002E-2</v>
      </c>
      <c r="DF80">
        <v>31815.3</v>
      </c>
      <c r="DG80">
        <v>27553.3</v>
      </c>
      <c r="DH80">
        <v>31186.5</v>
      </c>
      <c r="DI80">
        <v>28102.6</v>
      </c>
      <c r="DJ80">
        <v>37809.300000000003</v>
      </c>
      <c r="DK80">
        <v>36823.9</v>
      </c>
      <c r="DL80">
        <v>44385</v>
      </c>
      <c r="DM80">
        <v>42598.1</v>
      </c>
      <c r="DN80">
        <v>1.4640299999999999</v>
      </c>
      <c r="DO80">
        <v>2.0520299999999998</v>
      </c>
      <c r="DP80">
        <v>0.16087299999999999</v>
      </c>
      <c r="DQ80">
        <v>0.16203500000000001</v>
      </c>
      <c r="DR80">
        <v>24.325600000000001</v>
      </c>
      <c r="DS80">
        <v>24.2073</v>
      </c>
      <c r="DT80">
        <v>56.6</v>
      </c>
      <c r="DU80">
        <v>28.8</v>
      </c>
      <c r="DV80">
        <v>22.810700000000001</v>
      </c>
      <c r="DW80">
        <v>60.632199999999997</v>
      </c>
      <c r="DX80">
        <v>36.5625</v>
      </c>
      <c r="DY80">
        <v>1</v>
      </c>
      <c r="DZ80">
        <v>-0.101296</v>
      </c>
      <c r="EA80">
        <v>0.516517</v>
      </c>
      <c r="EB80">
        <v>20.189</v>
      </c>
      <c r="EC80">
        <v>5.2411000000000003</v>
      </c>
      <c r="ED80">
        <v>12.039899999999999</v>
      </c>
      <c r="EE80">
        <v>5.0167999999999999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1.8646100000000001</v>
      </c>
      <c r="EM80">
        <v>1.8692</v>
      </c>
      <c r="EN80">
        <v>1.8672200000000001</v>
      </c>
      <c r="EO80">
        <v>1.8633900000000001</v>
      </c>
      <c r="EP80">
        <v>1.8644700000000001</v>
      </c>
      <c r="EQ80">
        <v>1.8701300000000001</v>
      </c>
      <c r="ER80">
        <v>1.8693900000000001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0.23499999999999999</v>
      </c>
      <c r="FG80">
        <v>0.19839999999999999</v>
      </c>
      <c r="FH80">
        <v>0.69281559908863044</v>
      </c>
      <c r="FI80">
        <v>-6.1462078757559423E-4</v>
      </c>
      <c r="FJ80">
        <v>-1.8861989874597051E-7</v>
      </c>
      <c r="FK80">
        <v>1.1980462299894961E-10</v>
      </c>
      <c r="FL80">
        <v>0.19840465858211129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21.3</v>
      </c>
      <c r="FU80">
        <v>21.3</v>
      </c>
      <c r="FV80">
        <v>1.78711</v>
      </c>
      <c r="FW80">
        <v>2.5830099999999998</v>
      </c>
      <c r="FX80">
        <v>1.5490699999999999</v>
      </c>
      <c r="FY80">
        <v>2.3327599999999999</v>
      </c>
      <c r="FZ80">
        <v>1.50146</v>
      </c>
      <c r="GA80">
        <v>2.3840300000000001</v>
      </c>
      <c r="GB80">
        <v>33.558</v>
      </c>
      <c r="GC80">
        <v>23.982399999999998</v>
      </c>
      <c r="GD80">
        <v>19</v>
      </c>
      <c r="GE80">
        <v>277.27600000000001</v>
      </c>
      <c r="GF80">
        <v>594.88499999999999</v>
      </c>
      <c r="GG80">
        <v>22.690200000000001</v>
      </c>
      <c r="GH80">
        <v>26.122900000000001</v>
      </c>
      <c r="GI80">
        <v>29.9999</v>
      </c>
      <c r="GJ80">
        <v>26.247900000000001</v>
      </c>
      <c r="GK80">
        <v>26.224900000000002</v>
      </c>
      <c r="GL80">
        <v>35.734699999999997</v>
      </c>
      <c r="GM80">
        <v>42.418900000000001</v>
      </c>
      <c r="GN80">
        <v>91.266300000000001</v>
      </c>
      <c r="GO80">
        <v>22.7271</v>
      </c>
      <c r="GP80">
        <v>800</v>
      </c>
      <c r="GQ80">
        <v>14.5306</v>
      </c>
      <c r="GR80">
        <v>99.788300000000007</v>
      </c>
      <c r="GS80">
        <v>99.647800000000004</v>
      </c>
    </row>
    <row r="81" spans="1:201" x14ac:dyDescent="0.25">
      <c r="A81">
        <v>65</v>
      </c>
      <c r="B81">
        <v>1690388925.5999999</v>
      </c>
      <c r="C81">
        <v>667.09999990463257</v>
      </c>
      <c r="D81" t="s">
        <v>463</v>
      </c>
      <c r="E81" t="s">
        <v>464</v>
      </c>
      <c r="F81" t="s">
        <v>330</v>
      </c>
      <c r="H81">
        <v>1690388925.5999999</v>
      </c>
      <c r="I81">
        <f t="shared" ref="I81:I144" si="30">(J81)/1000</f>
        <v>7.4122985611968983E-4</v>
      </c>
      <c r="J81">
        <f t="shared" ref="J81:J144" si="31">1000*AZ81*AH81*(AV81-AW81)/(100*AO81*(1000-AH81*AV81))</f>
        <v>0.74122985611968983</v>
      </c>
      <c r="K81">
        <f t="shared" ref="K81:K144" si="32">AZ81*AH81*(AU81-AT81*(1000-AH81*AW81)/(1000-AH81*AV81))/(100*AO81)</f>
        <v>12.476830971102077</v>
      </c>
      <c r="L81">
        <f t="shared" ref="L81:L144" si="33">AT81 - IF(AH81&gt;1, K81*AO81*100/(AJ81*BH81), 0)</f>
        <v>662.73900000000003</v>
      </c>
      <c r="M81">
        <f t="shared" ref="M81:M144" si="34">((S81-I81/2)*L81-K81)/(S81+I81/2)</f>
        <v>248.08245609345568</v>
      </c>
      <c r="N81">
        <f t="shared" ref="N81:N144" si="35">M81*(BA81+BB81)/1000</f>
        <v>24.500180536605551</v>
      </c>
      <c r="O81">
        <f t="shared" ref="O81:O144" si="36">(AT81 - IF(AH81&gt;1, K81*AO81*100/(AJ81*BH81), 0))*(BA81+BB81)/1000</f>
        <v>65.450920650884996</v>
      </c>
      <c r="P81">
        <f t="shared" ref="P81:P144" si="37">2/((1/R81-1/Q81)+SIGN(R81)*SQRT((1/R81-1/Q81)*(1/R81-1/Q81) + 4*AP81/((AP81+1)*(AP81+1))*(2*1/R81*1/Q81-1/Q81*1/Q81)))</f>
        <v>4.9989763420391242E-2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2.1597527119092494</v>
      </c>
      <c r="R81">
        <f t="shared" ref="R81:R144" si="39">I81*(1000-(1000*0.61365*EXP(17.502*V81/(240.97+V81))/(BA81+BB81)+AV81)/2)/(1000*0.61365*EXP(17.502*V81/(240.97+V81))/(BA81+BB81)-AV81)</f>
        <v>4.9355747964273562E-2</v>
      </c>
      <c r="S81">
        <f t="shared" ref="S81:S144" si="40">1/((AP81+1)/(P81/1.6)+1/(Q81/1.37)) + AP81/((AP81+1)/(P81/1.6) + AP81/(Q81/1.37))</f>
        <v>3.0903636245074272E-2</v>
      </c>
      <c r="T81">
        <f t="shared" ref="T81:T144" si="41">(AK81*AN81)</f>
        <v>276.11556002999998</v>
      </c>
      <c r="U81">
        <f t="shared" ref="U81:U144" si="42">(BC81+(T81+2*0.95*0.0000000567*(((BC81+$B$7)+273)^4-(BC81+273)^4)-44100*I81)/(1.84*29.3*Q81+8*0.95*0.0000000567*(BC81+273)^3))</f>
        <v>27.236482290198012</v>
      </c>
      <c r="V81">
        <f t="shared" ref="V81:V144" si="43">($C$7*BD81+$D$7*BE81+$E$7*U81)</f>
        <v>27.236482290198012</v>
      </c>
      <c r="W81">
        <f t="shared" ref="W81:W144" si="44">0.61365*EXP(17.502*V81/(240.97+V81))</f>
        <v>3.6291737093953471</v>
      </c>
      <c r="X81">
        <f t="shared" ref="X81:X144" si="45">(Y81/Z81*100)</f>
        <v>67.514040232157157</v>
      </c>
      <c r="Y81">
        <f t="shared" ref="Y81:Y144" si="46">AV81*(BA81+BB81)/1000</f>
        <v>2.189706646266</v>
      </c>
      <c r="Z81">
        <f t="shared" ref="Z81:Z144" si="47">0.61365*EXP(17.502*BC81/(240.97+BC81))</f>
        <v>3.2433352214389259</v>
      </c>
      <c r="AA81">
        <f t="shared" ref="AA81:AA144" si="48">(W81-AV81*(BA81+BB81)/1000)</f>
        <v>1.4394670631293471</v>
      </c>
      <c r="AB81">
        <f t="shared" ref="AB81:AB144" si="49">(-I81*44100)</f>
        <v>-32.688236654878324</v>
      </c>
      <c r="AC81">
        <f t="shared" ref="AC81:AC144" si="50">2*29.3*Q81*0.92*(BC81-V81)</f>
        <v>-221.64662723707269</v>
      </c>
      <c r="AD81">
        <f t="shared" ref="AD81:AD144" si="51">2*0.95*0.0000000567*(((BC81+$B$7)+273)^4-(V81+273)^4)</f>
        <v>-21.990049504419069</v>
      </c>
      <c r="AE81">
        <f t="shared" ref="AE81:AE144" si="52">T81+AD81+AB81+AC81</f>
        <v>-0.20935336637009527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52537.654772454931</v>
      </c>
      <c r="AK81">
        <f t="shared" ref="AK81:AK144" si="56">$B$11*BI81+$C$11*BJ81+$D$11*BU81</f>
        <v>1800</v>
      </c>
      <c r="AL81">
        <f t="shared" ref="AL81:AL144" si="57">AK81*AM81</f>
        <v>1499.1101909999998</v>
      </c>
      <c r="AM81">
        <f t="shared" ref="AM81:AM144" si="58">($B$11*$D$9+$C$11*$D$9+$D$11*(BV81*$E$9+BW81*$F$9+BX81*$G$9+BY81*$H$9))/($B$11+$C$11+$D$11)</f>
        <v>0.83283899499999992</v>
      </c>
      <c r="AN81">
        <f t="shared" ref="AN81:AN144" si="59">($B$11*$K$9+$C$11*$K$9+$D$11*(BV81*$L$9+BW81*$M$9+BX81*$N$9+BY81*$O$9))/($B$11+$C$11+$D$11)</f>
        <v>0.15339753335</v>
      </c>
      <c r="AO81">
        <v>31.8</v>
      </c>
      <c r="AP81">
        <v>0.5</v>
      </c>
      <c r="AQ81" t="s">
        <v>331</v>
      </c>
      <c r="AR81">
        <v>2</v>
      </c>
      <c r="AS81">
        <v>1690388925.5999999</v>
      </c>
      <c r="AT81">
        <v>662.73900000000003</v>
      </c>
      <c r="AU81">
        <v>800.08199999999999</v>
      </c>
      <c r="AV81">
        <v>22.1724</v>
      </c>
      <c r="AW81">
        <v>14.4962</v>
      </c>
      <c r="AX81">
        <v>662.50199999999995</v>
      </c>
      <c r="AY81">
        <v>21.974</v>
      </c>
      <c r="AZ81">
        <v>300.25900000000001</v>
      </c>
      <c r="BA81">
        <v>98.658199999999994</v>
      </c>
      <c r="BB81">
        <v>0.10001500000000001</v>
      </c>
      <c r="BC81">
        <v>25.332899999999999</v>
      </c>
      <c r="BD81">
        <v>26.9359</v>
      </c>
      <c r="BE81">
        <v>26.8767</v>
      </c>
      <c r="BF81">
        <v>0</v>
      </c>
      <c r="BG81">
        <v>0</v>
      </c>
      <c r="BH81">
        <v>10015.6</v>
      </c>
      <c r="BI81">
        <v>1058</v>
      </c>
      <c r="BJ81">
        <v>1.56985</v>
      </c>
      <c r="BK81">
        <v>-137.34299999999999</v>
      </c>
      <c r="BL81">
        <v>677.76700000000005</v>
      </c>
      <c r="BM81">
        <v>811.851</v>
      </c>
      <c r="BN81">
        <v>7.6761699999999999</v>
      </c>
      <c r="BO81">
        <v>800.08199999999999</v>
      </c>
      <c r="BP81">
        <v>14.4962</v>
      </c>
      <c r="BQ81">
        <v>2.1874899999999999</v>
      </c>
      <c r="BR81">
        <v>1.4301699999999999</v>
      </c>
      <c r="BS81">
        <v>18.870999999999999</v>
      </c>
      <c r="BT81">
        <v>12.241300000000001</v>
      </c>
      <c r="BU81">
        <v>1800</v>
      </c>
      <c r="BV81">
        <v>0.90999099999999999</v>
      </c>
      <c r="BW81">
        <v>3.4008400000000001E-2</v>
      </c>
      <c r="BX81">
        <v>2.1999999999999999E-2</v>
      </c>
      <c r="BY81">
        <v>3.4000900000000001E-2</v>
      </c>
      <c r="BZ81">
        <v>25</v>
      </c>
      <c r="CA81">
        <v>33528.300000000003</v>
      </c>
      <c r="CB81">
        <v>1690387638</v>
      </c>
      <c r="CC81" t="s">
        <v>332</v>
      </c>
      <c r="CD81">
        <v>1690387638</v>
      </c>
      <c r="CE81">
        <v>1690387638</v>
      </c>
      <c r="CF81">
        <v>6</v>
      </c>
      <c r="CG81">
        <v>0.43</v>
      </c>
      <c r="CH81">
        <v>-8.1000000000000003E-2</v>
      </c>
      <c r="CI81">
        <v>0.14199999999999999</v>
      </c>
      <c r="CJ81">
        <v>-2.7E-2</v>
      </c>
      <c r="CK81">
        <v>800</v>
      </c>
      <c r="CL81">
        <v>0</v>
      </c>
      <c r="CM81">
        <v>0.01</v>
      </c>
      <c r="CN81">
        <v>0.01</v>
      </c>
      <c r="CO81">
        <v>-132.95339024390239</v>
      </c>
      <c r="CP81">
        <v>-23.970627177700589</v>
      </c>
      <c r="CQ81">
        <v>2.363886082002538</v>
      </c>
      <c r="CR81">
        <v>-1</v>
      </c>
      <c r="CS81">
        <v>7.4619121951219514</v>
      </c>
      <c r="CT81">
        <v>1.2558959581881739</v>
      </c>
      <c r="CU81">
        <v>0.12438459036219759</v>
      </c>
      <c r="CV81">
        <v>-1</v>
      </c>
      <c r="CW81">
        <v>0</v>
      </c>
      <c r="CX81">
        <v>0</v>
      </c>
      <c r="CY81" t="s">
        <v>333</v>
      </c>
      <c r="CZ81">
        <v>2.3648899999999999</v>
      </c>
      <c r="DA81">
        <v>2.7138200000000001</v>
      </c>
      <c r="DB81">
        <v>0.128579</v>
      </c>
      <c r="DC81">
        <v>0.145702</v>
      </c>
      <c r="DD81">
        <v>0.107222</v>
      </c>
      <c r="DE81">
        <v>7.7914800000000006E-2</v>
      </c>
      <c r="DF81">
        <v>31834.6</v>
      </c>
      <c r="DG81">
        <v>27553</v>
      </c>
      <c r="DH81">
        <v>31186.7</v>
      </c>
      <c r="DI81">
        <v>28102.6</v>
      </c>
      <c r="DJ81">
        <v>37804.699999999997</v>
      </c>
      <c r="DK81">
        <v>36850.699999999997</v>
      </c>
      <c r="DL81">
        <v>44385.4</v>
      </c>
      <c r="DM81">
        <v>42598</v>
      </c>
      <c r="DN81">
        <v>1.46393</v>
      </c>
      <c r="DO81">
        <v>2.0516800000000002</v>
      </c>
      <c r="DP81">
        <v>0.159577</v>
      </c>
      <c r="DQ81">
        <v>0.16301099999999999</v>
      </c>
      <c r="DR81">
        <v>24.3203</v>
      </c>
      <c r="DS81">
        <v>24.2044</v>
      </c>
      <c r="DT81">
        <v>56.6</v>
      </c>
      <c r="DU81">
        <v>28.8</v>
      </c>
      <c r="DV81">
        <v>22.808800000000002</v>
      </c>
      <c r="DW81">
        <v>60.622199999999999</v>
      </c>
      <c r="DX81">
        <v>36.153799999999997</v>
      </c>
      <c r="DY81">
        <v>1</v>
      </c>
      <c r="DZ81">
        <v>-0.101629</v>
      </c>
      <c r="EA81">
        <v>0.49227900000000002</v>
      </c>
      <c r="EB81">
        <v>20.189</v>
      </c>
      <c r="EC81">
        <v>5.2408000000000001</v>
      </c>
      <c r="ED81">
        <v>12.039899999999999</v>
      </c>
      <c r="EE81">
        <v>5.0162500000000003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1.8689100000000001</v>
      </c>
      <c r="EL81">
        <v>1.8646100000000001</v>
      </c>
      <c r="EM81">
        <v>1.8692</v>
      </c>
      <c r="EN81">
        <v>1.8672200000000001</v>
      </c>
      <c r="EO81">
        <v>1.8633900000000001</v>
      </c>
      <c r="EP81">
        <v>1.8644499999999999</v>
      </c>
      <c r="EQ81">
        <v>1.8701399999999999</v>
      </c>
      <c r="ER81">
        <v>1.8693599999999999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0.23699999999999999</v>
      </c>
      <c r="FG81">
        <v>0.19839999999999999</v>
      </c>
      <c r="FH81">
        <v>0.69281559908863044</v>
      </c>
      <c r="FI81">
        <v>-6.1462078757559423E-4</v>
      </c>
      <c r="FJ81">
        <v>-1.8861989874597051E-7</v>
      </c>
      <c r="FK81">
        <v>1.1980462299894961E-10</v>
      </c>
      <c r="FL81">
        <v>0.19840465858211129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21.5</v>
      </c>
      <c r="FU81">
        <v>21.5</v>
      </c>
      <c r="FV81">
        <v>1.78711</v>
      </c>
      <c r="FW81">
        <v>2.5769000000000002</v>
      </c>
      <c r="FX81">
        <v>1.5490699999999999</v>
      </c>
      <c r="FY81">
        <v>2.3327599999999999</v>
      </c>
      <c r="FZ81">
        <v>1.50146</v>
      </c>
      <c r="GA81">
        <v>2.4218799999999998</v>
      </c>
      <c r="GB81">
        <v>33.580399999999997</v>
      </c>
      <c r="GC81">
        <v>23.991199999999999</v>
      </c>
      <c r="GD81">
        <v>19</v>
      </c>
      <c r="GE81">
        <v>277.221</v>
      </c>
      <c r="GF81">
        <v>594.55100000000004</v>
      </c>
      <c r="GG81">
        <v>22.7666</v>
      </c>
      <c r="GH81">
        <v>26.116399999999999</v>
      </c>
      <c r="GI81">
        <v>30.0001</v>
      </c>
      <c r="GJ81">
        <v>26.244399999999999</v>
      </c>
      <c r="GK81">
        <v>26.2212</v>
      </c>
      <c r="GL81">
        <v>35.726900000000001</v>
      </c>
      <c r="GM81">
        <v>42.990099999999998</v>
      </c>
      <c r="GN81">
        <v>90.876099999999994</v>
      </c>
      <c r="GO81">
        <v>22.796600000000002</v>
      </c>
      <c r="GP81">
        <v>800</v>
      </c>
      <c r="GQ81">
        <v>14.3469</v>
      </c>
      <c r="GR81">
        <v>99.789100000000005</v>
      </c>
      <c r="GS81">
        <v>99.647599999999997</v>
      </c>
    </row>
    <row r="82" spans="1:201" x14ac:dyDescent="0.25">
      <c r="A82">
        <v>66</v>
      </c>
      <c r="B82">
        <v>1690388935.5999999</v>
      </c>
      <c r="C82">
        <v>677.09999990463257</v>
      </c>
      <c r="D82" t="s">
        <v>465</v>
      </c>
      <c r="E82" t="s">
        <v>466</v>
      </c>
      <c r="F82" t="s">
        <v>330</v>
      </c>
      <c r="H82">
        <v>1690388935.5999999</v>
      </c>
      <c r="I82">
        <f t="shared" si="30"/>
        <v>7.6356957295087367E-4</v>
      </c>
      <c r="J82">
        <f t="shared" si="31"/>
        <v>0.76356957295087369</v>
      </c>
      <c r="K82">
        <f t="shared" si="32"/>
        <v>12.85021763879214</v>
      </c>
      <c r="L82">
        <f t="shared" si="33"/>
        <v>658.697</v>
      </c>
      <c r="M82">
        <f t="shared" si="34"/>
        <v>245.00920042880639</v>
      </c>
      <c r="N82">
        <f t="shared" si="35"/>
        <v>24.197030476413985</v>
      </c>
      <c r="O82">
        <f t="shared" si="36"/>
        <v>65.052705595657002</v>
      </c>
      <c r="P82">
        <f t="shared" si="37"/>
        <v>5.1615341964371265E-2</v>
      </c>
      <c r="Q82">
        <f t="shared" si="38"/>
        <v>2.1556557482609944</v>
      </c>
      <c r="R82">
        <f t="shared" si="39"/>
        <v>5.0938456582013063E-2</v>
      </c>
      <c r="S82">
        <f t="shared" si="40"/>
        <v>3.1896611239772721E-2</v>
      </c>
      <c r="T82">
        <f t="shared" si="41"/>
        <v>276.11528675400001</v>
      </c>
      <c r="U82">
        <f t="shared" si="42"/>
        <v>27.237447146490471</v>
      </c>
      <c r="V82">
        <f t="shared" si="43"/>
        <v>27.237447146490471</v>
      </c>
      <c r="W82">
        <f t="shared" si="44"/>
        <v>3.6293790114178983</v>
      </c>
      <c r="X82">
        <f t="shared" si="45"/>
        <v>67.581641419116096</v>
      </c>
      <c r="Y82">
        <f t="shared" si="46"/>
        <v>2.1926031817534</v>
      </c>
      <c r="Z82">
        <f t="shared" si="47"/>
        <v>3.2443769279821035</v>
      </c>
      <c r="AA82">
        <f t="shared" si="48"/>
        <v>1.4367758296644983</v>
      </c>
      <c r="AB82">
        <f t="shared" si="49"/>
        <v>-33.673418167133526</v>
      </c>
      <c r="AC82">
        <f t="shared" si="50"/>
        <v>-220.71073915202993</v>
      </c>
      <c r="AD82">
        <f t="shared" si="51"/>
        <v>-21.939513860172202</v>
      </c>
      <c r="AE82">
        <f t="shared" si="52"/>
        <v>-0.20838442533565171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52364.556852700691</v>
      </c>
      <c r="AK82">
        <f t="shared" si="56"/>
        <v>1800</v>
      </c>
      <c r="AL82">
        <f t="shared" si="57"/>
        <v>1499.1096654</v>
      </c>
      <c r="AM82">
        <f t="shared" si="58"/>
        <v>0.83283870300000007</v>
      </c>
      <c r="AN82">
        <f t="shared" si="59"/>
        <v>0.15339738153000002</v>
      </c>
      <c r="AO82">
        <v>31.8</v>
      </c>
      <c r="AP82">
        <v>0.5</v>
      </c>
      <c r="AQ82" t="s">
        <v>331</v>
      </c>
      <c r="AR82">
        <v>2</v>
      </c>
      <c r="AS82">
        <v>1690388935.5999999</v>
      </c>
      <c r="AT82">
        <v>658.697</v>
      </c>
      <c r="AU82">
        <v>800.10400000000004</v>
      </c>
      <c r="AV82">
        <v>22.2014</v>
      </c>
      <c r="AW82">
        <v>14.2949</v>
      </c>
      <c r="AX82">
        <v>658.45600000000002</v>
      </c>
      <c r="AY82">
        <v>22.003</v>
      </c>
      <c r="AZ82">
        <v>300.29000000000002</v>
      </c>
      <c r="BA82">
        <v>98.659499999999994</v>
      </c>
      <c r="BB82">
        <v>0.10018100000000001</v>
      </c>
      <c r="BC82">
        <v>25.3383</v>
      </c>
      <c r="BD82">
        <v>26.9284</v>
      </c>
      <c r="BE82">
        <v>26.9009</v>
      </c>
      <c r="BF82">
        <v>0</v>
      </c>
      <c r="BG82">
        <v>0</v>
      </c>
      <c r="BH82">
        <v>9981.25</v>
      </c>
      <c r="BI82">
        <v>1058.1600000000001</v>
      </c>
      <c r="BJ82">
        <v>1.5137799999999999</v>
      </c>
      <c r="BK82">
        <v>-141.40700000000001</v>
      </c>
      <c r="BL82">
        <v>673.65300000000002</v>
      </c>
      <c r="BM82">
        <v>811.70699999999999</v>
      </c>
      <c r="BN82">
        <v>7.9065000000000003</v>
      </c>
      <c r="BO82">
        <v>800.10400000000004</v>
      </c>
      <c r="BP82">
        <v>14.2949</v>
      </c>
      <c r="BQ82">
        <v>2.1903800000000002</v>
      </c>
      <c r="BR82">
        <v>1.4103300000000001</v>
      </c>
      <c r="BS82">
        <v>18.892099999999999</v>
      </c>
      <c r="BT82">
        <v>12.029199999999999</v>
      </c>
      <c r="BU82">
        <v>1800</v>
      </c>
      <c r="BV82">
        <v>0.90999300000000005</v>
      </c>
      <c r="BW82">
        <v>3.40074E-2</v>
      </c>
      <c r="BX82">
        <v>2.1999399999999999E-2</v>
      </c>
      <c r="BY82">
        <v>3.39999E-2</v>
      </c>
      <c r="BZ82">
        <v>25</v>
      </c>
      <c r="CA82">
        <v>33528.400000000001</v>
      </c>
      <c r="CB82">
        <v>1690387638</v>
      </c>
      <c r="CC82" t="s">
        <v>332</v>
      </c>
      <c r="CD82">
        <v>1690387638</v>
      </c>
      <c r="CE82">
        <v>1690387638</v>
      </c>
      <c r="CF82">
        <v>6</v>
      </c>
      <c r="CG82">
        <v>0.43</v>
      </c>
      <c r="CH82">
        <v>-8.1000000000000003E-2</v>
      </c>
      <c r="CI82">
        <v>0.14199999999999999</v>
      </c>
      <c r="CJ82">
        <v>-2.7E-2</v>
      </c>
      <c r="CK82">
        <v>800</v>
      </c>
      <c r="CL82">
        <v>0</v>
      </c>
      <c r="CM82">
        <v>0.01</v>
      </c>
      <c r="CN82">
        <v>0.01</v>
      </c>
      <c r="CO82">
        <v>-137.245</v>
      </c>
      <c r="CP82">
        <v>-23.770851782363899</v>
      </c>
      <c r="CQ82">
        <v>2.2874780763976741</v>
      </c>
      <c r="CR82">
        <v>-1</v>
      </c>
      <c r="CS82">
        <v>7.6881384999999991</v>
      </c>
      <c r="CT82">
        <v>1.2546533583489541</v>
      </c>
      <c r="CU82">
        <v>0.12120479193394119</v>
      </c>
      <c r="CV82">
        <v>-1</v>
      </c>
      <c r="CW82">
        <v>0</v>
      </c>
      <c r="CX82">
        <v>0</v>
      </c>
      <c r="CY82" t="s">
        <v>333</v>
      </c>
      <c r="CZ82">
        <v>2.3649900000000001</v>
      </c>
      <c r="DA82">
        <v>2.7139600000000002</v>
      </c>
      <c r="DB82">
        <v>0.12803899999999999</v>
      </c>
      <c r="DC82">
        <v>0.145703</v>
      </c>
      <c r="DD82">
        <v>0.107325</v>
      </c>
      <c r="DE82">
        <v>7.7118099999999995E-2</v>
      </c>
      <c r="DF82">
        <v>31855</v>
      </c>
      <c r="DG82">
        <v>27553.8</v>
      </c>
      <c r="DH82">
        <v>31187.4</v>
      </c>
      <c r="DI82">
        <v>28103.4</v>
      </c>
      <c r="DJ82">
        <v>37801</v>
      </c>
      <c r="DK82">
        <v>36883.599999999999</v>
      </c>
      <c r="DL82">
        <v>44386.3</v>
      </c>
      <c r="DM82">
        <v>42599.1</v>
      </c>
      <c r="DN82">
        <v>1.4644999999999999</v>
      </c>
      <c r="DO82">
        <v>2.05185</v>
      </c>
      <c r="DP82">
        <v>0.159495</v>
      </c>
      <c r="DQ82">
        <v>0.16474</v>
      </c>
      <c r="DR82">
        <v>24.3141</v>
      </c>
      <c r="DS82">
        <v>24.200399999999998</v>
      </c>
      <c r="DT82">
        <v>56.5</v>
      </c>
      <c r="DU82">
        <v>28.8</v>
      </c>
      <c r="DV82">
        <v>22.767199999999999</v>
      </c>
      <c r="DW82">
        <v>60.552199999999999</v>
      </c>
      <c r="DX82">
        <v>35.825299999999999</v>
      </c>
      <c r="DY82">
        <v>1</v>
      </c>
      <c r="DZ82">
        <v>-0.101883</v>
      </c>
      <c r="EA82">
        <v>0.43941200000000002</v>
      </c>
      <c r="EB82">
        <v>20.189599999999999</v>
      </c>
      <c r="EC82">
        <v>5.2411000000000003</v>
      </c>
      <c r="ED82">
        <v>12.039899999999999</v>
      </c>
      <c r="EE82">
        <v>5.0169499999999996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1.8692</v>
      </c>
      <c r="EN82">
        <v>1.8672299999999999</v>
      </c>
      <c r="EO82">
        <v>1.8633900000000001</v>
      </c>
      <c r="EP82">
        <v>1.8644700000000001</v>
      </c>
      <c r="EQ82">
        <v>1.8701399999999999</v>
      </c>
      <c r="ER82">
        <v>1.86937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0.24099999999999999</v>
      </c>
      <c r="FG82">
        <v>0.19839999999999999</v>
      </c>
      <c r="FH82">
        <v>0.69281559908863044</v>
      </c>
      <c r="FI82">
        <v>-6.1462078757559423E-4</v>
      </c>
      <c r="FJ82">
        <v>-1.8861989874597051E-7</v>
      </c>
      <c r="FK82">
        <v>1.1980462299894961E-10</v>
      </c>
      <c r="FL82">
        <v>0.19840465858211129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21.6</v>
      </c>
      <c r="FU82">
        <v>21.6</v>
      </c>
      <c r="FV82">
        <v>1.78711</v>
      </c>
      <c r="FW82">
        <v>2.5781200000000002</v>
      </c>
      <c r="FX82">
        <v>1.5490699999999999</v>
      </c>
      <c r="FY82">
        <v>2.3327599999999999</v>
      </c>
      <c r="FZ82">
        <v>1.50146</v>
      </c>
      <c r="GA82">
        <v>2.3925800000000002</v>
      </c>
      <c r="GB82">
        <v>33.580399999999997</v>
      </c>
      <c r="GC82">
        <v>23.991199999999999</v>
      </c>
      <c r="GD82">
        <v>19</v>
      </c>
      <c r="GE82">
        <v>277.44200000000001</v>
      </c>
      <c r="GF82">
        <v>594.66300000000001</v>
      </c>
      <c r="GG82">
        <v>22.844100000000001</v>
      </c>
      <c r="GH82">
        <v>26.1097</v>
      </c>
      <c r="GI82">
        <v>29.9999</v>
      </c>
      <c r="GJ82">
        <v>26.240100000000002</v>
      </c>
      <c r="GK82">
        <v>26.218299999999999</v>
      </c>
      <c r="GL82">
        <v>35.722900000000003</v>
      </c>
      <c r="GM82">
        <v>43.262700000000002</v>
      </c>
      <c r="GN82">
        <v>90.490099999999998</v>
      </c>
      <c r="GO82">
        <v>22.8691</v>
      </c>
      <c r="GP82">
        <v>800</v>
      </c>
      <c r="GQ82">
        <v>14.2468</v>
      </c>
      <c r="GR82">
        <v>99.791200000000003</v>
      </c>
      <c r="GS82">
        <v>99.650400000000005</v>
      </c>
    </row>
    <row r="83" spans="1:201" x14ac:dyDescent="0.25">
      <c r="A83">
        <v>67</v>
      </c>
      <c r="B83">
        <v>1690388945.5999999</v>
      </c>
      <c r="C83">
        <v>687.09999990463257</v>
      </c>
      <c r="D83" t="s">
        <v>467</v>
      </c>
      <c r="E83" t="s">
        <v>468</v>
      </c>
      <c r="F83" t="s">
        <v>330</v>
      </c>
      <c r="H83">
        <v>1690388945.5999999</v>
      </c>
      <c r="I83">
        <f t="shared" si="30"/>
        <v>7.7357973343725672E-4</v>
      </c>
      <c r="J83">
        <f t="shared" si="31"/>
        <v>0.77357973343725672</v>
      </c>
      <c r="K83">
        <f t="shared" si="32"/>
        <v>13.229428367107255</v>
      </c>
      <c r="L83">
        <f t="shared" si="33"/>
        <v>654.64599999999996</v>
      </c>
      <c r="M83">
        <f t="shared" si="34"/>
        <v>234.45829918233022</v>
      </c>
      <c r="N83">
        <f t="shared" si="35"/>
        <v>23.153508717562286</v>
      </c>
      <c r="O83">
        <f t="shared" si="36"/>
        <v>64.648391295075996</v>
      </c>
      <c r="P83">
        <f t="shared" si="37"/>
        <v>5.2279978982393005E-2</v>
      </c>
      <c r="Q83">
        <f t="shared" si="38"/>
        <v>2.1576761506508797</v>
      </c>
      <c r="R83">
        <f t="shared" si="39"/>
        <v>5.1586316493188233E-2</v>
      </c>
      <c r="S83">
        <f t="shared" si="40"/>
        <v>3.2303003810139515E-2</v>
      </c>
      <c r="T83">
        <f t="shared" si="41"/>
        <v>276.11540353800001</v>
      </c>
      <c r="U83">
        <f t="shared" si="42"/>
        <v>27.2530385946283</v>
      </c>
      <c r="V83">
        <f t="shared" si="43"/>
        <v>27.2530385946283</v>
      </c>
      <c r="W83">
        <f t="shared" si="44"/>
        <v>3.6326979638116978</v>
      </c>
      <c r="X83">
        <f t="shared" si="45"/>
        <v>67.588020419380797</v>
      </c>
      <c r="Y83">
        <f t="shared" si="46"/>
        <v>2.1955109017537997</v>
      </c>
      <c r="Z83">
        <f t="shared" si="47"/>
        <v>3.248372844966827</v>
      </c>
      <c r="AA83">
        <f t="shared" si="48"/>
        <v>1.4371870620578981</v>
      </c>
      <c r="AB83">
        <f t="shared" si="49"/>
        <v>-34.11486624458302</v>
      </c>
      <c r="AC83">
        <f t="shared" si="50"/>
        <v>-220.32335129070097</v>
      </c>
      <c r="AD83">
        <f t="shared" si="51"/>
        <v>-21.884477199637331</v>
      </c>
      <c r="AE83">
        <f t="shared" si="52"/>
        <v>-0.20729119692131803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52445.645114852508</v>
      </c>
      <c r="AK83">
        <f t="shared" si="56"/>
        <v>1800</v>
      </c>
      <c r="AL83">
        <f t="shared" si="57"/>
        <v>1499.1104988</v>
      </c>
      <c r="AM83">
        <f t="shared" si="58"/>
        <v>0.83283916599999996</v>
      </c>
      <c r="AN83">
        <f t="shared" si="59"/>
        <v>0.15339744641</v>
      </c>
      <c r="AO83">
        <v>31.8</v>
      </c>
      <c r="AP83">
        <v>0.5</v>
      </c>
      <c r="AQ83" t="s">
        <v>331</v>
      </c>
      <c r="AR83">
        <v>2</v>
      </c>
      <c r="AS83">
        <v>1690388945.5999999</v>
      </c>
      <c r="AT83">
        <v>654.64599999999996</v>
      </c>
      <c r="AU83">
        <v>800.149</v>
      </c>
      <c r="AV83">
        <v>22.232299999999999</v>
      </c>
      <c r="AW83">
        <v>14.22</v>
      </c>
      <c r="AX83">
        <v>654.40200000000004</v>
      </c>
      <c r="AY83">
        <v>22.033899999999999</v>
      </c>
      <c r="AZ83">
        <v>300.2</v>
      </c>
      <c r="BA83">
        <v>98.653199999999998</v>
      </c>
      <c r="BB83">
        <v>0.100006</v>
      </c>
      <c r="BC83">
        <v>25.359000000000002</v>
      </c>
      <c r="BD83">
        <v>26.976500000000001</v>
      </c>
      <c r="BE83">
        <v>26.925000000000001</v>
      </c>
      <c r="BF83">
        <v>0</v>
      </c>
      <c r="BG83">
        <v>0</v>
      </c>
      <c r="BH83">
        <v>9998.75</v>
      </c>
      <c r="BI83">
        <v>1058.26</v>
      </c>
      <c r="BJ83">
        <v>1.5137799999999999</v>
      </c>
      <c r="BK83">
        <v>-145.50299999999999</v>
      </c>
      <c r="BL83">
        <v>669.53099999999995</v>
      </c>
      <c r="BM83">
        <v>811.69100000000003</v>
      </c>
      <c r="BN83">
        <v>8.0122400000000003</v>
      </c>
      <c r="BO83">
        <v>800.149</v>
      </c>
      <c r="BP83">
        <v>14.22</v>
      </c>
      <c r="BQ83">
        <v>2.1932900000000002</v>
      </c>
      <c r="BR83">
        <v>1.4028499999999999</v>
      </c>
      <c r="BS83">
        <v>18.913399999999999</v>
      </c>
      <c r="BT83">
        <v>11.948499999999999</v>
      </c>
      <c r="BU83">
        <v>1800</v>
      </c>
      <c r="BV83">
        <v>0.90999399999999997</v>
      </c>
      <c r="BW83">
        <v>3.4007200000000001E-2</v>
      </c>
      <c r="BX83">
        <v>2.1999299999999999E-2</v>
      </c>
      <c r="BY83">
        <v>3.3999700000000001E-2</v>
      </c>
      <c r="BZ83">
        <v>25</v>
      </c>
      <c r="CA83">
        <v>33528.199999999997</v>
      </c>
      <c r="CB83">
        <v>1690387638</v>
      </c>
      <c r="CC83" t="s">
        <v>332</v>
      </c>
      <c r="CD83">
        <v>1690387638</v>
      </c>
      <c r="CE83">
        <v>1690387638</v>
      </c>
      <c r="CF83">
        <v>6</v>
      </c>
      <c r="CG83">
        <v>0.43</v>
      </c>
      <c r="CH83">
        <v>-8.1000000000000003E-2</v>
      </c>
      <c r="CI83">
        <v>0.14199999999999999</v>
      </c>
      <c r="CJ83">
        <v>-2.7E-2</v>
      </c>
      <c r="CK83">
        <v>800</v>
      </c>
      <c r="CL83">
        <v>0</v>
      </c>
      <c r="CM83">
        <v>0.01</v>
      </c>
      <c r="CN83">
        <v>0.01</v>
      </c>
      <c r="CO83">
        <v>-140.83224999999999</v>
      </c>
      <c r="CP83">
        <v>-24.11464165103137</v>
      </c>
      <c r="CQ83">
        <v>2.3207134113241978</v>
      </c>
      <c r="CR83">
        <v>-1</v>
      </c>
      <c r="CS83">
        <v>7.854348250000001</v>
      </c>
      <c r="CT83">
        <v>1.025090544090052</v>
      </c>
      <c r="CU83">
        <v>0.1009891948647849</v>
      </c>
      <c r="CV83">
        <v>-1</v>
      </c>
      <c r="CW83">
        <v>0</v>
      </c>
      <c r="CX83">
        <v>0</v>
      </c>
      <c r="CY83" t="s">
        <v>333</v>
      </c>
      <c r="CZ83">
        <v>2.3647399999999998</v>
      </c>
      <c r="DA83">
        <v>2.7138</v>
      </c>
      <c r="DB83">
        <v>0.12748599999999999</v>
      </c>
      <c r="DC83">
        <v>0.145699</v>
      </c>
      <c r="DD83">
        <v>0.10742599999999999</v>
      </c>
      <c r="DE83">
        <v>7.6815599999999998E-2</v>
      </c>
      <c r="DF83">
        <v>31875.7</v>
      </c>
      <c r="DG83">
        <v>27554.3</v>
      </c>
      <c r="DH83">
        <v>31187.8</v>
      </c>
      <c r="DI83">
        <v>28103.8</v>
      </c>
      <c r="DJ83">
        <v>37797.1</v>
      </c>
      <c r="DK83">
        <v>36896.199999999997</v>
      </c>
      <c r="DL83">
        <v>44386.8</v>
      </c>
      <c r="DM83">
        <v>42599.8</v>
      </c>
      <c r="DN83">
        <v>1.4642500000000001</v>
      </c>
      <c r="DO83">
        <v>2.05165</v>
      </c>
      <c r="DP83">
        <v>0.16278000000000001</v>
      </c>
      <c r="DQ83">
        <v>0.166461</v>
      </c>
      <c r="DR83">
        <v>24.308499999999999</v>
      </c>
      <c r="DS83">
        <v>24.196300000000001</v>
      </c>
      <c r="DT83">
        <v>56.5</v>
      </c>
      <c r="DU83">
        <v>28.8</v>
      </c>
      <c r="DV83">
        <v>22.770800000000001</v>
      </c>
      <c r="DW83">
        <v>60.632199999999997</v>
      </c>
      <c r="DX83">
        <v>35.8934</v>
      </c>
      <c r="DY83">
        <v>1</v>
      </c>
      <c r="DZ83">
        <v>-0.102543</v>
      </c>
      <c r="EA83">
        <v>0.460231</v>
      </c>
      <c r="EB83">
        <v>20.189399999999999</v>
      </c>
      <c r="EC83">
        <v>5.2413999999999996</v>
      </c>
      <c r="ED83">
        <v>12.039899999999999</v>
      </c>
      <c r="EE83">
        <v>5.0166500000000003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1.8689100000000001</v>
      </c>
      <c r="EL83">
        <v>1.8646199999999999</v>
      </c>
      <c r="EM83">
        <v>1.8692</v>
      </c>
      <c r="EN83">
        <v>1.8672299999999999</v>
      </c>
      <c r="EO83">
        <v>1.8633900000000001</v>
      </c>
      <c r="EP83">
        <v>1.8644700000000001</v>
      </c>
      <c r="EQ83">
        <v>1.8701399999999999</v>
      </c>
      <c r="ER83">
        <v>1.8693900000000001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0.24399999999999999</v>
      </c>
      <c r="FG83">
        <v>0.19839999999999999</v>
      </c>
      <c r="FH83">
        <v>0.69281559908863044</v>
      </c>
      <c r="FI83">
        <v>-6.1462078757559423E-4</v>
      </c>
      <c r="FJ83">
        <v>-1.8861989874597051E-7</v>
      </c>
      <c r="FK83">
        <v>1.1980462299894961E-10</v>
      </c>
      <c r="FL83">
        <v>0.19840465858211129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21.8</v>
      </c>
      <c r="FU83">
        <v>21.8</v>
      </c>
      <c r="FV83">
        <v>1.78589</v>
      </c>
      <c r="FW83">
        <v>2.5793499999999998</v>
      </c>
      <c r="FX83">
        <v>1.5490699999999999</v>
      </c>
      <c r="FY83">
        <v>2.3327599999999999</v>
      </c>
      <c r="FZ83">
        <v>1.50146</v>
      </c>
      <c r="GA83">
        <v>2.36328</v>
      </c>
      <c r="GB83">
        <v>33.580399999999997</v>
      </c>
      <c r="GC83">
        <v>23.991199999999999</v>
      </c>
      <c r="GD83">
        <v>19</v>
      </c>
      <c r="GE83">
        <v>277.31900000000002</v>
      </c>
      <c r="GF83">
        <v>594.46600000000001</v>
      </c>
      <c r="GG83">
        <v>22.913499999999999</v>
      </c>
      <c r="GH83">
        <v>26.102699999999999</v>
      </c>
      <c r="GI83">
        <v>29.9998</v>
      </c>
      <c r="GJ83">
        <v>26.235800000000001</v>
      </c>
      <c r="GK83">
        <v>26.215800000000002</v>
      </c>
      <c r="GL83">
        <v>35.7181</v>
      </c>
      <c r="GM83">
        <v>43.564</v>
      </c>
      <c r="GN83">
        <v>89.725800000000007</v>
      </c>
      <c r="GO83">
        <v>22.911999999999999</v>
      </c>
      <c r="GP83">
        <v>800</v>
      </c>
      <c r="GQ83">
        <v>14.071300000000001</v>
      </c>
      <c r="GR83">
        <v>99.792500000000004</v>
      </c>
      <c r="GS83">
        <v>99.651700000000005</v>
      </c>
    </row>
    <row r="84" spans="1:201" x14ac:dyDescent="0.25">
      <c r="A84">
        <v>68</v>
      </c>
      <c r="B84">
        <v>1690388955.5999999</v>
      </c>
      <c r="C84">
        <v>697.09999990463257</v>
      </c>
      <c r="D84" t="s">
        <v>469</v>
      </c>
      <c r="E84" t="s">
        <v>470</v>
      </c>
      <c r="F84" t="s">
        <v>330</v>
      </c>
      <c r="H84">
        <v>1690388955.5999999</v>
      </c>
      <c r="I84">
        <f t="shared" si="30"/>
        <v>7.9556167696735475E-4</v>
      </c>
      <c r="J84">
        <f t="shared" si="31"/>
        <v>0.7955616769673548</v>
      </c>
      <c r="K84">
        <f t="shared" si="32"/>
        <v>13.592716978446365</v>
      </c>
      <c r="L84">
        <f t="shared" si="33"/>
        <v>650.59500000000003</v>
      </c>
      <c r="M84">
        <f t="shared" si="34"/>
        <v>231.82989409934615</v>
      </c>
      <c r="N84">
        <f t="shared" si="35"/>
        <v>22.893785326323986</v>
      </c>
      <c r="O84">
        <f t="shared" si="36"/>
        <v>64.247893147020008</v>
      </c>
      <c r="P84">
        <f t="shared" si="37"/>
        <v>5.3908947278266076E-2</v>
      </c>
      <c r="Q84">
        <f t="shared" si="38"/>
        <v>2.1551210819336979</v>
      </c>
      <c r="R84">
        <f t="shared" si="39"/>
        <v>5.3170851861242228E-2</v>
      </c>
      <c r="S84">
        <f t="shared" si="40"/>
        <v>3.3297255421343597E-2</v>
      </c>
      <c r="T84">
        <f t="shared" si="41"/>
        <v>276.11510716800001</v>
      </c>
      <c r="U84">
        <f t="shared" si="42"/>
        <v>27.254872533416329</v>
      </c>
      <c r="V84">
        <f t="shared" si="43"/>
        <v>27.254872533416329</v>
      </c>
      <c r="W84">
        <f t="shared" si="44"/>
        <v>3.633088528525017</v>
      </c>
      <c r="X84">
        <f t="shared" si="45"/>
        <v>67.670250292146534</v>
      </c>
      <c r="Y84">
        <f t="shared" si="46"/>
        <v>2.1991494045588</v>
      </c>
      <c r="Z84">
        <f t="shared" si="47"/>
        <v>3.2498023800187159</v>
      </c>
      <c r="AA84">
        <f t="shared" si="48"/>
        <v>1.4339391239662169</v>
      </c>
      <c r="AB84">
        <f t="shared" si="49"/>
        <v>-35.084269954260343</v>
      </c>
      <c r="AC84">
        <f t="shared" si="50"/>
        <v>-219.41574629527793</v>
      </c>
      <c r="AD84">
        <f t="shared" si="51"/>
        <v>-21.821173201836171</v>
      </c>
      <c r="AE84">
        <f t="shared" si="52"/>
        <v>-0.20608228337442824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52337.03392005057</v>
      </c>
      <c r="AK84">
        <f t="shared" si="56"/>
        <v>1800</v>
      </c>
      <c r="AL84">
        <f t="shared" si="57"/>
        <v>1499.1112188</v>
      </c>
      <c r="AM84">
        <f t="shared" si="58"/>
        <v>0.83283956599999998</v>
      </c>
      <c r="AN84">
        <f t="shared" si="59"/>
        <v>0.15339728176</v>
      </c>
      <c r="AO84">
        <v>31.8</v>
      </c>
      <c r="AP84">
        <v>0.5</v>
      </c>
      <c r="AQ84" t="s">
        <v>331</v>
      </c>
      <c r="AR84">
        <v>2</v>
      </c>
      <c r="AS84">
        <v>1690388955.5999999</v>
      </c>
      <c r="AT84">
        <v>650.59500000000003</v>
      </c>
      <c r="AU84">
        <v>800.08699999999999</v>
      </c>
      <c r="AV84">
        <v>22.269300000000001</v>
      </c>
      <c r="AW84">
        <v>14.0284</v>
      </c>
      <c r="AX84">
        <v>650.34900000000005</v>
      </c>
      <c r="AY84">
        <v>22.070900000000002</v>
      </c>
      <c r="AZ84">
        <v>300.15499999999997</v>
      </c>
      <c r="BA84">
        <v>98.652500000000003</v>
      </c>
      <c r="BB84">
        <v>0.10001599999999999</v>
      </c>
      <c r="BC84">
        <v>25.366399999999999</v>
      </c>
      <c r="BD84">
        <v>26.939900000000002</v>
      </c>
      <c r="BE84">
        <v>26.921700000000001</v>
      </c>
      <c r="BF84">
        <v>0</v>
      </c>
      <c r="BG84">
        <v>0</v>
      </c>
      <c r="BH84">
        <v>9977.5</v>
      </c>
      <c r="BI84">
        <v>1058.31</v>
      </c>
      <c r="BJ84">
        <v>1.5137799999999999</v>
      </c>
      <c r="BK84">
        <v>-149.49199999999999</v>
      </c>
      <c r="BL84">
        <v>665.41399999999999</v>
      </c>
      <c r="BM84">
        <v>811.471</v>
      </c>
      <c r="BN84">
        <v>8.2408999999999999</v>
      </c>
      <c r="BO84">
        <v>800.08699999999999</v>
      </c>
      <c r="BP84">
        <v>14.0284</v>
      </c>
      <c r="BQ84">
        <v>2.19692</v>
      </c>
      <c r="BR84">
        <v>1.3839399999999999</v>
      </c>
      <c r="BS84">
        <v>18.939900000000002</v>
      </c>
      <c r="BT84">
        <v>11.742800000000001</v>
      </c>
      <c r="BU84">
        <v>1800</v>
      </c>
      <c r="BV84">
        <v>0.91</v>
      </c>
      <c r="BW84">
        <v>3.4004899999999998E-2</v>
      </c>
      <c r="BX84">
        <v>2.1997800000000001E-2</v>
      </c>
      <c r="BY84">
        <v>3.3997399999999997E-2</v>
      </c>
      <c r="BZ84">
        <v>25</v>
      </c>
      <c r="CA84">
        <v>33528.400000000001</v>
      </c>
      <c r="CB84">
        <v>1690387638</v>
      </c>
      <c r="CC84" t="s">
        <v>332</v>
      </c>
      <c r="CD84">
        <v>1690387638</v>
      </c>
      <c r="CE84">
        <v>1690387638</v>
      </c>
      <c r="CF84">
        <v>6</v>
      </c>
      <c r="CG84">
        <v>0.43</v>
      </c>
      <c r="CH84">
        <v>-8.1000000000000003E-2</v>
      </c>
      <c r="CI84">
        <v>0.14199999999999999</v>
      </c>
      <c r="CJ84">
        <v>-2.7E-2</v>
      </c>
      <c r="CK84">
        <v>800</v>
      </c>
      <c r="CL84">
        <v>0</v>
      </c>
      <c r="CM84">
        <v>0.01</v>
      </c>
      <c r="CN84">
        <v>0.01</v>
      </c>
      <c r="CO84">
        <v>-144.99617073170731</v>
      </c>
      <c r="CP84">
        <v>-24.493254355401071</v>
      </c>
      <c r="CQ84">
        <v>2.4159583858316318</v>
      </c>
      <c r="CR84">
        <v>-1</v>
      </c>
      <c r="CS84">
        <v>8.0271156097560983</v>
      </c>
      <c r="CT84">
        <v>0.9899609059233625</v>
      </c>
      <c r="CU84">
        <v>9.9577007044524532E-2</v>
      </c>
      <c r="CV84">
        <v>-1</v>
      </c>
      <c r="CW84">
        <v>0</v>
      </c>
      <c r="CX84">
        <v>0</v>
      </c>
      <c r="CY84" t="s">
        <v>333</v>
      </c>
      <c r="CZ84">
        <v>2.3645900000000002</v>
      </c>
      <c r="DA84">
        <v>2.7137899999999999</v>
      </c>
      <c r="DB84">
        <v>0.126939</v>
      </c>
      <c r="DC84">
        <v>0.14568800000000001</v>
      </c>
      <c r="DD84">
        <v>0.107554</v>
      </c>
      <c r="DE84">
        <v>7.6050300000000001E-2</v>
      </c>
      <c r="DF84">
        <v>31896</v>
      </c>
      <c r="DG84">
        <v>27555.200000000001</v>
      </c>
      <c r="DH84">
        <v>31188.1</v>
      </c>
      <c r="DI84">
        <v>28104.400000000001</v>
      </c>
      <c r="DJ84">
        <v>37792.199999999997</v>
      </c>
      <c r="DK84">
        <v>36927.699999999997</v>
      </c>
      <c r="DL84">
        <v>44387.5</v>
      </c>
      <c r="DM84">
        <v>42600.7</v>
      </c>
      <c r="DN84">
        <v>1.46445</v>
      </c>
      <c r="DO84">
        <v>2.0513699999999999</v>
      </c>
      <c r="DP84">
        <v>0.16082099999999999</v>
      </c>
      <c r="DQ84">
        <v>0.16633400000000001</v>
      </c>
      <c r="DR84">
        <v>24.303899999999999</v>
      </c>
      <c r="DS84">
        <v>24.195</v>
      </c>
      <c r="DT84">
        <v>56.4</v>
      </c>
      <c r="DU84">
        <v>28.8</v>
      </c>
      <c r="DV84">
        <v>22.728899999999999</v>
      </c>
      <c r="DW84">
        <v>60.862200000000001</v>
      </c>
      <c r="DX84">
        <v>36.342100000000002</v>
      </c>
      <c r="DY84">
        <v>1</v>
      </c>
      <c r="DZ84">
        <v>-0.103242</v>
      </c>
      <c r="EA84">
        <v>0.48066199999999998</v>
      </c>
      <c r="EB84">
        <v>20.189</v>
      </c>
      <c r="EC84">
        <v>5.2411000000000003</v>
      </c>
      <c r="ED84">
        <v>12.039899999999999</v>
      </c>
      <c r="EE84">
        <v>5.0168499999999998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1.8689100000000001</v>
      </c>
      <c r="EL84">
        <v>1.8646199999999999</v>
      </c>
      <c r="EM84">
        <v>1.8692</v>
      </c>
      <c r="EN84">
        <v>1.8672299999999999</v>
      </c>
      <c r="EO84">
        <v>1.86338</v>
      </c>
      <c r="EP84">
        <v>1.8644700000000001</v>
      </c>
      <c r="EQ84">
        <v>1.8701300000000001</v>
      </c>
      <c r="ER84">
        <v>1.8693599999999999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0.246</v>
      </c>
      <c r="FG84">
        <v>0.19839999999999999</v>
      </c>
      <c r="FH84">
        <v>0.69281559908863044</v>
      </c>
      <c r="FI84">
        <v>-6.1462078757559423E-4</v>
      </c>
      <c r="FJ84">
        <v>-1.8861989874597051E-7</v>
      </c>
      <c r="FK84">
        <v>1.1980462299894961E-10</v>
      </c>
      <c r="FL84">
        <v>0.19840465858211129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22</v>
      </c>
      <c r="FU84">
        <v>22</v>
      </c>
      <c r="FV84">
        <v>1.78589</v>
      </c>
      <c r="FW84">
        <v>2.5817899999999998</v>
      </c>
      <c r="FX84">
        <v>1.5490699999999999</v>
      </c>
      <c r="FY84">
        <v>2.3327599999999999</v>
      </c>
      <c r="FZ84">
        <v>1.50146</v>
      </c>
      <c r="GA84">
        <v>2.3144499999999999</v>
      </c>
      <c r="GB84">
        <v>33.580399999999997</v>
      </c>
      <c r="GC84">
        <v>23.982399999999998</v>
      </c>
      <c r="GD84">
        <v>19</v>
      </c>
      <c r="GE84">
        <v>277.387</v>
      </c>
      <c r="GF84">
        <v>594.19200000000001</v>
      </c>
      <c r="GG84">
        <v>22.936</v>
      </c>
      <c r="GH84">
        <v>26.0961</v>
      </c>
      <c r="GI84">
        <v>29.999700000000001</v>
      </c>
      <c r="GJ84">
        <v>26.2319</v>
      </c>
      <c r="GK84">
        <v>26.2119</v>
      </c>
      <c r="GL84">
        <v>35.713700000000003</v>
      </c>
      <c r="GM84">
        <v>44.127499999999998</v>
      </c>
      <c r="GN84">
        <v>89.350200000000001</v>
      </c>
      <c r="GO84">
        <v>22.954000000000001</v>
      </c>
      <c r="GP84">
        <v>800</v>
      </c>
      <c r="GQ84">
        <v>13.886799999999999</v>
      </c>
      <c r="GR84">
        <v>99.793899999999994</v>
      </c>
      <c r="GS84">
        <v>99.653899999999993</v>
      </c>
    </row>
    <row r="85" spans="1:201" x14ac:dyDescent="0.25">
      <c r="A85">
        <v>69</v>
      </c>
      <c r="B85">
        <v>1690388965.5999999</v>
      </c>
      <c r="C85">
        <v>707.09999990463257</v>
      </c>
      <c r="D85" t="s">
        <v>471</v>
      </c>
      <c r="E85" t="s">
        <v>472</v>
      </c>
      <c r="F85" t="s">
        <v>330</v>
      </c>
      <c r="H85">
        <v>1690388965.5999999</v>
      </c>
      <c r="I85">
        <f t="shared" si="30"/>
        <v>8.162802256242264E-4</v>
      </c>
      <c r="J85">
        <f t="shared" si="31"/>
        <v>0.81628022562422642</v>
      </c>
      <c r="K85">
        <f t="shared" si="32"/>
        <v>13.958895380712514</v>
      </c>
      <c r="L85">
        <f t="shared" si="33"/>
        <v>646.51800000000003</v>
      </c>
      <c r="M85">
        <f t="shared" si="34"/>
        <v>228.40673960487774</v>
      </c>
      <c r="N85">
        <f t="shared" si="35"/>
        <v>22.555459701021615</v>
      </c>
      <c r="O85">
        <f t="shared" si="36"/>
        <v>63.844485150532208</v>
      </c>
      <c r="P85">
        <f t="shared" si="37"/>
        <v>5.5452258421936879E-2</v>
      </c>
      <c r="Q85">
        <f t="shared" si="38"/>
        <v>2.158628508118686</v>
      </c>
      <c r="R85">
        <f t="shared" si="39"/>
        <v>5.4672876677563466E-2</v>
      </c>
      <c r="S85">
        <f t="shared" si="40"/>
        <v>3.4239659676010892E-2</v>
      </c>
      <c r="T85">
        <f t="shared" si="41"/>
        <v>276.11498926799999</v>
      </c>
      <c r="U85">
        <f t="shared" si="42"/>
        <v>27.255212349990725</v>
      </c>
      <c r="V85">
        <f t="shared" si="43"/>
        <v>27.255212349990725</v>
      </c>
      <c r="W85">
        <f t="shared" si="44"/>
        <v>3.6331609015750517</v>
      </c>
      <c r="X85">
        <f t="shared" si="45"/>
        <v>67.726983592628685</v>
      </c>
      <c r="Y85">
        <f t="shared" si="46"/>
        <v>2.2023413476170104</v>
      </c>
      <c r="Z85">
        <f t="shared" si="47"/>
        <v>3.2517930532147754</v>
      </c>
      <c r="AA85">
        <f t="shared" si="48"/>
        <v>1.4308195539580413</v>
      </c>
      <c r="AB85">
        <f t="shared" si="49"/>
        <v>-35.997957950028386</v>
      </c>
      <c r="AC85">
        <f t="shared" si="50"/>
        <v>-218.61371591590654</v>
      </c>
      <c r="AD85">
        <f t="shared" si="51"/>
        <v>-21.707239095289587</v>
      </c>
      <c r="AE85">
        <f t="shared" si="52"/>
        <v>-0.20392369322453874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52482.518459829989</v>
      </c>
      <c r="AK85">
        <f t="shared" si="56"/>
        <v>1800</v>
      </c>
      <c r="AL85">
        <f t="shared" si="57"/>
        <v>1499.1113717999999</v>
      </c>
      <c r="AM85">
        <f t="shared" si="58"/>
        <v>0.83283965100000001</v>
      </c>
      <c r="AN85">
        <f t="shared" si="59"/>
        <v>0.15339721626</v>
      </c>
      <c r="AO85">
        <v>31.8</v>
      </c>
      <c r="AP85">
        <v>0.5</v>
      </c>
      <c r="AQ85" t="s">
        <v>331</v>
      </c>
      <c r="AR85">
        <v>2</v>
      </c>
      <c r="AS85">
        <v>1690388965.5999999</v>
      </c>
      <c r="AT85">
        <v>646.51800000000003</v>
      </c>
      <c r="AU85">
        <v>800.04</v>
      </c>
      <c r="AV85">
        <v>22.3019</v>
      </c>
      <c r="AW85">
        <v>13.8443</v>
      </c>
      <c r="AX85">
        <v>646.26900000000001</v>
      </c>
      <c r="AY85">
        <v>22.1035</v>
      </c>
      <c r="AZ85">
        <v>300.07100000000003</v>
      </c>
      <c r="BA85">
        <v>98.651300000000006</v>
      </c>
      <c r="BB85">
        <v>9.9987900000000005E-2</v>
      </c>
      <c r="BC85">
        <v>25.3767</v>
      </c>
      <c r="BD85">
        <v>27.001000000000001</v>
      </c>
      <c r="BE85">
        <v>26.915299999999998</v>
      </c>
      <c r="BF85">
        <v>0</v>
      </c>
      <c r="BG85">
        <v>0</v>
      </c>
      <c r="BH85">
        <v>10006.9</v>
      </c>
      <c r="BI85">
        <v>1058.42</v>
      </c>
      <c r="BJ85">
        <v>1.5137799999999999</v>
      </c>
      <c r="BK85">
        <v>-153.52199999999999</v>
      </c>
      <c r="BL85">
        <v>661.26499999999999</v>
      </c>
      <c r="BM85">
        <v>811.27099999999996</v>
      </c>
      <c r="BN85">
        <v>8.4575499999999995</v>
      </c>
      <c r="BO85">
        <v>800.04</v>
      </c>
      <c r="BP85">
        <v>13.8443</v>
      </c>
      <c r="BQ85">
        <v>2.20011</v>
      </c>
      <c r="BR85">
        <v>1.3657600000000001</v>
      </c>
      <c r="BS85">
        <v>18.963100000000001</v>
      </c>
      <c r="BT85">
        <v>11.5428</v>
      </c>
      <c r="BU85">
        <v>1800</v>
      </c>
      <c r="BV85">
        <v>0.91000199999999998</v>
      </c>
      <c r="BW85">
        <v>3.4004100000000002E-2</v>
      </c>
      <c r="BX85">
        <v>2.1997300000000001E-2</v>
      </c>
      <c r="BY85">
        <v>3.3996600000000002E-2</v>
      </c>
      <c r="BZ85">
        <v>25</v>
      </c>
      <c r="CA85">
        <v>33528.5</v>
      </c>
      <c r="CB85">
        <v>1690387638</v>
      </c>
      <c r="CC85" t="s">
        <v>332</v>
      </c>
      <c r="CD85">
        <v>1690387638</v>
      </c>
      <c r="CE85">
        <v>1690387638</v>
      </c>
      <c r="CF85">
        <v>6</v>
      </c>
      <c r="CG85">
        <v>0.43</v>
      </c>
      <c r="CH85">
        <v>-8.1000000000000003E-2</v>
      </c>
      <c r="CI85">
        <v>0.14199999999999999</v>
      </c>
      <c r="CJ85">
        <v>-2.7E-2</v>
      </c>
      <c r="CK85">
        <v>800</v>
      </c>
      <c r="CL85">
        <v>0</v>
      </c>
      <c r="CM85">
        <v>0.01</v>
      </c>
      <c r="CN85">
        <v>0.01</v>
      </c>
      <c r="CO85">
        <v>-149.0796097560976</v>
      </c>
      <c r="CP85">
        <v>-24.296864111498241</v>
      </c>
      <c r="CQ85">
        <v>2.3962690398042401</v>
      </c>
      <c r="CR85">
        <v>-1</v>
      </c>
      <c r="CS85">
        <v>8.2224124390243922</v>
      </c>
      <c r="CT85">
        <v>1.330124111498258</v>
      </c>
      <c r="CU85">
        <v>0.13151901995029189</v>
      </c>
      <c r="CV85">
        <v>-1</v>
      </c>
      <c r="CW85">
        <v>0</v>
      </c>
      <c r="CX85">
        <v>0</v>
      </c>
      <c r="CY85" t="s">
        <v>333</v>
      </c>
      <c r="CZ85">
        <v>2.3643399999999999</v>
      </c>
      <c r="DA85">
        <v>2.7137799999999999</v>
      </c>
      <c r="DB85">
        <v>0.126386</v>
      </c>
      <c r="DC85">
        <v>0.145678</v>
      </c>
      <c r="DD85">
        <v>0.107666</v>
      </c>
      <c r="DE85">
        <v>7.5310799999999997E-2</v>
      </c>
      <c r="DF85">
        <v>31916.6</v>
      </c>
      <c r="DG85">
        <v>27556.2</v>
      </c>
      <c r="DH85">
        <v>31188.5</v>
      </c>
      <c r="DI85">
        <v>28105</v>
      </c>
      <c r="DJ85">
        <v>37787.699999999997</v>
      </c>
      <c r="DK85">
        <v>36958.199999999997</v>
      </c>
      <c r="DL85">
        <v>44388.1</v>
      </c>
      <c r="DM85">
        <v>42601.7</v>
      </c>
      <c r="DN85">
        <v>1.46495</v>
      </c>
      <c r="DO85">
        <v>2.0513300000000001</v>
      </c>
      <c r="DP85">
        <v>0.16480700000000001</v>
      </c>
      <c r="DQ85">
        <v>0.165939</v>
      </c>
      <c r="DR85">
        <v>24.299800000000001</v>
      </c>
      <c r="DS85">
        <v>24.195</v>
      </c>
      <c r="DT85">
        <v>56.3</v>
      </c>
      <c r="DU85">
        <v>28.8</v>
      </c>
      <c r="DV85">
        <v>22.687899999999999</v>
      </c>
      <c r="DW85">
        <v>60.702199999999998</v>
      </c>
      <c r="DX85">
        <v>36.694699999999997</v>
      </c>
      <c r="DY85">
        <v>1</v>
      </c>
      <c r="DZ85">
        <v>-0.10365099999999999</v>
      </c>
      <c r="EA85">
        <v>0.40753800000000001</v>
      </c>
      <c r="EB85">
        <v>20.189599999999999</v>
      </c>
      <c r="EC85">
        <v>5.2413999999999996</v>
      </c>
      <c r="ED85">
        <v>12.039899999999999</v>
      </c>
      <c r="EE85">
        <v>5.0167999999999999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1.8689199999999999</v>
      </c>
      <c r="EL85">
        <v>1.8646199999999999</v>
      </c>
      <c r="EM85">
        <v>1.8692</v>
      </c>
      <c r="EN85">
        <v>1.8672500000000001</v>
      </c>
      <c r="EO85">
        <v>1.8633900000000001</v>
      </c>
      <c r="EP85">
        <v>1.86446</v>
      </c>
      <c r="EQ85">
        <v>1.8701399999999999</v>
      </c>
      <c r="ER85">
        <v>1.8693900000000001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0.249</v>
      </c>
      <c r="FG85">
        <v>0.19839999999999999</v>
      </c>
      <c r="FH85">
        <v>0.69281559908863044</v>
      </c>
      <c r="FI85">
        <v>-6.1462078757559423E-4</v>
      </c>
      <c r="FJ85">
        <v>-1.8861989874597051E-7</v>
      </c>
      <c r="FK85">
        <v>1.1980462299894961E-10</v>
      </c>
      <c r="FL85">
        <v>0.19840465858211129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22.1</v>
      </c>
      <c r="FU85">
        <v>22.1</v>
      </c>
      <c r="FV85">
        <v>1.78589</v>
      </c>
      <c r="FW85">
        <v>2.5866699999999998</v>
      </c>
      <c r="FX85">
        <v>1.5490699999999999</v>
      </c>
      <c r="FY85">
        <v>2.3327599999999999</v>
      </c>
      <c r="FZ85">
        <v>1.50146</v>
      </c>
      <c r="GA85">
        <v>2.2814899999999998</v>
      </c>
      <c r="GB85">
        <v>33.580399999999997</v>
      </c>
      <c r="GC85">
        <v>23.982399999999998</v>
      </c>
      <c r="GD85">
        <v>19</v>
      </c>
      <c r="GE85">
        <v>277.58100000000002</v>
      </c>
      <c r="GF85">
        <v>594.11800000000005</v>
      </c>
      <c r="GG85">
        <v>22.9971</v>
      </c>
      <c r="GH85">
        <v>26.088799999999999</v>
      </c>
      <c r="GI85">
        <v>29.9999</v>
      </c>
      <c r="GJ85">
        <v>26.228000000000002</v>
      </c>
      <c r="GK85">
        <v>26.209199999999999</v>
      </c>
      <c r="GL85">
        <v>35.707099999999997</v>
      </c>
      <c r="GM85">
        <v>44.674199999999999</v>
      </c>
      <c r="GN85">
        <v>88.967100000000002</v>
      </c>
      <c r="GO85">
        <v>23.002800000000001</v>
      </c>
      <c r="GP85">
        <v>800</v>
      </c>
      <c r="GQ85">
        <v>13.7018</v>
      </c>
      <c r="GR85">
        <v>99.795000000000002</v>
      </c>
      <c r="GS85">
        <v>99.656300000000002</v>
      </c>
    </row>
    <row r="86" spans="1:201" x14ac:dyDescent="0.25">
      <c r="A86">
        <v>70</v>
      </c>
      <c r="B86">
        <v>1690388975.5999999</v>
      </c>
      <c r="C86">
        <v>717.09999990463257</v>
      </c>
      <c r="D86" t="s">
        <v>473</v>
      </c>
      <c r="E86" t="s">
        <v>474</v>
      </c>
      <c r="F86" t="s">
        <v>330</v>
      </c>
      <c r="H86">
        <v>1690388975.5999999</v>
      </c>
      <c r="I86">
        <f t="shared" si="30"/>
        <v>8.358944936767103E-4</v>
      </c>
      <c r="J86">
        <f t="shared" si="31"/>
        <v>0.83589449367671032</v>
      </c>
      <c r="K86">
        <f t="shared" si="32"/>
        <v>14.345693447166573</v>
      </c>
      <c r="L86">
        <f t="shared" si="33"/>
        <v>642.48099999999999</v>
      </c>
      <c r="M86">
        <f t="shared" si="34"/>
        <v>223.42502705887003</v>
      </c>
      <c r="N86">
        <f t="shared" si="35"/>
        <v>22.062646549468791</v>
      </c>
      <c r="O86">
        <f t="shared" si="36"/>
        <v>63.443345646386987</v>
      </c>
      <c r="P86">
        <f t="shared" si="37"/>
        <v>5.6858431122398745E-2</v>
      </c>
      <c r="Q86">
        <f t="shared" si="38"/>
        <v>2.1575315529090444</v>
      </c>
      <c r="R86">
        <f t="shared" si="39"/>
        <v>5.6038925505667379E-2</v>
      </c>
      <c r="S86">
        <f t="shared" si="40"/>
        <v>3.5096973762172641E-2</v>
      </c>
      <c r="T86">
        <f t="shared" si="41"/>
        <v>276.11499776400007</v>
      </c>
      <c r="U86">
        <f t="shared" si="42"/>
        <v>27.254303283969136</v>
      </c>
      <c r="V86">
        <f t="shared" si="43"/>
        <v>27.254303283969136</v>
      </c>
      <c r="W86">
        <f t="shared" si="44"/>
        <v>3.6329672944130498</v>
      </c>
      <c r="X86">
        <f t="shared" si="45"/>
        <v>67.743976813054942</v>
      </c>
      <c r="Y86">
        <f t="shared" si="46"/>
        <v>2.2035488335049997</v>
      </c>
      <c r="Z86">
        <f t="shared" si="47"/>
        <v>3.2527597834799002</v>
      </c>
      <c r="AA86">
        <f t="shared" si="48"/>
        <v>1.42941846090805</v>
      </c>
      <c r="AB86">
        <f t="shared" si="49"/>
        <v>-36.862947171142928</v>
      </c>
      <c r="AC86">
        <f t="shared" si="50"/>
        <v>-217.81529858813406</v>
      </c>
      <c r="AD86">
        <f t="shared" si="51"/>
        <v>-21.63939889186706</v>
      </c>
      <c r="AE86">
        <f t="shared" si="52"/>
        <v>-0.20264688714399881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52435.45609302607</v>
      </c>
      <c r="AK86">
        <f t="shared" si="56"/>
        <v>1800</v>
      </c>
      <c r="AL86">
        <f t="shared" si="57"/>
        <v>1499.1120774000001</v>
      </c>
      <c r="AM86">
        <f t="shared" si="58"/>
        <v>0.83284004300000003</v>
      </c>
      <c r="AN86">
        <f t="shared" si="59"/>
        <v>0.15339722098000003</v>
      </c>
      <c r="AO86">
        <v>31.8</v>
      </c>
      <c r="AP86">
        <v>0.5</v>
      </c>
      <c r="AQ86" t="s">
        <v>331</v>
      </c>
      <c r="AR86">
        <v>2</v>
      </c>
      <c r="AS86">
        <v>1690388975.5999999</v>
      </c>
      <c r="AT86">
        <v>642.48099999999999</v>
      </c>
      <c r="AU86">
        <v>800.15499999999997</v>
      </c>
      <c r="AV86">
        <v>22.315000000000001</v>
      </c>
      <c r="AW86">
        <v>13.6568</v>
      </c>
      <c r="AX86">
        <v>642.22900000000004</v>
      </c>
      <c r="AY86">
        <v>22.116599999999998</v>
      </c>
      <c r="AZ86">
        <v>300.15800000000002</v>
      </c>
      <c r="BA86">
        <v>98.647499999999994</v>
      </c>
      <c r="BB86">
        <v>9.9927000000000002E-2</v>
      </c>
      <c r="BC86">
        <v>25.381699999999999</v>
      </c>
      <c r="BD86">
        <v>26.987100000000002</v>
      </c>
      <c r="BE86">
        <v>26.9192</v>
      </c>
      <c r="BF86">
        <v>0</v>
      </c>
      <c r="BG86">
        <v>0</v>
      </c>
      <c r="BH86">
        <v>9998.1200000000008</v>
      </c>
      <c r="BI86">
        <v>1058.58</v>
      </c>
      <c r="BJ86">
        <v>1.49136</v>
      </c>
      <c r="BK86">
        <v>-157.67500000000001</v>
      </c>
      <c r="BL86">
        <v>657.14499999999998</v>
      </c>
      <c r="BM86">
        <v>811.23400000000004</v>
      </c>
      <c r="BN86">
        <v>8.6581299999999999</v>
      </c>
      <c r="BO86">
        <v>800.15499999999997</v>
      </c>
      <c r="BP86">
        <v>13.6568</v>
      </c>
      <c r="BQ86">
        <v>2.2013199999999999</v>
      </c>
      <c r="BR86">
        <v>1.34721</v>
      </c>
      <c r="BS86">
        <v>18.971900000000002</v>
      </c>
      <c r="BT86">
        <v>11.3362</v>
      </c>
      <c r="BU86">
        <v>1800</v>
      </c>
      <c r="BV86">
        <v>0.91000400000000004</v>
      </c>
      <c r="BW86">
        <v>3.4003400000000003E-2</v>
      </c>
      <c r="BX86">
        <v>2.19969E-2</v>
      </c>
      <c r="BY86">
        <v>3.3995999999999998E-2</v>
      </c>
      <c r="BZ86">
        <v>25</v>
      </c>
      <c r="CA86">
        <v>33528.400000000001</v>
      </c>
      <c r="CB86">
        <v>1690387638</v>
      </c>
      <c r="CC86" t="s">
        <v>332</v>
      </c>
      <c r="CD86">
        <v>1690387638</v>
      </c>
      <c r="CE86">
        <v>1690387638</v>
      </c>
      <c r="CF86">
        <v>6</v>
      </c>
      <c r="CG86">
        <v>0.43</v>
      </c>
      <c r="CH86">
        <v>-8.1000000000000003E-2</v>
      </c>
      <c r="CI86">
        <v>0.14199999999999999</v>
      </c>
      <c r="CJ86">
        <v>-2.7E-2</v>
      </c>
      <c r="CK86">
        <v>800</v>
      </c>
      <c r="CL86">
        <v>0</v>
      </c>
      <c r="CM86">
        <v>0.01</v>
      </c>
      <c r="CN86">
        <v>0.01</v>
      </c>
      <c r="CO86">
        <v>-153.053325</v>
      </c>
      <c r="CP86">
        <v>-24.534270168855262</v>
      </c>
      <c r="CQ86">
        <v>2.360586837922936</v>
      </c>
      <c r="CR86">
        <v>-1</v>
      </c>
      <c r="CS86">
        <v>8.4335579999999997</v>
      </c>
      <c r="CT86">
        <v>1.26254926829267</v>
      </c>
      <c r="CU86">
        <v>0.12182455069073719</v>
      </c>
      <c r="CV86">
        <v>-1</v>
      </c>
      <c r="CW86">
        <v>0</v>
      </c>
      <c r="CX86">
        <v>0</v>
      </c>
      <c r="CY86" t="s">
        <v>333</v>
      </c>
      <c r="CZ86">
        <v>2.3646199999999999</v>
      </c>
      <c r="DA86">
        <v>2.7137199999999999</v>
      </c>
      <c r="DB86">
        <v>0.125834</v>
      </c>
      <c r="DC86">
        <v>0.14568400000000001</v>
      </c>
      <c r="DD86">
        <v>0.107708</v>
      </c>
      <c r="DE86">
        <v>7.4552099999999996E-2</v>
      </c>
      <c r="DF86">
        <v>31936.7</v>
      </c>
      <c r="DG86">
        <v>27556.400000000001</v>
      </c>
      <c r="DH86">
        <v>31188.400000000001</v>
      </c>
      <c r="DI86">
        <v>28105.4</v>
      </c>
      <c r="DJ86">
        <v>37785.699999999997</v>
      </c>
      <c r="DK86">
        <v>36989.1</v>
      </c>
      <c r="DL86">
        <v>44387.9</v>
      </c>
      <c r="DM86">
        <v>42602.3</v>
      </c>
      <c r="DN86">
        <v>1.4637500000000001</v>
      </c>
      <c r="DO86">
        <v>2.0509300000000001</v>
      </c>
      <c r="DP86">
        <v>0.16412099999999999</v>
      </c>
      <c r="DQ86">
        <v>0.16605900000000001</v>
      </c>
      <c r="DR86">
        <v>24.2971</v>
      </c>
      <c r="DS86">
        <v>24.197099999999999</v>
      </c>
      <c r="DT86">
        <v>56.2</v>
      </c>
      <c r="DU86">
        <v>28.8</v>
      </c>
      <c r="DV86">
        <v>22.647600000000001</v>
      </c>
      <c r="DW86">
        <v>60.452199999999998</v>
      </c>
      <c r="DX86">
        <v>37.095399999999998</v>
      </c>
      <c r="DY86">
        <v>1</v>
      </c>
      <c r="DZ86">
        <v>-9.9796700000000002E-2</v>
      </c>
      <c r="EA86">
        <v>2.18669</v>
      </c>
      <c r="EB86">
        <v>20.169499999999999</v>
      </c>
      <c r="EC86">
        <v>5.2409499999999998</v>
      </c>
      <c r="ED86">
        <v>12.039899999999999</v>
      </c>
      <c r="EE86">
        <v>5.0170000000000003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1.8646199999999999</v>
      </c>
      <c r="EM86">
        <v>1.8692</v>
      </c>
      <c r="EN86">
        <v>1.8672200000000001</v>
      </c>
      <c r="EO86">
        <v>1.86337</v>
      </c>
      <c r="EP86">
        <v>1.8644400000000001</v>
      </c>
      <c r="EQ86">
        <v>1.8701399999999999</v>
      </c>
      <c r="ER86">
        <v>1.86937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0.252</v>
      </c>
      <c r="FG86">
        <v>0.19839999999999999</v>
      </c>
      <c r="FH86">
        <v>0.69281559908863044</v>
      </c>
      <c r="FI86">
        <v>-6.1462078757559423E-4</v>
      </c>
      <c r="FJ86">
        <v>-1.8861989874597051E-7</v>
      </c>
      <c r="FK86">
        <v>1.1980462299894961E-10</v>
      </c>
      <c r="FL86">
        <v>0.19840465858211129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22.3</v>
      </c>
      <c r="FU86">
        <v>22.3</v>
      </c>
      <c r="FV86">
        <v>1.78589</v>
      </c>
      <c r="FW86">
        <v>2.5854499999999998</v>
      </c>
      <c r="FX86">
        <v>1.5490699999999999</v>
      </c>
      <c r="FY86">
        <v>2.3315399999999999</v>
      </c>
      <c r="FZ86">
        <v>1.50146</v>
      </c>
      <c r="GA86">
        <v>2.3107899999999999</v>
      </c>
      <c r="GB86">
        <v>33.580399999999997</v>
      </c>
      <c r="GC86">
        <v>23.973700000000001</v>
      </c>
      <c r="GD86">
        <v>19</v>
      </c>
      <c r="GE86">
        <v>277.05700000000002</v>
      </c>
      <c r="GF86">
        <v>593.73599999999999</v>
      </c>
      <c r="GG86">
        <v>22.483699999999999</v>
      </c>
      <c r="GH86">
        <v>26.0822</v>
      </c>
      <c r="GI86">
        <v>30.002199999999998</v>
      </c>
      <c r="GJ86">
        <v>26.223700000000001</v>
      </c>
      <c r="GK86">
        <v>26.205200000000001</v>
      </c>
      <c r="GL86">
        <v>35.697299999999998</v>
      </c>
      <c r="GM86">
        <v>45.246200000000002</v>
      </c>
      <c r="GN86">
        <v>88.592500000000001</v>
      </c>
      <c r="GO86">
        <v>22.5076</v>
      </c>
      <c r="GP86">
        <v>800</v>
      </c>
      <c r="GQ86">
        <v>13.5334</v>
      </c>
      <c r="GR86">
        <v>99.794700000000006</v>
      </c>
      <c r="GS86">
        <v>99.657600000000002</v>
      </c>
    </row>
    <row r="87" spans="1:201" x14ac:dyDescent="0.25">
      <c r="A87">
        <v>71</v>
      </c>
      <c r="B87">
        <v>1690388985.5999999</v>
      </c>
      <c r="C87">
        <v>727.09999990463257</v>
      </c>
      <c r="D87" t="s">
        <v>475</v>
      </c>
      <c r="E87" t="s">
        <v>476</v>
      </c>
      <c r="F87" t="s">
        <v>330</v>
      </c>
      <c r="H87">
        <v>1690388985.5999999</v>
      </c>
      <c r="I87">
        <f t="shared" si="30"/>
        <v>8.4477608564160101E-4</v>
      </c>
      <c r="J87">
        <f t="shared" si="31"/>
        <v>0.844776085641601</v>
      </c>
      <c r="K87">
        <f t="shared" si="32"/>
        <v>14.715388776483117</v>
      </c>
      <c r="L87">
        <f t="shared" si="33"/>
        <v>638.44899999999996</v>
      </c>
      <c r="M87">
        <f t="shared" si="34"/>
        <v>214.72084800151092</v>
      </c>
      <c r="N87">
        <f t="shared" si="35"/>
        <v>21.203288868509727</v>
      </c>
      <c r="O87">
        <f t="shared" si="36"/>
        <v>63.04566464228899</v>
      </c>
      <c r="P87">
        <f t="shared" si="37"/>
        <v>5.7648496617445921E-2</v>
      </c>
      <c r="Q87">
        <f t="shared" si="38"/>
        <v>2.1589605024623792</v>
      </c>
      <c r="R87">
        <f t="shared" si="39"/>
        <v>5.6806788784446026E-2</v>
      </c>
      <c r="S87">
        <f t="shared" si="40"/>
        <v>3.5578843292970418E-2</v>
      </c>
      <c r="T87">
        <f t="shared" si="41"/>
        <v>276.11335613438831</v>
      </c>
      <c r="U87">
        <f t="shared" si="42"/>
        <v>27.20138030520986</v>
      </c>
      <c r="V87">
        <f t="shared" si="43"/>
        <v>27.20138030520986</v>
      </c>
      <c r="W87">
        <f t="shared" si="44"/>
        <v>3.6217116015269801</v>
      </c>
      <c r="X87">
        <f t="shared" si="45"/>
        <v>67.723032607058599</v>
      </c>
      <c r="Y87">
        <f t="shared" si="46"/>
        <v>2.1964849695713</v>
      </c>
      <c r="Z87">
        <f t="shared" si="47"/>
        <v>3.2433352214389259</v>
      </c>
      <c r="AA87">
        <f t="shared" si="48"/>
        <v>1.4252266319556801</v>
      </c>
      <c r="AB87">
        <f t="shared" si="49"/>
        <v>-37.254625376794607</v>
      </c>
      <c r="AC87">
        <f t="shared" si="50"/>
        <v>-217.47966982744003</v>
      </c>
      <c r="AD87">
        <f t="shared" si="51"/>
        <v>-21.58074874282325</v>
      </c>
      <c r="AE87">
        <f t="shared" si="52"/>
        <v>-0.20168781266960423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52504.113291662085</v>
      </c>
      <c r="AK87">
        <f t="shared" si="56"/>
        <v>1799.99</v>
      </c>
      <c r="AL87">
        <f t="shared" si="57"/>
        <v>1499.1036122003302</v>
      </c>
      <c r="AM87">
        <f t="shared" si="58"/>
        <v>0.83283996700000007</v>
      </c>
      <c r="AN87">
        <f t="shared" si="59"/>
        <v>0.15339716116999999</v>
      </c>
      <c r="AO87">
        <v>31.8</v>
      </c>
      <c r="AP87">
        <v>0.5</v>
      </c>
      <c r="AQ87" t="s">
        <v>331</v>
      </c>
      <c r="AR87">
        <v>2</v>
      </c>
      <c r="AS87">
        <v>1690388985.5999999</v>
      </c>
      <c r="AT87">
        <v>638.44899999999996</v>
      </c>
      <c r="AU87">
        <v>800.05600000000004</v>
      </c>
      <c r="AV87">
        <v>22.243300000000001</v>
      </c>
      <c r="AW87">
        <v>13.492900000000001</v>
      </c>
      <c r="AX87">
        <v>638.19399999999996</v>
      </c>
      <c r="AY87">
        <v>22.044899999999998</v>
      </c>
      <c r="AZ87">
        <v>300.173</v>
      </c>
      <c r="BA87">
        <v>98.648099999999999</v>
      </c>
      <c r="BB87">
        <v>0.100061</v>
      </c>
      <c r="BC87">
        <v>25.332899999999999</v>
      </c>
      <c r="BD87">
        <v>26.919499999999999</v>
      </c>
      <c r="BE87">
        <v>26.871600000000001</v>
      </c>
      <c r="BF87">
        <v>0</v>
      </c>
      <c r="BG87">
        <v>0</v>
      </c>
      <c r="BH87">
        <v>10010</v>
      </c>
      <c r="BI87">
        <v>1058.67</v>
      </c>
      <c r="BJ87">
        <v>1.4577199999999999</v>
      </c>
      <c r="BK87">
        <v>-161.608</v>
      </c>
      <c r="BL87">
        <v>652.97299999999996</v>
      </c>
      <c r="BM87">
        <v>810.99900000000002</v>
      </c>
      <c r="BN87">
        <v>8.7504899999999992</v>
      </c>
      <c r="BO87">
        <v>800.05600000000004</v>
      </c>
      <c r="BP87">
        <v>13.492900000000001</v>
      </c>
      <c r="BQ87">
        <v>2.1942599999999999</v>
      </c>
      <c r="BR87">
        <v>1.33104</v>
      </c>
      <c r="BS87">
        <v>18.920500000000001</v>
      </c>
      <c r="BT87">
        <v>11.154</v>
      </c>
      <c r="BU87">
        <v>1799.99</v>
      </c>
      <c r="BV87">
        <v>0.91000499999999995</v>
      </c>
      <c r="BW87">
        <v>3.4002999999999999E-2</v>
      </c>
      <c r="BX87">
        <v>2.1996600000000002E-2</v>
      </c>
      <c r="BY87">
        <v>3.3995499999999998E-2</v>
      </c>
      <c r="BZ87">
        <v>25</v>
      </c>
      <c r="CA87">
        <v>33528.199999999997</v>
      </c>
      <c r="CB87">
        <v>1690387638</v>
      </c>
      <c r="CC87" t="s">
        <v>332</v>
      </c>
      <c r="CD87">
        <v>1690387638</v>
      </c>
      <c r="CE87">
        <v>1690387638</v>
      </c>
      <c r="CF87">
        <v>6</v>
      </c>
      <c r="CG87">
        <v>0.43</v>
      </c>
      <c r="CH87">
        <v>-8.1000000000000003E-2</v>
      </c>
      <c r="CI87">
        <v>0.14199999999999999</v>
      </c>
      <c r="CJ87">
        <v>-2.7E-2</v>
      </c>
      <c r="CK87">
        <v>800</v>
      </c>
      <c r="CL87">
        <v>0</v>
      </c>
      <c r="CM87">
        <v>0.01</v>
      </c>
      <c r="CN87">
        <v>0.01</v>
      </c>
      <c r="CO87">
        <v>-157.1937804878049</v>
      </c>
      <c r="CP87">
        <v>-24.171658536585369</v>
      </c>
      <c r="CQ87">
        <v>2.3850743661995542</v>
      </c>
      <c r="CR87">
        <v>-1</v>
      </c>
      <c r="CS87">
        <v>8.6087136585365851</v>
      </c>
      <c r="CT87">
        <v>0.81716425087107236</v>
      </c>
      <c r="CU87">
        <v>8.4593430862873201E-2</v>
      </c>
      <c r="CV87">
        <v>-1</v>
      </c>
      <c r="CW87">
        <v>0</v>
      </c>
      <c r="CX87">
        <v>0</v>
      </c>
      <c r="CY87" t="s">
        <v>333</v>
      </c>
      <c r="CZ87">
        <v>2.3646799999999999</v>
      </c>
      <c r="DA87">
        <v>2.7138599999999999</v>
      </c>
      <c r="DB87">
        <v>0.12528400000000001</v>
      </c>
      <c r="DC87">
        <v>0.14566999999999999</v>
      </c>
      <c r="DD87">
        <v>0.107463</v>
      </c>
      <c r="DE87">
        <v>7.3888200000000001E-2</v>
      </c>
      <c r="DF87">
        <v>31956.7</v>
      </c>
      <c r="DG87">
        <v>27556.9</v>
      </c>
      <c r="DH87">
        <v>31188.3</v>
      </c>
      <c r="DI87">
        <v>28105.5</v>
      </c>
      <c r="DJ87">
        <v>37796.1</v>
      </c>
      <c r="DK87">
        <v>37015.800000000003</v>
      </c>
      <c r="DL87">
        <v>44387.9</v>
      </c>
      <c r="DM87">
        <v>42602.400000000001</v>
      </c>
      <c r="DN87">
        <v>1.4648000000000001</v>
      </c>
      <c r="DO87">
        <v>2.0508799999999998</v>
      </c>
      <c r="DP87">
        <v>0.15998599999999999</v>
      </c>
      <c r="DQ87">
        <v>0.16289899999999999</v>
      </c>
      <c r="DR87">
        <v>24.2971</v>
      </c>
      <c r="DS87">
        <v>24.2012</v>
      </c>
      <c r="DT87">
        <v>56.1</v>
      </c>
      <c r="DU87">
        <v>28.8</v>
      </c>
      <c r="DV87">
        <v>22.606100000000001</v>
      </c>
      <c r="DW87">
        <v>60.562199999999997</v>
      </c>
      <c r="DX87">
        <v>37.111400000000003</v>
      </c>
      <c r="DY87">
        <v>1</v>
      </c>
      <c r="DZ87">
        <v>-0.10405200000000001</v>
      </c>
      <c r="EA87">
        <v>0.78522099999999995</v>
      </c>
      <c r="EB87">
        <v>20.1874</v>
      </c>
      <c r="EC87">
        <v>5.2409499999999998</v>
      </c>
      <c r="ED87">
        <v>12.039899999999999</v>
      </c>
      <c r="EE87">
        <v>5.0168999999999997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1.8646199999999999</v>
      </c>
      <c r="EM87">
        <v>1.8692</v>
      </c>
      <c r="EN87">
        <v>1.86724</v>
      </c>
      <c r="EO87">
        <v>1.86337</v>
      </c>
      <c r="EP87">
        <v>1.86446</v>
      </c>
      <c r="EQ87">
        <v>1.87016</v>
      </c>
      <c r="ER87">
        <v>1.86937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0.255</v>
      </c>
      <c r="FG87">
        <v>0.19839999999999999</v>
      </c>
      <c r="FH87">
        <v>0.69281559908863044</v>
      </c>
      <c r="FI87">
        <v>-6.1462078757559423E-4</v>
      </c>
      <c r="FJ87">
        <v>-1.8861989874597051E-7</v>
      </c>
      <c r="FK87">
        <v>1.1980462299894961E-10</v>
      </c>
      <c r="FL87">
        <v>0.19840465858211129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22.5</v>
      </c>
      <c r="FU87">
        <v>22.5</v>
      </c>
      <c r="FV87">
        <v>1.78589</v>
      </c>
      <c r="FW87">
        <v>2.5830099999999998</v>
      </c>
      <c r="FX87">
        <v>1.5490699999999999</v>
      </c>
      <c r="FY87">
        <v>2.3315399999999999</v>
      </c>
      <c r="FZ87">
        <v>1.50146</v>
      </c>
      <c r="GA87">
        <v>2.3596200000000001</v>
      </c>
      <c r="GB87">
        <v>33.580399999999997</v>
      </c>
      <c r="GC87">
        <v>23.982399999999998</v>
      </c>
      <c r="GD87">
        <v>19</v>
      </c>
      <c r="GE87">
        <v>277.47199999999998</v>
      </c>
      <c r="GF87">
        <v>593.65300000000002</v>
      </c>
      <c r="GG87">
        <v>22.454799999999999</v>
      </c>
      <c r="GH87">
        <v>26.0762</v>
      </c>
      <c r="GI87">
        <v>29.999199999999998</v>
      </c>
      <c r="GJ87">
        <v>26.217600000000001</v>
      </c>
      <c r="GK87">
        <v>26.201599999999999</v>
      </c>
      <c r="GL87">
        <v>35.692399999999999</v>
      </c>
      <c r="GM87">
        <v>45.522599999999997</v>
      </c>
      <c r="GN87">
        <v>87.809100000000001</v>
      </c>
      <c r="GO87">
        <v>22.561</v>
      </c>
      <c r="GP87">
        <v>800</v>
      </c>
      <c r="GQ87">
        <v>13.4176</v>
      </c>
      <c r="GR87">
        <v>99.794600000000003</v>
      </c>
      <c r="GS87">
        <v>99.658000000000001</v>
      </c>
    </row>
    <row r="88" spans="1:201" x14ac:dyDescent="0.25">
      <c r="A88">
        <v>72</v>
      </c>
      <c r="B88">
        <v>1690388995.5999999</v>
      </c>
      <c r="C88">
        <v>737.09999990463257</v>
      </c>
      <c r="D88" t="s">
        <v>477</v>
      </c>
      <c r="E88" t="s">
        <v>478</v>
      </c>
      <c r="F88" t="s">
        <v>330</v>
      </c>
      <c r="H88">
        <v>1690388995.5999999</v>
      </c>
      <c r="I88">
        <f t="shared" si="30"/>
        <v>8.5915894805032645E-4</v>
      </c>
      <c r="J88">
        <f t="shared" si="31"/>
        <v>0.85915894805032644</v>
      </c>
      <c r="K88">
        <f t="shared" si="32"/>
        <v>15.088047515056706</v>
      </c>
      <c r="L88">
        <f t="shared" si="33"/>
        <v>634.33299999999997</v>
      </c>
      <c r="M88">
        <f t="shared" si="34"/>
        <v>209.68292042391465</v>
      </c>
      <c r="N88">
        <f t="shared" si="35"/>
        <v>20.70620797624634</v>
      </c>
      <c r="O88">
        <f t="shared" si="36"/>
        <v>62.640442996702191</v>
      </c>
      <c r="P88">
        <f t="shared" si="37"/>
        <v>5.8971567120439085E-2</v>
      </c>
      <c r="Q88">
        <f t="shared" si="38"/>
        <v>2.1562166413170747</v>
      </c>
      <c r="R88">
        <f t="shared" si="39"/>
        <v>5.8089996223720582E-2</v>
      </c>
      <c r="S88">
        <f t="shared" si="40"/>
        <v>3.6384355433643482E-2</v>
      </c>
      <c r="T88">
        <f t="shared" si="41"/>
        <v>276.11480968199999</v>
      </c>
      <c r="U88">
        <f t="shared" si="42"/>
        <v>27.186908543644648</v>
      </c>
      <c r="V88">
        <f t="shared" si="43"/>
        <v>27.186908543644648</v>
      </c>
      <c r="W88">
        <f t="shared" si="44"/>
        <v>3.618639042636187</v>
      </c>
      <c r="X88">
        <f t="shared" si="45"/>
        <v>67.914090516697271</v>
      </c>
      <c r="Y88">
        <f t="shared" si="46"/>
        <v>2.2011494568953398</v>
      </c>
      <c r="Z88">
        <f t="shared" si="47"/>
        <v>3.2410791930640199</v>
      </c>
      <c r="AA88">
        <f t="shared" si="48"/>
        <v>1.4174895857408472</v>
      </c>
      <c r="AB88">
        <f t="shared" si="49"/>
        <v>-37.888909609019393</v>
      </c>
      <c r="AC88">
        <f t="shared" si="50"/>
        <v>-216.88106500206817</v>
      </c>
      <c r="AD88">
        <f t="shared" si="51"/>
        <v>-21.545907963881021</v>
      </c>
      <c r="AE88">
        <f t="shared" si="52"/>
        <v>-0.20107289296856834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52390.90832440363</v>
      </c>
      <c r="AK88">
        <f t="shared" si="56"/>
        <v>1800</v>
      </c>
      <c r="AL88">
        <f t="shared" si="57"/>
        <v>1499.1129252000001</v>
      </c>
      <c r="AM88">
        <f t="shared" si="58"/>
        <v>0.83284051400000003</v>
      </c>
      <c r="AN88">
        <f t="shared" si="59"/>
        <v>0.15339711648999999</v>
      </c>
      <c r="AO88">
        <v>31.8</v>
      </c>
      <c r="AP88">
        <v>0.5</v>
      </c>
      <c r="AQ88" t="s">
        <v>331</v>
      </c>
      <c r="AR88">
        <v>2</v>
      </c>
      <c r="AS88">
        <v>1690388995.5999999</v>
      </c>
      <c r="AT88">
        <v>634.33299999999997</v>
      </c>
      <c r="AU88">
        <v>799.95600000000002</v>
      </c>
      <c r="AV88">
        <v>22.290099999999999</v>
      </c>
      <c r="AW88">
        <v>13.390700000000001</v>
      </c>
      <c r="AX88">
        <v>634.07500000000005</v>
      </c>
      <c r="AY88">
        <v>22.091699999999999</v>
      </c>
      <c r="AZ88">
        <v>300.15800000000002</v>
      </c>
      <c r="BA88">
        <v>98.650099999999995</v>
      </c>
      <c r="BB88">
        <v>9.9993399999999996E-2</v>
      </c>
      <c r="BC88">
        <v>25.321200000000001</v>
      </c>
      <c r="BD88">
        <v>26.902100000000001</v>
      </c>
      <c r="BE88">
        <v>26.828499999999998</v>
      </c>
      <c r="BF88">
        <v>0</v>
      </c>
      <c r="BG88">
        <v>0</v>
      </c>
      <c r="BH88">
        <v>9986.8799999999992</v>
      </c>
      <c r="BI88">
        <v>1058.6500000000001</v>
      </c>
      <c r="BJ88">
        <v>1.4577199999999999</v>
      </c>
      <c r="BK88">
        <v>-165.62299999999999</v>
      </c>
      <c r="BL88">
        <v>648.79499999999996</v>
      </c>
      <c r="BM88">
        <v>810.81299999999999</v>
      </c>
      <c r="BN88">
        <v>8.8993599999999997</v>
      </c>
      <c r="BO88">
        <v>799.95600000000002</v>
      </c>
      <c r="BP88">
        <v>13.390700000000001</v>
      </c>
      <c r="BQ88">
        <v>2.1989200000000002</v>
      </c>
      <c r="BR88">
        <v>1.321</v>
      </c>
      <c r="BS88">
        <v>18.954499999999999</v>
      </c>
      <c r="BT88">
        <v>11.039899999999999</v>
      </c>
      <c r="BU88">
        <v>1800</v>
      </c>
      <c r="BV88">
        <v>0.91000899999999996</v>
      </c>
      <c r="BW88">
        <v>3.40016E-2</v>
      </c>
      <c r="BX88">
        <v>2.19957E-2</v>
      </c>
      <c r="BY88">
        <v>3.3994099999999999E-2</v>
      </c>
      <c r="BZ88">
        <v>25</v>
      </c>
      <c r="CA88">
        <v>33528.400000000001</v>
      </c>
      <c r="CB88">
        <v>1690387638</v>
      </c>
      <c r="CC88" t="s">
        <v>332</v>
      </c>
      <c r="CD88">
        <v>1690387638</v>
      </c>
      <c r="CE88">
        <v>1690387638</v>
      </c>
      <c r="CF88">
        <v>6</v>
      </c>
      <c r="CG88">
        <v>0.43</v>
      </c>
      <c r="CH88">
        <v>-8.1000000000000003E-2</v>
      </c>
      <c r="CI88">
        <v>0.14199999999999999</v>
      </c>
      <c r="CJ88">
        <v>-2.7E-2</v>
      </c>
      <c r="CK88">
        <v>800</v>
      </c>
      <c r="CL88">
        <v>0</v>
      </c>
      <c r="CM88">
        <v>0.01</v>
      </c>
      <c r="CN88">
        <v>0.01</v>
      </c>
      <c r="CO88">
        <v>-161.12742499999999</v>
      </c>
      <c r="CP88">
        <v>-24.428634146341139</v>
      </c>
      <c r="CQ88">
        <v>2.351436198236093</v>
      </c>
      <c r="CR88">
        <v>-1</v>
      </c>
      <c r="CS88">
        <v>8.7337057500000004</v>
      </c>
      <c r="CT88">
        <v>0.67717587242024102</v>
      </c>
      <c r="CU88">
        <v>6.6763352892417624E-2</v>
      </c>
      <c r="CV88">
        <v>-1</v>
      </c>
      <c r="CW88">
        <v>0</v>
      </c>
      <c r="CX88">
        <v>0</v>
      </c>
      <c r="CY88" t="s">
        <v>333</v>
      </c>
      <c r="CZ88">
        <v>2.3646799999999999</v>
      </c>
      <c r="DA88">
        <v>2.7137699999999998</v>
      </c>
      <c r="DB88">
        <v>0.124725</v>
      </c>
      <c r="DC88">
        <v>0.14566000000000001</v>
      </c>
      <c r="DD88">
        <v>0.107627</v>
      </c>
      <c r="DE88">
        <v>7.3474600000000001E-2</v>
      </c>
      <c r="DF88">
        <v>31977.599999999999</v>
      </c>
      <c r="DG88">
        <v>27558.1</v>
      </c>
      <c r="DH88">
        <v>31188.799999999999</v>
      </c>
      <c r="DI88">
        <v>28106.3</v>
      </c>
      <c r="DJ88">
        <v>37789.599999999999</v>
      </c>
      <c r="DK88">
        <v>37033.4</v>
      </c>
      <c r="DL88">
        <v>44388.5</v>
      </c>
      <c r="DM88">
        <v>42603.5</v>
      </c>
      <c r="DN88">
        <v>1.4647699999999999</v>
      </c>
      <c r="DO88">
        <v>2.0507200000000001</v>
      </c>
      <c r="DP88">
        <v>0.15904799999999999</v>
      </c>
      <c r="DQ88">
        <v>0.160389</v>
      </c>
      <c r="DR88">
        <v>24.295000000000002</v>
      </c>
      <c r="DS88">
        <v>24.199100000000001</v>
      </c>
      <c r="DT88">
        <v>56</v>
      </c>
      <c r="DU88">
        <v>28.8</v>
      </c>
      <c r="DV88">
        <v>22.564399999999999</v>
      </c>
      <c r="DW88">
        <v>60.1922</v>
      </c>
      <c r="DX88">
        <v>36.758800000000001</v>
      </c>
      <c r="DY88">
        <v>1</v>
      </c>
      <c r="DZ88">
        <v>-0.10516300000000001</v>
      </c>
      <c r="EA88">
        <v>0.43535699999999999</v>
      </c>
      <c r="EB88">
        <v>20.1891</v>
      </c>
      <c r="EC88">
        <v>5.24125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1.8692</v>
      </c>
      <c r="EN88">
        <v>1.8672299999999999</v>
      </c>
      <c r="EO88">
        <v>1.86337</v>
      </c>
      <c r="EP88">
        <v>1.86446</v>
      </c>
      <c r="EQ88">
        <v>1.87015</v>
      </c>
      <c r="ER88">
        <v>1.86937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0.25800000000000001</v>
      </c>
      <c r="FG88">
        <v>0.19839999999999999</v>
      </c>
      <c r="FH88">
        <v>0.69281559908863044</v>
      </c>
      <c r="FI88">
        <v>-6.1462078757559423E-4</v>
      </c>
      <c r="FJ88">
        <v>-1.8861989874597051E-7</v>
      </c>
      <c r="FK88">
        <v>1.1980462299894961E-10</v>
      </c>
      <c r="FL88">
        <v>0.19840465858211129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22.6</v>
      </c>
      <c r="FU88">
        <v>22.6</v>
      </c>
      <c r="FV88">
        <v>1.78589</v>
      </c>
      <c r="FW88">
        <v>2.5842299999999998</v>
      </c>
      <c r="FX88">
        <v>1.5490699999999999</v>
      </c>
      <c r="FY88">
        <v>2.3315399999999999</v>
      </c>
      <c r="FZ88">
        <v>1.50146</v>
      </c>
      <c r="GA88">
        <v>2.3889200000000002</v>
      </c>
      <c r="GB88">
        <v>33.580399999999997</v>
      </c>
      <c r="GC88">
        <v>23.982399999999998</v>
      </c>
      <c r="GD88">
        <v>19</v>
      </c>
      <c r="GE88">
        <v>277.44499999999999</v>
      </c>
      <c r="GF88">
        <v>593.49300000000005</v>
      </c>
      <c r="GG88">
        <v>22.602699999999999</v>
      </c>
      <c r="GH88">
        <v>26.069700000000001</v>
      </c>
      <c r="GI88">
        <v>29.999700000000001</v>
      </c>
      <c r="GJ88">
        <v>26.213799999999999</v>
      </c>
      <c r="GK88">
        <v>26.198599999999999</v>
      </c>
      <c r="GL88">
        <v>35.692599999999999</v>
      </c>
      <c r="GM88">
        <v>46.124899999999997</v>
      </c>
      <c r="GN88">
        <v>87.418099999999995</v>
      </c>
      <c r="GO88">
        <v>22.6845</v>
      </c>
      <c r="GP88">
        <v>800</v>
      </c>
      <c r="GQ88">
        <v>13.217700000000001</v>
      </c>
      <c r="GR88">
        <v>99.796000000000006</v>
      </c>
      <c r="GS88">
        <v>99.660700000000006</v>
      </c>
    </row>
    <row r="89" spans="1:201" x14ac:dyDescent="0.25">
      <c r="A89">
        <v>73</v>
      </c>
      <c r="B89">
        <v>1690389005.5999999</v>
      </c>
      <c r="C89">
        <v>747.09999990463257</v>
      </c>
      <c r="D89" t="s">
        <v>479</v>
      </c>
      <c r="E89" t="s">
        <v>480</v>
      </c>
      <c r="F89" t="s">
        <v>330</v>
      </c>
      <c r="H89">
        <v>1690389005.5999999</v>
      </c>
      <c r="I89">
        <f t="shared" si="30"/>
        <v>8.9002779580663125E-4</v>
      </c>
      <c r="J89">
        <f t="shared" si="31"/>
        <v>0.89002779580663127</v>
      </c>
      <c r="K89">
        <f t="shared" si="32"/>
        <v>15.48043579126108</v>
      </c>
      <c r="L89">
        <f t="shared" si="33"/>
        <v>630.30399999999997</v>
      </c>
      <c r="M89">
        <f t="shared" si="34"/>
        <v>211.34848498453724</v>
      </c>
      <c r="N89">
        <f t="shared" si="35"/>
        <v>20.870536083132063</v>
      </c>
      <c r="O89">
        <f t="shared" si="36"/>
        <v>62.242141817599993</v>
      </c>
      <c r="P89">
        <f t="shared" si="37"/>
        <v>6.1369523060570134E-2</v>
      </c>
      <c r="Q89">
        <f t="shared" si="38"/>
        <v>2.1559828083052262</v>
      </c>
      <c r="R89">
        <f t="shared" si="39"/>
        <v>6.0415323626892323E-2</v>
      </c>
      <c r="S89">
        <f t="shared" si="40"/>
        <v>3.7844072403961281E-2</v>
      </c>
      <c r="T89">
        <f t="shared" si="41"/>
        <v>276.11299007042203</v>
      </c>
      <c r="U89">
        <f t="shared" si="42"/>
        <v>27.193886809835629</v>
      </c>
      <c r="V89">
        <f t="shared" si="43"/>
        <v>27.193886809835629</v>
      </c>
      <c r="W89">
        <f t="shared" si="44"/>
        <v>3.620120342716671</v>
      </c>
      <c r="X89">
        <f t="shared" si="45"/>
        <v>68.063632965530218</v>
      </c>
      <c r="Y89">
        <f t="shared" si="46"/>
        <v>2.2082933324400003</v>
      </c>
      <c r="Z89">
        <f t="shared" si="47"/>
        <v>3.2444541030572913</v>
      </c>
      <c r="AA89">
        <f t="shared" si="48"/>
        <v>1.4118270102766708</v>
      </c>
      <c r="AB89">
        <f t="shared" si="49"/>
        <v>-39.250225795072438</v>
      </c>
      <c r="AC89">
        <f t="shared" si="50"/>
        <v>-215.63456880641104</v>
      </c>
      <c r="AD89">
        <f t="shared" si="51"/>
        <v>-21.427025447807122</v>
      </c>
      <c r="AE89">
        <f t="shared" si="52"/>
        <v>-0.19882997886855946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52378.001355627275</v>
      </c>
      <c r="AK89">
        <f t="shared" si="56"/>
        <v>1799.99</v>
      </c>
      <c r="AL89">
        <f t="shared" si="57"/>
        <v>1499.1040495979</v>
      </c>
      <c r="AM89">
        <f t="shared" si="58"/>
        <v>0.83284020999999997</v>
      </c>
      <c r="AN89">
        <f t="shared" si="59"/>
        <v>0.15339695780000001</v>
      </c>
      <c r="AO89">
        <v>31.8</v>
      </c>
      <c r="AP89">
        <v>0.5</v>
      </c>
      <c r="AQ89" t="s">
        <v>331</v>
      </c>
      <c r="AR89">
        <v>2</v>
      </c>
      <c r="AS89">
        <v>1690389005.5999999</v>
      </c>
      <c r="AT89">
        <v>630.30399999999997</v>
      </c>
      <c r="AU89">
        <v>800.21</v>
      </c>
      <c r="AV89">
        <v>22.3626</v>
      </c>
      <c r="AW89">
        <v>13.1465</v>
      </c>
      <c r="AX89">
        <v>630.04399999999998</v>
      </c>
      <c r="AY89">
        <v>22.164200000000001</v>
      </c>
      <c r="AZ89">
        <v>300.23500000000001</v>
      </c>
      <c r="BA89">
        <v>98.6494</v>
      </c>
      <c r="BB89">
        <v>0.1</v>
      </c>
      <c r="BC89">
        <v>25.338699999999999</v>
      </c>
      <c r="BD89">
        <v>26.8963</v>
      </c>
      <c r="BE89">
        <v>26.843800000000002</v>
      </c>
      <c r="BF89">
        <v>0</v>
      </c>
      <c r="BG89">
        <v>0</v>
      </c>
      <c r="BH89">
        <v>9985</v>
      </c>
      <c r="BI89">
        <v>1058.6400000000001</v>
      </c>
      <c r="BJ89">
        <v>1.4577199999999999</v>
      </c>
      <c r="BK89">
        <v>-169.90600000000001</v>
      </c>
      <c r="BL89">
        <v>644.72199999999998</v>
      </c>
      <c r="BM89">
        <v>810.87</v>
      </c>
      <c r="BN89">
        <v>9.2160299999999999</v>
      </c>
      <c r="BO89">
        <v>800.21</v>
      </c>
      <c r="BP89">
        <v>13.1465</v>
      </c>
      <c r="BQ89">
        <v>2.2060499999999998</v>
      </c>
      <c r="BR89">
        <v>1.2968999999999999</v>
      </c>
      <c r="BS89">
        <v>19.0063</v>
      </c>
      <c r="BT89">
        <v>10.7629</v>
      </c>
      <c r="BU89">
        <v>1799.99</v>
      </c>
      <c r="BV89">
        <v>0.91001100000000001</v>
      </c>
      <c r="BW89">
        <v>3.4000599999999999E-2</v>
      </c>
      <c r="BX89">
        <v>2.1995000000000001E-2</v>
      </c>
      <c r="BY89">
        <v>3.3993200000000001E-2</v>
      </c>
      <c r="BZ89">
        <v>25</v>
      </c>
      <c r="CA89">
        <v>33528.300000000003</v>
      </c>
      <c r="CB89">
        <v>1690387638</v>
      </c>
      <c r="CC89" t="s">
        <v>332</v>
      </c>
      <c r="CD89">
        <v>1690387638</v>
      </c>
      <c r="CE89">
        <v>1690387638</v>
      </c>
      <c r="CF89">
        <v>6</v>
      </c>
      <c r="CG89">
        <v>0.43</v>
      </c>
      <c r="CH89">
        <v>-8.1000000000000003E-2</v>
      </c>
      <c r="CI89">
        <v>0.14199999999999999</v>
      </c>
      <c r="CJ89">
        <v>-2.7E-2</v>
      </c>
      <c r="CK89">
        <v>800</v>
      </c>
      <c r="CL89">
        <v>0</v>
      </c>
      <c r="CM89">
        <v>0.01</v>
      </c>
      <c r="CN89">
        <v>0.01</v>
      </c>
      <c r="CO89">
        <v>-165.30624390243901</v>
      </c>
      <c r="CP89">
        <v>-24.539268292683019</v>
      </c>
      <c r="CQ89">
        <v>2.4202772445551739</v>
      </c>
      <c r="CR89">
        <v>-1</v>
      </c>
      <c r="CS89">
        <v>8.9130163414634147</v>
      </c>
      <c r="CT89">
        <v>1.3405511498258129</v>
      </c>
      <c r="CU89">
        <v>0.13480079289330571</v>
      </c>
      <c r="CV89">
        <v>-1</v>
      </c>
      <c r="CW89">
        <v>0</v>
      </c>
      <c r="CX89">
        <v>0</v>
      </c>
      <c r="CY89" t="s">
        <v>333</v>
      </c>
      <c r="CZ89">
        <v>2.3649100000000001</v>
      </c>
      <c r="DA89">
        <v>2.7137799999999999</v>
      </c>
      <c r="DB89">
        <v>0.12417300000000001</v>
      </c>
      <c r="DC89">
        <v>0.14568600000000001</v>
      </c>
      <c r="DD89">
        <v>0.107877</v>
      </c>
      <c r="DE89">
        <v>7.2475999999999999E-2</v>
      </c>
      <c r="DF89">
        <v>31998.799999999999</v>
      </c>
      <c r="DG89">
        <v>27557.4</v>
      </c>
      <c r="DH89">
        <v>31189.7</v>
      </c>
      <c r="DI89">
        <v>28106.5</v>
      </c>
      <c r="DJ89">
        <v>37779.9</v>
      </c>
      <c r="DK89">
        <v>37073.599999999999</v>
      </c>
      <c r="DL89">
        <v>44389.8</v>
      </c>
      <c r="DM89">
        <v>42603.8</v>
      </c>
      <c r="DN89">
        <v>1.4653799999999999</v>
      </c>
      <c r="DO89">
        <v>2.0502799999999999</v>
      </c>
      <c r="DP89">
        <v>0.15883900000000001</v>
      </c>
      <c r="DQ89">
        <v>0.161499</v>
      </c>
      <c r="DR89">
        <v>24.2927</v>
      </c>
      <c r="DS89">
        <v>24.196300000000001</v>
      </c>
      <c r="DT89">
        <v>55.9</v>
      </c>
      <c r="DU89">
        <v>28.8</v>
      </c>
      <c r="DV89">
        <v>22.5244</v>
      </c>
      <c r="DW89">
        <v>61.142200000000003</v>
      </c>
      <c r="DX89">
        <v>36.4223</v>
      </c>
      <c r="DY89">
        <v>1</v>
      </c>
      <c r="DZ89">
        <v>-0.106049</v>
      </c>
      <c r="EA89">
        <v>0.34567300000000001</v>
      </c>
      <c r="EB89">
        <v>20.189499999999999</v>
      </c>
      <c r="EC89">
        <v>5.2409499999999998</v>
      </c>
      <c r="ED89">
        <v>12.039899999999999</v>
      </c>
      <c r="EE89">
        <v>5.0168499999999998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1.8692</v>
      </c>
      <c r="EN89">
        <v>1.8672299999999999</v>
      </c>
      <c r="EO89">
        <v>1.86338</v>
      </c>
      <c r="EP89">
        <v>1.8644700000000001</v>
      </c>
      <c r="EQ89">
        <v>1.87018</v>
      </c>
      <c r="ER89">
        <v>1.86938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0.26</v>
      </c>
      <c r="FG89">
        <v>0.19839999999999999</v>
      </c>
      <c r="FH89">
        <v>0.69281559908863044</v>
      </c>
      <c r="FI89">
        <v>-6.1462078757559423E-4</v>
      </c>
      <c r="FJ89">
        <v>-1.8861989874597051E-7</v>
      </c>
      <c r="FK89">
        <v>1.1980462299894961E-10</v>
      </c>
      <c r="FL89">
        <v>0.19840465858211129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22.8</v>
      </c>
      <c r="FU89">
        <v>22.8</v>
      </c>
      <c r="FV89">
        <v>1.78467</v>
      </c>
      <c r="FW89">
        <v>2.5830099999999998</v>
      </c>
      <c r="FX89">
        <v>1.5490699999999999</v>
      </c>
      <c r="FY89">
        <v>2.3315399999999999</v>
      </c>
      <c r="FZ89">
        <v>1.50146</v>
      </c>
      <c r="GA89">
        <v>2.4023400000000001</v>
      </c>
      <c r="GB89">
        <v>33.580399999999997</v>
      </c>
      <c r="GC89">
        <v>23.991199999999999</v>
      </c>
      <c r="GD89">
        <v>19</v>
      </c>
      <c r="GE89">
        <v>277.68200000000002</v>
      </c>
      <c r="GF89">
        <v>593.06600000000003</v>
      </c>
      <c r="GG89">
        <v>22.758700000000001</v>
      </c>
      <c r="GH89">
        <v>26.0641</v>
      </c>
      <c r="GI89">
        <v>29.9998</v>
      </c>
      <c r="GJ89">
        <v>26.2104</v>
      </c>
      <c r="GK89">
        <v>26.194199999999999</v>
      </c>
      <c r="GL89">
        <v>35.680700000000002</v>
      </c>
      <c r="GM89">
        <v>46.711599999999997</v>
      </c>
      <c r="GN89">
        <v>87.024799999999999</v>
      </c>
      <c r="GO89">
        <v>22.814599999999999</v>
      </c>
      <c r="GP89">
        <v>800</v>
      </c>
      <c r="GQ89">
        <v>12.9933</v>
      </c>
      <c r="GR89">
        <v>99.798900000000003</v>
      </c>
      <c r="GS89">
        <v>99.661299999999997</v>
      </c>
    </row>
    <row r="90" spans="1:201" x14ac:dyDescent="0.25">
      <c r="A90">
        <v>74</v>
      </c>
      <c r="B90">
        <v>1690389015.5999999</v>
      </c>
      <c r="C90">
        <v>757.09999990463257</v>
      </c>
      <c r="D90" t="s">
        <v>481</v>
      </c>
      <c r="E90" t="s">
        <v>482</v>
      </c>
      <c r="F90" t="s">
        <v>330</v>
      </c>
      <c r="H90">
        <v>1690389015.5999999</v>
      </c>
      <c r="I90">
        <f t="shared" si="30"/>
        <v>9.1557793345104529E-4</v>
      </c>
      <c r="J90">
        <f t="shared" si="31"/>
        <v>0.91557793345104532</v>
      </c>
      <c r="K90">
        <f t="shared" si="32"/>
        <v>15.834936104517952</v>
      </c>
      <c r="L90">
        <f t="shared" si="33"/>
        <v>626.25300000000004</v>
      </c>
      <c r="M90">
        <f t="shared" si="34"/>
        <v>211.2796314334189</v>
      </c>
      <c r="N90">
        <f t="shared" si="35"/>
        <v>20.863410683904213</v>
      </c>
      <c r="O90">
        <f t="shared" si="36"/>
        <v>61.841141251443908</v>
      </c>
      <c r="P90">
        <f t="shared" si="37"/>
        <v>6.3405473316746744E-2</v>
      </c>
      <c r="Q90">
        <f t="shared" si="38"/>
        <v>2.1583599124703703</v>
      </c>
      <c r="R90">
        <f t="shared" si="39"/>
        <v>6.2388579990486505E-2</v>
      </c>
      <c r="S90">
        <f t="shared" si="40"/>
        <v>3.9082867795788637E-2</v>
      </c>
      <c r="T90">
        <f t="shared" si="41"/>
        <v>276.11297934248159</v>
      </c>
      <c r="U90">
        <f t="shared" si="42"/>
        <v>27.194191873745527</v>
      </c>
      <c r="V90">
        <f t="shared" si="43"/>
        <v>27.194191873745527</v>
      </c>
      <c r="W90">
        <f t="shared" si="44"/>
        <v>3.6201851117335142</v>
      </c>
      <c r="X90">
        <f t="shared" si="45"/>
        <v>68.18960889698532</v>
      </c>
      <c r="Y90">
        <f t="shared" si="46"/>
        <v>2.2138281903897004</v>
      </c>
      <c r="Z90">
        <f t="shared" si="47"/>
        <v>3.2465770462683712</v>
      </c>
      <c r="AA90">
        <f t="shared" si="48"/>
        <v>1.4063569213438138</v>
      </c>
      <c r="AB90">
        <f t="shared" si="49"/>
        <v>-40.3769868651911</v>
      </c>
      <c r="AC90">
        <f t="shared" si="50"/>
        <v>-214.62784043107737</v>
      </c>
      <c r="AD90">
        <f t="shared" si="51"/>
        <v>-21.304705940906096</v>
      </c>
      <c r="AE90">
        <f t="shared" si="52"/>
        <v>-0.19655389469298257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52475.902389378862</v>
      </c>
      <c r="AK90">
        <f t="shared" si="56"/>
        <v>1799.99</v>
      </c>
      <c r="AL90">
        <f t="shared" si="57"/>
        <v>1499.1053167908601</v>
      </c>
      <c r="AM90">
        <f t="shared" si="58"/>
        <v>0.83284091400000004</v>
      </c>
      <c r="AN90">
        <f t="shared" si="59"/>
        <v>0.15339695183999999</v>
      </c>
      <c r="AO90">
        <v>31.8</v>
      </c>
      <c r="AP90">
        <v>0.5</v>
      </c>
      <c r="AQ90" t="s">
        <v>331</v>
      </c>
      <c r="AR90">
        <v>2</v>
      </c>
      <c r="AS90">
        <v>1690389015.5999999</v>
      </c>
      <c r="AT90">
        <v>626.25300000000004</v>
      </c>
      <c r="AU90">
        <v>800.08500000000004</v>
      </c>
      <c r="AV90">
        <v>22.419</v>
      </c>
      <c r="AW90">
        <v>12.9367</v>
      </c>
      <c r="AX90">
        <v>625.99</v>
      </c>
      <c r="AY90">
        <v>22.220600000000001</v>
      </c>
      <c r="AZ90">
        <v>300.166</v>
      </c>
      <c r="BA90">
        <v>98.647900000000007</v>
      </c>
      <c r="BB90">
        <v>9.9956299999999998E-2</v>
      </c>
      <c r="BC90">
        <v>25.349699999999999</v>
      </c>
      <c r="BD90">
        <v>26.925000000000001</v>
      </c>
      <c r="BE90">
        <v>26.873200000000001</v>
      </c>
      <c r="BF90">
        <v>0</v>
      </c>
      <c r="BG90">
        <v>0</v>
      </c>
      <c r="BH90">
        <v>10005</v>
      </c>
      <c r="BI90">
        <v>1058.6300000000001</v>
      </c>
      <c r="BJ90">
        <v>1.4577199999999999</v>
      </c>
      <c r="BK90">
        <v>-173.83099999999999</v>
      </c>
      <c r="BL90">
        <v>640.61500000000001</v>
      </c>
      <c r="BM90">
        <v>810.57100000000003</v>
      </c>
      <c r="BN90">
        <v>9.4823199999999996</v>
      </c>
      <c r="BO90">
        <v>800.08500000000004</v>
      </c>
      <c r="BP90">
        <v>12.9367</v>
      </c>
      <c r="BQ90">
        <v>2.2115900000000002</v>
      </c>
      <c r="BR90">
        <v>1.27617</v>
      </c>
      <c r="BS90">
        <v>19.046500000000002</v>
      </c>
      <c r="BT90">
        <v>10.521100000000001</v>
      </c>
      <c r="BU90">
        <v>1799.99</v>
      </c>
      <c r="BV90">
        <v>0.91001500000000002</v>
      </c>
      <c r="BW90">
        <v>3.3999300000000003E-2</v>
      </c>
      <c r="BX90">
        <v>2.1994199999999998E-2</v>
      </c>
      <c r="BY90">
        <v>3.3991800000000003E-2</v>
      </c>
      <c r="BZ90">
        <v>25</v>
      </c>
      <c r="CA90">
        <v>33528.300000000003</v>
      </c>
      <c r="CB90">
        <v>1690387638</v>
      </c>
      <c r="CC90" t="s">
        <v>332</v>
      </c>
      <c r="CD90">
        <v>1690387638</v>
      </c>
      <c r="CE90">
        <v>1690387638</v>
      </c>
      <c r="CF90">
        <v>6</v>
      </c>
      <c r="CG90">
        <v>0.43</v>
      </c>
      <c r="CH90">
        <v>-8.1000000000000003E-2</v>
      </c>
      <c r="CI90">
        <v>0.14199999999999999</v>
      </c>
      <c r="CJ90">
        <v>-2.7E-2</v>
      </c>
      <c r="CK90">
        <v>800</v>
      </c>
      <c r="CL90">
        <v>0</v>
      </c>
      <c r="CM90">
        <v>0.01</v>
      </c>
      <c r="CN90">
        <v>0.01</v>
      </c>
      <c r="CO90">
        <v>-169.38753658536581</v>
      </c>
      <c r="CP90">
        <v>-24.428027874564499</v>
      </c>
      <c r="CQ90">
        <v>2.409574935670757</v>
      </c>
      <c r="CR90">
        <v>-1</v>
      </c>
      <c r="CS90">
        <v>9.1723929268292679</v>
      </c>
      <c r="CT90">
        <v>1.7275647386759629</v>
      </c>
      <c r="CU90">
        <v>0.17063767115096229</v>
      </c>
      <c r="CV90">
        <v>-1</v>
      </c>
      <c r="CW90">
        <v>0</v>
      </c>
      <c r="CX90">
        <v>0</v>
      </c>
      <c r="CY90" t="s">
        <v>333</v>
      </c>
      <c r="CZ90">
        <v>2.3647300000000002</v>
      </c>
      <c r="DA90">
        <v>2.7137500000000001</v>
      </c>
      <c r="DB90">
        <v>0.123615</v>
      </c>
      <c r="DC90">
        <v>0.14566599999999999</v>
      </c>
      <c r="DD90">
        <v>0.10807</v>
      </c>
      <c r="DE90">
        <v>7.1611599999999997E-2</v>
      </c>
      <c r="DF90">
        <v>32018.799999999999</v>
      </c>
      <c r="DG90">
        <v>27558.3</v>
      </c>
      <c r="DH90">
        <v>31189.3</v>
      </c>
      <c r="DI90">
        <v>28106.7</v>
      </c>
      <c r="DJ90">
        <v>37771.300000000003</v>
      </c>
      <c r="DK90">
        <v>37108.699999999997</v>
      </c>
      <c r="DL90">
        <v>44389.4</v>
      </c>
      <c r="DM90">
        <v>42604.3</v>
      </c>
      <c r="DN90">
        <v>1.4654499999999999</v>
      </c>
      <c r="DO90">
        <v>2.05002</v>
      </c>
      <c r="DP90">
        <v>0.16087299999999999</v>
      </c>
      <c r="DQ90">
        <v>0.16336899999999999</v>
      </c>
      <c r="DR90">
        <v>24.2881</v>
      </c>
      <c r="DS90">
        <v>24.195</v>
      </c>
      <c r="DT90">
        <v>55.8</v>
      </c>
      <c r="DU90">
        <v>28.8</v>
      </c>
      <c r="DV90">
        <v>22.488099999999999</v>
      </c>
      <c r="DW90">
        <v>61.072200000000002</v>
      </c>
      <c r="DX90">
        <v>36.137799999999999</v>
      </c>
      <c r="DY90">
        <v>1</v>
      </c>
      <c r="DZ90">
        <v>-0.106756</v>
      </c>
      <c r="EA90">
        <v>0.26705099999999998</v>
      </c>
      <c r="EB90">
        <v>20.190000000000001</v>
      </c>
      <c r="EC90">
        <v>5.2411000000000003</v>
      </c>
      <c r="ED90">
        <v>12.039899999999999</v>
      </c>
      <c r="EE90">
        <v>5.0169499999999996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1.8692</v>
      </c>
      <c r="EN90">
        <v>1.8672200000000001</v>
      </c>
      <c r="EO90">
        <v>1.86338</v>
      </c>
      <c r="EP90">
        <v>1.8644700000000001</v>
      </c>
      <c r="EQ90">
        <v>1.8701700000000001</v>
      </c>
      <c r="ER90">
        <v>1.8693900000000001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0.26300000000000001</v>
      </c>
      <c r="FG90">
        <v>0.19839999999999999</v>
      </c>
      <c r="FH90">
        <v>0.69281559908863044</v>
      </c>
      <c r="FI90">
        <v>-6.1462078757559423E-4</v>
      </c>
      <c r="FJ90">
        <v>-1.8861989874597051E-7</v>
      </c>
      <c r="FK90">
        <v>1.1980462299894961E-10</v>
      </c>
      <c r="FL90">
        <v>0.19840465858211129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23</v>
      </c>
      <c r="FU90">
        <v>23</v>
      </c>
      <c r="FV90">
        <v>1.78467</v>
      </c>
      <c r="FW90">
        <v>2.5817899999999998</v>
      </c>
      <c r="FX90">
        <v>1.5490699999999999</v>
      </c>
      <c r="FY90">
        <v>2.3315399999999999</v>
      </c>
      <c r="FZ90">
        <v>1.50146</v>
      </c>
      <c r="GA90">
        <v>2.4047900000000002</v>
      </c>
      <c r="GB90">
        <v>33.580399999999997</v>
      </c>
      <c r="GC90">
        <v>23.991199999999999</v>
      </c>
      <c r="GD90">
        <v>19</v>
      </c>
      <c r="GE90">
        <v>277.69799999999998</v>
      </c>
      <c r="GF90">
        <v>592.81600000000003</v>
      </c>
      <c r="GG90">
        <v>22.905000000000001</v>
      </c>
      <c r="GH90">
        <v>26.0581</v>
      </c>
      <c r="GI90">
        <v>29.9998</v>
      </c>
      <c r="GJ90">
        <v>26.206600000000002</v>
      </c>
      <c r="GK90">
        <v>26.1906</v>
      </c>
      <c r="GL90">
        <v>35.673999999999999</v>
      </c>
      <c r="GM90">
        <v>47.5702</v>
      </c>
      <c r="GN90">
        <v>86.267899999999997</v>
      </c>
      <c r="GO90">
        <v>22.952999999999999</v>
      </c>
      <c r="GP90">
        <v>800</v>
      </c>
      <c r="GQ90">
        <v>12.7742</v>
      </c>
      <c r="GR90">
        <v>99.797899999999998</v>
      </c>
      <c r="GS90">
        <v>99.662400000000005</v>
      </c>
    </row>
    <row r="91" spans="1:201" x14ac:dyDescent="0.25">
      <c r="A91">
        <v>75</v>
      </c>
      <c r="B91">
        <v>1690389025.5999999</v>
      </c>
      <c r="C91">
        <v>767.09999990463257</v>
      </c>
      <c r="D91" t="s">
        <v>483</v>
      </c>
      <c r="E91" t="s">
        <v>484</v>
      </c>
      <c r="F91" t="s">
        <v>330</v>
      </c>
      <c r="H91">
        <v>1690389025.5999999</v>
      </c>
      <c r="I91">
        <f t="shared" si="30"/>
        <v>9.4176872153333541E-4</v>
      </c>
      <c r="J91">
        <f t="shared" si="31"/>
        <v>0.94176872153333546</v>
      </c>
      <c r="K91">
        <f t="shared" si="32"/>
        <v>16.193749374098569</v>
      </c>
      <c r="L91">
        <f t="shared" si="33"/>
        <v>622.274</v>
      </c>
      <c r="M91">
        <f t="shared" si="34"/>
        <v>209.68337252341746</v>
      </c>
      <c r="N91">
        <f t="shared" si="35"/>
        <v>20.70584239656446</v>
      </c>
      <c r="O91">
        <f t="shared" si="36"/>
        <v>61.448398203538005</v>
      </c>
      <c r="P91">
        <f t="shared" si="37"/>
        <v>6.5241907355260281E-2</v>
      </c>
      <c r="Q91">
        <f t="shared" si="38"/>
        <v>2.1569400407352131</v>
      </c>
      <c r="R91">
        <f t="shared" si="39"/>
        <v>6.4165098877451032E-2</v>
      </c>
      <c r="S91">
        <f t="shared" si="40"/>
        <v>4.0198453346072964E-2</v>
      </c>
      <c r="T91">
        <f t="shared" si="41"/>
        <v>276.11264549833635</v>
      </c>
      <c r="U91">
        <f t="shared" si="42"/>
        <v>27.212208944381253</v>
      </c>
      <c r="V91">
        <f t="shared" si="43"/>
        <v>27.212208944381253</v>
      </c>
      <c r="W91">
        <f t="shared" si="44"/>
        <v>3.6240121633654359</v>
      </c>
      <c r="X91">
        <f t="shared" si="45"/>
        <v>68.198051509763758</v>
      </c>
      <c r="Y91">
        <f t="shared" si="46"/>
        <v>2.2175276637267998</v>
      </c>
      <c r="Z91">
        <f t="shared" si="47"/>
        <v>3.251599737287687</v>
      </c>
      <c r="AA91">
        <f t="shared" si="48"/>
        <v>1.4064844996386361</v>
      </c>
      <c r="AB91">
        <f t="shared" si="49"/>
        <v>-41.532000619620092</v>
      </c>
      <c r="AC91">
        <f t="shared" si="50"/>
        <v>-213.55835348282866</v>
      </c>
      <c r="AD91">
        <f t="shared" si="51"/>
        <v>-21.217178029441158</v>
      </c>
      <c r="AE91">
        <f t="shared" si="52"/>
        <v>-0.19488663355357971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52411.674895470715</v>
      </c>
      <c r="AK91">
        <f t="shared" si="56"/>
        <v>1799.99</v>
      </c>
      <c r="AL91">
        <f t="shared" si="57"/>
        <v>1499.1052051914801</v>
      </c>
      <c r="AM91">
        <f t="shared" si="58"/>
        <v>0.83284085200000002</v>
      </c>
      <c r="AN91">
        <f t="shared" si="59"/>
        <v>0.15339676637000002</v>
      </c>
      <c r="AO91">
        <v>31.8</v>
      </c>
      <c r="AP91">
        <v>0.5</v>
      </c>
      <c r="AQ91" t="s">
        <v>331</v>
      </c>
      <c r="AR91">
        <v>2</v>
      </c>
      <c r="AS91">
        <v>1690389025.5999999</v>
      </c>
      <c r="AT91">
        <v>622.274</v>
      </c>
      <c r="AU91">
        <v>800.07100000000003</v>
      </c>
      <c r="AV91">
        <v>22.456399999999999</v>
      </c>
      <c r="AW91">
        <v>12.701599999999999</v>
      </c>
      <c r="AX91">
        <v>622.00800000000004</v>
      </c>
      <c r="AY91">
        <v>22.257999999999999</v>
      </c>
      <c r="AZ91">
        <v>300.11599999999999</v>
      </c>
      <c r="BA91">
        <v>98.648099999999999</v>
      </c>
      <c r="BB91">
        <v>0.100037</v>
      </c>
      <c r="BC91">
        <v>25.375699999999998</v>
      </c>
      <c r="BD91">
        <v>26.922599999999999</v>
      </c>
      <c r="BE91">
        <v>26.887</v>
      </c>
      <c r="BF91">
        <v>0</v>
      </c>
      <c r="BG91">
        <v>0</v>
      </c>
      <c r="BH91">
        <v>9993.1200000000008</v>
      </c>
      <c r="BI91">
        <v>1058.52</v>
      </c>
      <c r="BJ91">
        <v>1.4577199999999999</v>
      </c>
      <c r="BK91">
        <v>-177.797</v>
      </c>
      <c r="BL91">
        <v>636.56899999999996</v>
      </c>
      <c r="BM91">
        <v>810.36400000000003</v>
      </c>
      <c r="BN91">
        <v>9.7547300000000003</v>
      </c>
      <c r="BO91">
        <v>800.07100000000003</v>
      </c>
      <c r="BP91">
        <v>12.701599999999999</v>
      </c>
      <c r="BQ91">
        <v>2.2152799999999999</v>
      </c>
      <c r="BR91">
        <v>1.25299</v>
      </c>
      <c r="BS91">
        <v>19.0732</v>
      </c>
      <c r="BT91">
        <v>10.246499999999999</v>
      </c>
      <c r="BU91">
        <v>1799.99</v>
      </c>
      <c r="BV91">
        <v>0.91001900000000002</v>
      </c>
      <c r="BW91">
        <v>3.3997600000000003E-2</v>
      </c>
      <c r="BX91">
        <v>2.1993100000000002E-2</v>
      </c>
      <c r="BY91">
        <v>3.3990100000000002E-2</v>
      </c>
      <c r="BZ91">
        <v>25</v>
      </c>
      <c r="CA91">
        <v>33528.400000000001</v>
      </c>
      <c r="CB91">
        <v>1690387638</v>
      </c>
      <c r="CC91" t="s">
        <v>332</v>
      </c>
      <c r="CD91">
        <v>1690387638</v>
      </c>
      <c r="CE91">
        <v>1690387638</v>
      </c>
      <c r="CF91">
        <v>6</v>
      </c>
      <c r="CG91">
        <v>0.43</v>
      </c>
      <c r="CH91">
        <v>-8.1000000000000003E-2</v>
      </c>
      <c r="CI91">
        <v>0.14199999999999999</v>
      </c>
      <c r="CJ91">
        <v>-2.7E-2</v>
      </c>
      <c r="CK91">
        <v>800</v>
      </c>
      <c r="CL91">
        <v>0</v>
      </c>
      <c r="CM91">
        <v>0.01</v>
      </c>
      <c r="CN91">
        <v>0.01</v>
      </c>
      <c r="CO91">
        <v>-173.31822500000001</v>
      </c>
      <c r="CP91">
        <v>-23.732814258911311</v>
      </c>
      <c r="CQ91">
        <v>2.283483210880914</v>
      </c>
      <c r="CR91">
        <v>-1</v>
      </c>
      <c r="CS91">
        <v>9.449437249999999</v>
      </c>
      <c r="CT91">
        <v>1.6196880675422061</v>
      </c>
      <c r="CU91">
        <v>0.1559927536135492</v>
      </c>
      <c r="CV91">
        <v>-1</v>
      </c>
      <c r="CW91">
        <v>0</v>
      </c>
      <c r="CX91">
        <v>0</v>
      </c>
      <c r="CY91" t="s">
        <v>333</v>
      </c>
      <c r="CZ91">
        <v>2.3645900000000002</v>
      </c>
      <c r="DA91">
        <v>2.7138200000000001</v>
      </c>
      <c r="DB91">
        <v>0.123067</v>
      </c>
      <c r="DC91">
        <v>0.14566100000000001</v>
      </c>
      <c r="DD91">
        <v>0.1082</v>
      </c>
      <c r="DE91">
        <v>7.0638800000000002E-2</v>
      </c>
      <c r="DF91">
        <v>32039.5</v>
      </c>
      <c r="DG91">
        <v>27558.6</v>
      </c>
      <c r="DH91">
        <v>31190</v>
      </c>
      <c r="DI91">
        <v>28106.9</v>
      </c>
      <c r="DJ91">
        <v>37766.400000000001</v>
      </c>
      <c r="DK91">
        <v>37147.800000000003</v>
      </c>
      <c r="DL91">
        <v>44390.3</v>
      </c>
      <c r="DM91">
        <v>42604.5</v>
      </c>
      <c r="DN91">
        <v>1.4654700000000001</v>
      </c>
      <c r="DO91">
        <v>2.05002</v>
      </c>
      <c r="DP91">
        <v>0.16091</v>
      </c>
      <c r="DQ91">
        <v>0.164211</v>
      </c>
      <c r="DR91">
        <v>24.285</v>
      </c>
      <c r="DS91">
        <v>24.195</v>
      </c>
      <c r="DT91">
        <v>55.7</v>
      </c>
      <c r="DU91">
        <v>28.8</v>
      </c>
      <c r="DV91">
        <v>22.4497</v>
      </c>
      <c r="DW91">
        <v>61.092199999999998</v>
      </c>
      <c r="DX91">
        <v>36.089700000000001</v>
      </c>
      <c r="DY91">
        <v>1</v>
      </c>
      <c r="DZ91">
        <v>-0.107055</v>
      </c>
      <c r="EA91">
        <v>0.25687399999999999</v>
      </c>
      <c r="EB91">
        <v>20.190000000000001</v>
      </c>
      <c r="EC91">
        <v>5.2409499999999998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1.8646199999999999</v>
      </c>
      <c r="EM91">
        <v>1.8692</v>
      </c>
      <c r="EN91">
        <v>1.8672200000000001</v>
      </c>
      <c r="EO91">
        <v>1.86337</v>
      </c>
      <c r="EP91">
        <v>1.8644700000000001</v>
      </c>
      <c r="EQ91">
        <v>1.87016</v>
      </c>
      <c r="ER91">
        <v>1.8693900000000001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0.26600000000000001</v>
      </c>
      <c r="FG91">
        <v>0.19839999999999999</v>
      </c>
      <c r="FH91">
        <v>0.69281559908863044</v>
      </c>
      <c r="FI91">
        <v>-6.1462078757559423E-4</v>
      </c>
      <c r="FJ91">
        <v>-1.8861989874597051E-7</v>
      </c>
      <c r="FK91">
        <v>1.1980462299894961E-10</v>
      </c>
      <c r="FL91">
        <v>0.19840465858211129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23.1</v>
      </c>
      <c r="FU91">
        <v>23.1</v>
      </c>
      <c r="FV91">
        <v>1.78345</v>
      </c>
      <c r="FW91">
        <v>2.5805699999999998</v>
      </c>
      <c r="FX91">
        <v>1.5490699999999999</v>
      </c>
      <c r="FY91">
        <v>2.3315399999999999</v>
      </c>
      <c r="FZ91">
        <v>1.50146</v>
      </c>
      <c r="GA91">
        <v>2.3779300000000001</v>
      </c>
      <c r="GB91">
        <v>33.580399999999997</v>
      </c>
      <c r="GC91">
        <v>23.991199999999999</v>
      </c>
      <c r="GD91">
        <v>19</v>
      </c>
      <c r="GE91">
        <v>277.68900000000002</v>
      </c>
      <c r="GF91">
        <v>592.77200000000005</v>
      </c>
      <c r="GG91">
        <v>23.027100000000001</v>
      </c>
      <c r="GH91">
        <v>26.052600000000002</v>
      </c>
      <c r="GI91">
        <v>29.9999</v>
      </c>
      <c r="GJ91">
        <v>26.202200000000001</v>
      </c>
      <c r="GK91">
        <v>26.186800000000002</v>
      </c>
      <c r="GL91">
        <v>35.669600000000003</v>
      </c>
      <c r="GM91">
        <v>48.2044</v>
      </c>
      <c r="GN91">
        <v>85.872</v>
      </c>
      <c r="GO91">
        <v>23.060300000000002</v>
      </c>
      <c r="GP91">
        <v>800</v>
      </c>
      <c r="GQ91">
        <v>12.556800000000001</v>
      </c>
      <c r="GR91">
        <v>99.799899999999994</v>
      </c>
      <c r="GS91">
        <v>99.662800000000004</v>
      </c>
    </row>
    <row r="92" spans="1:201" x14ac:dyDescent="0.25">
      <c r="A92">
        <v>76</v>
      </c>
      <c r="B92">
        <v>1690389035.5999999</v>
      </c>
      <c r="C92">
        <v>777.09999990463257</v>
      </c>
      <c r="D92" t="s">
        <v>485</v>
      </c>
      <c r="E92" t="s">
        <v>486</v>
      </c>
      <c r="F92" t="s">
        <v>330</v>
      </c>
      <c r="H92">
        <v>1690389035.5999999</v>
      </c>
      <c r="I92">
        <f t="shared" si="30"/>
        <v>9.6331560288773503E-4</v>
      </c>
      <c r="J92">
        <f t="shared" si="31"/>
        <v>0.96331560288773499</v>
      </c>
      <c r="K92">
        <f t="shared" si="32"/>
        <v>16.558603899003412</v>
      </c>
      <c r="L92">
        <f t="shared" si="33"/>
        <v>618.23500000000001</v>
      </c>
      <c r="M92">
        <f t="shared" si="34"/>
        <v>206.31922272462998</v>
      </c>
      <c r="N92">
        <f t="shared" si="35"/>
        <v>20.374359338071031</v>
      </c>
      <c r="O92">
        <f t="shared" si="36"/>
        <v>61.051713354815007</v>
      </c>
      <c r="P92">
        <f t="shared" si="37"/>
        <v>6.6828660848285024E-2</v>
      </c>
      <c r="Q92">
        <f t="shared" si="38"/>
        <v>2.1613213488957461</v>
      </c>
      <c r="R92">
        <f t="shared" si="39"/>
        <v>6.5701573564645607E-2</v>
      </c>
      <c r="S92">
        <f t="shared" si="40"/>
        <v>4.1163164434357441E-2</v>
      </c>
      <c r="T92">
        <f t="shared" si="41"/>
        <v>276.11244829143197</v>
      </c>
      <c r="U92">
        <f t="shared" si="42"/>
        <v>27.216866670628654</v>
      </c>
      <c r="V92">
        <f t="shared" si="43"/>
        <v>27.216866670628654</v>
      </c>
      <c r="W92">
        <f t="shared" si="44"/>
        <v>3.6250020970511398</v>
      </c>
      <c r="X92">
        <f t="shared" si="45"/>
        <v>68.209864109218088</v>
      </c>
      <c r="Y92">
        <f t="shared" si="46"/>
        <v>2.2199563702458005</v>
      </c>
      <c r="Z92">
        <f t="shared" si="47"/>
        <v>3.2545972627818047</v>
      </c>
      <c r="AA92">
        <f t="shared" si="48"/>
        <v>1.4050457268053393</v>
      </c>
      <c r="AB92">
        <f t="shared" si="49"/>
        <v>-42.482218087349118</v>
      </c>
      <c r="AC92">
        <f t="shared" si="50"/>
        <v>-212.7287919577395</v>
      </c>
      <c r="AD92">
        <f t="shared" si="51"/>
        <v>-21.094045860039522</v>
      </c>
      <c r="AE92">
        <f t="shared" si="52"/>
        <v>-0.1926076136961683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52593.246913601426</v>
      </c>
      <c r="AK92">
        <f t="shared" si="56"/>
        <v>1799.99</v>
      </c>
      <c r="AL92">
        <f t="shared" si="57"/>
        <v>1499.1053563906401</v>
      </c>
      <c r="AM92">
        <f t="shared" si="58"/>
        <v>0.83284093600000009</v>
      </c>
      <c r="AN92">
        <f t="shared" si="59"/>
        <v>0.15339665681000003</v>
      </c>
      <c r="AO92">
        <v>31.8</v>
      </c>
      <c r="AP92">
        <v>0.5</v>
      </c>
      <c r="AQ92" t="s">
        <v>331</v>
      </c>
      <c r="AR92">
        <v>2</v>
      </c>
      <c r="AS92">
        <v>1690389035.5999999</v>
      </c>
      <c r="AT92">
        <v>618.23500000000001</v>
      </c>
      <c r="AU92">
        <v>800.04</v>
      </c>
      <c r="AV92">
        <v>22.4802</v>
      </c>
      <c r="AW92">
        <v>12.5002</v>
      </c>
      <c r="AX92">
        <v>617.96600000000001</v>
      </c>
      <c r="AY92">
        <v>22.2818</v>
      </c>
      <c r="AZ92">
        <v>300.048</v>
      </c>
      <c r="BA92">
        <v>98.651600000000002</v>
      </c>
      <c r="BB92">
        <v>0.10002900000000001</v>
      </c>
      <c r="BC92">
        <v>25.391200000000001</v>
      </c>
      <c r="BD92">
        <v>26.9374</v>
      </c>
      <c r="BE92">
        <v>26.892900000000001</v>
      </c>
      <c r="BF92">
        <v>0</v>
      </c>
      <c r="BG92">
        <v>0</v>
      </c>
      <c r="BH92">
        <v>10029.4</v>
      </c>
      <c r="BI92">
        <v>1058.52</v>
      </c>
      <c r="BJ92">
        <v>1.4577199999999999</v>
      </c>
      <c r="BK92">
        <v>-181.80600000000001</v>
      </c>
      <c r="BL92">
        <v>632.45299999999997</v>
      </c>
      <c r="BM92">
        <v>810.16800000000001</v>
      </c>
      <c r="BN92">
        <v>9.9799500000000005</v>
      </c>
      <c r="BO92">
        <v>800.04</v>
      </c>
      <c r="BP92">
        <v>12.5002</v>
      </c>
      <c r="BQ92">
        <v>2.2177099999999998</v>
      </c>
      <c r="BR92">
        <v>1.2331700000000001</v>
      </c>
      <c r="BS92">
        <v>19.090800000000002</v>
      </c>
      <c r="BT92">
        <v>10.008100000000001</v>
      </c>
      <c r="BU92">
        <v>1799.99</v>
      </c>
      <c r="BV92">
        <v>0.910022</v>
      </c>
      <c r="BW92">
        <v>3.3996400000000003E-2</v>
      </c>
      <c r="BX92">
        <v>2.1992299999999999E-2</v>
      </c>
      <c r="BY92">
        <v>3.3988900000000002E-2</v>
      </c>
      <c r="BZ92">
        <v>25</v>
      </c>
      <c r="CA92">
        <v>33528.400000000001</v>
      </c>
      <c r="CB92">
        <v>1690387638</v>
      </c>
      <c r="CC92" t="s">
        <v>332</v>
      </c>
      <c r="CD92">
        <v>1690387638</v>
      </c>
      <c r="CE92">
        <v>1690387638</v>
      </c>
      <c r="CF92">
        <v>6</v>
      </c>
      <c r="CG92">
        <v>0.43</v>
      </c>
      <c r="CH92">
        <v>-8.1000000000000003E-2</v>
      </c>
      <c r="CI92">
        <v>0.14199999999999999</v>
      </c>
      <c r="CJ92">
        <v>-2.7E-2</v>
      </c>
      <c r="CK92">
        <v>800</v>
      </c>
      <c r="CL92">
        <v>0</v>
      </c>
      <c r="CM92">
        <v>0.01</v>
      </c>
      <c r="CN92">
        <v>0.01</v>
      </c>
      <c r="CO92">
        <v>-177.390512195122</v>
      </c>
      <c r="CP92">
        <v>-23.707902439024782</v>
      </c>
      <c r="CQ92">
        <v>2.3380585976294168</v>
      </c>
      <c r="CR92">
        <v>-1</v>
      </c>
      <c r="CS92">
        <v>9.7241346341463402</v>
      </c>
      <c r="CT92">
        <v>1.55140703832753</v>
      </c>
      <c r="CU92">
        <v>0.15320633550705501</v>
      </c>
      <c r="CV92">
        <v>-1</v>
      </c>
      <c r="CW92">
        <v>0</v>
      </c>
      <c r="CX92">
        <v>0</v>
      </c>
      <c r="CY92" t="s">
        <v>333</v>
      </c>
      <c r="CZ92">
        <v>2.3643700000000001</v>
      </c>
      <c r="DA92">
        <v>2.7138399999999998</v>
      </c>
      <c r="DB92">
        <v>0.122512</v>
      </c>
      <c r="DC92">
        <v>0.14566000000000001</v>
      </c>
      <c r="DD92">
        <v>0.10828599999999999</v>
      </c>
      <c r="DE92">
        <v>6.9802100000000006E-2</v>
      </c>
      <c r="DF92">
        <v>32060.3</v>
      </c>
      <c r="DG92">
        <v>27558.799999999999</v>
      </c>
      <c r="DH92">
        <v>31190.5</v>
      </c>
      <c r="DI92">
        <v>28107</v>
      </c>
      <c r="DJ92">
        <v>37763.199999999997</v>
      </c>
      <c r="DK92">
        <v>37181.599999999999</v>
      </c>
      <c r="DL92">
        <v>44391</v>
      </c>
      <c r="DM92">
        <v>42604.800000000003</v>
      </c>
      <c r="DN92">
        <v>1.4658199999999999</v>
      </c>
      <c r="DO92">
        <v>2.0499000000000001</v>
      </c>
      <c r="DP92">
        <v>0.161827</v>
      </c>
      <c r="DQ92">
        <v>0.16436700000000001</v>
      </c>
      <c r="DR92">
        <v>24.284800000000001</v>
      </c>
      <c r="DS92">
        <v>24.198399999999999</v>
      </c>
      <c r="DT92">
        <v>55.6</v>
      </c>
      <c r="DU92">
        <v>28.8</v>
      </c>
      <c r="DV92">
        <v>22.4057</v>
      </c>
      <c r="DW92">
        <v>60.572200000000002</v>
      </c>
      <c r="DX92">
        <v>36.494399999999999</v>
      </c>
      <c r="DY92">
        <v>1</v>
      </c>
      <c r="DZ92">
        <v>-0.107248</v>
      </c>
      <c r="EA92">
        <v>0.247636</v>
      </c>
      <c r="EB92">
        <v>20.190000000000001</v>
      </c>
      <c r="EC92">
        <v>5.2409499999999998</v>
      </c>
      <c r="ED92">
        <v>12.039899999999999</v>
      </c>
      <c r="EE92">
        <v>5.01675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1.86893</v>
      </c>
      <c r="EL92">
        <v>1.8646199999999999</v>
      </c>
      <c r="EM92">
        <v>1.8692</v>
      </c>
      <c r="EN92">
        <v>1.8672200000000001</v>
      </c>
      <c r="EO92">
        <v>1.8633599999999999</v>
      </c>
      <c r="EP92">
        <v>1.8644700000000001</v>
      </c>
      <c r="EQ92">
        <v>1.87015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0.26900000000000002</v>
      </c>
      <c r="FG92">
        <v>0.19839999999999999</v>
      </c>
      <c r="FH92">
        <v>0.69281559908863044</v>
      </c>
      <c r="FI92">
        <v>-6.1462078757559423E-4</v>
      </c>
      <c r="FJ92">
        <v>-1.8861989874597051E-7</v>
      </c>
      <c r="FK92">
        <v>1.1980462299894961E-10</v>
      </c>
      <c r="FL92">
        <v>0.19840465858211129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23.3</v>
      </c>
      <c r="FU92">
        <v>23.3</v>
      </c>
      <c r="FV92">
        <v>1.78345</v>
      </c>
      <c r="FW92">
        <v>2.5805699999999998</v>
      </c>
      <c r="FX92">
        <v>1.5490699999999999</v>
      </c>
      <c r="FY92">
        <v>2.3315399999999999</v>
      </c>
      <c r="FZ92">
        <v>1.50146</v>
      </c>
      <c r="GA92">
        <v>2.2985799999999998</v>
      </c>
      <c r="GB92">
        <v>33.580399999999997</v>
      </c>
      <c r="GC92">
        <v>23.982399999999998</v>
      </c>
      <c r="GD92">
        <v>19</v>
      </c>
      <c r="GE92">
        <v>277.81700000000001</v>
      </c>
      <c r="GF92">
        <v>592.62599999999998</v>
      </c>
      <c r="GG92">
        <v>23.122900000000001</v>
      </c>
      <c r="GH92">
        <v>26.047000000000001</v>
      </c>
      <c r="GI92">
        <v>30</v>
      </c>
      <c r="GJ92">
        <v>26.197800000000001</v>
      </c>
      <c r="GK92">
        <v>26.183299999999999</v>
      </c>
      <c r="GL92">
        <v>35.6614</v>
      </c>
      <c r="GM92">
        <v>48.791699999999999</v>
      </c>
      <c r="GN92">
        <v>85.104799999999997</v>
      </c>
      <c r="GO92">
        <v>23.150700000000001</v>
      </c>
      <c r="GP92">
        <v>800</v>
      </c>
      <c r="GQ92">
        <v>12.341900000000001</v>
      </c>
      <c r="GR92">
        <v>99.801500000000004</v>
      </c>
      <c r="GS92">
        <v>99.663499999999999</v>
      </c>
    </row>
    <row r="93" spans="1:201" x14ac:dyDescent="0.25">
      <c r="A93">
        <v>77</v>
      </c>
      <c r="B93">
        <v>1690389045.5999999</v>
      </c>
      <c r="C93">
        <v>787.09999990463257</v>
      </c>
      <c r="D93" t="s">
        <v>487</v>
      </c>
      <c r="E93" t="s">
        <v>488</v>
      </c>
      <c r="F93" t="s">
        <v>330</v>
      </c>
      <c r="H93">
        <v>1690389045.5999999</v>
      </c>
      <c r="I93">
        <f t="shared" si="30"/>
        <v>9.8623855036929502E-4</v>
      </c>
      <c r="J93">
        <f t="shared" si="31"/>
        <v>0.98623855036929509</v>
      </c>
      <c r="K93">
        <f t="shared" si="32"/>
        <v>16.92231014856333</v>
      </c>
      <c r="L93">
        <f t="shared" si="33"/>
        <v>614.31100000000004</v>
      </c>
      <c r="M93">
        <f t="shared" si="34"/>
        <v>202.62257393498479</v>
      </c>
      <c r="N93">
        <f t="shared" si="35"/>
        <v>20.008549170453346</v>
      </c>
      <c r="O93">
        <f t="shared" si="36"/>
        <v>60.661907559195811</v>
      </c>
      <c r="P93">
        <f t="shared" si="37"/>
        <v>6.8347946130114468E-2</v>
      </c>
      <c r="Q93">
        <f t="shared" si="38"/>
        <v>2.1545397884173907</v>
      </c>
      <c r="R93">
        <f t="shared" si="39"/>
        <v>6.7165876894352827E-2</v>
      </c>
      <c r="S93">
        <f t="shared" si="40"/>
        <v>4.2083174419093587E-2</v>
      </c>
      <c r="T93">
        <f t="shared" si="41"/>
        <v>276.11252324301552</v>
      </c>
      <c r="U93">
        <f t="shared" si="42"/>
        <v>27.235141397562536</v>
      </c>
      <c r="V93">
        <f t="shared" si="43"/>
        <v>27.235141397562536</v>
      </c>
      <c r="W93">
        <f t="shared" si="44"/>
        <v>3.6288884112300739</v>
      </c>
      <c r="X93">
        <f t="shared" si="45"/>
        <v>68.183400440350795</v>
      </c>
      <c r="Y93">
        <f t="shared" si="46"/>
        <v>2.2218667496511202</v>
      </c>
      <c r="Z93">
        <f t="shared" si="47"/>
        <v>3.2586622774774723</v>
      </c>
      <c r="AA93">
        <f t="shared" si="48"/>
        <v>1.4070216615789537</v>
      </c>
      <c r="AB93">
        <f t="shared" si="49"/>
        <v>-43.493120071285908</v>
      </c>
      <c r="AC93">
        <f t="shared" si="50"/>
        <v>-211.74475896206724</v>
      </c>
      <c r="AD93">
        <f t="shared" si="51"/>
        <v>-21.066703027901738</v>
      </c>
      <c r="AE93">
        <f t="shared" si="52"/>
        <v>-0.19205881823936011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52304.51555864625</v>
      </c>
      <c r="AK93">
        <f t="shared" si="56"/>
        <v>1799.99</v>
      </c>
      <c r="AL93">
        <f t="shared" si="57"/>
        <v>1499.1070195814</v>
      </c>
      <c r="AM93">
        <f t="shared" si="58"/>
        <v>0.83284186000000004</v>
      </c>
      <c r="AN93">
        <f t="shared" si="59"/>
        <v>0.15339669845000001</v>
      </c>
      <c r="AO93">
        <v>31.8</v>
      </c>
      <c r="AP93">
        <v>0.5</v>
      </c>
      <c r="AQ93" t="s">
        <v>331</v>
      </c>
      <c r="AR93">
        <v>2</v>
      </c>
      <c r="AS93">
        <v>1690389045.5999999</v>
      </c>
      <c r="AT93">
        <v>614.31100000000004</v>
      </c>
      <c r="AU93">
        <v>800.10400000000004</v>
      </c>
      <c r="AV93">
        <v>22.500399999999999</v>
      </c>
      <c r="AW93">
        <v>12.2818</v>
      </c>
      <c r="AX93">
        <v>614.03899999999999</v>
      </c>
      <c r="AY93">
        <v>22.302</v>
      </c>
      <c r="AZ93">
        <v>300.00900000000001</v>
      </c>
      <c r="BA93">
        <v>98.647900000000007</v>
      </c>
      <c r="BB93">
        <v>9.9977800000000006E-2</v>
      </c>
      <c r="BC93">
        <v>25.412199999999999</v>
      </c>
      <c r="BD93">
        <v>26.944199999999999</v>
      </c>
      <c r="BE93">
        <v>26.8962</v>
      </c>
      <c r="BF93">
        <v>0</v>
      </c>
      <c r="BG93">
        <v>0</v>
      </c>
      <c r="BH93">
        <v>9973.1200000000008</v>
      </c>
      <c r="BI93">
        <v>1058.53</v>
      </c>
      <c r="BJ93">
        <v>1.4016500000000001</v>
      </c>
      <c r="BK93">
        <v>-185.79300000000001</v>
      </c>
      <c r="BL93">
        <v>628.452</v>
      </c>
      <c r="BM93">
        <v>810.053</v>
      </c>
      <c r="BN93">
        <v>10.2186</v>
      </c>
      <c r="BO93">
        <v>800.10400000000004</v>
      </c>
      <c r="BP93">
        <v>12.2818</v>
      </c>
      <c r="BQ93">
        <v>2.2196099999999999</v>
      </c>
      <c r="BR93">
        <v>1.21157</v>
      </c>
      <c r="BS93">
        <v>19.104600000000001</v>
      </c>
      <c r="BT93">
        <v>9.74451</v>
      </c>
      <c r="BU93">
        <v>1799.99</v>
      </c>
      <c r="BV93">
        <v>0.910026</v>
      </c>
      <c r="BW93">
        <v>3.3995200000000003E-2</v>
      </c>
      <c r="BX93">
        <v>2.1991500000000001E-2</v>
      </c>
      <c r="BY93">
        <v>3.3987700000000003E-2</v>
      </c>
      <c r="BZ93">
        <v>25</v>
      </c>
      <c r="CA93">
        <v>33528.5</v>
      </c>
      <c r="CB93">
        <v>1690387638</v>
      </c>
      <c r="CC93" t="s">
        <v>332</v>
      </c>
      <c r="CD93">
        <v>1690387638</v>
      </c>
      <c r="CE93">
        <v>1690387638</v>
      </c>
      <c r="CF93">
        <v>6</v>
      </c>
      <c r="CG93">
        <v>0.43</v>
      </c>
      <c r="CH93">
        <v>-8.1000000000000003E-2</v>
      </c>
      <c r="CI93">
        <v>0.14199999999999999</v>
      </c>
      <c r="CJ93">
        <v>-2.7E-2</v>
      </c>
      <c r="CK93">
        <v>800</v>
      </c>
      <c r="CL93">
        <v>0</v>
      </c>
      <c r="CM93">
        <v>0.01</v>
      </c>
      <c r="CN93">
        <v>0.01</v>
      </c>
      <c r="CO93">
        <v>-181.3810975609756</v>
      </c>
      <c r="CP93">
        <v>-23.804675958188081</v>
      </c>
      <c r="CQ93">
        <v>2.3482096325257529</v>
      </c>
      <c r="CR93">
        <v>-1</v>
      </c>
      <c r="CS93">
        <v>9.9709941463414644</v>
      </c>
      <c r="CT93">
        <v>1.3984174912892171</v>
      </c>
      <c r="CU93">
        <v>0.13816143687333829</v>
      </c>
      <c r="CV93">
        <v>-1</v>
      </c>
      <c r="CW93">
        <v>0</v>
      </c>
      <c r="CX93">
        <v>0</v>
      </c>
      <c r="CY93" t="s">
        <v>333</v>
      </c>
      <c r="CZ93">
        <v>2.3642599999999998</v>
      </c>
      <c r="DA93">
        <v>2.71374</v>
      </c>
      <c r="DB93">
        <v>0.121963</v>
      </c>
      <c r="DC93">
        <v>0.14565900000000001</v>
      </c>
      <c r="DD93">
        <v>0.108353</v>
      </c>
      <c r="DE93">
        <v>6.8883600000000003E-2</v>
      </c>
      <c r="DF93">
        <v>32080.9</v>
      </c>
      <c r="DG93">
        <v>27559.3</v>
      </c>
      <c r="DH93">
        <v>31190.9</v>
      </c>
      <c r="DI93">
        <v>28107.5</v>
      </c>
      <c r="DJ93">
        <v>37760.800000000003</v>
      </c>
      <c r="DK93">
        <v>37218.9</v>
      </c>
      <c r="DL93">
        <v>44391.5</v>
      </c>
      <c r="DM93">
        <v>42605.3</v>
      </c>
      <c r="DN93">
        <v>1.46563</v>
      </c>
      <c r="DO93">
        <v>2.04975</v>
      </c>
      <c r="DP93">
        <v>0.162192</v>
      </c>
      <c r="DQ93">
        <v>0.164352</v>
      </c>
      <c r="DR93">
        <v>24.285599999999999</v>
      </c>
      <c r="DS93">
        <v>24.202000000000002</v>
      </c>
      <c r="DT93">
        <v>55.4</v>
      </c>
      <c r="DU93">
        <v>28.8</v>
      </c>
      <c r="DV93">
        <v>22.328199999999999</v>
      </c>
      <c r="DW93">
        <v>61.072200000000002</v>
      </c>
      <c r="DX93">
        <v>37.147399999999998</v>
      </c>
      <c r="DY93">
        <v>1</v>
      </c>
      <c r="DZ93">
        <v>-0.10785599999999999</v>
      </c>
      <c r="EA93">
        <v>0.23617099999999999</v>
      </c>
      <c r="EB93">
        <v>20.190200000000001</v>
      </c>
      <c r="EC93">
        <v>5.2411000000000003</v>
      </c>
      <c r="ED93">
        <v>12.039899999999999</v>
      </c>
      <c r="EE93">
        <v>5.0168499999999998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1.8692</v>
      </c>
      <c r="EN93">
        <v>1.8672200000000001</v>
      </c>
      <c r="EO93">
        <v>1.8633599999999999</v>
      </c>
      <c r="EP93">
        <v>1.8644700000000001</v>
      </c>
      <c r="EQ93">
        <v>1.87015</v>
      </c>
      <c r="ER93">
        <v>1.8694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0.27200000000000002</v>
      </c>
      <c r="FG93">
        <v>0.19839999999999999</v>
      </c>
      <c r="FH93">
        <v>0.69281559908863044</v>
      </c>
      <c r="FI93">
        <v>-6.1462078757559423E-4</v>
      </c>
      <c r="FJ93">
        <v>-1.8861989874597051E-7</v>
      </c>
      <c r="FK93">
        <v>1.1980462299894961E-10</v>
      </c>
      <c r="FL93">
        <v>0.19840465858211129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23.5</v>
      </c>
      <c r="FU93">
        <v>23.5</v>
      </c>
      <c r="FV93">
        <v>1.78345</v>
      </c>
      <c r="FW93">
        <v>2.5878899999999998</v>
      </c>
      <c r="FX93">
        <v>1.5490699999999999</v>
      </c>
      <c r="FY93">
        <v>2.3315399999999999</v>
      </c>
      <c r="FZ93">
        <v>1.50146</v>
      </c>
      <c r="GA93">
        <v>2.2936999999999999</v>
      </c>
      <c r="GB93">
        <v>33.580399999999997</v>
      </c>
      <c r="GC93">
        <v>23.982399999999998</v>
      </c>
      <c r="GD93">
        <v>19</v>
      </c>
      <c r="GE93">
        <v>277.71300000000002</v>
      </c>
      <c r="GF93">
        <v>592.46</v>
      </c>
      <c r="GG93">
        <v>23.204899999999999</v>
      </c>
      <c r="GH93">
        <v>26.041599999999999</v>
      </c>
      <c r="GI93">
        <v>30</v>
      </c>
      <c r="GJ93">
        <v>26.1934</v>
      </c>
      <c r="GK93">
        <v>26.179600000000001</v>
      </c>
      <c r="GL93">
        <v>35.652200000000001</v>
      </c>
      <c r="GM93">
        <v>49.3962</v>
      </c>
      <c r="GN93">
        <v>84.726600000000005</v>
      </c>
      <c r="GO93">
        <v>23.225100000000001</v>
      </c>
      <c r="GP93">
        <v>800</v>
      </c>
      <c r="GQ93">
        <v>12.129200000000001</v>
      </c>
      <c r="GR93">
        <v>99.802800000000005</v>
      </c>
      <c r="GS93">
        <v>99.664900000000003</v>
      </c>
    </row>
    <row r="94" spans="1:201" x14ac:dyDescent="0.25">
      <c r="A94">
        <v>78</v>
      </c>
      <c r="B94">
        <v>1690389055.5999999</v>
      </c>
      <c r="C94">
        <v>797.09999990463257</v>
      </c>
      <c r="D94" t="s">
        <v>489</v>
      </c>
      <c r="E94" t="s">
        <v>490</v>
      </c>
      <c r="F94" t="s">
        <v>330</v>
      </c>
      <c r="H94">
        <v>1690389055.5999999</v>
      </c>
      <c r="I94">
        <f t="shared" si="30"/>
        <v>1.0098958347408197E-3</v>
      </c>
      <c r="J94">
        <f t="shared" si="31"/>
        <v>1.0098958347408196</v>
      </c>
      <c r="K94">
        <f t="shared" si="32"/>
        <v>17.29396405131283</v>
      </c>
      <c r="L94">
        <f t="shared" si="33"/>
        <v>610.28499999999997</v>
      </c>
      <c r="M94">
        <f t="shared" si="34"/>
        <v>199.72206200746044</v>
      </c>
      <c r="N94">
        <f t="shared" si="35"/>
        <v>19.721750540825386</v>
      </c>
      <c r="O94">
        <f t="shared" si="36"/>
        <v>60.263189794014998</v>
      </c>
      <c r="P94">
        <f t="shared" si="37"/>
        <v>7.0054623766532834E-2</v>
      </c>
      <c r="Q94">
        <f t="shared" si="38"/>
        <v>2.1569900207917123</v>
      </c>
      <c r="R94">
        <f t="shared" si="39"/>
        <v>6.8814744894287058E-2</v>
      </c>
      <c r="S94">
        <f t="shared" si="40"/>
        <v>4.3118785920833666E-2</v>
      </c>
      <c r="T94">
        <f t="shared" si="41"/>
        <v>276.11406354600001</v>
      </c>
      <c r="U94">
        <f t="shared" si="42"/>
        <v>27.24127450515655</v>
      </c>
      <c r="V94">
        <f t="shared" si="43"/>
        <v>27.24127450515655</v>
      </c>
      <c r="W94">
        <f t="shared" si="44"/>
        <v>3.6301934962612461</v>
      </c>
      <c r="X94">
        <f t="shared" si="45"/>
        <v>68.183077917268804</v>
      </c>
      <c r="Y94">
        <f t="shared" si="46"/>
        <v>2.2239964374296002</v>
      </c>
      <c r="Z94">
        <f t="shared" si="47"/>
        <v>3.2618011761336554</v>
      </c>
      <c r="AA94">
        <f t="shared" si="48"/>
        <v>1.4061970588316459</v>
      </c>
      <c r="AB94">
        <f t="shared" si="49"/>
        <v>-44.536406312070149</v>
      </c>
      <c r="AC94">
        <f t="shared" si="50"/>
        <v>-210.81490869974303</v>
      </c>
      <c r="AD94">
        <f t="shared" si="51"/>
        <v>-20.952708297363682</v>
      </c>
      <c r="AE94">
        <f t="shared" si="52"/>
        <v>-0.18995976317683017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52404.472941298627</v>
      </c>
      <c r="AK94">
        <f t="shared" si="56"/>
        <v>1800</v>
      </c>
      <c r="AL94">
        <f t="shared" si="57"/>
        <v>1499.1151895999999</v>
      </c>
      <c r="AM94">
        <f t="shared" si="58"/>
        <v>0.83284177199999998</v>
      </c>
      <c r="AN94">
        <f t="shared" si="59"/>
        <v>0.15339670196999999</v>
      </c>
      <c r="AO94">
        <v>31.8</v>
      </c>
      <c r="AP94">
        <v>0.5</v>
      </c>
      <c r="AQ94" t="s">
        <v>331</v>
      </c>
      <c r="AR94">
        <v>2</v>
      </c>
      <c r="AS94">
        <v>1690389055.5999999</v>
      </c>
      <c r="AT94">
        <v>610.28499999999997</v>
      </c>
      <c r="AU94">
        <v>800.06700000000001</v>
      </c>
      <c r="AV94">
        <v>22.522400000000001</v>
      </c>
      <c r="AW94">
        <v>12.0623</v>
      </c>
      <c r="AX94">
        <v>610.01</v>
      </c>
      <c r="AY94">
        <v>22.324000000000002</v>
      </c>
      <c r="AZ94">
        <v>300.10599999999999</v>
      </c>
      <c r="BA94">
        <v>98.646000000000001</v>
      </c>
      <c r="BB94">
        <v>9.9978999999999998E-2</v>
      </c>
      <c r="BC94">
        <v>25.4284</v>
      </c>
      <c r="BD94">
        <v>26.915299999999998</v>
      </c>
      <c r="BE94">
        <v>26.908300000000001</v>
      </c>
      <c r="BF94">
        <v>0</v>
      </c>
      <c r="BG94">
        <v>0</v>
      </c>
      <c r="BH94">
        <v>9993.75</v>
      </c>
      <c r="BI94">
        <v>1058.6500000000001</v>
      </c>
      <c r="BJ94">
        <v>1.41567</v>
      </c>
      <c r="BK94">
        <v>-189.78200000000001</v>
      </c>
      <c r="BL94">
        <v>624.346</v>
      </c>
      <c r="BM94">
        <v>809.83500000000004</v>
      </c>
      <c r="BN94">
        <v>10.460100000000001</v>
      </c>
      <c r="BO94">
        <v>800.06700000000001</v>
      </c>
      <c r="BP94">
        <v>12.0623</v>
      </c>
      <c r="BQ94">
        <v>2.2217500000000001</v>
      </c>
      <c r="BR94">
        <v>1.1899</v>
      </c>
      <c r="BS94">
        <v>19.12</v>
      </c>
      <c r="BT94">
        <v>9.4757700000000007</v>
      </c>
      <c r="BU94">
        <v>1800</v>
      </c>
      <c r="BV94">
        <v>0.91002700000000003</v>
      </c>
      <c r="BW94">
        <v>3.3993599999999999E-2</v>
      </c>
      <c r="BX94">
        <v>2.1993100000000002E-2</v>
      </c>
      <c r="BY94">
        <v>3.3986099999999998E-2</v>
      </c>
      <c r="BZ94">
        <v>25</v>
      </c>
      <c r="CA94">
        <v>33528.5</v>
      </c>
      <c r="CB94">
        <v>1690387638</v>
      </c>
      <c r="CC94" t="s">
        <v>332</v>
      </c>
      <c r="CD94">
        <v>1690387638</v>
      </c>
      <c r="CE94">
        <v>1690387638</v>
      </c>
      <c r="CF94">
        <v>6</v>
      </c>
      <c r="CG94">
        <v>0.43</v>
      </c>
      <c r="CH94">
        <v>-8.1000000000000003E-2</v>
      </c>
      <c r="CI94">
        <v>0.14199999999999999</v>
      </c>
      <c r="CJ94">
        <v>-2.7E-2</v>
      </c>
      <c r="CK94">
        <v>800</v>
      </c>
      <c r="CL94">
        <v>0</v>
      </c>
      <c r="CM94">
        <v>0.01</v>
      </c>
      <c r="CN94">
        <v>0.01</v>
      </c>
      <c r="CO94">
        <v>-185.69335000000001</v>
      </c>
      <c r="CP94">
        <v>-23.813988742964121</v>
      </c>
      <c r="CQ94">
        <v>2.2921535239813222</v>
      </c>
      <c r="CR94">
        <v>-1</v>
      </c>
      <c r="CS94">
        <v>10.223250500000001</v>
      </c>
      <c r="CT94">
        <v>1.4253721575984739</v>
      </c>
      <c r="CU94">
        <v>0.13740149702514159</v>
      </c>
      <c r="CV94">
        <v>-1</v>
      </c>
      <c r="CW94">
        <v>0</v>
      </c>
      <c r="CX94">
        <v>0</v>
      </c>
      <c r="CY94" t="s">
        <v>333</v>
      </c>
      <c r="CZ94">
        <v>2.3645800000000001</v>
      </c>
      <c r="DA94">
        <v>2.7137600000000002</v>
      </c>
      <c r="DB94">
        <v>0.12139999999999999</v>
      </c>
      <c r="DC94">
        <v>0.145648</v>
      </c>
      <c r="DD94">
        <v>0.108427</v>
      </c>
      <c r="DE94">
        <v>6.7955600000000005E-2</v>
      </c>
      <c r="DF94">
        <v>32101.5</v>
      </c>
      <c r="DG94">
        <v>27559.8</v>
      </c>
      <c r="DH94">
        <v>31191</v>
      </c>
      <c r="DI94">
        <v>28107.599999999999</v>
      </c>
      <c r="DJ94">
        <v>37757.699999999997</v>
      </c>
      <c r="DK94">
        <v>37256.199999999997</v>
      </c>
      <c r="DL94">
        <v>44391.8</v>
      </c>
      <c r="DM94">
        <v>42605.5</v>
      </c>
      <c r="DN94">
        <v>1.4661</v>
      </c>
      <c r="DO94">
        <v>2.0489000000000002</v>
      </c>
      <c r="DP94">
        <v>0.16023999999999999</v>
      </c>
      <c r="DQ94">
        <v>0.16478400000000001</v>
      </c>
      <c r="DR94">
        <v>24.288699999999999</v>
      </c>
      <c r="DS94">
        <v>24.207100000000001</v>
      </c>
      <c r="DT94">
        <v>55.3</v>
      </c>
      <c r="DU94">
        <v>28.8</v>
      </c>
      <c r="DV94">
        <v>22.286899999999999</v>
      </c>
      <c r="DW94">
        <v>61.092199999999998</v>
      </c>
      <c r="DX94">
        <v>37.031199999999998</v>
      </c>
      <c r="DY94">
        <v>1</v>
      </c>
      <c r="DZ94">
        <v>-0.10835400000000001</v>
      </c>
      <c r="EA94">
        <v>0.15754599999999999</v>
      </c>
      <c r="EB94">
        <v>20.190000000000001</v>
      </c>
      <c r="EC94">
        <v>5.2411000000000003</v>
      </c>
      <c r="ED94">
        <v>12.039899999999999</v>
      </c>
      <c r="EE94">
        <v>5.01675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1.8692</v>
      </c>
      <c r="EN94">
        <v>1.8672299999999999</v>
      </c>
      <c r="EO94">
        <v>1.86337</v>
      </c>
      <c r="EP94">
        <v>1.86446</v>
      </c>
      <c r="EQ94">
        <v>1.87015</v>
      </c>
      <c r="ER94">
        <v>1.86937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0.27500000000000002</v>
      </c>
      <c r="FG94">
        <v>0.19839999999999999</v>
      </c>
      <c r="FH94">
        <v>0.69281559908863044</v>
      </c>
      <c r="FI94">
        <v>-6.1462078757559423E-4</v>
      </c>
      <c r="FJ94">
        <v>-1.8861989874597051E-7</v>
      </c>
      <c r="FK94">
        <v>1.1980462299894961E-10</v>
      </c>
      <c r="FL94">
        <v>0.19840465858211129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23.6</v>
      </c>
      <c r="FU94">
        <v>23.6</v>
      </c>
      <c r="FV94">
        <v>1.78345</v>
      </c>
      <c r="FW94">
        <v>2.5842299999999998</v>
      </c>
      <c r="FX94">
        <v>1.5490699999999999</v>
      </c>
      <c r="FY94">
        <v>2.3315399999999999</v>
      </c>
      <c r="FZ94">
        <v>1.50146</v>
      </c>
      <c r="GA94">
        <v>2.34619</v>
      </c>
      <c r="GB94">
        <v>33.580399999999997</v>
      </c>
      <c r="GC94">
        <v>23.982399999999998</v>
      </c>
      <c r="GD94">
        <v>19</v>
      </c>
      <c r="GE94">
        <v>277.89600000000002</v>
      </c>
      <c r="GF94">
        <v>591.71600000000001</v>
      </c>
      <c r="GG94">
        <v>23.274899999999999</v>
      </c>
      <c r="GH94">
        <v>26.0367</v>
      </c>
      <c r="GI94">
        <v>29.999700000000001</v>
      </c>
      <c r="GJ94">
        <v>26.189399999999999</v>
      </c>
      <c r="GK94">
        <v>26.1767</v>
      </c>
      <c r="GL94">
        <v>35.648600000000002</v>
      </c>
      <c r="GM94">
        <v>49.9527</v>
      </c>
      <c r="GN94">
        <v>83.953900000000004</v>
      </c>
      <c r="GO94">
        <v>23.324400000000001</v>
      </c>
      <c r="GP94">
        <v>800</v>
      </c>
      <c r="GQ94">
        <v>11.9938</v>
      </c>
      <c r="GR94">
        <v>99.803200000000004</v>
      </c>
      <c r="GS94">
        <v>99.665300000000002</v>
      </c>
    </row>
    <row r="95" spans="1:201" x14ac:dyDescent="0.25">
      <c r="A95">
        <v>79</v>
      </c>
      <c r="B95">
        <v>1690389065.5999999</v>
      </c>
      <c r="C95">
        <v>807.09999990463257</v>
      </c>
      <c r="D95" t="s">
        <v>491</v>
      </c>
      <c r="E95" t="s">
        <v>492</v>
      </c>
      <c r="F95" t="s">
        <v>330</v>
      </c>
      <c r="H95">
        <v>1690389065.5999999</v>
      </c>
      <c r="I95">
        <f t="shared" si="30"/>
        <v>1.0272941767759099E-3</v>
      </c>
      <c r="J95">
        <f t="shared" si="31"/>
        <v>1.0272941767759098</v>
      </c>
      <c r="K95">
        <f t="shared" si="32"/>
        <v>17.670334632580772</v>
      </c>
      <c r="L95">
        <f t="shared" si="33"/>
        <v>606.26300000000003</v>
      </c>
      <c r="M95">
        <f t="shared" si="34"/>
        <v>193.95543516206382</v>
      </c>
      <c r="N95">
        <f t="shared" si="35"/>
        <v>19.152277180932956</v>
      </c>
      <c r="O95">
        <f t="shared" si="36"/>
        <v>59.865901725527102</v>
      </c>
      <c r="P95">
        <f t="shared" si="37"/>
        <v>7.1265375029843897E-2</v>
      </c>
      <c r="Q95">
        <f t="shared" si="38"/>
        <v>2.1619922307996786</v>
      </c>
      <c r="R95">
        <f t="shared" si="39"/>
        <v>6.9985601491637864E-2</v>
      </c>
      <c r="S95">
        <f t="shared" si="40"/>
        <v>4.3854069252848391E-2</v>
      </c>
      <c r="T95">
        <f t="shared" si="41"/>
        <v>276.1140583284872</v>
      </c>
      <c r="U95">
        <f t="shared" si="42"/>
        <v>27.254723703998344</v>
      </c>
      <c r="V95">
        <f t="shared" si="43"/>
        <v>27.254723703998344</v>
      </c>
      <c r="W95">
        <f t="shared" si="44"/>
        <v>3.6330568317065604</v>
      </c>
      <c r="X95">
        <f t="shared" si="45"/>
        <v>68.16870470627309</v>
      </c>
      <c r="Y95">
        <f t="shared" si="46"/>
        <v>2.22660830599713</v>
      </c>
      <c r="Z95">
        <f t="shared" si="47"/>
        <v>3.2663203967145806</v>
      </c>
      <c r="AA95">
        <f t="shared" si="48"/>
        <v>1.4064485257094304</v>
      </c>
      <c r="AB95">
        <f t="shared" si="49"/>
        <v>-45.303673195817623</v>
      </c>
      <c r="AC95">
        <f t="shared" si="50"/>
        <v>-210.15562011445317</v>
      </c>
      <c r="AD95">
        <f t="shared" si="51"/>
        <v>-20.842691134439164</v>
      </c>
      <c r="AE95">
        <f t="shared" si="52"/>
        <v>-0.18792611622276922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52610.696867331608</v>
      </c>
      <c r="AK95">
        <f t="shared" si="56"/>
        <v>1799.99</v>
      </c>
      <c r="AL95">
        <f t="shared" si="57"/>
        <v>1499.1082309746701</v>
      </c>
      <c r="AM95">
        <f t="shared" si="58"/>
        <v>0.832842533</v>
      </c>
      <c r="AN95">
        <f t="shared" si="59"/>
        <v>0.15339755128000002</v>
      </c>
      <c r="AO95">
        <v>31.8</v>
      </c>
      <c r="AP95">
        <v>0.5</v>
      </c>
      <c r="AQ95" t="s">
        <v>331</v>
      </c>
      <c r="AR95">
        <v>2</v>
      </c>
      <c r="AS95">
        <v>1690389065.5999999</v>
      </c>
      <c r="AT95">
        <v>606.26300000000003</v>
      </c>
      <c r="AU95">
        <v>800.05600000000004</v>
      </c>
      <c r="AV95">
        <v>22.5489</v>
      </c>
      <c r="AW95">
        <v>11.9114</v>
      </c>
      <c r="AX95">
        <v>605.98599999999999</v>
      </c>
      <c r="AY95">
        <v>22.3505</v>
      </c>
      <c r="AZ95">
        <v>300.17700000000002</v>
      </c>
      <c r="BA95">
        <v>98.645899999999997</v>
      </c>
      <c r="BB95">
        <v>9.9861699999999998E-2</v>
      </c>
      <c r="BC95">
        <v>25.451699999999999</v>
      </c>
      <c r="BD95">
        <v>26.979299999999999</v>
      </c>
      <c r="BE95">
        <v>26.938500000000001</v>
      </c>
      <c r="BF95">
        <v>0</v>
      </c>
      <c r="BG95">
        <v>0</v>
      </c>
      <c r="BH95">
        <v>10035.6</v>
      </c>
      <c r="BI95">
        <v>1058.81</v>
      </c>
      <c r="BJ95">
        <v>1.4016500000000001</v>
      </c>
      <c r="BK95">
        <v>-193.792</v>
      </c>
      <c r="BL95">
        <v>620.24900000000002</v>
      </c>
      <c r="BM95">
        <v>809.7</v>
      </c>
      <c r="BN95">
        <v>10.637499999999999</v>
      </c>
      <c r="BO95">
        <v>800.05600000000004</v>
      </c>
      <c r="BP95">
        <v>11.9114</v>
      </c>
      <c r="BQ95">
        <v>2.2243599999999999</v>
      </c>
      <c r="BR95">
        <v>1.1750100000000001</v>
      </c>
      <c r="BS95">
        <v>19.1388</v>
      </c>
      <c r="BT95">
        <v>9.2886900000000008</v>
      </c>
      <c r="BU95">
        <v>1799.99</v>
      </c>
      <c r="BV95">
        <v>0.91001600000000005</v>
      </c>
      <c r="BW95">
        <v>3.3992599999999998E-2</v>
      </c>
      <c r="BX95">
        <v>2.2002899999999999E-2</v>
      </c>
      <c r="BY95">
        <v>3.3988999999999998E-2</v>
      </c>
      <c r="BZ95">
        <v>25</v>
      </c>
      <c r="CA95">
        <v>33528.300000000003</v>
      </c>
      <c r="CB95">
        <v>1690387638</v>
      </c>
      <c r="CC95" t="s">
        <v>332</v>
      </c>
      <c r="CD95">
        <v>1690387638</v>
      </c>
      <c r="CE95">
        <v>1690387638</v>
      </c>
      <c r="CF95">
        <v>6</v>
      </c>
      <c r="CG95">
        <v>0.43</v>
      </c>
      <c r="CH95">
        <v>-8.1000000000000003E-2</v>
      </c>
      <c r="CI95">
        <v>0.14199999999999999</v>
      </c>
      <c r="CJ95">
        <v>-2.7E-2</v>
      </c>
      <c r="CK95">
        <v>800</v>
      </c>
      <c r="CL95">
        <v>0</v>
      </c>
      <c r="CM95">
        <v>0.01</v>
      </c>
      <c r="CN95">
        <v>0.01</v>
      </c>
      <c r="CO95">
        <v>-189.38812195121949</v>
      </c>
      <c r="CP95">
        <v>-23.81351916376325</v>
      </c>
      <c r="CQ95">
        <v>2.348916430987285</v>
      </c>
      <c r="CR95">
        <v>-1</v>
      </c>
      <c r="CS95">
        <v>10.43884634146341</v>
      </c>
      <c r="CT95">
        <v>1.3666536585365729</v>
      </c>
      <c r="CU95">
        <v>0.13557314486492639</v>
      </c>
      <c r="CV95">
        <v>-1</v>
      </c>
      <c r="CW95">
        <v>0</v>
      </c>
      <c r="CX95">
        <v>0</v>
      </c>
      <c r="CY95" t="s">
        <v>333</v>
      </c>
      <c r="CZ95">
        <v>2.3648400000000001</v>
      </c>
      <c r="DA95">
        <v>2.7136900000000002</v>
      </c>
      <c r="DB95">
        <v>0.120838</v>
      </c>
      <c r="DC95">
        <v>0.145645</v>
      </c>
      <c r="DD95">
        <v>0.108519</v>
      </c>
      <c r="DE95">
        <v>6.7315700000000006E-2</v>
      </c>
      <c r="DF95">
        <v>32121.9</v>
      </c>
      <c r="DG95">
        <v>27560.2</v>
      </c>
      <c r="DH95">
        <v>31190.9</v>
      </c>
      <c r="DI95">
        <v>28107.9</v>
      </c>
      <c r="DJ95">
        <v>37753.5</v>
      </c>
      <c r="DK95">
        <v>37282.300000000003</v>
      </c>
      <c r="DL95">
        <v>44391.6</v>
      </c>
      <c r="DM95">
        <v>42606</v>
      </c>
      <c r="DN95">
        <v>1.4663999999999999</v>
      </c>
      <c r="DO95">
        <v>2.0489999999999999</v>
      </c>
      <c r="DP95">
        <v>0.163965</v>
      </c>
      <c r="DQ95">
        <v>0.16620799999999999</v>
      </c>
      <c r="DR95">
        <v>24.291799999999999</v>
      </c>
      <c r="DS95">
        <v>24.213999999999999</v>
      </c>
      <c r="DT95">
        <v>55.1</v>
      </c>
      <c r="DU95">
        <v>28.8</v>
      </c>
      <c r="DV95">
        <v>22.2073</v>
      </c>
      <c r="DW95">
        <v>61.022199999999998</v>
      </c>
      <c r="DX95">
        <v>36.586500000000001</v>
      </c>
      <c r="DY95">
        <v>1</v>
      </c>
      <c r="DZ95">
        <v>-0.109573</v>
      </c>
      <c r="EA95">
        <v>0.10954800000000001</v>
      </c>
      <c r="EB95">
        <v>20.1904</v>
      </c>
      <c r="EC95">
        <v>5.2411000000000003</v>
      </c>
      <c r="ED95">
        <v>12.039899999999999</v>
      </c>
      <c r="EE95">
        <v>5.0166500000000003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1.8646199999999999</v>
      </c>
      <c r="EM95">
        <v>1.8692</v>
      </c>
      <c r="EN95">
        <v>1.8672299999999999</v>
      </c>
      <c r="EO95">
        <v>1.86338</v>
      </c>
      <c r="EP95">
        <v>1.8644700000000001</v>
      </c>
      <c r="EQ95">
        <v>1.87015</v>
      </c>
      <c r="ER95">
        <v>1.86937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0.27700000000000002</v>
      </c>
      <c r="FG95">
        <v>0.19839999999999999</v>
      </c>
      <c r="FH95">
        <v>0.69281559908863044</v>
      </c>
      <c r="FI95">
        <v>-6.1462078757559423E-4</v>
      </c>
      <c r="FJ95">
        <v>-1.8861989874597051E-7</v>
      </c>
      <c r="FK95">
        <v>1.1980462299894961E-10</v>
      </c>
      <c r="FL95">
        <v>0.19840465858211129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23.8</v>
      </c>
      <c r="FU95">
        <v>23.8</v>
      </c>
      <c r="FV95">
        <v>1.78223</v>
      </c>
      <c r="FW95">
        <v>2.5805699999999998</v>
      </c>
      <c r="FX95">
        <v>1.5490699999999999</v>
      </c>
      <c r="FY95">
        <v>2.3315399999999999</v>
      </c>
      <c r="FZ95">
        <v>1.50146</v>
      </c>
      <c r="GA95">
        <v>2.3840300000000001</v>
      </c>
      <c r="GB95">
        <v>33.580399999999997</v>
      </c>
      <c r="GC95">
        <v>23.991199999999999</v>
      </c>
      <c r="GD95">
        <v>19</v>
      </c>
      <c r="GE95">
        <v>278.00400000000002</v>
      </c>
      <c r="GF95">
        <v>591.75800000000004</v>
      </c>
      <c r="GG95">
        <v>23.3887</v>
      </c>
      <c r="GH95">
        <v>26.031199999999998</v>
      </c>
      <c r="GI95">
        <v>29.999300000000002</v>
      </c>
      <c r="GJ95">
        <v>26.185199999999998</v>
      </c>
      <c r="GK95">
        <v>26.173100000000002</v>
      </c>
      <c r="GL95">
        <v>35.641199999999998</v>
      </c>
      <c r="GM95">
        <v>49.9527</v>
      </c>
      <c r="GN95">
        <v>83.582800000000006</v>
      </c>
      <c r="GO95">
        <v>23.398399999999999</v>
      </c>
      <c r="GP95">
        <v>800</v>
      </c>
      <c r="GQ95">
        <v>11.7845</v>
      </c>
      <c r="GR95">
        <v>99.802800000000005</v>
      </c>
      <c r="GS95">
        <v>99.666499999999999</v>
      </c>
    </row>
    <row r="96" spans="1:201" x14ac:dyDescent="0.25">
      <c r="A96">
        <v>80</v>
      </c>
      <c r="B96">
        <v>1690389075.5999999</v>
      </c>
      <c r="C96">
        <v>817.09999990463257</v>
      </c>
      <c r="D96" t="s">
        <v>493</v>
      </c>
      <c r="E96" t="s">
        <v>494</v>
      </c>
      <c r="F96" t="s">
        <v>330</v>
      </c>
      <c r="H96">
        <v>1690389075.5999999</v>
      </c>
      <c r="I96">
        <f t="shared" si="30"/>
        <v>1.0497811489749082E-3</v>
      </c>
      <c r="J96">
        <f t="shared" si="31"/>
        <v>1.0497811489749083</v>
      </c>
      <c r="K96">
        <f t="shared" si="32"/>
        <v>18.045562864567344</v>
      </c>
      <c r="L96">
        <f t="shared" si="33"/>
        <v>602.22799999999995</v>
      </c>
      <c r="M96">
        <f t="shared" si="34"/>
        <v>190.28715925871853</v>
      </c>
      <c r="N96">
        <f t="shared" si="35"/>
        <v>18.788591417880323</v>
      </c>
      <c r="O96">
        <f t="shared" si="36"/>
        <v>59.462844873431997</v>
      </c>
      <c r="P96">
        <f t="shared" si="37"/>
        <v>7.2856785620625669E-2</v>
      </c>
      <c r="Q96">
        <f t="shared" si="38"/>
        <v>2.1560698212753251</v>
      </c>
      <c r="R96">
        <f t="shared" si="39"/>
        <v>7.1516195495029161E-2</v>
      </c>
      <c r="S96">
        <f t="shared" si="40"/>
        <v>4.481601428151525E-2</v>
      </c>
      <c r="T96">
        <f t="shared" si="41"/>
        <v>276.11481198430016</v>
      </c>
      <c r="U96">
        <f t="shared" si="42"/>
        <v>27.270740562985967</v>
      </c>
      <c r="V96">
        <f t="shared" si="43"/>
        <v>27.270740562985967</v>
      </c>
      <c r="W96">
        <f t="shared" si="44"/>
        <v>3.6364693936501071</v>
      </c>
      <c r="X96">
        <f t="shared" si="45"/>
        <v>68.199128700678614</v>
      </c>
      <c r="Y96">
        <f t="shared" si="46"/>
        <v>2.2301578339404</v>
      </c>
      <c r="Z96">
        <f t="shared" si="47"/>
        <v>3.2700679267156225</v>
      </c>
      <c r="AA96">
        <f t="shared" si="48"/>
        <v>1.4063115597097071</v>
      </c>
      <c r="AB96">
        <f t="shared" si="49"/>
        <v>-46.295348669793455</v>
      </c>
      <c r="AC96">
        <f t="shared" si="50"/>
        <v>-209.19830871924162</v>
      </c>
      <c r="AD96">
        <f t="shared" si="51"/>
        <v>-20.808419739120005</v>
      </c>
      <c r="AE96">
        <f t="shared" si="52"/>
        <v>-0.18726514385494397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52358.190963087211</v>
      </c>
      <c r="AK96">
        <f t="shared" si="56"/>
        <v>1799.99</v>
      </c>
      <c r="AL96">
        <f t="shared" si="57"/>
        <v>1499.1063859849201</v>
      </c>
      <c r="AM96">
        <f t="shared" si="58"/>
        <v>0.83284150800000001</v>
      </c>
      <c r="AN96">
        <f t="shared" si="59"/>
        <v>0.15339796997999999</v>
      </c>
      <c r="AO96">
        <v>31.8</v>
      </c>
      <c r="AP96">
        <v>0.5</v>
      </c>
      <c r="AQ96" t="s">
        <v>331</v>
      </c>
      <c r="AR96">
        <v>2</v>
      </c>
      <c r="AS96">
        <v>1690389075.5999999</v>
      </c>
      <c r="AT96">
        <v>602.22799999999995</v>
      </c>
      <c r="AU96">
        <v>800.03499999999997</v>
      </c>
      <c r="AV96">
        <v>22.586600000000001</v>
      </c>
      <c r="AW96">
        <v>11.72</v>
      </c>
      <c r="AX96">
        <v>601.947</v>
      </c>
      <c r="AY96">
        <v>22.388100000000001</v>
      </c>
      <c r="AZ96">
        <v>300.26900000000001</v>
      </c>
      <c r="BA96">
        <v>98.638000000000005</v>
      </c>
      <c r="BB96">
        <v>0.100094</v>
      </c>
      <c r="BC96">
        <v>25.471</v>
      </c>
      <c r="BD96">
        <v>26.971800000000002</v>
      </c>
      <c r="BE96">
        <v>26.936399999999999</v>
      </c>
      <c r="BF96">
        <v>0</v>
      </c>
      <c r="BG96">
        <v>0</v>
      </c>
      <c r="BH96">
        <v>9986.8799999999992</v>
      </c>
      <c r="BI96">
        <v>1058.95</v>
      </c>
      <c r="BJ96">
        <v>1.4016500000000001</v>
      </c>
      <c r="BK96">
        <v>-197.80699999999999</v>
      </c>
      <c r="BL96">
        <v>616.14400000000001</v>
      </c>
      <c r="BM96">
        <v>809.52300000000002</v>
      </c>
      <c r="BN96">
        <v>10.8665</v>
      </c>
      <c r="BO96">
        <v>800.03499999999997</v>
      </c>
      <c r="BP96">
        <v>11.72</v>
      </c>
      <c r="BQ96">
        <v>2.2278899999999999</v>
      </c>
      <c r="BR96">
        <v>1.15604</v>
      </c>
      <c r="BS96">
        <v>19.164300000000001</v>
      </c>
      <c r="BT96">
        <v>9.0471900000000005</v>
      </c>
      <c r="BU96">
        <v>1799.99</v>
      </c>
      <c r="BV96">
        <v>0.90999799999999997</v>
      </c>
      <c r="BW96">
        <v>3.3991500000000001E-2</v>
      </c>
      <c r="BX96">
        <v>2.20074E-2</v>
      </c>
      <c r="BY96">
        <v>3.4003600000000002E-2</v>
      </c>
      <c r="BZ96">
        <v>25</v>
      </c>
      <c r="CA96">
        <v>33528.199999999997</v>
      </c>
      <c r="CB96">
        <v>1690387638</v>
      </c>
      <c r="CC96" t="s">
        <v>332</v>
      </c>
      <c r="CD96">
        <v>1690387638</v>
      </c>
      <c r="CE96">
        <v>1690387638</v>
      </c>
      <c r="CF96">
        <v>6</v>
      </c>
      <c r="CG96">
        <v>0.43</v>
      </c>
      <c r="CH96">
        <v>-8.1000000000000003E-2</v>
      </c>
      <c r="CI96">
        <v>0.14199999999999999</v>
      </c>
      <c r="CJ96">
        <v>-2.7E-2</v>
      </c>
      <c r="CK96">
        <v>800</v>
      </c>
      <c r="CL96">
        <v>0</v>
      </c>
      <c r="CM96">
        <v>0.01</v>
      </c>
      <c r="CN96">
        <v>0.01</v>
      </c>
      <c r="CO96">
        <v>-193.40790243902441</v>
      </c>
      <c r="CP96">
        <v>-24.190933797909711</v>
      </c>
      <c r="CQ96">
        <v>2.3856951106990971</v>
      </c>
      <c r="CR96">
        <v>-1</v>
      </c>
      <c r="CS96">
        <v>10.62800975609756</v>
      </c>
      <c r="CT96">
        <v>0.97163623693379364</v>
      </c>
      <c r="CU96">
        <v>9.8213152476909732E-2</v>
      </c>
      <c r="CV96">
        <v>-1</v>
      </c>
      <c r="CW96">
        <v>0</v>
      </c>
      <c r="CX96">
        <v>0</v>
      </c>
      <c r="CY96" t="s">
        <v>333</v>
      </c>
      <c r="CZ96">
        <v>2.3651300000000002</v>
      </c>
      <c r="DA96">
        <v>2.71387</v>
      </c>
      <c r="DB96">
        <v>0.12026299999999999</v>
      </c>
      <c r="DC96">
        <v>0.14562800000000001</v>
      </c>
      <c r="DD96">
        <v>0.10864</v>
      </c>
      <c r="DE96">
        <v>6.6493899999999995E-2</v>
      </c>
      <c r="DF96">
        <v>32143.4</v>
      </c>
      <c r="DG96">
        <v>27561.3</v>
      </c>
      <c r="DH96">
        <v>31191.4</v>
      </c>
      <c r="DI96">
        <v>28108.5</v>
      </c>
      <c r="DJ96">
        <v>37748.800000000003</v>
      </c>
      <c r="DK96">
        <v>37316</v>
      </c>
      <c r="DL96">
        <v>44392.2</v>
      </c>
      <c r="DM96">
        <v>42606.9</v>
      </c>
      <c r="DN96">
        <v>1.46658</v>
      </c>
      <c r="DO96">
        <v>2.0487000000000002</v>
      </c>
      <c r="DP96">
        <v>0.16316800000000001</v>
      </c>
      <c r="DQ96">
        <v>0.16558200000000001</v>
      </c>
      <c r="DR96">
        <v>24.2974</v>
      </c>
      <c r="DS96">
        <v>24.222100000000001</v>
      </c>
      <c r="DT96">
        <v>55</v>
      </c>
      <c r="DU96">
        <v>28.8</v>
      </c>
      <c r="DV96">
        <v>22.168099999999999</v>
      </c>
      <c r="DW96">
        <v>61.042200000000001</v>
      </c>
      <c r="DX96">
        <v>36.1098</v>
      </c>
      <c r="DY96">
        <v>1</v>
      </c>
      <c r="DZ96">
        <v>-0.109263</v>
      </c>
      <c r="EA96">
        <v>0.220248</v>
      </c>
      <c r="EB96">
        <v>20.190300000000001</v>
      </c>
      <c r="EC96">
        <v>5.24125</v>
      </c>
      <c r="ED96">
        <v>12.039899999999999</v>
      </c>
      <c r="EE96">
        <v>5.0168499999999998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1.8692</v>
      </c>
      <c r="EN96">
        <v>1.8672299999999999</v>
      </c>
      <c r="EO96">
        <v>1.86338</v>
      </c>
      <c r="EP96">
        <v>1.86446</v>
      </c>
      <c r="EQ96">
        <v>1.8701399999999999</v>
      </c>
      <c r="ER96">
        <v>1.8693599999999999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0.28100000000000003</v>
      </c>
      <c r="FG96">
        <v>0.19850000000000001</v>
      </c>
      <c r="FH96">
        <v>0.69281559908863044</v>
      </c>
      <c r="FI96">
        <v>-6.1462078757559423E-4</v>
      </c>
      <c r="FJ96">
        <v>-1.8861989874597051E-7</v>
      </c>
      <c r="FK96">
        <v>1.1980462299894961E-10</v>
      </c>
      <c r="FL96">
        <v>0.19840465858211129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24</v>
      </c>
      <c r="FU96">
        <v>24</v>
      </c>
      <c r="FV96">
        <v>1.78223</v>
      </c>
      <c r="FW96">
        <v>2.5781200000000002</v>
      </c>
      <c r="FX96">
        <v>1.5490699999999999</v>
      </c>
      <c r="FY96">
        <v>2.3315399999999999</v>
      </c>
      <c r="FZ96">
        <v>1.50146</v>
      </c>
      <c r="GA96">
        <v>2.3974600000000001</v>
      </c>
      <c r="GB96">
        <v>33.580399999999997</v>
      </c>
      <c r="GC96">
        <v>23.991199999999999</v>
      </c>
      <c r="GD96">
        <v>19</v>
      </c>
      <c r="GE96">
        <v>278.06400000000002</v>
      </c>
      <c r="GF96">
        <v>591.47</v>
      </c>
      <c r="GG96">
        <v>23.430599999999998</v>
      </c>
      <c r="GH96">
        <v>26.026199999999999</v>
      </c>
      <c r="GI96">
        <v>30</v>
      </c>
      <c r="GJ96">
        <v>26.181899999999999</v>
      </c>
      <c r="GK96">
        <v>26.169799999999999</v>
      </c>
      <c r="GL96">
        <v>35.637</v>
      </c>
      <c r="GM96">
        <v>50.825600000000001</v>
      </c>
      <c r="GN96">
        <v>82.8108</v>
      </c>
      <c r="GO96">
        <v>23.429099999999998</v>
      </c>
      <c r="GP96">
        <v>800</v>
      </c>
      <c r="GQ96">
        <v>11.562099999999999</v>
      </c>
      <c r="GR96">
        <v>99.804199999999994</v>
      </c>
      <c r="GS96">
        <v>99.668499999999995</v>
      </c>
    </row>
    <row r="97" spans="1:201" x14ac:dyDescent="0.25">
      <c r="A97">
        <v>81</v>
      </c>
      <c r="B97">
        <v>1690389085.5999999</v>
      </c>
      <c r="C97">
        <v>827.09999990463257</v>
      </c>
      <c r="D97" t="s">
        <v>495</v>
      </c>
      <c r="E97" t="s">
        <v>496</v>
      </c>
      <c r="F97" t="s">
        <v>330</v>
      </c>
      <c r="H97">
        <v>1690389085.5999999</v>
      </c>
      <c r="I97">
        <f t="shared" si="30"/>
        <v>1.074147375128369E-3</v>
      </c>
      <c r="J97">
        <f t="shared" si="31"/>
        <v>1.074147375128369</v>
      </c>
      <c r="K97">
        <f t="shared" si="32"/>
        <v>18.418303714634167</v>
      </c>
      <c r="L97">
        <f t="shared" si="33"/>
        <v>598.22699999999998</v>
      </c>
      <c r="M97">
        <f t="shared" si="34"/>
        <v>188.15077942505766</v>
      </c>
      <c r="N97">
        <f t="shared" si="35"/>
        <v>18.57759000228878</v>
      </c>
      <c r="O97">
        <f t="shared" si="36"/>
        <v>59.067605078542201</v>
      </c>
      <c r="P97">
        <f t="shared" si="37"/>
        <v>7.4719748122117929E-2</v>
      </c>
      <c r="Q97">
        <f t="shared" si="38"/>
        <v>2.1584646639507725</v>
      </c>
      <c r="R97">
        <f t="shared" si="39"/>
        <v>7.331196975756997E-2</v>
      </c>
      <c r="S97">
        <f t="shared" si="40"/>
        <v>4.5944255197322148E-2</v>
      </c>
      <c r="T97">
        <f t="shared" si="41"/>
        <v>276.11512561455783</v>
      </c>
      <c r="U97">
        <f t="shared" si="42"/>
        <v>27.270602468506272</v>
      </c>
      <c r="V97">
        <f t="shared" si="43"/>
        <v>27.270602468506272</v>
      </c>
      <c r="W97">
        <f t="shared" si="44"/>
        <v>3.6364399592018826</v>
      </c>
      <c r="X97">
        <f t="shared" si="45"/>
        <v>68.237669004609529</v>
      </c>
      <c r="Y97">
        <f t="shared" si="46"/>
        <v>2.2327573874817999</v>
      </c>
      <c r="Z97">
        <f t="shared" si="47"/>
        <v>3.2720305661832829</v>
      </c>
      <c r="AA97">
        <f t="shared" si="48"/>
        <v>1.4036825717200827</v>
      </c>
      <c r="AB97">
        <f t="shared" si="49"/>
        <v>-47.369899243161072</v>
      </c>
      <c r="AC97">
        <f t="shared" si="50"/>
        <v>-208.23929674316668</v>
      </c>
      <c r="AD97">
        <f t="shared" si="51"/>
        <v>-20.691078535768426</v>
      </c>
      <c r="AE97">
        <f t="shared" si="52"/>
        <v>-0.18514890753834834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52456.982111018173</v>
      </c>
      <c r="AK97">
        <f t="shared" si="56"/>
        <v>1799.99</v>
      </c>
      <c r="AL97">
        <f t="shared" si="57"/>
        <v>1499.1051871915802</v>
      </c>
      <c r="AM97">
        <f t="shared" si="58"/>
        <v>0.83284084200000008</v>
      </c>
      <c r="AN97">
        <f t="shared" si="59"/>
        <v>0.15339814422</v>
      </c>
      <c r="AO97">
        <v>31.8</v>
      </c>
      <c r="AP97">
        <v>0.5</v>
      </c>
      <c r="AQ97" t="s">
        <v>331</v>
      </c>
      <c r="AR97">
        <v>2</v>
      </c>
      <c r="AS97">
        <v>1690389085.5999999</v>
      </c>
      <c r="AT97">
        <v>598.22699999999998</v>
      </c>
      <c r="AU97">
        <v>800.16</v>
      </c>
      <c r="AV97">
        <v>22.613</v>
      </c>
      <c r="AW97">
        <v>11.4907</v>
      </c>
      <c r="AX97">
        <v>597.94299999999998</v>
      </c>
      <c r="AY97">
        <v>22.4146</v>
      </c>
      <c r="AZ97">
        <v>300.16699999999997</v>
      </c>
      <c r="BA97">
        <v>98.637799999999999</v>
      </c>
      <c r="BB97">
        <v>9.9978600000000001E-2</v>
      </c>
      <c r="BC97">
        <v>25.481100000000001</v>
      </c>
      <c r="BD97">
        <v>26.983599999999999</v>
      </c>
      <c r="BE97">
        <v>26.9712</v>
      </c>
      <c r="BF97">
        <v>0</v>
      </c>
      <c r="BG97">
        <v>0</v>
      </c>
      <c r="BH97">
        <v>10006.9</v>
      </c>
      <c r="BI97">
        <v>1059.2</v>
      </c>
      <c r="BJ97">
        <v>1.4016500000000001</v>
      </c>
      <c r="BK97">
        <v>-201.93299999999999</v>
      </c>
      <c r="BL97">
        <v>612.06700000000001</v>
      </c>
      <c r="BM97">
        <v>809.46100000000001</v>
      </c>
      <c r="BN97">
        <v>11.122299999999999</v>
      </c>
      <c r="BO97">
        <v>800.16</v>
      </c>
      <c r="BP97">
        <v>11.4907</v>
      </c>
      <c r="BQ97">
        <v>2.2305000000000001</v>
      </c>
      <c r="BR97">
        <v>1.1334200000000001</v>
      </c>
      <c r="BS97">
        <v>19.1831</v>
      </c>
      <c r="BT97">
        <v>8.7546199999999992</v>
      </c>
      <c r="BU97">
        <v>1799.99</v>
      </c>
      <c r="BV97">
        <v>0.90998900000000005</v>
      </c>
      <c r="BW97">
        <v>3.3990899999999998E-2</v>
      </c>
      <c r="BX97">
        <v>2.2009600000000001E-2</v>
      </c>
      <c r="BY97">
        <v>3.4010800000000001E-2</v>
      </c>
      <c r="BZ97">
        <v>25</v>
      </c>
      <c r="CA97">
        <v>33528.199999999997</v>
      </c>
      <c r="CB97">
        <v>1690387638</v>
      </c>
      <c r="CC97" t="s">
        <v>332</v>
      </c>
      <c r="CD97">
        <v>1690387638</v>
      </c>
      <c r="CE97">
        <v>1690387638</v>
      </c>
      <c r="CF97">
        <v>6</v>
      </c>
      <c r="CG97">
        <v>0.43</v>
      </c>
      <c r="CH97">
        <v>-8.1000000000000003E-2</v>
      </c>
      <c r="CI97">
        <v>0.14199999999999999</v>
      </c>
      <c r="CJ97">
        <v>-2.7E-2</v>
      </c>
      <c r="CK97">
        <v>800</v>
      </c>
      <c r="CL97">
        <v>0</v>
      </c>
      <c r="CM97">
        <v>0.01</v>
      </c>
      <c r="CN97">
        <v>0.01</v>
      </c>
      <c r="CO97">
        <v>-197.33484999999999</v>
      </c>
      <c r="CP97">
        <v>-24.15903939962449</v>
      </c>
      <c r="CQ97">
        <v>2.3243037511263429</v>
      </c>
      <c r="CR97">
        <v>-1</v>
      </c>
      <c r="CS97">
        <v>10.8251375</v>
      </c>
      <c r="CT97">
        <v>1.4918442776735259</v>
      </c>
      <c r="CU97">
        <v>0.14454576556838319</v>
      </c>
      <c r="CV97">
        <v>-1</v>
      </c>
      <c r="CW97">
        <v>0</v>
      </c>
      <c r="CX97">
        <v>0</v>
      </c>
      <c r="CY97" t="s">
        <v>333</v>
      </c>
      <c r="CZ97">
        <v>2.3648199999999999</v>
      </c>
      <c r="DA97">
        <v>2.7137799999999999</v>
      </c>
      <c r="DB97">
        <v>0.119701</v>
      </c>
      <c r="DC97">
        <v>0.14563999999999999</v>
      </c>
      <c r="DD97">
        <v>0.108732</v>
      </c>
      <c r="DE97">
        <v>6.5508899999999995E-2</v>
      </c>
      <c r="DF97">
        <v>32163.9</v>
      </c>
      <c r="DG97">
        <v>27561</v>
      </c>
      <c r="DH97">
        <v>31191.3</v>
      </c>
      <c r="DI97">
        <v>28108.6</v>
      </c>
      <c r="DJ97">
        <v>37744.6</v>
      </c>
      <c r="DK97">
        <v>37355.800000000003</v>
      </c>
      <c r="DL97">
        <v>44391.9</v>
      </c>
      <c r="DM97">
        <v>42607.199999999997</v>
      </c>
      <c r="DN97">
        <v>1.46652</v>
      </c>
      <c r="DO97">
        <v>2.0485699999999998</v>
      </c>
      <c r="DP97">
        <v>0.163577</v>
      </c>
      <c r="DQ97">
        <v>0.16719800000000001</v>
      </c>
      <c r="DR97">
        <v>24.302499999999998</v>
      </c>
      <c r="DS97">
        <v>24.230499999999999</v>
      </c>
      <c r="DT97">
        <v>54.9</v>
      </c>
      <c r="DU97">
        <v>28.8</v>
      </c>
      <c r="DV97">
        <v>22.124600000000001</v>
      </c>
      <c r="DW97">
        <v>61.062199999999997</v>
      </c>
      <c r="DX97">
        <v>36.057699999999997</v>
      </c>
      <c r="DY97">
        <v>1</v>
      </c>
      <c r="DZ97">
        <v>-0.109362</v>
      </c>
      <c r="EA97">
        <v>0.25355100000000003</v>
      </c>
      <c r="EB97">
        <v>20.1904</v>
      </c>
      <c r="EC97">
        <v>5.2409499999999998</v>
      </c>
      <c r="ED97">
        <v>12.039899999999999</v>
      </c>
      <c r="EE97">
        <v>5.0167000000000002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1.8689100000000001</v>
      </c>
      <c r="EL97">
        <v>1.8646199999999999</v>
      </c>
      <c r="EM97">
        <v>1.8692</v>
      </c>
      <c r="EN97">
        <v>1.8672299999999999</v>
      </c>
      <c r="EO97">
        <v>1.8633599999999999</v>
      </c>
      <c r="EP97">
        <v>1.8644700000000001</v>
      </c>
      <c r="EQ97">
        <v>1.8701399999999999</v>
      </c>
      <c r="ER97">
        <v>1.86937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0.28399999999999997</v>
      </c>
      <c r="FG97">
        <v>0.19839999999999999</v>
      </c>
      <c r="FH97">
        <v>0.69281559908863044</v>
      </c>
      <c r="FI97">
        <v>-6.1462078757559423E-4</v>
      </c>
      <c r="FJ97">
        <v>-1.8861989874597051E-7</v>
      </c>
      <c r="FK97">
        <v>1.1980462299894961E-10</v>
      </c>
      <c r="FL97">
        <v>0.19840465858211129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24.1</v>
      </c>
      <c r="FU97">
        <v>24.1</v>
      </c>
      <c r="FV97">
        <v>1.78223</v>
      </c>
      <c r="FW97">
        <v>2.5817899999999998</v>
      </c>
      <c r="FX97">
        <v>1.5490699999999999</v>
      </c>
      <c r="FY97">
        <v>2.3315399999999999</v>
      </c>
      <c r="FZ97">
        <v>1.50146</v>
      </c>
      <c r="GA97">
        <v>2.3901400000000002</v>
      </c>
      <c r="GB97">
        <v>33.558</v>
      </c>
      <c r="GC97">
        <v>23.991199999999999</v>
      </c>
      <c r="GD97">
        <v>19</v>
      </c>
      <c r="GE97">
        <v>278.02699999999999</v>
      </c>
      <c r="GF97">
        <v>591.322</v>
      </c>
      <c r="GG97">
        <v>23.448599999999999</v>
      </c>
      <c r="GH97">
        <v>26.021799999999999</v>
      </c>
      <c r="GI97">
        <v>29.9999</v>
      </c>
      <c r="GJ97">
        <v>26.1785</v>
      </c>
      <c r="GK97">
        <v>26.166</v>
      </c>
      <c r="GL97">
        <v>35.628999999999998</v>
      </c>
      <c r="GM97">
        <v>51.394300000000001</v>
      </c>
      <c r="GN97">
        <v>82.0595</v>
      </c>
      <c r="GO97">
        <v>23.442799999999998</v>
      </c>
      <c r="GP97">
        <v>800</v>
      </c>
      <c r="GQ97">
        <v>11.3407</v>
      </c>
      <c r="GR97">
        <v>99.803799999999995</v>
      </c>
      <c r="GS97">
        <v>99.668999999999997</v>
      </c>
    </row>
    <row r="98" spans="1:201" x14ac:dyDescent="0.25">
      <c r="A98">
        <v>82</v>
      </c>
      <c r="B98">
        <v>1690389095.5999999</v>
      </c>
      <c r="C98">
        <v>837.09999990463257</v>
      </c>
      <c r="D98" t="s">
        <v>497</v>
      </c>
      <c r="E98" t="s">
        <v>498</v>
      </c>
      <c r="F98" t="s">
        <v>330</v>
      </c>
      <c r="H98">
        <v>1690389095.5999999</v>
      </c>
      <c r="I98">
        <f t="shared" si="30"/>
        <v>1.0957540095414497E-3</v>
      </c>
      <c r="J98">
        <f t="shared" si="31"/>
        <v>1.0957540095414497</v>
      </c>
      <c r="K98">
        <f t="shared" si="32"/>
        <v>18.777801488956559</v>
      </c>
      <c r="L98">
        <f t="shared" si="33"/>
        <v>594.26</v>
      </c>
      <c r="M98">
        <f t="shared" si="34"/>
        <v>184.9601435331235</v>
      </c>
      <c r="N98">
        <f t="shared" si="35"/>
        <v>18.263004616331692</v>
      </c>
      <c r="O98">
        <f t="shared" si="36"/>
        <v>58.67736105729</v>
      </c>
      <c r="P98">
        <f t="shared" si="37"/>
        <v>7.6335514977584965E-2</v>
      </c>
      <c r="Q98">
        <f t="shared" si="38"/>
        <v>2.1571448167825276</v>
      </c>
      <c r="R98">
        <f t="shared" si="39"/>
        <v>7.486595866215591E-2</v>
      </c>
      <c r="S98">
        <f t="shared" si="40"/>
        <v>4.6920901592856258E-2</v>
      </c>
      <c r="T98">
        <f t="shared" si="41"/>
        <v>276.11645254199999</v>
      </c>
      <c r="U98">
        <f t="shared" si="42"/>
        <v>27.271539220901321</v>
      </c>
      <c r="V98">
        <f t="shared" si="43"/>
        <v>27.271539220901321</v>
      </c>
      <c r="W98">
        <f t="shared" si="44"/>
        <v>3.6366396294075365</v>
      </c>
      <c r="X98">
        <f t="shared" si="45"/>
        <v>68.258530923780654</v>
      </c>
      <c r="Y98">
        <f t="shared" si="46"/>
        <v>2.2344219812434503</v>
      </c>
      <c r="Z98">
        <f t="shared" si="47"/>
        <v>3.273469192793597</v>
      </c>
      <c r="AA98">
        <f t="shared" si="48"/>
        <v>1.4022176481640862</v>
      </c>
      <c r="AB98">
        <f t="shared" si="49"/>
        <v>-48.322751820777931</v>
      </c>
      <c r="AC98">
        <f t="shared" si="50"/>
        <v>-207.36031383272433</v>
      </c>
      <c r="AD98">
        <f t="shared" si="51"/>
        <v>-20.617207230941922</v>
      </c>
      <c r="AE98">
        <f t="shared" si="52"/>
        <v>-0.18382034244419287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52400.29773021923</v>
      </c>
      <c r="AK98">
        <f t="shared" si="56"/>
        <v>1800</v>
      </c>
      <c r="AL98">
        <f t="shared" si="57"/>
        <v>1499.1114491999999</v>
      </c>
      <c r="AM98">
        <f t="shared" si="58"/>
        <v>0.83283969399999991</v>
      </c>
      <c r="AN98">
        <f t="shared" si="59"/>
        <v>0.15339802919000001</v>
      </c>
      <c r="AO98">
        <v>31.8</v>
      </c>
      <c r="AP98">
        <v>0.5</v>
      </c>
      <c r="AQ98" t="s">
        <v>331</v>
      </c>
      <c r="AR98">
        <v>2</v>
      </c>
      <c r="AS98">
        <v>1690389095.5999999</v>
      </c>
      <c r="AT98">
        <v>594.26</v>
      </c>
      <c r="AU98">
        <v>800.14800000000002</v>
      </c>
      <c r="AV98">
        <v>22.629300000000001</v>
      </c>
      <c r="AW98">
        <v>11.2804</v>
      </c>
      <c r="AX98">
        <v>593.97400000000005</v>
      </c>
      <c r="AY98">
        <v>22.430900000000001</v>
      </c>
      <c r="AZ98">
        <v>300.08600000000001</v>
      </c>
      <c r="BA98">
        <v>98.640299999999996</v>
      </c>
      <c r="BB98">
        <v>9.9916500000000005E-2</v>
      </c>
      <c r="BC98">
        <v>25.488499999999998</v>
      </c>
      <c r="BD98">
        <v>26.997199999999999</v>
      </c>
      <c r="BE98">
        <v>26.992599999999999</v>
      </c>
      <c r="BF98">
        <v>0</v>
      </c>
      <c r="BG98">
        <v>0</v>
      </c>
      <c r="BH98">
        <v>9995.6200000000008</v>
      </c>
      <c r="BI98">
        <v>1059.31</v>
      </c>
      <c r="BJ98">
        <v>1.4016500000000001</v>
      </c>
      <c r="BK98">
        <v>-205.88800000000001</v>
      </c>
      <c r="BL98">
        <v>608.01900000000001</v>
      </c>
      <c r="BM98">
        <v>809.27700000000004</v>
      </c>
      <c r="BN98">
        <v>11.3489</v>
      </c>
      <c r="BO98">
        <v>800.14800000000002</v>
      </c>
      <c r="BP98">
        <v>11.2804</v>
      </c>
      <c r="BQ98">
        <v>2.2321599999999999</v>
      </c>
      <c r="BR98">
        <v>1.1127</v>
      </c>
      <c r="BS98">
        <v>19.195</v>
      </c>
      <c r="BT98">
        <v>8.4821799999999996</v>
      </c>
      <c r="BU98">
        <v>1800</v>
      </c>
      <c r="BV98">
        <v>0.90998400000000002</v>
      </c>
      <c r="BW98">
        <v>3.3993700000000002E-2</v>
      </c>
      <c r="BX98">
        <v>2.2008699999999999E-2</v>
      </c>
      <c r="BY98">
        <v>3.4013300000000003E-2</v>
      </c>
      <c r="BZ98">
        <v>25</v>
      </c>
      <c r="CA98">
        <v>33528.199999999997</v>
      </c>
      <c r="CB98">
        <v>1690387638</v>
      </c>
      <c r="CC98" t="s">
        <v>332</v>
      </c>
      <c r="CD98">
        <v>1690387638</v>
      </c>
      <c r="CE98">
        <v>1690387638</v>
      </c>
      <c r="CF98">
        <v>6</v>
      </c>
      <c r="CG98">
        <v>0.43</v>
      </c>
      <c r="CH98">
        <v>-8.1000000000000003E-2</v>
      </c>
      <c r="CI98">
        <v>0.14199999999999999</v>
      </c>
      <c r="CJ98">
        <v>-2.7E-2</v>
      </c>
      <c r="CK98">
        <v>800</v>
      </c>
      <c r="CL98">
        <v>0</v>
      </c>
      <c r="CM98">
        <v>0.01</v>
      </c>
      <c r="CN98">
        <v>0.01</v>
      </c>
      <c r="CO98">
        <v>-201.74299999999999</v>
      </c>
      <c r="CP98">
        <v>-24.01945215759828</v>
      </c>
      <c r="CQ98">
        <v>2.3113977697488588</v>
      </c>
      <c r="CR98">
        <v>-1</v>
      </c>
      <c r="CS98">
        <v>11.112325</v>
      </c>
      <c r="CT98">
        <v>1.530974859287026</v>
      </c>
      <c r="CU98">
        <v>0.14782602908486711</v>
      </c>
      <c r="CV98">
        <v>-1</v>
      </c>
      <c r="CW98">
        <v>0</v>
      </c>
      <c r="CX98">
        <v>0</v>
      </c>
      <c r="CY98" t="s">
        <v>333</v>
      </c>
      <c r="CZ98">
        <v>2.36456</v>
      </c>
      <c r="DA98">
        <v>2.7136999999999998</v>
      </c>
      <c r="DB98">
        <v>0.119144</v>
      </c>
      <c r="DC98">
        <v>0.14563799999999999</v>
      </c>
      <c r="DD98">
        <v>0.108791</v>
      </c>
      <c r="DE98">
        <v>6.4600900000000003E-2</v>
      </c>
      <c r="DF98">
        <v>32184.3</v>
      </c>
      <c r="DG98">
        <v>27561.1</v>
      </c>
      <c r="DH98">
        <v>31191.3</v>
      </c>
      <c r="DI98">
        <v>28108.6</v>
      </c>
      <c r="DJ98">
        <v>37742.199999999997</v>
      </c>
      <c r="DK98">
        <v>37392.1</v>
      </c>
      <c r="DL98">
        <v>44392.2</v>
      </c>
      <c r="DM98">
        <v>42607.1</v>
      </c>
      <c r="DN98">
        <v>1.4668000000000001</v>
      </c>
      <c r="DO98">
        <v>2.0480200000000002</v>
      </c>
      <c r="DP98">
        <v>0.164159</v>
      </c>
      <c r="DQ98">
        <v>0.16813700000000001</v>
      </c>
      <c r="DR98">
        <v>24.3066</v>
      </c>
      <c r="DS98">
        <v>24.236599999999999</v>
      </c>
      <c r="DT98">
        <v>54.7</v>
      </c>
      <c r="DU98">
        <v>28.8</v>
      </c>
      <c r="DV98">
        <v>22.046299999999999</v>
      </c>
      <c r="DW98">
        <v>60.662199999999999</v>
      </c>
      <c r="DX98">
        <v>36.350200000000001</v>
      </c>
      <c r="DY98">
        <v>1</v>
      </c>
      <c r="DZ98">
        <v>-0.10938299999999999</v>
      </c>
      <c r="EA98">
        <v>1.16943</v>
      </c>
      <c r="EB98">
        <v>20.1797</v>
      </c>
      <c r="EC98">
        <v>5.2408000000000001</v>
      </c>
      <c r="ED98">
        <v>12.039899999999999</v>
      </c>
      <c r="EE98">
        <v>5.0167999999999999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1.8646199999999999</v>
      </c>
      <c r="EM98">
        <v>1.8692</v>
      </c>
      <c r="EN98">
        <v>1.8672299999999999</v>
      </c>
      <c r="EO98">
        <v>1.86337</v>
      </c>
      <c r="EP98">
        <v>1.86446</v>
      </c>
      <c r="EQ98">
        <v>1.8701399999999999</v>
      </c>
      <c r="ER98">
        <v>1.86937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0.28599999999999998</v>
      </c>
      <c r="FG98">
        <v>0.19839999999999999</v>
      </c>
      <c r="FH98">
        <v>0.69281559908863044</v>
      </c>
      <c r="FI98">
        <v>-6.1462078757559423E-4</v>
      </c>
      <c r="FJ98">
        <v>-1.8861989874597051E-7</v>
      </c>
      <c r="FK98">
        <v>1.1980462299894961E-10</v>
      </c>
      <c r="FL98">
        <v>0.19840465858211129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24.3</v>
      </c>
      <c r="FU98">
        <v>24.3</v>
      </c>
      <c r="FV98">
        <v>1.78101</v>
      </c>
      <c r="FW98">
        <v>2.5756800000000002</v>
      </c>
      <c r="FX98">
        <v>1.5490699999999999</v>
      </c>
      <c r="FY98">
        <v>2.3315399999999999</v>
      </c>
      <c r="FZ98">
        <v>1.50146</v>
      </c>
      <c r="GA98">
        <v>2.36206</v>
      </c>
      <c r="GB98">
        <v>33.580399999999997</v>
      </c>
      <c r="GC98">
        <v>23.982399999999998</v>
      </c>
      <c r="GD98">
        <v>19</v>
      </c>
      <c r="GE98">
        <v>278.125</v>
      </c>
      <c r="GF98">
        <v>590.83500000000004</v>
      </c>
      <c r="GG98">
        <v>23.442599999999999</v>
      </c>
      <c r="GH98">
        <v>26.017299999999999</v>
      </c>
      <c r="GI98">
        <v>30.0002</v>
      </c>
      <c r="GJ98">
        <v>26.174199999999999</v>
      </c>
      <c r="GK98">
        <v>26.163599999999999</v>
      </c>
      <c r="GL98">
        <v>35.624299999999998</v>
      </c>
      <c r="GM98">
        <v>51.956499999999998</v>
      </c>
      <c r="GN98">
        <v>81.676299999999998</v>
      </c>
      <c r="GO98">
        <v>22.9802</v>
      </c>
      <c r="GP98">
        <v>800</v>
      </c>
      <c r="GQ98">
        <v>11.132099999999999</v>
      </c>
      <c r="GR98">
        <v>99.804299999999998</v>
      </c>
      <c r="GS98">
        <v>99.668999999999997</v>
      </c>
    </row>
    <row r="99" spans="1:201" x14ac:dyDescent="0.25">
      <c r="A99">
        <v>83</v>
      </c>
      <c r="B99">
        <v>1690389105.5999999</v>
      </c>
      <c r="C99">
        <v>847.09999990463257</v>
      </c>
      <c r="D99" t="s">
        <v>499</v>
      </c>
      <c r="E99" t="s">
        <v>500</v>
      </c>
      <c r="F99" t="s">
        <v>330</v>
      </c>
      <c r="H99">
        <v>1690389105.5999999</v>
      </c>
      <c r="I99">
        <f t="shared" si="30"/>
        <v>1.1116701491300678E-3</v>
      </c>
      <c r="J99">
        <f t="shared" si="31"/>
        <v>1.1116701491300678</v>
      </c>
      <c r="K99">
        <f t="shared" si="32"/>
        <v>19.138519048215279</v>
      </c>
      <c r="L99">
        <f t="shared" si="33"/>
        <v>590.30499999999995</v>
      </c>
      <c r="M99">
        <f t="shared" si="34"/>
        <v>179.69360653768371</v>
      </c>
      <c r="N99">
        <f t="shared" si="35"/>
        <v>17.743408162712477</v>
      </c>
      <c r="O99">
        <f t="shared" si="36"/>
        <v>58.288231603239993</v>
      </c>
      <c r="P99">
        <f t="shared" si="37"/>
        <v>7.754764556389078E-2</v>
      </c>
      <c r="Q99">
        <f t="shared" si="38"/>
        <v>2.153574003511475</v>
      </c>
      <c r="R99">
        <f t="shared" si="39"/>
        <v>7.6029087312146276E-2</v>
      </c>
      <c r="S99">
        <f t="shared" si="40"/>
        <v>4.7652139206631236E-2</v>
      </c>
      <c r="T99">
        <f t="shared" si="41"/>
        <v>276.11514872642942</v>
      </c>
      <c r="U99">
        <f t="shared" si="42"/>
        <v>27.247351856333044</v>
      </c>
      <c r="V99">
        <f t="shared" si="43"/>
        <v>27.247351856333044</v>
      </c>
      <c r="W99">
        <f t="shared" si="44"/>
        <v>3.6314871207642612</v>
      </c>
      <c r="X99">
        <f t="shared" si="45"/>
        <v>68.227385863905482</v>
      </c>
      <c r="Y99">
        <f t="shared" si="46"/>
        <v>2.2305649883495997</v>
      </c>
      <c r="Z99">
        <f t="shared" si="47"/>
        <v>3.2693103511234507</v>
      </c>
      <c r="AA99">
        <f t="shared" si="48"/>
        <v>1.4009221324146615</v>
      </c>
      <c r="AB99">
        <f t="shared" si="49"/>
        <v>-49.024653576635991</v>
      </c>
      <c r="AC99">
        <f t="shared" si="50"/>
        <v>-206.69343878276197</v>
      </c>
      <c r="AD99">
        <f t="shared" si="51"/>
        <v>-20.580275076653919</v>
      </c>
      <c r="AE99">
        <f t="shared" si="52"/>
        <v>-0.18321870962245157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52254.284995604168</v>
      </c>
      <c r="AK99">
        <f t="shared" si="56"/>
        <v>1799.99</v>
      </c>
      <c r="AL99">
        <f t="shared" si="57"/>
        <v>1499.1002084192401</v>
      </c>
      <c r="AM99">
        <f t="shared" si="58"/>
        <v>0.83283807600000004</v>
      </c>
      <c r="AN99">
        <f t="shared" si="59"/>
        <v>0.15339815706000001</v>
      </c>
      <c r="AO99">
        <v>31.8</v>
      </c>
      <c r="AP99">
        <v>0.5</v>
      </c>
      <c r="AQ99" t="s">
        <v>331</v>
      </c>
      <c r="AR99">
        <v>2</v>
      </c>
      <c r="AS99">
        <v>1690389105.5999999</v>
      </c>
      <c r="AT99">
        <v>590.30499999999995</v>
      </c>
      <c r="AU99">
        <v>800.10900000000004</v>
      </c>
      <c r="AV99">
        <v>22.589700000000001</v>
      </c>
      <c r="AW99">
        <v>11.0733</v>
      </c>
      <c r="AX99">
        <v>590.01599999999996</v>
      </c>
      <c r="AY99">
        <v>22.391300000000001</v>
      </c>
      <c r="AZ99">
        <v>300.029</v>
      </c>
      <c r="BA99">
        <v>98.642499999999998</v>
      </c>
      <c r="BB99">
        <v>0.100068</v>
      </c>
      <c r="BC99">
        <v>25.467099999999999</v>
      </c>
      <c r="BD99">
        <v>26.994299999999999</v>
      </c>
      <c r="BE99">
        <v>26.949000000000002</v>
      </c>
      <c r="BF99">
        <v>0</v>
      </c>
      <c r="BG99">
        <v>0</v>
      </c>
      <c r="BH99">
        <v>9965.6200000000008</v>
      </c>
      <c r="BI99">
        <v>1059.43</v>
      </c>
      <c r="BJ99">
        <v>1.4016500000000001</v>
      </c>
      <c r="BK99">
        <v>-209.803</v>
      </c>
      <c r="BL99">
        <v>603.94799999999998</v>
      </c>
      <c r="BM99">
        <v>809.06799999999998</v>
      </c>
      <c r="BN99">
        <v>11.516400000000001</v>
      </c>
      <c r="BO99">
        <v>800.10900000000004</v>
      </c>
      <c r="BP99">
        <v>11.0733</v>
      </c>
      <c r="BQ99">
        <v>2.2282999999999999</v>
      </c>
      <c r="BR99">
        <v>1.0923</v>
      </c>
      <c r="BS99">
        <v>19.167200000000001</v>
      </c>
      <c r="BT99">
        <v>8.2093299999999996</v>
      </c>
      <c r="BU99">
        <v>1799.99</v>
      </c>
      <c r="BV99">
        <v>0.909972</v>
      </c>
      <c r="BW99">
        <v>3.4008299999999998E-2</v>
      </c>
      <c r="BX99">
        <v>2.2007800000000001E-2</v>
      </c>
      <c r="BY99">
        <v>3.4012000000000001E-2</v>
      </c>
      <c r="BZ99">
        <v>25</v>
      </c>
      <c r="CA99">
        <v>33528.1</v>
      </c>
      <c r="CB99">
        <v>1690387638</v>
      </c>
      <c r="CC99" t="s">
        <v>332</v>
      </c>
      <c r="CD99">
        <v>1690387638</v>
      </c>
      <c r="CE99">
        <v>1690387638</v>
      </c>
      <c r="CF99">
        <v>6</v>
      </c>
      <c r="CG99">
        <v>0.43</v>
      </c>
      <c r="CH99">
        <v>-8.1000000000000003E-2</v>
      </c>
      <c r="CI99">
        <v>0.14199999999999999</v>
      </c>
      <c r="CJ99">
        <v>-2.7E-2</v>
      </c>
      <c r="CK99">
        <v>800</v>
      </c>
      <c r="CL99">
        <v>0</v>
      </c>
      <c r="CM99">
        <v>0.01</v>
      </c>
      <c r="CN99">
        <v>0.01</v>
      </c>
      <c r="CO99">
        <v>-205.71057500000001</v>
      </c>
      <c r="CP99">
        <v>-23.7448818011257</v>
      </c>
      <c r="CQ99">
        <v>2.285195614028479</v>
      </c>
      <c r="CR99">
        <v>-1</v>
      </c>
      <c r="CS99">
        <v>11.34262</v>
      </c>
      <c r="CT99">
        <v>1.16074671669791</v>
      </c>
      <c r="CU99">
        <v>0.11254948733779301</v>
      </c>
      <c r="CV99">
        <v>-1</v>
      </c>
      <c r="CW99">
        <v>0</v>
      </c>
      <c r="CX99">
        <v>0</v>
      </c>
      <c r="CY99" t="s">
        <v>333</v>
      </c>
      <c r="CZ99">
        <v>2.3643700000000001</v>
      </c>
      <c r="DA99">
        <v>2.7138300000000002</v>
      </c>
      <c r="DB99">
        <v>0.118586</v>
      </c>
      <c r="DC99">
        <v>0.14563400000000001</v>
      </c>
      <c r="DD99">
        <v>0.10865900000000001</v>
      </c>
      <c r="DE99">
        <v>6.3700400000000004E-2</v>
      </c>
      <c r="DF99">
        <v>32204.1</v>
      </c>
      <c r="DG99">
        <v>27561.4</v>
      </c>
      <c r="DH99">
        <v>31190.7</v>
      </c>
      <c r="DI99">
        <v>28108.799999999999</v>
      </c>
      <c r="DJ99">
        <v>37747.199999999997</v>
      </c>
      <c r="DK99">
        <v>37428.400000000001</v>
      </c>
      <c r="DL99">
        <v>44391.5</v>
      </c>
      <c r="DM99">
        <v>42607.4</v>
      </c>
      <c r="DN99">
        <v>1.46675</v>
      </c>
      <c r="DO99">
        <v>2.0477300000000001</v>
      </c>
      <c r="DP99">
        <v>0.16373399999999999</v>
      </c>
      <c r="DQ99">
        <v>0.16519400000000001</v>
      </c>
      <c r="DR99">
        <v>24.310600000000001</v>
      </c>
      <c r="DS99">
        <v>24.241199999999999</v>
      </c>
      <c r="DT99">
        <v>54.5</v>
      </c>
      <c r="DU99">
        <v>28.8</v>
      </c>
      <c r="DV99">
        <v>21.963799999999999</v>
      </c>
      <c r="DW99">
        <v>61.042200000000001</v>
      </c>
      <c r="DX99">
        <v>36.826900000000002</v>
      </c>
      <c r="DY99">
        <v>1</v>
      </c>
      <c r="DZ99">
        <v>-0.108239</v>
      </c>
      <c r="EA99">
        <v>0.76502199999999998</v>
      </c>
      <c r="EB99">
        <v>20.1875</v>
      </c>
      <c r="EC99">
        <v>5.2415500000000002</v>
      </c>
      <c r="ED99">
        <v>12.039899999999999</v>
      </c>
      <c r="EE99">
        <v>5.0167000000000002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1.8646199999999999</v>
      </c>
      <c r="EM99">
        <v>1.8692</v>
      </c>
      <c r="EN99">
        <v>1.8672299999999999</v>
      </c>
      <c r="EO99">
        <v>1.8633599999999999</v>
      </c>
      <c r="EP99">
        <v>1.86446</v>
      </c>
      <c r="EQ99">
        <v>1.8701399999999999</v>
      </c>
      <c r="ER99">
        <v>1.8693900000000001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0.28899999999999998</v>
      </c>
      <c r="FG99">
        <v>0.19839999999999999</v>
      </c>
      <c r="FH99">
        <v>0.69281559908863044</v>
      </c>
      <c r="FI99">
        <v>-6.1462078757559423E-4</v>
      </c>
      <c r="FJ99">
        <v>-1.8861989874597051E-7</v>
      </c>
      <c r="FK99">
        <v>1.1980462299894961E-10</v>
      </c>
      <c r="FL99">
        <v>0.19840465858211129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24.5</v>
      </c>
      <c r="FU99">
        <v>24.5</v>
      </c>
      <c r="FV99">
        <v>1.78101</v>
      </c>
      <c r="FW99">
        <v>2.5842299999999998</v>
      </c>
      <c r="FX99">
        <v>1.5490699999999999</v>
      </c>
      <c r="FY99">
        <v>2.3315399999999999</v>
      </c>
      <c r="FZ99">
        <v>1.50146</v>
      </c>
      <c r="GA99">
        <v>2.2875999999999999</v>
      </c>
      <c r="GB99">
        <v>33.580399999999997</v>
      </c>
      <c r="GC99">
        <v>23.982399999999998</v>
      </c>
      <c r="GD99">
        <v>19</v>
      </c>
      <c r="GE99">
        <v>278.084</v>
      </c>
      <c r="GF99">
        <v>590.54399999999998</v>
      </c>
      <c r="GG99">
        <v>23.0078</v>
      </c>
      <c r="GH99">
        <v>26.012499999999999</v>
      </c>
      <c r="GI99">
        <v>29.999700000000001</v>
      </c>
      <c r="GJ99">
        <v>26.169799999999999</v>
      </c>
      <c r="GK99">
        <v>26.16</v>
      </c>
      <c r="GL99">
        <v>35.617899999999999</v>
      </c>
      <c r="GM99">
        <v>52.544499999999999</v>
      </c>
      <c r="GN99">
        <v>80.904600000000002</v>
      </c>
      <c r="GO99">
        <v>23.081099999999999</v>
      </c>
      <c r="GP99">
        <v>800</v>
      </c>
      <c r="GQ99">
        <v>10.962899999999999</v>
      </c>
      <c r="GR99">
        <v>99.802599999999998</v>
      </c>
      <c r="GS99">
        <v>99.669499999999999</v>
      </c>
    </row>
    <row r="100" spans="1:201" x14ac:dyDescent="0.25">
      <c r="A100">
        <v>84</v>
      </c>
      <c r="B100">
        <v>1690389115.5999999</v>
      </c>
      <c r="C100">
        <v>857.09999990463257</v>
      </c>
      <c r="D100" t="s">
        <v>501</v>
      </c>
      <c r="E100" t="s">
        <v>502</v>
      </c>
      <c r="F100" t="s">
        <v>330</v>
      </c>
      <c r="H100">
        <v>1690389115.5999999</v>
      </c>
      <c r="I100">
        <f t="shared" si="30"/>
        <v>1.1268447009271827E-3</v>
      </c>
      <c r="J100">
        <f t="shared" si="31"/>
        <v>1.1268447009271827</v>
      </c>
      <c r="K100">
        <f t="shared" si="32"/>
        <v>19.488971644996042</v>
      </c>
      <c r="L100">
        <f t="shared" si="33"/>
        <v>586.39499999999998</v>
      </c>
      <c r="M100">
        <f t="shared" si="34"/>
        <v>175.70837402132625</v>
      </c>
      <c r="N100">
        <f t="shared" si="35"/>
        <v>17.349489498363592</v>
      </c>
      <c r="O100">
        <f t="shared" si="36"/>
        <v>57.900791302969495</v>
      </c>
      <c r="P100">
        <f t="shared" si="37"/>
        <v>7.8951238663379594E-2</v>
      </c>
      <c r="Q100">
        <f t="shared" si="38"/>
        <v>2.1542231741190561</v>
      </c>
      <c r="R100">
        <f t="shared" si="39"/>
        <v>7.7378276865591414E-2</v>
      </c>
      <c r="S100">
        <f t="shared" si="40"/>
        <v>4.8500137231928503E-2</v>
      </c>
      <c r="T100">
        <f t="shared" si="41"/>
        <v>276.11642817000001</v>
      </c>
      <c r="U100">
        <f t="shared" si="42"/>
        <v>27.220462867662071</v>
      </c>
      <c r="V100">
        <f t="shared" si="43"/>
        <v>27.220462867662071</v>
      </c>
      <c r="W100">
        <f t="shared" si="44"/>
        <v>3.6257665792058216</v>
      </c>
      <c r="X100">
        <f t="shared" si="45"/>
        <v>68.310568591780026</v>
      </c>
      <c r="Y100">
        <f t="shared" si="46"/>
        <v>2.2304732219411303</v>
      </c>
      <c r="Z100">
        <f t="shared" si="47"/>
        <v>3.265194929455657</v>
      </c>
      <c r="AA100">
        <f t="shared" si="48"/>
        <v>1.3952933572646913</v>
      </c>
      <c r="AB100">
        <f t="shared" si="49"/>
        <v>-49.693851310888761</v>
      </c>
      <c r="AC100">
        <f t="shared" si="50"/>
        <v>-206.09503369433162</v>
      </c>
      <c r="AD100">
        <f t="shared" si="51"/>
        <v>-20.509564634353435</v>
      </c>
      <c r="AE100">
        <f t="shared" si="52"/>
        <v>-0.1820214695738116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52285.168967550759</v>
      </c>
      <c r="AK100">
        <f t="shared" si="56"/>
        <v>1800</v>
      </c>
      <c r="AL100">
        <f t="shared" si="57"/>
        <v>1499.1084269999999</v>
      </c>
      <c r="AM100">
        <f t="shared" si="58"/>
        <v>0.83283801499999999</v>
      </c>
      <c r="AN100">
        <f t="shared" si="59"/>
        <v>0.15339801565</v>
      </c>
      <c r="AO100">
        <v>31.8</v>
      </c>
      <c r="AP100">
        <v>0.5</v>
      </c>
      <c r="AQ100" t="s">
        <v>331</v>
      </c>
      <c r="AR100">
        <v>2</v>
      </c>
      <c r="AS100">
        <v>1690389115.5999999</v>
      </c>
      <c r="AT100">
        <v>586.39499999999998</v>
      </c>
      <c r="AU100">
        <v>799.91399999999999</v>
      </c>
      <c r="AV100">
        <v>22.589300000000001</v>
      </c>
      <c r="AW100">
        <v>10.9183</v>
      </c>
      <c r="AX100">
        <v>586.10299999999995</v>
      </c>
      <c r="AY100">
        <v>22.390899999999998</v>
      </c>
      <c r="AZ100">
        <v>300.096</v>
      </c>
      <c r="BA100">
        <v>98.640299999999996</v>
      </c>
      <c r="BB100">
        <v>9.9954100000000004E-2</v>
      </c>
      <c r="BC100">
        <v>25.445900000000002</v>
      </c>
      <c r="BD100">
        <v>26.965</v>
      </c>
      <c r="BE100">
        <v>26.9132</v>
      </c>
      <c r="BF100">
        <v>0</v>
      </c>
      <c r="BG100">
        <v>0</v>
      </c>
      <c r="BH100">
        <v>9971.25</v>
      </c>
      <c r="BI100">
        <v>1059.52</v>
      </c>
      <c r="BJ100">
        <v>1.4016500000000001</v>
      </c>
      <c r="BK100">
        <v>-213.51900000000001</v>
      </c>
      <c r="BL100">
        <v>599.947</v>
      </c>
      <c r="BM100">
        <v>808.74400000000003</v>
      </c>
      <c r="BN100">
        <v>11.670999999999999</v>
      </c>
      <c r="BO100">
        <v>799.91399999999999</v>
      </c>
      <c r="BP100">
        <v>10.9183</v>
      </c>
      <c r="BQ100">
        <v>2.2282099999999998</v>
      </c>
      <c r="BR100">
        <v>1.07698</v>
      </c>
      <c r="BS100">
        <v>19.166599999999999</v>
      </c>
      <c r="BT100">
        <v>8.0016200000000008</v>
      </c>
      <c r="BU100">
        <v>1800</v>
      </c>
      <c r="BV100">
        <v>0.90997499999999998</v>
      </c>
      <c r="BW100">
        <v>3.4007000000000003E-2</v>
      </c>
      <c r="BX100">
        <v>2.2006999999999999E-2</v>
      </c>
      <c r="BY100">
        <v>3.4010699999999998E-2</v>
      </c>
      <c r="BZ100">
        <v>25</v>
      </c>
      <c r="CA100">
        <v>33528.199999999997</v>
      </c>
      <c r="CB100">
        <v>1690387638</v>
      </c>
      <c r="CC100" t="s">
        <v>332</v>
      </c>
      <c r="CD100">
        <v>1690387638</v>
      </c>
      <c r="CE100">
        <v>1690387638</v>
      </c>
      <c r="CF100">
        <v>6</v>
      </c>
      <c r="CG100">
        <v>0.43</v>
      </c>
      <c r="CH100">
        <v>-8.1000000000000003E-2</v>
      </c>
      <c r="CI100">
        <v>0.14199999999999999</v>
      </c>
      <c r="CJ100">
        <v>-2.7E-2</v>
      </c>
      <c r="CK100">
        <v>800</v>
      </c>
      <c r="CL100">
        <v>0</v>
      </c>
      <c r="CM100">
        <v>0.01</v>
      </c>
      <c r="CN100">
        <v>0.01</v>
      </c>
      <c r="CO100">
        <v>-209.66794999999999</v>
      </c>
      <c r="CP100">
        <v>-23.498386491556371</v>
      </c>
      <c r="CQ100">
        <v>2.261505029289121</v>
      </c>
      <c r="CR100">
        <v>-1</v>
      </c>
      <c r="CS100">
        <v>11.5283225</v>
      </c>
      <c r="CT100">
        <v>1.007388742964308</v>
      </c>
      <c r="CU100">
        <v>9.7910953134723352E-2</v>
      </c>
      <c r="CV100">
        <v>-1</v>
      </c>
      <c r="CW100">
        <v>0</v>
      </c>
      <c r="CX100">
        <v>0</v>
      </c>
      <c r="CY100" t="s">
        <v>333</v>
      </c>
      <c r="CZ100">
        <v>2.3646199999999999</v>
      </c>
      <c r="DA100">
        <v>2.7137199999999999</v>
      </c>
      <c r="DB100">
        <v>0.11802700000000001</v>
      </c>
      <c r="DC100">
        <v>0.14560500000000001</v>
      </c>
      <c r="DD100">
        <v>0.108656</v>
      </c>
      <c r="DE100">
        <v>6.3020400000000004E-2</v>
      </c>
      <c r="DF100">
        <v>32225.1</v>
      </c>
      <c r="DG100">
        <v>27562.9</v>
      </c>
      <c r="DH100">
        <v>31191.3</v>
      </c>
      <c r="DI100">
        <v>28109.3</v>
      </c>
      <c r="DJ100">
        <v>37747.9</v>
      </c>
      <c r="DK100">
        <v>37456.400000000001</v>
      </c>
      <c r="DL100">
        <v>44392.3</v>
      </c>
      <c r="DM100">
        <v>42608.2</v>
      </c>
      <c r="DN100">
        <v>1.46678</v>
      </c>
      <c r="DO100">
        <v>2.0476999999999999</v>
      </c>
      <c r="DP100">
        <v>0.16190099999999999</v>
      </c>
      <c r="DQ100">
        <v>0.162832</v>
      </c>
      <c r="DR100">
        <v>24.311399999999999</v>
      </c>
      <c r="DS100">
        <v>24.244</v>
      </c>
      <c r="DT100">
        <v>54.4</v>
      </c>
      <c r="DU100">
        <v>28.8</v>
      </c>
      <c r="DV100">
        <v>21.9267</v>
      </c>
      <c r="DW100">
        <v>61.3322</v>
      </c>
      <c r="DX100">
        <v>37.215499999999999</v>
      </c>
      <c r="DY100">
        <v>1</v>
      </c>
      <c r="DZ100">
        <v>-0.109611</v>
      </c>
      <c r="EA100">
        <v>0.43496200000000002</v>
      </c>
      <c r="EB100">
        <v>20.189699999999998</v>
      </c>
      <c r="EC100">
        <v>5.2413999999999996</v>
      </c>
      <c r="ED100">
        <v>12.039899999999999</v>
      </c>
      <c r="EE100">
        <v>5.0166500000000003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1.8672299999999999</v>
      </c>
      <c r="EO100">
        <v>1.8633599999999999</v>
      </c>
      <c r="EP100">
        <v>1.86446</v>
      </c>
      <c r="EQ100">
        <v>1.8701399999999999</v>
      </c>
      <c r="ER100">
        <v>1.86938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0.29199999999999998</v>
      </c>
      <c r="FG100">
        <v>0.19839999999999999</v>
      </c>
      <c r="FH100">
        <v>0.69281559908863044</v>
      </c>
      <c r="FI100">
        <v>-6.1462078757559423E-4</v>
      </c>
      <c r="FJ100">
        <v>-1.8861989874597051E-7</v>
      </c>
      <c r="FK100">
        <v>1.1980462299894961E-10</v>
      </c>
      <c r="FL100">
        <v>0.19840465858211129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24.6</v>
      </c>
      <c r="FU100">
        <v>24.6</v>
      </c>
      <c r="FV100">
        <v>1.78223</v>
      </c>
      <c r="FW100">
        <v>2.5854499999999998</v>
      </c>
      <c r="FX100">
        <v>1.5490699999999999</v>
      </c>
      <c r="FY100">
        <v>2.3315399999999999</v>
      </c>
      <c r="FZ100">
        <v>1.50146</v>
      </c>
      <c r="GA100">
        <v>2.3144499999999999</v>
      </c>
      <c r="GB100">
        <v>33.580399999999997</v>
      </c>
      <c r="GC100">
        <v>23.982399999999998</v>
      </c>
      <c r="GD100">
        <v>19</v>
      </c>
      <c r="GE100">
        <v>278.08</v>
      </c>
      <c r="GF100">
        <v>590.48900000000003</v>
      </c>
      <c r="GG100">
        <v>23.063199999999998</v>
      </c>
      <c r="GH100">
        <v>26.008099999999999</v>
      </c>
      <c r="GI100">
        <v>29.9998</v>
      </c>
      <c r="GJ100">
        <v>26.166499999999999</v>
      </c>
      <c r="GK100">
        <v>26.157</v>
      </c>
      <c r="GL100">
        <v>35.618200000000002</v>
      </c>
      <c r="GM100">
        <v>52.848700000000001</v>
      </c>
      <c r="GN100">
        <v>80.121899999999997</v>
      </c>
      <c r="GO100">
        <v>23.103200000000001</v>
      </c>
      <c r="GP100">
        <v>800</v>
      </c>
      <c r="GQ100">
        <v>10.757199999999999</v>
      </c>
      <c r="GR100">
        <v>99.804299999999998</v>
      </c>
      <c r="GS100">
        <v>99.671499999999995</v>
      </c>
    </row>
    <row r="101" spans="1:201" x14ac:dyDescent="0.25">
      <c r="A101">
        <v>85</v>
      </c>
      <c r="B101">
        <v>1690389125.5999999</v>
      </c>
      <c r="C101">
        <v>867.09999990463257</v>
      </c>
      <c r="D101" t="s">
        <v>503</v>
      </c>
      <c r="E101" t="s">
        <v>504</v>
      </c>
      <c r="F101" t="s">
        <v>330</v>
      </c>
      <c r="H101">
        <v>1690389125.5999999</v>
      </c>
      <c r="I101">
        <f t="shared" si="30"/>
        <v>1.1537771644038498E-3</v>
      </c>
      <c r="J101">
        <f t="shared" si="31"/>
        <v>1.1537771644038499</v>
      </c>
      <c r="K101">
        <f t="shared" si="32"/>
        <v>19.857436470599101</v>
      </c>
      <c r="L101">
        <f t="shared" si="33"/>
        <v>582.50099999999998</v>
      </c>
      <c r="M101">
        <f t="shared" si="34"/>
        <v>175.23056543059559</v>
      </c>
      <c r="N101">
        <f t="shared" si="35"/>
        <v>17.30255007936357</v>
      </c>
      <c r="O101">
        <f t="shared" si="36"/>
        <v>57.517092974120992</v>
      </c>
      <c r="P101">
        <f t="shared" si="37"/>
        <v>8.1153652983015967E-2</v>
      </c>
      <c r="Q101">
        <f t="shared" si="38"/>
        <v>2.1575353826049199</v>
      </c>
      <c r="R101">
        <f t="shared" si="39"/>
        <v>7.9495197349271643E-2</v>
      </c>
      <c r="S101">
        <f t="shared" si="40"/>
        <v>4.9830681130897392E-2</v>
      </c>
      <c r="T101">
        <f t="shared" si="41"/>
        <v>276.11482337823691</v>
      </c>
      <c r="U101">
        <f t="shared" si="42"/>
        <v>27.21786001922441</v>
      </c>
      <c r="V101">
        <f t="shared" si="43"/>
        <v>27.21786001922441</v>
      </c>
      <c r="W101">
        <f t="shared" si="44"/>
        <v>3.6252132497460452</v>
      </c>
      <c r="X101">
        <f t="shared" si="45"/>
        <v>68.40021708627728</v>
      </c>
      <c r="Y101">
        <f t="shared" si="46"/>
        <v>2.234621624851</v>
      </c>
      <c r="Z101">
        <f t="shared" si="47"/>
        <v>3.2669803109430755</v>
      </c>
      <c r="AA101">
        <f t="shared" si="48"/>
        <v>1.3905916248950452</v>
      </c>
      <c r="AB101">
        <f t="shared" si="49"/>
        <v>-50.88157295020978</v>
      </c>
      <c r="AC101">
        <f t="shared" si="50"/>
        <v>-205.03904097006995</v>
      </c>
      <c r="AD101">
        <f t="shared" si="51"/>
        <v>-20.373824003561467</v>
      </c>
      <c r="AE101">
        <f t="shared" si="52"/>
        <v>-0.17961454560429502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52422.593300887405</v>
      </c>
      <c r="AK101">
        <f t="shared" si="56"/>
        <v>1799.99</v>
      </c>
      <c r="AL101">
        <f t="shared" si="57"/>
        <v>1499.1008024159401</v>
      </c>
      <c r="AM101">
        <f t="shared" si="58"/>
        <v>0.83283840600000003</v>
      </c>
      <c r="AN101">
        <f t="shared" si="59"/>
        <v>0.15339797630999999</v>
      </c>
      <c r="AO101">
        <v>31.8</v>
      </c>
      <c r="AP101">
        <v>0.5</v>
      </c>
      <c r="AQ101" t="s">
        <v>331</v>
      </c>
      <c r="AR101">
        <v>2</v>
      </c>
      <c r="AS101">
        <v>1690389125.5999999</v>
      </c>
      <c r="AT101">
        <v>582.50099999999998</v>
      </c>
      <c r="AU101">
        <v>800.029</v>
      </c>
      <c r="AV101">
        <v>22.631</v>
      </c>
      <c r="AW101">
        <v>10.682399999999999</v>
      </c>
      <c r="AX101">
        <v>582.20600000000002</v>
      </c>
      <c r="AY101">
        <v>22.432600000000001</v>
      </c>
      <c r="AZ101">
        <v>300.11700000000002</v>
      </c>
      <c r="BA101">
        <v>98.641599999999997</v>
      </c>
      <c r="BB101">
        <v>0.100021</v>
      </c>
      <c r="BC101">
        <v>25.455100000000002</v>
      </c>
      <c r="BD101">
        <v>26.9559</v>
      </c>
      <c r="BE101">
        <v>26.9132</v>
      </c>
      <c r="BF101">
        <v>0</v>
      </c>
      <c r="BG101">
        <v>0</v>
      </c>
      <c r="BH101">
        <v>9998.75</v>
      </c>
      <c r="BI101">
        <v>1059.57</v>
      </c>
      <c r="BJ101">
        <v>1.4016500000000001</v>
      </c>
      <c r="BK101">
        <v>-217.52799999999999</v>
      </c>
      <c r="BL101">
        <v>595.98900000000003</v>
      </c>
      <c r="BM101">
        <v>808.66700000000003</v>
      </c>
      <c r="BN101">
        <v>11.948600000000001</v>
      </c>
      <c r="BO101">
        <v>800.029</v>
      </c>
      <c r="BP101">
        <v>10.682399999999999</v>
      </c>
      <c r="BQ101">
        <v>2.2323599999999999</v>
      </c>
      <c r="BR101">
        <v>1.0537300000000001</v>
      </c>
      <c r="BS101">
        <v>19.196400000000001</v>
      </c>
      <c r="BT101">
        <v>7.6812800000000001</v>
      </c>
      <c r="BU101">
        <v>1799.99</v>
      </c>
      <c r="BV101">
        <v>0.90997799999999995</v>
      </c>
      <c r="BW101">
        <v>3.4005899999999999E-2</v>
      </c>
      <c r="BX101">
        <v>2.2006299999999999E-2</v>
      </c>
      <c r="BY101">
        <v>3.4009699999999997E-2</v>
      </c>
      <c r="BZ101">
        <v>25</v>
      </c>
      <c r="CA101">
        <v>33528.1</v>
      </c>
      <c r="CB101">
        <v>1690387638</v>
      </c>
      <c r="CC101" t="s">
        <v>332</v>
      </c>
      <c r="CD101">
        <v>1690387638</v>
      </c>
      <c r="CE101">
        <v>1690387638</v>
      </c>
      <c r="CF101">
        <v>6</v>
      </c>
      <c r="CG101">
        <v>0.43</v>
      </c>
      <c r="CH101">
        <v>-8.1000000000000003E-2</v>
      </c>
      <c r="CI101">
        <v>0.14199999999999999</v>
      </c>
      <c r="CJ101">
        <v>-2.7E-2</v>
      </c>
      <c r="CK101">
        <v>800</v>
      </c>
      <c r="CL101">
        <v>0</v>
      </c>
      <c r="CM101">
        <v>0.01</v>
      </c>
      <c r="CN101">
        <v>0.01</v>
      </c>
      <c r="CO101">
        <v>-213.26509756097559</v>
      </c>
      <c r="CP101">
        <v>-22.948327526132971</v>
      </c>
      <c r="CQ101">
        <v>2.2635405011260481</v>
      </c>
      <c r="CR101">
        <v>-1</v>
      </c>
      <c r="CS101">
        <v>11.695729268292681</v>
      </c>
      <c r="CT101">
        <v>1.188487108013955</v>
      </c>
      <c r="CU101">
        <v>0.1200889654846435</v>
      </c>
      <c r="CV101">
        <v>-1</v>
      </c>
      <c r="CW101">
        <v>0</v>
      </c>
      <c r="CX101">
        <v>0</v>
      </c>
      <c r="CY101" t="s">
        <v>333</v>
      </c>
      <c r="CZ101">
        <v>2.3646699999999998</v>
      </c>
      <c r="DA101">
        <v>2.7138100000000001</v>
      </c>
      <c r="DB101">
        <v>0.117474</v>
      </c>
      <c r="DC101">
        <v>0.145617</v>
      </c>
      <c r="DD101">
        <v>0.10880099999999999</v>
      </c>
      <c r="DE101">
        <v>6.1981500000000002E-2</v>
      </c>
      <c r="DF101">
        <v>32246.400000000001</v>
      </c>
      <c r="DG101">
        <v>27562.5</v>
      </c>
      <c r="DH101">
        <v>31192.3</v>
      </c>
      <c r="DI101">
        <v>28109.3</v>
      </c>
      <c r="DJ101">
        <v>37742.9</v>
      </c>
      <c r="DK101">
        <v>37498</v>
      </c>
      <c r="DL101">
        <v>44393.8</v>
      </c>
      <c r="DM101">
        <v>42608.2</v>
      </c>
      <c r="DN101">
        <v>1.4674499999999999</v>
      </c>
      <c r="DO101">
        <v>2.0474299999999999</v>
      </c>
      <c r="DP101">
        <v>0.161469</v>
      </c>
      <c r="DQ101">
        <v>0.162832</v>
      </c>
      <c r="DR101">
        <v>24.3093</v>
      </c>
      <c r="DS101">
        <v>24.244</v>
      </c>
      <c r="DT101">
        <v>54.2</v>
      </c>
      <c r="DU101">
        <v>28.8</v>
      </c>
      <c r="DV101">
        <v>21.8443</v>
      </c>
      <c r="DW101">
        <v>61.172199999999997</v>
      </c>
      <c r="DX101">
        <v>37.1755</v>
      </c>
      <c r="DY101">
        <v>1</v>
      </c>
      <c r="DZ101">
        <v>-0.109876</v>
      </c>
      <c r="EA101">
        <v>0.30269600000000002</v>
      </c>
      <c r="EB101">
        <v>20.190000000000001</v>
      </c>
      <c r="EC101">
        <v>5.2416999999999998</v>
      </c>
      <c r="ED101">
        <v>12.039899999999999</v>
      </c>
      <c r="EE101">
        <v>5.0169499999999996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1.8646199999999999</v>
      </c>
      <c r="EM101">
        <v>1.8692</v>
      </c>
      <c r="EN101">
        <v>1.8672200000000001</v>
      </c>
      <c r="EO101">
        <v>1.8633599999999999</v>
      </c>
      <c r="EP101">
        <v>1.86446</v>
      </c>
      <c r="EQ101">
        <v>1.87015</v>
      </c>
      <c r="ER101">
        <v>1.8693900000000001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0.29499999999999998</v>
      </c>
      <c r="FG101">
        <v>0.19839999999999999</v>
      </c>
      <c r="FH101">
        <v>0.69281559908863044</v>
      </c>
      <c r="FI101">
        <v>-6.1462078757559423E-4</v>
      </c>
      <c r="FJ101">
        <v>-1.8861989874597051E-7</v>
      </c>
      <c r="FK101">
        <v>1.1980462299894961E-10</v>
      </c>
      <c r="FL101">
        <v>0.19840465858211129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24.8</v>
      </c>
      <c r="FU101">
        <v>24.8</v>
      </c>
      <c r="FV101">
        <v>1.78101</v>
      </c>
      <c r="FW101">
        <v>2.5866699999999998</v>
      </c>
      <c r="FX101">
        <v>1.5490699999999999</v>
      </c>
      <c r="FY101">
        <v>2.3315399999999999</v>
      </c>
      <c r="FZ101">
        <v>1.50146</v>
      </c>
      <c r="GA101">
        <v>2.32056</v>
      </c>
      <c r="GB101">
        <v>33.580399999999997</v>
      </c>
      <c r="GC101">
        <v>23.982399999999998</v>
      </c>
      <c r="GD101">
        <v>19</v>
      </c>
      <c r="GE101">
        <v>278.35199999999998</v>
      </c>
      <c r="GF101">
        <v>590.22500000000002</v>
      </c>
      <c r="GG101">
        <v>23.1341</v>
      </c>
      <c r="GH101">
        <v>26.004200000000001</v>
      </c>
      <c r="GI101">
        <v>29.9998</v>
      </c>
      <c r="GJ101">
        <v>26.163699999999999</v>
      </c>
      <c r="GK101">
        <v>26.154</v>
      </c>
      <c r="GL101">
        <v>35.610500000000002</v>
      </c>
      <c r="GM101">
        <v>53.4133</v>
      </c>
      <c r="GN101">
        <v>79.347399999999993</v>
      </c>
      <c r="GO101">
        <v>23.181899999999999</v>
      </c>
      <c r="GP101">
        <v>800</v>
      </c>
      <c r="GQ101">
        <v>10.5265</v>
      </c>
      <c r="GR101">
        <v>99.807599999999994</v>
      </c>
      <c r="GS101">
        <v>99.671499999999995</v>
      </c>
    </row>
    <row r="102" spans="1:201" x14ac:dyDescent="0.25">
      <c r="A102">
        <v>86</v>
      </c>
      <c r="B102">
        <v>1690389135.5999999</v>
      </c>
      <c r="C102">
        <v>877.09999990463257</v>
      </c>
      <c r="D102" t="s">
        <v>505</v>
      </c>
      <c r="E102" t="s">
        <v>506</v>
      </c>
      <c r="F102" t="s">
        <v>330</v>
      </c>
      <c r="H102">
        <v>1690389135.5999999</v>
      </c>
      <c r="I102">
        <f t="shared" si="30"/>
        <v>1.1805283440604109E-3</v>
      </c>
      <c r="J102">
        <f t="shared" si="31"/>
        <v>1.1805283440604109</v>
      </c>
      <c r="K102">
        <f t="shared" si="32"/>
        <v>20.218013614638245</v>
      </c>
      <c r="L102">
        <f t="shared" si="33"/>
        <v>578.69799999999998</v>
      </c>
      <c r="M102">
        <f t="shared" si="34"/>
        <v>175.08423310521093</v>
      </c>
      <c r="N102">
        <f t="shared" si="35"/>
        <v>17.287275326123911</v>
      </c>
      <c r="O102">
        <f t="shared" si="36"/>
        <v>57.138849565429595</v>
      </c>
      <c r="P102">
        <f t="shared" si="37"/>
        <v>8.3412819835528146E-2</v>
      </c>
      <c r="Q102">
        <f t="shared" si="38"/>
        <v>2.1621108913067877</v>
      </c>
      <c r="R102">
        <f t="shared" si="39"/>
        <v>8.1665437645559155E-2</v>
      </c>
      <c r="S102">
        <f t="shared" si="40"/>
        <v>5.1194845060226674E-2</v>
      </c>
      <c r="T102">
        <f t="shared" si="41"/>
        <v>276.11614141199999</v>
      </c>
      <c r="U102">
        <f t="shared" si="42"/>
        <v>27.208153979164646</v>
      </c>
      <c r="V102">
        <f t="shared" si="43"/>
        <v>27.208153979164646</v>
      </c>
      <c r="W102">
        <f t="shared" si="44"/>
        <v>3.6231505301287972</v>
      </c>
      <c r="X102">
        <f t="shared" si="45"/>
        <v>68.498179708796087</v>
      </c>
      <c r="Y102">
        <f t="shared" si="46"/>
        <v>2.2382076618356797</v>
      </c>
      <c r="Z102">
        <f t="shared" si="47"/>
        <v>3.2675432710050014</v>
      </c>
      <c r="AA102">
        <f t="shared" si="48"/>
        <v>1.3849428682931175</v>
      </c>
      <c r="AB102">
        <f t="shared" si="49"/>
        <v>-52.061299973064123</v>
      </c>
      <c r="AC102">
        <f t="shared" si="50"/>
        <v>-204.00446253582925</v>
      </c>
      <c r="AD102">
        <f t="shared" si="51"/>
        <v>-20.227432129859448</v>
      </c>
      <c r="AE102">
        <f t="shared" si="52"/>
        <v>-0.17705322675283242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52614.383419103826</v>
      </c>
      <c r="AK102">
        <f t="shared" si="56"/>
        <v>1800</v>
      </c>
      <c r="AL102">
        <f t="shared" si="57"/>
        <v>1499.1088662</v>
      </c>
      <c r="AM102">
        <f t="shared" si="58"/>
        <v>0.83283825899999997</v>
      </c>
      <c r="AN102">
        <f t="shared" si="59"/>
        <v>0.15339785634</v>
      </c>
      <c r="AO102">
        <v>31.8</v>
      </c>
      <c r="AP102">
        <v>0.5</v>
      </c>
      <c r="AQ102" t="s">
        <v>331</v>
      </c>
      <c r="AR102">
        <v>2</v>
      </c>
      <c r="AS102">
        <v>1690389135.5999999</v>
      </c>
      <c r="AT102">
        <v>578.69799999999998</v>
      </c>
      <c r="AU102">
        <v>800.11400000000003</v>
      </c>
      <c r="AV102">
        <v>22.668399999999998</v>
      </c>
      <c r="AW102">
        <v>10.446</v>
      </c>
      <c r="AX102">
        <v>578.4</v>
      </c>
      <c r="AY102">
        <v>22.47</v>
      </c>
      <c r="AZ102">
        <v>300.185</v>
      </c>
      <c r="BA102">
        <v>98.637</v>
      </c>
      <c r="BB102">
        <v>9.99052E-2</v>
      </c>
      <c r="BC102">
        <v>25.457999999999998</v>
      </c>
      <c r="BD102">
        <v>26.953700000000001</v>
      </c>
      <c r="BE102">
        <v>26.933499999999999</v>
      </c>
      <c r="BF102">
        <v>0</v>
      </c>
      <c r="BG102">
        <v>0</v>
      </c>
      <c r="BH102">
        <v>10037.5</v>
      </c>
      <c r="BI102">
        <v>1059.71</v>
      </c>
      <c r="BJ102">
        <v>1.4016500000000001</v>
      </c>
      <c r="BK102">
        <v>-221.416</v>
      </c>
      <c r="BL102">
        <v>592.12</v>
      </c>
      <c r="BM102">
        <v>808.56</v>
      </c>
      <c r="BN102">
        <v>12.2225</v>
      </c>
      <c r="BO102">
        <v>800.11400000000003</v>
      </c>
      <c r="BP102">
        <v>10.446</v>
      </c>
      <c r="BQ102">
        <v>2.2359399999999998</v>
      </c>
      <c r="BR102">
        <v>1.0303599999999999</v>
      </c>
      <c r="BS102">
        <v>19.222200000000001</v>
      </c>
      <c r="BT102">
        <v>7.3528900000000004</v>
      </c>
      <c r="BU102">
        <v>1800</v>
      </c>
      <c r="BV102">
        <v>0.90998000000000001</v>
      </c>
      <c r="BW102">
        <v>3.4005000000000001E-2</v>
      </c>
      <c r="BX102">
        <v>2.20057E-2</v>
      </c>
      <c r="BY102">
        <v>3.4008799999999999E-2</v>
      </c>
      <c r="BZ102">
        <v>25</v>
      </c>
      <c r="CA102">
        <v>33528.199999999997</v>
      </c>
      <c r="CB102">
        <v>1690387638</v>
      </c>
      <c r="CC102" t="s">
        <v>332</v>
      </c>
      <c r="CD102">
        <v>1690387638</v>
      </c>
      <c r="CE102">
        <v>1690387638</v>
      </c>
      <c r="CF102">
        <v>6</v>
      </c>
      <c r="CG102">
        <v>0.43</v>
      </c>
      <c r="CH102">
        <v>-8.1000000000000003E-2</v>
      </c>
      <c r="CI102">
        <v>0.14199999999999999</v>
      </c>
      <c r="CJ102">
        <v>-2.7E-2</v>
      </c>
      <c r="CK102">
        <v>800</v>
      </c>
      <c r="CL102">
        <v>0</v>
      </c>
      <c r="CM102">
        <v>0.01</v>
      </c>
      <c r="CN102">
        <v>0.01</v>
      </c>
      <c r="CO102">
        <v>-217.047775</v>
      </c>
      <c r="CP102">
        <v>-23.631681050656269</v>
      </c>
      <c r="CQ102">
        <v>2.2738570039417598</v>
      </c>
      <c r="CR102">
        <v>-1</v>
      </c>
      <c r="CS102">
        <v>11.918100000000001</v>
      </c>
      <c r="CT102">
        <v>1.67500412757974</v>
      </c>
      <c r="CU102">
        <v>0.1614734482817532</v>
      </c>
      <c r="CV102">
        <v>-1</v>
      </c>
      <c r="CW102">
        <v>0</v>
      </c>
      <c r="CX102">
        <v>0</v>
      </c>
      <c r="CY102" t="s">
        <v>333</v>
      </c>
      <c r="CZ102">
        <v>2.3649200000000001</v>
      </c>
      <c r="DA102">
        <v>2.71373</v>
      </c>
      <c r="DB102">
        <v>0.116925</v>
      </c>
      <c r="DC102">
        <v>0.145617</v>
      </c>
      <c r="DD102">
        <v>0.10892499999999999</v>
      </c>
      <c r="DE102">
        <v>6.0928200000000002E-2</v>
      </c>
      <c r="DF102">
        <v>32266.400000000001</v>
      </c>
      <c r="DG102">
        <v>27562.799999999999</v>
      </c>
      <c r="DH102">
        <v>31192.3</v>
      </c>
      <c r="DI102">
        <v>28109.599999999999</v>
      </c>
      <c r="DJ102">
        <v>37737.4</v>
      </c>
      <c r="DK102">
        <v>37540.6</v>
      </c>
      <c r="DL102">
        <v>44393.599999999999</v>
      </c>
      <c r="DM102">
        <v>42608.6</v>
      </c>
      <c r="DN102">
        <v>1.46732</v>
      </c>
      <c r="DO102">
        <v>2.0470000000000002</v>
      </c>
      <c r="DP102">
        <v>0.161417</v>
      </c>
      <c r="DQ102">
        <v>0.164077</v>
      </c>
      <c r="DR102">
        <v>24.308</v>
      </c>
      <c r="DS102">
        <v>24.244</v>
      </c>
      <c r="DT102">
        <v>53.9</v>
      </c>
      <c r="DU102">
        <v>28.8</v>
      </c>
      <c r="DV102">
        <v>21.724399999999999</v>
      </c>
      <c r="DW102">
        <v>60.562199999999997</v>
      </c>
      <c r="DX102">
        <v>36.9191</v>
      </c>
      <c r="DY102">
        <v>1</v>
      </c>
      <c r="DZ102">
        <v>-0.110859</v>
      </c>
      <c r="EA102">
        <v>0.29622500000000002</v>
      </c>
      <c r="EB102">
        <v>20.1904</v>
      </c>
      <c r="EC102">
        <v>5.2415500000000002</v>
      </c>
      <c r="ED102">
        <v>12.039899999999999</v>
      </c>
      <c r="EE102">
        <v>5.0168499999999998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1.8672299999999999</v>
      </c>
      <c r="EO102">
        <v>1.86337</v>
      </c>
      <c r="EP102">
        <v>1.8644700000000001</v>
      </c>
      <c r="EQ102">
        <v>1.87015</v>
      </c>
      <c r="ER102">
        <v>1.8693900000000001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0.29799999999999999</v>
      </c>
      <c r="FG102">
        <v>0.19839999999999999</v>
      </c>
      <c r="FH102">
        <v>0.69281559908863044</v>
      </c>
      <c r="FI102">
        <v>-6.1462078757559423E-4</v>
      </c>
      <c r="FJ102">
        <v>-1.8861989874597051E-7</v>
      </c>
      <c r="FK102">
        <v>1.1980462299894961E-10</v>
      </c>
      <c r="FL102">
        <v>0.19840465858211129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25</v>
      </c>
      <c r="FU102">
        <v>25</v>
      </c>
      <c r="FV102">
        <v>1.78101</v>
      </c>
      <c r="FW102">
        <v>2.5793499999999998</v>
      </c>
      <c r="FX102">
        <v>1.5490699999999999</v>
      </c>
      <c r="FY102">
        <v>2.3315399999999999</v>
      </c>
      <c r="FZ102">
        <v>1.50146</v>
      </c>
      <c r="GA102">
        <v>2.3791500000000001</v>
      </c>
      <c r="GB102">
        <v>33.580399999999997</v>
      </c>
      <c r="GC102">
        <v>23.991199999999999</v>
      </c>
      <c r="GD102">
        <v>19</v>
      </c>
      <c r="GE102">
        <v>278.28699999999998</v>
      </c>
      <c r="GF102">
        <v>589.83100000000002</v>
      </c>
      <c r="GG102">
        <v>23.220800000000001</v>
      </c>
      <c r="GH102">
        <v>25.9999</v>
      </c>
      <c r="GI102">
        <v>29.9998</v>
      </c>
      <c r="GJ102">
        <v>26.160900000000002</v>
      </c>
      <c r="GK102">
        <v>26.150500000000001</v>
      </c>
      <c r="GL102">
        <v>35.5989</v>
      </c>
      <c r="GM102">
        <v>54.282699999999998</v>
      </c>
      <c r="GN102">
        <v>78.971699999999998</v>
      </c>
      <c r="GO102">
        <v>23.237400000000001</v>
      </c>
      <c r="GP102">
        <v>800</v>
      </c>
      <c r="GQ102">
        <v>10.289899999999999</v>
      </c>
      <c r="GR102">
        <v>99.807299999999998</v>
      </c>
      <c r="GS102">
        <v>99.672399999999996</v>
      </c>
    </row>
    <row r="103" spans="1:201" x14ac:dyDescent="0.25">
      <c r="A103">
        <v>87</v>
      </c>
      <c r="B103">
        <v>1690389145.5999999</v>
      </c>
      <c r="C103">
        <v>887.09999990463257</v>
      </c>
      <c r="D103" t="s">
        <v>507</v>
      </c>
      <c r="E103" t="s">
        <v>508</v>
      </c>
      <c r="F103" t="s">
        <v>330</v>
      </c>
      <c r="H103">
        <v>1690389145.5999999</v>
      </c>
      <c r="I103">
        <f t="shared" si="30"/>
        <v>1.206164140180955E-3</v>
      </c>
      <c r="J103">
        <f t="shared" si="31"/>
        <v>1.2061641401809551</v>
      </c>
      <c r="K103">
        <f t="shared" si="32"/>
        <v>20.542816645454089</v>
      </c>
      <c r="L103">
        <f t="shared" si="33"/>
        <v>574.96699999999998</v>
      </c>
      <c r="M103">
        <f t="shared" si="34"/>
        <v>174.12363743681243</v>
      </c>
      <c r="N103">
        <f t="shared" si="35"/>
        <v>17.191513470942621</v>
      </c>
      <c r="O103">
        <f t="shared" si="36"/>
        <v>56.767438765655591</v>
      </c>
      <c r="P103">
        <f t="shared" si="37"/>
        <v>8.5374694529345943E-2</v>
      </c>
      <c r="Q103">
        <f t="shared" si="38"/>
        <v>2.1603273463630641</v>
      </c>
      <c r="R103">
        <f t="shared" si="39"/>
        <v>8.3543644423157079E-2</v>
      </c>
      <c r="S103">
        <f t="shared" si="40"/>
        <v>5.2376019509254981E-2</v>
      </c>
      <c r="T103">
        <f t="shared" si="41"/>
        <v>276.11624858399995</v>
      </c>
      <c r="U103">
        <f t="shared" si="42"/>
        <v>27.211815170852255</v>
      </c>
      <c r="V103">
        <f t="shared" si="43"/>
        <v>27.211815170852255</v>
      </c>
      <c r="W103">
        <f t="shared" si="44"/>
        <v>3.6239284832023442</v>
      </c>
      <c r="X103">
        <f t="shared" si="45"/>
        <v>68.532612064509863</v>
      </c>
      <c r="Y103">
        <f t="shared" si="46"/>
        <v>2.2408233289374797</v>
      </c>
      <c r="Z103">
        <f t="shared" si="47"/>
        <v>3.2697182573869927</v>
      </c>
      <c r="AA103">
        <f t="shared" si="48"/>
        <v>1.3831051542648645</v>
      </c>
      <c r="AB103">
        <f t="shared" si="49"/>
        <v>-53.191838581980114</v>
      </c>
      <c r="AC103">
        <f t="shared" si="50"/>
        <v>-202.95815072979588</v>
      </c>
      <c r="AD103">
        <f t="shared" si="51"/>
        <v>-20.141800662049437</v>
      </c>
      <c r="AE103">
        <f t="shared" si="52"/>
        <v>-0.17554138982546874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52537.244973454857</v>
      </c>
      <c r="AK103">
        <f t="shared" si="56"/>
        <v>1800</v>
      </c>
      <c r="AL103">
        <f t="shared" si="57"/>
        <v>1499.1099803999998</v>
      </c>
      <c r="AM103">
        <f t="shared" si="58"/>
        <v>0.83283887799999989</v>
      </c>
      <c r="AN103">
        <f t="shared" si="59"/>
        <v>0.15339791587999999</v>
      </c>
      <c r="AO103">
        <v>31.8</v>
      </c>
      <c r="AP103">
        <v>0.5</v>
      </c>
      <c r="AQ103" t="s">
        <v>331</v>
      </c>
      <c r="AR103">
        <v>2</v>
      </c>
      <c r="AS103">
        <v>1690389145.5999999</v>
      </c>
      <c r="AT103">
        <v>574.96699999999998</v>
      </c>
      <c r="AU103">
        <v>799.97900000000004</v>
      </c>
      <c r="AV103">
        <v>22.696100000000001</v>
      </c>
      <c r="AW103">
        <v>10.206099999999999</v>
      </c>
      <c r="AX103">
        <v>574.66700000000003</v>
      </c>
      <c r="AY103">
        <v>22.497699999999998</v>
      </c>
      <c r="AZ103">
        <v>300.12400000000002</v>
      </c>
      <c r="BA103">
        <v>98.631699999999995</v>
      </c>
      <c r="BB103">
        <v>9.9946800000000002E-2</v>
      </c>
      <c r="BC103">
        <v>25.469200000000001</v>
      </c>
      <c r="BD103">
        <v>26.978300000000001</v>
      </c>
      <c r="BE103">
        <v>26.923300000000001</v>
      </c>
      <c r="BF103">
        <v>0</v>
      </c>
      <c r="BG103">
        <v>0</v>
      </c>
      <c r="BH103">
        <v>10023.1</v>
      </c>
      <c r="BI103">
        <v>1059.79</v>
      </c>
      <c r="BJ103">
        <v>1.4016500000000001</v>
      </c>
      <c r="BK103">
        <v>-225.012</v>
      </c>
      <c r="BL103">
        <v>588.32000000000005</v>
      </c>
      <c r="BM103">
        <v>808.22799999999995</v>
      </c>
      <c r="BN103">
        <v>12.49</v>
      </c>
      <c r="BO103">
        <v>799.97900000000004</v>
      </c>
      <c r="BP103">
        <v>10.206099999999999</v>
      </c>
      <c r="BQ103">
        <v>2.23855</v>
      </c>
      <c r="BR103">
        <v>1.00664</v>
      </c>
      <c r="BS103">
        <v>19.2409</v>
      </c>
      <c r="BT103">
        <v>7.01288</v>
      </c>
      <c r="BU103">
        <v>1800</v>
      </c>
      <c r="BV103">
        <v>0.90998199999999996</v>
      </c>
      <c r="BW103">
        <v>3.40045E-2</v>
      </c>
      <c r="BX103">
        <v>2.2005400000000001E-2</v>
      </c>
      <c r="BY103">
        <v>3.4008200000000002E-2</v>
      </c>
      <c r="BZ103">
        <v>25</v>
      </c>
      <c r="CA103">
        <v>33528.300000000003</v>
      </c>
      <c r="CB103">
        <v>1690387638</v>
      </c>
      <c r="CC103" t="s">
        <v>332</v>
      </c>
      <c r="CD103">
        <v>1690387638</v>
      </c>
      <c r="CE103">
        <v>1690387638</v>
      </c>
      <c r="CF103">
        <v>6</v>
      </c>
      <c r="CG103">
        <v>0.43</v>
      </c>
      <c r="CH103">
        <v>-8.1000000000000003E-2</v>
      </c>
      <c r="CI103">
        <v>0.14199999999999999</v>
      </c>
      <c r="CJ103">
        <v>-2.7E-2</v>
      </c>
      <c r="CK103">
        <v>800</v>
      </c>
      <c r="CL103">
        <v>0</v>
      </c>
      <c r="CM103">
        <v>0.01</v>
      </c>
      <c r="CN103">
        <v>0.01</v>
      </c>
      <c r="CO103">
        <v>-220.90864999999999</v>
      </c>
      <c r="CP103">
        <v>-22.732863039398541</v>
      </c>
      <c r="CQ103">
        <v>2.1874666460314289</v>
      </c>
      <c r="CR103">
        <v>-1</v>
      </c>
      <c r="CS103">
        <v>12.190602500000001</v>
      </c>
      <c r="CT103">
        <v>1.6492671669793839</v>
      </c>
      <c r="CU103">
        <v>0.15880952346679331</v>
      </c>
      <c r="CV103">
        <v>-1</v>
      </c>
      <c r="CW103">
        <v>0</v>
      </c>
      <c r="CX103">
        <v>0</v>
      </c>
      <c r="CY103" t="s">
        <v>333</v>
      </c>
      <c r="CZ103">
        <v>2.3647399999999998</v>
      </c>
      <c r="DA103">
        <v>2.7137600000000002</v>
      </c>
      <c r="DB103">
        <v>0.116384</v>
      </c>
      <c r="DC103">
        <v>0.14559</v>
      </c>
      <c r="DD103">
        <v>0.109014</v>
      </c>
      <c r="DE103">
        <v>5.98507E-2</v>
      </c>
      <c r="DF103">
        <v>32286.2</v>
      </c>
      <c r="DG103">
        <v>27563.4</v>
      </c>
      <c r="DH103">
        <v>31192.3</v>
      </c>
      <c r="DI103">
        <v>28109.3</v>
      </c>
      <c r="DJ103">
        <v>37733.599999999999</v>
      </c>
      <c r="DK103">
        <v>37583.5</v>
      </c>
      <c r="DL103">
        <v>44393.7</v>
      </c>
      <c r="DM103">
        <v>42608.3</v>
      </c>
      <c r="DN103">
        <v>1.4677</v>
      </c>
      <c r="DO103">
        <v>2.0468199999999999</v>
      </c>
      <c r="DP103">
        <v>0.16294400000000001</v>
      </c>
      <c r="DQ103">
        <v>0.16333900000000001</v>
      </c>
      <c r="DR103">
        <v>24.307600000000001</v>
      </c>
      <c r="DS103">
        <v>24.245799999999999</v>
      </c>
      <c r="DT103">
        <v>53.7</v>
      </c>
      <c r="DU103">
        <v>28.8</v>
      </c>
      <c r="DV103">
        <v>21.645199999999999</v>
      </c>
      <c r="DW103">
        <v>61.002200000000002</v>
      </c>
      <c r="DX103">
        <v>36.362200000000001</v>
      </c>
      <c r="DY103">
        <v>1</v>
      </c>
      <c r="DZ103">
        <v>-0.11089400000000001</v>
      </c>
      <c r="EA103">
        <v>0.25551200000000002</v>
      </c>
      <c r="EB103">
        <v>20.190300000000001</v>
      </c>
      <c r="EC103">
        <v>5.2406499999999996</v>
      </c>
      <c r="ED103">
        <v>12.039899999999999</v>
      </c>
      <c r="EE103">
        <v>5.0168499999999998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1.8646199999999999</v>
      </c>
      <c r="EM103">
        <v>1.8692</v>
      </c>
      <c r="EN103">
        <v>1.8672500000000001</v>
      </c>
      <c r="EO103">
        <v>1.86338</v>
      </c>
      <c r="EP103">
        <v>1.8644700000000001</v>
      </c>
      <c r="EQ103">
        <v>1.87015</v>
      </c>
      <c r="ER103">
        <v>1.8694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0.3</v>
      </c>
      <c r="FG103">
        <v>0.19839999999999999</v>
      </c>
      <c r="FH103">
        <v>0.69281559908863044</v>
      </c>
      <c r="FI103">
        <v>-6.1462078757559423E-4</v>
      </c>
      <c r="FJ103">
        <v>-1.8861989874597051E-7</v>
      </c>
      <c r="FK103">
        <v>1.1980462299894961E-10</v>
      </c>
      <c r="FL103">
        <v>0.19840465858211129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25.1</v>
      </c>
      <c r="FU103">
        <v>25.1</v>
      </c>
      <c r="FV103">
        <v>1.77979</v>
      </c>
      <c r="FW103">
        <v>2.5817899999999998</v>
      </c>
      <c r="FX103">
        <v>1.5490699999999999</v>
      </c>
      <c r="FY103">
        <v>2.3315399999999999</v>
      </c>
      <c r="FZ103">
        <v>1.50146</v>
      </c>
      <c r="GA103">
        <v>2.3974600000000001</v>
      </c>
      <c r="GB103">
        <v>33.580399999999997</v>
      </c>
      <c r="GC103">
        <v>23.991199999999999</v>
      </c>
      <c r="GD103">
        <v>19</v>
      </c>
      <c r="GE103">
        <v>278.42899999999997</v>
      </c>
      <c r="GF103">
        <v>589.64400000000001</v>
      </c>
      <c r="GG103">
        <v>23.280899999999999</v>
      </c>
      <c r="GH103">
        <v>25.997199999999999</v>
      </c>
      <c r="GI103">
        <v>30</v>
      </c>
      <c r="GJ103">
        <v>26.1571</v>
      </c>
      <c r="GK103">
        <v>26.146899999999999</v>
      </c>
      <c r="GL103">
        <v>35.596299999999999</v>
      </c>
      <c r="GM103">
        <v>54.859099999999998</v>
      </c>
      <c r="GN103">
        <v>78.215299999999999</v>
      </c>
      <c r="GO103">
        <v>23.305299999999999</v>
      </c>
      <c r="GP103">
        <v>800</v>
      </c>
      <c r="GQ103">
        <v>10.0548</v>
      </c>
      <c r="GR103">
        <v>99.807400000000001</v>
      </c>
      <c r="GS103">
        <v>99.671599999999998</v>
      </c>
    </row>
    <row r="104" spans="1:201" x14ac:dyDescent="0.25">
      <c r="A104">
        <v>88</v>
      </c>
      <c r="B104">
        <v>1690389155.5999999</v>
      </c>
      <c r="C104">
        <v>897.09999990463257</v>
      </c>
      <c r="D104" t="s">
        <v>509</v>
      </c>
      <c r="E104" t="s">
        <v>510</v>
      </c>
      <c r="F104" t="s">
        <v>330</v>
      </c>
      <c r="H104">
        <v>1690389155.5999999</v>
      </c>
      <c r="I104">
        <f t="shared" si="30"/>
        <v>1.2305495554360501E-3</v>
      </c>
      <c r="J104">
        <f t="shared" si="31"/>
        <v>1.2305495554360502</v>
      </c>
      <c r="K104">
        <f t="shared" si="32"/>
        <v>20.905146278304485</v>
      </c>
      <c r="L104">
        <f t="shared" si="33"/>
        <v>571.19799999999998</v>
      </c>
      <c r="M104">
        <f t="shared" si="34"/>
        <v>171.68528319027669</v>
      </c>
      <c r="N104">
        <f t="shared" si="35"/>
        <v>16.949780631672215</v>
      </c>
      <c r="O104">
        <f t="shared" si="36"/>
        <v>56.392025090000395</v>
      </c>
      <c r="P104">
        <f t="shared" si="37"/>
        <v>8.7197438023257759E-2</v>
      </c>
      <c r="Q104">
        <f t="shared" si="38"/>
        <v>2.1548727074301874</v>
      </c>
      <c r="R104">
        <f t="shared" si="39"/>
        <v>8.5283591352823165E-2</v>
      </c>
      <c r="S104">
        <f t="shared" si="40"/>
        <v>5.3470697493251632E-2</v>
      </c>
      <c r="T104">
        <f t="shared" si="41"/>
        <v>276.11465403517769</v>
      </c>
      <c r="U104">
        <f t="shared" si="42"/>
        <v>27.217675803303372</v>
      </c>
      <c r="V104">
        <f t="shared" si="43"/>
        <v>27.217675803303372</v>
      </c>
      <c r="W104">
        <f t="shared" si="44"/>
        <v>3.6251740907904249</v>
      </c>
      <c r="X104">
        <f t="shared" si="45"/>
        <v>68.557300472794438</v>
      </c>
      <c r="Y104">
        <f t="shared" si="46"/>
        <v>2.2430026261161</v>
      </c>
      <c r="Z104">
        <f t="shared" si="47"/>
        <v>3.2717195844171107</v>
      </c>
      <c r="AA104">
        <f t="shared" si="48"/>
        <v>1.3821714646743248</v>
      </c>
      <c r="AB104">
        <f t="shared" si="49"/>
        <v>-54.267235394729809</v>
      </c>
      <c r="AC104">
        <f t="shared" si="50"/>
        <v>-201.92996217098033</v>
      </c>
      <c r="AD104">
        <f t="shared" si="51"/>
        <v>-20.092114904632343</v>
      </c>
      <c r="AE104">
        <f t="shared" si="52"/>
        <v>-0.17465843516481527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52306.214883854074</v>
      </c>
      <c r="AK104">
        <f t="shared" si="56"/>
        <v>1799.99</v>
      </c>
      <c r="AL104">
        <f t="shared" si="57"/>
        <v>1499.1020660089198</v>
      </c>
      <c r="AM104">
        <f t="shared" si="58"/>
        <v>0.83283910799999994</v>
      </c>
      <c r="AN104">
        <f t="shared" si="59"/>
        <v>0.15339788223</v>
      </c>
      <c r="AO104">
        <v>31.8</v>
      </c>
      <c r="AP104">
        <v>0.5</v>
      </c>
      <c r="AQ104" t="s">
        <v>331</v>
      </c>
      <c r="AR104">
        <v>2</v>
      </c>
      <c r="AS104">
        <v>1690389155.5999999</v>
      </c>
      <c r="AT104">
        <v>571.19799999999998</v>
      </c>
      <c r="AU104">
        <v>800.10199999999998</v>
      </c>
      <c r="AV104">
        <v>22.7195</v>
      </c>
      <c r="AW104">
        <v>9.9798799999999996</v>
      </c>
      <c r="AX104">
        <v>570.89499999999998</v>
      </c>
      <c r="AY104">
        <v>22.521100000000001</v>
      </c>
      <c r="AZ104">
        <v>300.185</v>
      </c>
      <c r="BA104">
        <v>98.625900000000001</v>
      </c>
      <c r="BB104">
        <v>9.9979799999999994E-2</v>
      </c>
      <c r="BC104">
        <v>25.479500000000002</v>
      </c>
      <c r="BD104">
        <v>26.9544</v>
      </c>
      <c r="BE104">
        <v>26.910299999999999</v>
      </c>
      <c r="BF104">
        <v>0</v>
      </c>
      <c r="BG104">
        <v>0</v>
      </c>
      <c r="BH104">
        <v>9978.1200000000008</v>
      </c>
      <c r="BI104">
        <v>1059.9000000000001</v>
      </c>
      <c r="BJ104">
        <v>1.37923</v>
      </c>
      <c r="BK104">
        <v>-228.904</v>
      </c>
      <c r="BL104">
        <v>584.47699999999998</v>
      </c>
      <c r="BM104">
        <v>808.16700000000003</v>
      </c>
      <c r="BN104">
        <v>12.739699999999999</v>
      </c>
      <c r="BO104">
        <v>800.10199999999998</v>
      </c>
      <c r="BP104">
        <v>9.9798799999999996</v>
      </c>
      <c r="BQ104">
        <v>2.2407300000000001</v>
      </c>
      <c r="BR104">
        <v>0.98427500000000001</v>
      </c>
      <c r="BS104">
        <v>19.256599999999999</v>
      </c>
      <c r="BT104">
        <v>6.6856600000000004</v>
      </c>
      <c r="BU104">
        <v>1799.99</v>
      </c>
      <c r="BV104">
        <v>0.90998400000000002</v>
      </c>
      <c r="BW104">
        <v>3.4003800000000001E-2</v>
      </c>
      <c r="BX104">
        <v>2.2004900000000001E-2</v>
      </c>
      <c r="BY104">
        <v>3.4007500000000003E-2</v>
      </c>
      <c r="BZ104">
        <v>25</v>
      </c>
      <c r="CA104">
        <v>33528.1</v>
      </c>
      <c r="CB104">
        <v>1690387638</v>
      </c>
      <c r="CC104" t="s">
        <v>332</v>
      </c>
      <c r="CD104">
        <v>1690387638</v>
      </c>
      <c r="CE104">
        <v>1690387638</v>
      </c>
      <c r="CF104">
        <v>6</v>
      </c>
      <c r="CG104">
        <v>0.43</v>
      </c>
      <c r="CH104">
        <v>-8.1000000000000003E-2</v>
      </c>
      <c r="CI104">
        <v>0.14199999999999999</v>
      </c>
      <c r="CJ104">
        <v>-2.7E-2</v>
      </c>
      <c r="CK104">
        <v>800</v>
      </c>
      <c r="CL104">
        <v>0</v>
      </c>
      <c r="CM104">
        <v>0.01</v>
      </c>
      <c r="CN104">
        <v>0.01</v>
      </c>
      <c r="CO104">
        <v>-225.04497499999999</v>
      </c>
      <c r="CP104">
        <v>-22.52288555347025</v>
      </c>
      <c r="CQ104">
        <v>2.1671277475901158</v>
      </c>
      <c r="CR104">
        <v>-1</v>
      </c>
      <c r="CS104">
        <v>12.4889475</v>
      </c>
      <c r="CT104">
        <v>1.6221196998123439</v>
      </c>
      <c r="CU104">
        <v>0.15628839366296499</v>
      </c>
      <c r="CV104">
        <v>-1</v>
      </c>
      <c r="CW104">
        <v>0</v>
      </c>
      <c r="CX104">
        <v>0</v>
      </c>
      <c r="CY104" t="s">
        <v>333</v>
      </c>
      <c r="CZ104">
        <v>2.3649300000000002</v>
      </c>
      <c r="DA104">
        <v>2.7137500000000001</v>
      </c>
      <c r="DB104">
        <v>0.11583499999999999</v>
      </c>
      <c r="DC104">
        <v>0.145593</v>
      </c>
      <c r="DD104">
        <v>0.10908900000000001</v>
      </c>
      <c r="DE104">
        <v>5.8826099999999999E-2</v>
      </c>
      <c r="DF104">
        <v>32306.400000000001</v>
      </c>
      <c r="DG104">
        <v>27563.9</v>
      </c>
      <c r="DH104">
        <v>31192.400000000001</v>
      </c>
      <c r="DI104">
        <v>28110</v>
      </c>
      <c r="DJ104">
        <v>37730.400000000001</v>
      </c>
      <c r="DK104">
        <v>37625.300000000003</v>
      </c>
      <c r="DL104">
        <v>44393.9</v>
      </c>
      <c r="DM104">
        <v>42609.2</v>
      </c>
      <c r="DN104">
        <v>1.4680800000000001</v>
      </c>
      <c r="DO104">
        <v>2.0461</v>
      </c>
      <c r="DP104">
        <v>0.16138</v>
      </c>
      <c r="DQ104">
        <v>0.16233300000000001</v>
      </c>
      <c r="DR104">
        <v>24.3093</v>
      </c>
      <c r="DS104">
        <v>24.249400000000001</v>
      </c>
      <c r="DT104">
        <v>53.4</v>
      </c>
      <c r="DU104">
        <v>28.8</v>
      </c>
      <c r="DV104">
        <v>21.523700000000002</v>
      </c>
      <c r="DW104">
        <v>60.302199999999999</v>
      </c>
      <c r="DX104">
        <v>36.193899999999999</v>
      </c>
      <c r="DY104">
        <v>1</v>
      </c>
      <c r="DZ104">
        <v>-0.109944</v>
      </c>
      <c r="EA104">
        <v>0.28991800000000001</v>
      </c>
      <c r="EB104">
        <v>20.190200000000001</v>
      </c>
      <c r="EC104">
        <v>5.2413999999999996</v>
      </c>
      <c r="ED104">
        <v>12.039899999999999</v>
      </c>
      <c r="EE104">
        <v>5.0170000000000003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1.8646100000000001</v>
      </c>
      <c r="EM104">
        <v>1.8692</v>
      </c>
      <c r="EN104">
        <v>1.8672299999999999</v>
      </c>
      <c r="EO104">
        <v>1.86338</v>
      </c>
      <c r="EP104">
        <v>1.8644400000000001</v>
      </c>
      <c r="EQ104">
        <v>1.8701700000000001</v>
      </c>
      <c r="ER104">
        <v>1.8693900000000001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0.30299999999999999</v>
      </c>
      <c r="FG104">
        <v>0.19839999999999999</v>
      </c>
      <c r="FH104">
        <v>0.69281559908863044</v>
      </c>
      <c r="FI104">
        <v>-6.1462078757559423E-4</v>
      </c>
      <c r="FJ104">
        <v>-1.8861989874597051E-7</v>
      </c>
      <c r="FK104">
        <v>1.1980462299894961E-10</v>
      </c>
      <c r="FL104">
        <v>0.19840465858211129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25.3</v>
      </c>
      <c r="FU104">
        <v>25.3</v>
      </c>
      <c r="FV104">
        <v>1.77979</v>
      </c>
      <c r="FW104">
        <v>2.5805699999999998</v>
      </c>
      <c r="FX104">
        <v>1.5490699999999999</v>
      </c>
      <c r="FY104">
        <v>2.3315399999999999</v>
      </c>
      <c r="FZ104">
        <v>1.50146</v>
      </c>
      <c r="GA104">
        <v>2.3950200000000001</v>
      </c>
      <c r="GB104">
        <v>33.580399999999997</v>
      </c>
      <c r="GC104">
        <v>23.991199999999999</v>
      </c>
      <c r="GD104">
        <v>19</v>
      </c>
      <c r="GE104">
        <v>278.57499999999999</v>
      </c>
      <c r="GF104">
        <v>589.00400000000002</v>
      </c>
      <c r="GG104">
        <v>23.330500000000001</v>
      </c>
      <c r="GH104">
        <v>25.993300000000001</v>
      </c>
      <c r="GI104">
        <v>30.000800000000002</v>
      </c>
      <c r="GJ104">
        <v>26.154299999999999</v>
      </c>
      <c r="GK104">
        <v>26.143599999999999</v>
      </c>
      <c r="GL104">
        <v>35.585799999999999</v>
      </c>
      <c r="GM104">
        <v>55.423400000000001</v>
      </c>
      <c r="GN104">
        <v>77.446600000000004</v>
      </c>
      <c r="GO104">
        <v>23.3415</v>
      </c>
      <c r="GP104">
        <v>800</v>
      </c>
      <c r="GQ104">
        <v>9.8198600000000003</v>
      </c>
      <c r="GR104">
        <v>99.8078</v>
      </c>
      <c r="GS104">
        <v>99.673900000000003</v>
      </c>
    </row>
    <row r="105" spans="1:201" x14ac:dyDescent="0.25">
      <c r="A105">
        <v>89</v>
      </c>
      <c r="B105">
        <v>1690389165.5999999</v>
      </c>
      <c r="C105">
        <v>907.09999990463257</v>
      </c>
      <c r="D105" t="s">
        <v>511</v>
      </c>
      <c r="E105" t="s">
        <v>512</v>
      </c>
      <c r="F105" t="s">
        <v>330</v>
      </c>
      <c r="H105">
        <v>1690389165.5999999</v>
      </c>
      <c r="I105">
        <f t="shared" si="30"/>
        <v>1.2537145549828444E-3</v>
      </c>
      <c r="J105">
        <f t="shared" si="31"/>
        <v>1.2537145549828443</v>
      </c>
      <c r="K105">
        <f t="shared" si="32"/>
        <v>21.24186501783176</v>
      </c>
      <c r="L105">
        <f t="shared" si="33"/>
        <v>567.40599999999995</v>
      </c>
      <c r="M105">
        <f t="shared" si="34"/>
        <v>169.67641750993036</v>
      </c>
      <c r="N105">
        <f t="shared" si="35"/>
        <v>16.751957742551706</v>
      </c>
      <c r="O105">
        <f t="shared" si="36"/>
        <v>56.019342430505986</v>
      </c>
      <c r="P105">
        <f t="shared" si="37"/>
        <v>8.9022779685679024E-2</v>
      </c>
      <c r="Q105">
        <f t="shared" si="38"/>
        <v>2.1569310003967317</v>
      </c>
      <c r="R105">
        <f t="shared" si="39"/>
        <v>8.7030811389351842E-2</v>
      </c>
      <c r="S105">
        <f t="shared" si="40"/>
        <v>5.4569515195417292E-2</v>
      </c>
      <c r="T105">
        <f t="shared" si="41"/>
        <v>276.11607011399997</v>
      </c>
      <c r="U105">
        <f t="shared" si="42"/>
        <v>27.215867882629198</v>
      </c>
      <c r="V105">
        <f t="shared" si="43"/>
        <v>27.215867882629198</v>
      </c>
      <c r="W105">
        <f t="shared" si="44"/>
        <v>3.6247897989438793</v>
      </c>
      <c r="X105">
        <f t="shared" si="45"/>
        <v>68.582002774564671</v>
      </c>
      <c r="Y105">
        <f t="shared" si="46"/>
        <v>2.2448373767273999</v>
      </c>
      <c r="Z105">
        <f t="shared" si="47"/>
        <v>3.2732164210870103</v>
      </c>
      <c r="AA105">
        <f t="shared" si="48"/>
        <v>1.3799524222164794</v>
      </c>
      <c r="AB105">
        <f t="shared" si="49"/>
        <v>-55.288811874743438</v>
      </c>
      <c r="AC105">
        <f t="shared" si="50"/>
        <v>-201.01721832698888</v>
      </c>
      <c r="AD105">
        <f t="shared" si="51"/>
        <v>-19.982798021144202</v>
      </c>
      <c r="AE105">
        <f t="shared" si="52"/>
        <v>-0.17275810887656462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52391.299405724567</v>
      </c>
      <c r="AK105">
        <f t="shared" si="56"/>
        <v>1800</v>
      </c>
      <c r="AL105">
        <f t="shared" si="57"/>
        <v>1499.1105473999999</v>
      </c>
      <c r="AM105">
        <f t="shared" si="58"/>
        <v>0.83283919299999998</v>
      </c>
      <c r="AN105">
        <f t="shared" si="59"/>
        <v>0.15339781672999997</v>
      </c>
      <c r="AO105">
        <v>31.8</v>
      </c>
      <c r="AP105">
        <v>0.5</v>
      </c>
      <c r="AQ105" t="s">
        <v>331</v>
      </c>
      <c r="AR105">
        <v>2</v>
      </c>
      <c r="AS105">
        <v>1690389165.5999999</v>
      </c>
      <c r="AT105">
        <v>567.40599999999995</v>
      </c>
      <c r="AU105">
        <v>800.04200000000003</v>
      </c>
      <c r="AV105">
        <v>22.737400000000001</v>
      </c>
      <c r="AW105">
        <v>9.7539999999999996</v>
      </c>
      <c r="AX105">
        <v>567.1</v>
      </c>
      <c r="AY105">
        <v>22.539000000000001</v>
      </c>
      <c r="AZ105">
        <v>300.08800000000002</v>
      </c>
      <c r="BA105">
        <v>98.628799999999998</v>
      </c>
      <c r="BB105">
        <v>0.100051</v>
      </c>
      <c r="BC105">
        <v>25.487200000000001</v>
      </c>
      <c r="BD105">
        <v>26.964300000000001</v>
      </c>
      <c r="BE105">
        <v>26.922699999999999</v>
      </c>
      <c r="BF105">
        <v>0</v>
      </c>
      <c r="BG105">
        <v>0</v>
      </c>
      <c r="BH105">
        <v>9995</v>
      </c>
      <c r="BI105">
        <v>1060.1199999999999</v>
      </c>
      <c r="BJ105">
        <v>1.3455900000000001</v>
      </c>
      <c r="BK105">
        <v>-232.636</v>
      </c>
      <c r="BL105">
        <v>580.60699999999997</v>
      </c>
      <c r="BM105">
        <v>807.92200000000003</v>
      </c>
      <c r="BN105">
        <v>12.9834</v>
      </c>
      <c r="BO105">
        <v>800.04200000000003</v>
      </c>
      <c r="BP105">
        <v>9.7539999999999996</v>
      </c>
      <c r="BQ105">
        <v>2.2425700000000002</v>
      </c>
      <c r="BR105">
        <v>0.96202500000000002</v>
      </c>
      <c r="BS105">
        <v>19.2697</v>
      </c>
      <c r="BT105">
        <v>6.3536000000000001</v>
      </c>
      <c r="BU105">
        <v>1800</v>
      </c>
      <c r="BV105">
        <v>0.90998599999999996</v>
      </c>
      <c r="BW105">
        <v>3.4002999999999999E-2</v>
      </c>
      <c r="BX105">
        <v>2.20044E-2</v>
      </c>
      <c r="BY105">
        <v>3.4006700000000001E-2</v>
      </c>
      <c r="BZ105">
        <v>25</v>
      </c>
      <c r="CA105">
        <v>33528.199999999997</v>
      </c>
      <c r="CB105">
        <v>1690387638</v>
      </c>
      <c r="CC105" t="s">
        <v>332</v>
      </c>
      <c r="CD105">
        <v>1690387638</v>
      </c>
      <c r="CE105">
        <v>1690387638</v>
      </c>
      <c r="CF105">
        <v>6</v>
      </c>
      <c r="CG105">
        <v>0.43</v>
      </c>
      <c r="CH105">
        <v>-8.1000000000000003E-2</v>
      </c>
      <c r="CI105">
        <v>0.14199999999999999</v>
      </c>
      <c r="CJ105">
        <v>-2.7E-2</v>
      </c>
      <c r="CK105">
        <v>800</v>
      </c>
      <c r="CL105">
        <v>0</v>
      </c>
      <c r="CM105">
        <v>0.01</v>
      </c>
      <c r="CN105">
        <v>0.01</v>
      </c>
      <c r="CO105">
        <v>-228.811025</v>
      </c>
      <c r="CP105">
        <v>-22.59889305816132</v>
      </c>
      <c r="CQ105">
        <v>2.17426831931457</v>
      </c>
      <c r="CR105">
        <v>-1</v>
      </c>
      <c r="CS105">
        <v>12.745369999999999</v>
      </c>
      <c r="CT105">
        <v>1.458112570356467</v>
      </c>
      <c r="CU105">
        <v>0.14054447196528211</v>
      </c>
      <c r="CV105">
        <v>-1</v>
      </c>
      <c r="CW105">
        <v>0</v>
      </c>
      <c r="CX105">
        <v>0</v>
      </c>
      <c r="CY105" t="s">
        <v>333</v>
      </c>
      <c r="CZ105">
        <v>2.3646099999999999</v>
      </c>
      <c r="DA105">
        <v>2.7138399999999998</v>
      </c>
      <c r="DB105">
        <v>0.115291</v>
      </c>
      <c r="DC105">
        <v>0.14558599999999999</v>
      </c>
      <c r="DD105">
        <v>0.109154</v>
      </c>
      <c r="DE105">
        <v>5.7799900000000001E-2</v>
      </c>
      <c r="DF105">
        <v>32326.799999999999</v>
      </c>
      <c r="DG105">
        <v>27564.5</v>
      </c>
      <c r="DH105">
        <v>31192.9</v>
      </c>
      <c r="DI105">
        <v>28110.400000000001</v>
      </c>
      <c r="DJ105">
        <v>37728.300000000003</v>
      </c>
      <c r="DK105">
        <v>37666.800000000003</v>
      </c>
      <c r="DL105">
        <v>44394.8</v>
      </c>
      <c r="DM105">
        <v>42609.599999999999</v>
      </c>
      <c r="DN105">
        <v>1.4680200000000001</v>
      </c>
      <c r="DO105">
        <v>2.0459000000000001</v>
      </c>
      <c r="DP105">
        <v>0.161856</v>
      </c>
      <c r="DQ105">
        <v>0.16286999999999999</v>
      </c>
      <c r="DR105">
        <v>24.311399999999999</v>
      </c>
      <c r="DS105">
        <v>24.253</v>
      </c>
      <c r="DT105">
        <v>53.1</v>
      </c>
      <c r="DU105">
        <v>28.8</v>
      </c>
      <c r="DV105">
        <v>21.405999999999999</v>
      </c>
      <c r="DW105">
        <v>61.252200000000002</v>
      </c>
      <c r="DX105">
        <v>36.706699999999998</v>
      </c>
      <c r="DY105">
        <v>1</v>
      </c>
      <c r="DZ105">
        <v>-0.110968</v>
      </c>
      <c r="EA105">
        <v>0.240539</v>
      </c>
      <c r="EB105">
        <v>20.190300000000001</v>
      </c>
      <c r="EC105">
        <v>5.2404999999999999</v>
      </c>
      <c r="ED105">
        <v>12.039899999999999</v>
      </c>
      <c r="EE105">
        <v>5.0170000000000003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1.8692</v>
      </c>
      <c r="EN105">
        <v>1.8672200000000001</v>
      </c>
      <c r="EO105">
        <v>1.86337</v>
      </c>
      <c r="EP105">
        <v>1.8644700000000001</v>
      </c>
      <c r="EQ105">
        <v>1.8701399999999999</v>
      </c>
      <c r="ER105">
        <v>1.86938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0.30599999999999999</v>
      </c>
      <c r="FG105">
        <v>0.19839999999999999</v>
      </c>
      <c r="FH105">
        <v>0.69281559908863044</v>
      </c>
      <c r="FI105">
        <v>-6.1462078757559423E-4</v>
      </c>
      <c r="FJ105">
        <v>-1.8861989874597051E-7</v>
      </c>
      <c r="FK105">
        <v>1.1980462299894961E-10</v>
      </c>
      <c r="FL105">
        <v>0.19840465858211129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25.5</v>
      </c>
      <c r="FU105">
        <v>25.5</v>
      </c>
      <c r="FV105">
        <v>1.77979</v>
      </c>
      <c r="FW105">
        <v>2.5817899999999998</v>
      </c>
      <c r="FX105">
        <v>1.5490699999999999</v>
      </c>
      <c r="FY105">
        <v>2.3315399999999999</v>
      </c>
      <c r="FZ105">
        <v>1.50146</v>
      </c>
      <c r="GA105">
        <v>2.3327599999999999</v>
      </c>
      <c r="GB105">
        <v>33.580399999999997</v>
      </c>
      <c r="GC105">
        <v>23.982399999999998</v>
      </c>
      <c r="GD105">
        <v>19</v>
      </c>
      <c r="GE105">
        <v>278.536</v>
      </c>
      <c r="GF105">
        <v>588.79300000000001</v>
      </c>
      <c r="GG105">
        <v>23.378499999999999</v>
      </c>
      <c r="GH105">
        <v>25.99</v>
      </c>
      <c r="GI105">
        <v>29.9999</v>
      </c>
      <c r="GJ105">
        <v>26.15</v>
      </c>
      <c r="GK105">
        <v>26.139800000000001</v>
      </c>
      <c r="GL105">
        <v>35.579900000000002</v>
      </c>
      <c r="GM105">
        <v>56.032800000000002</v>
      </c>
      <c r="GN105">
        <v>76.665899999999993</v>
      </c>
      <c r="GO105">
        <v>23.391999999999999</v>
      </c>
      <c r="GP105">
        <v>800</v>
      </c>
      <c r="GQ105">
        <v>9.5856100000000009</v>
      </c>
      <c r="GR105">
        <v>99.809700000000007</v>
      </c>
      <c r="GS105">
        <v>99.674899999999994</v>
      </c>
    </row>
    <row r="106" spans="1:201" x14ac:dyDescent="0.25">
      <c r="A106">
        <v>90</v>
      </c>
      <c r="B106">
        <v>1690389175.5999999</v>
      </c>
      <c r="C106">
        <v>917.09999990463257</v>
      </c>
      <c r="D106" t="s">
        <v>513</v>
      </c>
      <c r="E106" t="s">
        <v>514</v>
      </c>
      <c r="F106" t="s">
        <v>330</v>
      </c>
      <c r="H106">
        <v>1690389175.5999999</v>
      </c>
      <c r="I106">
        <f t="shared" si="30"/>
        <v>1.2794692101119462E-3</v>
      </c>
      <c r="J106">
        <f t="shared" si="31"/>
        <v>1.2794692101119463</v>
      </c>
      <c r="K106">
        <f t="shared" si="32"/>
        <v>21.593887864416644</v>
      </c>
      <c r="L106">
        <f t="shared" si="33"/>
        <v>563.67200000000003</v>
      </c>
      <c r="M106">
        <f t="shared" si="34"/>
        <v>167.62897474604503</v>
      </c>
      <c r="N106">
        <f t="shared" si="35"/>
        <v>16.548682982930249</v>
      </c>
      <c r="O106">
        <f t="shared" si="36"/>
        <v>55.646878759988006</v>
      </c>
      <c r="P106">
        <f t="shared" si="37"/>
        <v>9.0912135076134618E-2</v>
      </c>
      <c r="Q106">
        <f t="shared" si="38"/>
        <v>2.1577475958759571</v>
      </c>
      <c r="R106">
        <f t="shared" si="39"/>
        <v>8.8836546162182534E-2</v>
      </c>
      <c r="S106">
        <f t="shared" si="40"/>
        <v>5.5705377946060772E-2</v>
      </c>
      <c r="T106">
        <f t="shared" si="41"/>
        <v>276.115854168</v>
      </c>
      <c r="U106">
        <f t="shared" si="42"/>
        <v>27.221459260638067</v>
      </c>
      <c r="V106">
        <f t="shared" si="43"/>
        <v>27.221459260638067</v>
      </c>
      <c r="W106">
        <f t="shared" si="44"/>
        <v>3.6259784180360408</v>
      </c>
      <c r="X106">
        <f t="shared" si="45"/>
        <v>68.568862326283167</v>
      </c>
      <c r="Y106">
        <f t="shared" si="46"/>
        <v>2.2464211920824999</v>
      </c>
      <c r="Z106">
        <f t="shared" si="47"/>
        <v>3.2761535132272761</v>
      </c>
      <c r="AA106">
        <f t="shared" si="48"/>
        <v>1.3795572259535409</v>
      </c>
      <c r="AB106">
        <f t="shared" si="49"/>
        <v>-56.424592165936829</v>
      </c>
      <c r="AC106">
        <f t="shared" si="50"/>
        <v>-199.98719808974425</v>
      </c>
      <c r="AD106">
        <f t="shared" si="51"/>
        <v>-19.874940348504321</v>
      </c>
      <c r="AE106">
        <f t="shared" si="52"/>
        <v>-0.17087643618538095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52422.792741866746</v>
      </c>
      <c r="AK106">
        <f t="shared" si="56"/>
        <v>1800</v>
      </c>
      <c r="AL106">
        <f t="shared" si="57"/>
        <v>1499.1102827999998</v>
      </c>
      <c r="AM106">
        <f t="shared" si="58"/>
        <v>0.83283904599999992</v>
      </c>
      <c r="AN106">
        <f t="shared" si="59"/>
        <v>0.15339769676000001</v>
      </c>
      <c r="AO106">
        <v>31.8</v>
      </c>
      <c r="AP106">
        <v>0.5</v>
      </c>
      <c r="AQ106" t="s">
        <v>331</v>
      </c>
      <c r="AR106">
        <v>2</v>
      </c>
      <c r="AS106">
        <v>1690389175.5999999</v>
      </c>
      <c r="AT106">
        <v>563.67200000000003</v>
      </c>
      <c r="AU106">
        <v>800.11500000000001</v>
      </c>
      <c r="AV106">
        <v>22.754999999999999</v>
      </c>
      <c r="AW106">
        <v>9.5066699999999997</v>
      </c>
      <c r="AX106">
        <v>563.36400000000003</v>
      </c>
      <c r="AY106">
        <v>22.5566</v>
      </c>
      <c r="AZ106">
        <v>300.12299999999999</v>
      </c>
      <c r="BA106">
        <v>98.622100000000003</v>
      </c>
      <c r="BB106">
        <v>9.9991499999999997E-2</v>
      </c>
      <c r="BC106">
        <v>25.502300000000002</v>
      </c>
      <c r="BD106">
        <v>26.941500000000001</v>
      </c>
      <c r="BE106">
        <v>26.917400000000001</v>
      </c>
      <c r="BF106">
        <v>0</v>
      </c>
      <c r="BG106">
        <v>0</v>
      </c>
      <c r="BH106">
        <v>10002.5</v>
      </c>
      <c r="BI106">
        <v>1060.26</v>
      </c>
      <c r="BJ106">
        <v>1.3455900000000001</v>
      </c>
      <c r="BK106">
        <v>-236.44300000000001</v>
      </c>
      <c r="BL106">
        <v>576.79700000000003</v>
      </c>
      <c r="BM106">
        <v>807.79499999999996</v>
      </c>
      <c r="BN106">
        <v>13.2484</v>
      </c>
      <c r="BO106">
        <v>800.11500000000001</v>
      </c>
      <c r="BP106">
        <v>9.5066699999999997</v>
      </c>
      <c r="BQ106">
        <v>2.2441499999999999</v>
      </c>
      <c r="BR106">
        <v>0.93756799999999996</v>
      </c>
      <c r="BS106">
        <v>19.280999999999999</v>
      </c>
      <c r="BT106">
        <v>5.9806699999999999</v>
      </c>
      <c r="BU106">
        <v>1800</v>
      </c>
      <c r="BV106">
        <v>0.90998800000000002</v>
      </c>
      <c r="BW106">
        <v>3.40021E-2</v>
      </c>
      <c r="BX106">
        <v>2.20038E-2</v>
      </c>
      <c r="BY106">
        <v>3.4005800000000003E-2</v>
      </c>
      <c r="BZ106">
        <v>25</v>
      </c>
      <c r="CA106">
        <v>33528.199999999997</v>
      </c>
      <c r="CB106">
        <v>1690387638</v>
      </c>
      <c r="CC106" t="s">
        <v>332</v>
      </c>
      <c r="CD106">
        <v>1690387638</v>
      </c>
      <c r="CE106">
        <v>1690387638</v>
      </c>
      <c r="CF106">
        <v>6</v>
      </c>
      <c r="CG106">
        <v>0.43</v>
      </c>
      <c r="CH106">
        <v>-8.1000000000000003E-2</v>
      </c>
      <c r="CI106">
        <v>0.14199999999999999</v>
      </c>
      <c r="CJ106">
        <v>-2.7E-2</v>
      </c>
      <c r="CK106">
        <v>800</v>
      </c>
      <c r="CL106">
        <v>0</v>
      </c>
      <c r="CM106">
        <v>0.01</v>
      </c>
      <c r="CN106">
        <v>0.01</v>
      </c>
      <c r="CO106">
        <v>-232.16897499999999</v>
      </c>
      <c r="CP106">
        <v>-22.231260787991829</v>
      </c>
      <c r="CQ106">
        <v>2.1390124647544719</v>
      </c>
      <c r="CR106">
        <v>-1</v>
      </c>
      <c r="CS106">
        <v>12.9613525</v>
      </c>
      <c r="CT106">
        <v>1.4618330206378971</v>
      </c>
      <c r="CU106">
        <v>0.14077478287587611</v>
      </c>
      <c r="CV106">
        <v>-1</v>
      </c>
      <c r="CW106">
        <v>0</v>
      </c>
      <c r="CX106">
        <v>0</v>
      </c>
      <c r="CY106" t="s">
        <v>333</v>
      </c>
      <c r="CZ106">
        <v>2.3647300000000002</v>
      </c>
      <c r="DA106">
        <v>2.7137799999999999</v>
      </c>
      <c r="DB106">
        <v>0.114743</v>
      </c>
      <c r="DC106">
        <v>0.14558199999999999</v>
      </c>
      <c r="DD106">
        <v>0.109208</v>
      </c>
      <c r="DE106">
        <v>5.6661000000000003E-2</v>
      </c>
      <c r="DF106">
        <v>32348</v>
      </c>
      <c r="DG106">
        <v>27565.4</v>
      </c>
      <c r="DH106">
        <v>31194</v>
      </c>
      <c r="DI106">
        <v>28111.1</v>
      </c>
      <c r="DJ106">
        <v>37727</v>
      </c>
      <c r="DK106">
        <v>37713.699999999997</v>
      </c>
      <c r="DL106">
        <v>44396</v>
      </c>
      <c r="DM106">
        <v>42611</v>
      </c>
      <c r="DN106">
        <v>1.4684699999999999</v>
      </c>
      <c r="DO106">
        <v>2.0457000000000001</v>
      </c>
      <c r="DP106">
        <v>0.160165</v>
      </c>
      <c r="DQ106">
        <v>0.16216900000000001</v>
      </c>
      <c r="DR106">
        <v>24.316299999999998</v>
      </c>
      <c r="DS106">
        <v>24.2591</v>
      </c>
      <c r="DT106">
        <v>52.9</v>
      </c>
      <c r="DU106">
        <v>28.8</v>
      </c>
      <c r="DV106">
        <v>21.325099999999999</v>
      </c>
      <c r="DW106">
        <v>61.152200000000001</v>
      </c>
      <c r="DX106">
        <v>37.171500000000002</v>
      </c>
      <c r="DY106">
        <v>1</v>
      </c>
      <c r="DZ106">
        <v>-0.11162900000000001</v>
      </c>
      <c r="EA106">
        <v>0.19822400000000001</v>
      </c>
      <c r="EB106">
        <v>20.1905</v>
      </c>
      <c r="EC106">
        <v>5.2409499999999998</v>
      </c>
      <c r="ED106">
        <v>12.039899999999999</v>
      </c>
      <c r="EE106">
        <v>5.0169499999999996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1.8646199999999999</v>
      </c>
      <c r="EM106">
        <v>1.8692</v>
      </c>
      <c r="EN106">
        <v>1.8672200000000001</v>
      </c>
      <c r="EO106">
        <v>1.86338</v>
      </c>
      <c r="EP106">
        <v>1.8644700000000001</v>
      </c>
      <c r="EQ106">
        <v>1.8701399999999999</v>
      </c>
      <c r="ER106">
        <v>1.8694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0.308</v>
      </c>
      <c r="FG106">
        <v>0.19839999999999999</v>
      </c>
      <c r="FH106">
        <v>0.69281559908863044</v>
      </c>
      <c r="FI106">
        <v>-6.1462078757559423E-4</v>
      </c>
      <c r="FJ106">
        <v>-1.8861989874597051E-7</v>
      </c>
      <c r="FK106">
        <v>1.1980462299894961E-10</v>
      </c>
      <c r="FL106">
        <v>0.19840465858211129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25.6</v>
      </c>
      <c r="FU106">
        <v>25.6</v>
      </c>
      <c r="FV106">
        <v>1.77979</v>
      </c>
      <c r="FW106">
        <v>2.5854499999999998</v>
      </c>
      <c r="FX106">
        <v>1.5490699999999999</v>
      </c>
      <c r="FY106">
        <v>2.3315399999999999</v>
      </c>
      <c r="FZ106">
        <v>1.50146</v>
      </c>
      <c r="GA106">
        <v>2.2997999999999998</v>
      </c>
      <c r="GB106">
        <v>33.558</v>
      </c>
      <c r="GC106">
        <v>23.982399999999998</v>
      </c>
      <c r="GD106">
        <v>19</v>
      </c>
      <c r="GE106">
        <v>278.71100000000001</v>
      </c>
      <c r="GF106">
        <v>588.58900000000006</v>
      </c>
      <c r="GG106">
        <v>23.424600000000002</v>
      </c>
      <c r="GH106">
        <v>25.986599999999999</v>
      </c>
      <c r="GI106">
        <v>29.999700000000001</v>
      </c>
      <c r="GJ106">
        <v>26.146699999999999</v>
      </c>
      <c r="GK106">
        <v>26.136500000000002</v>
      </c>
      <c r="GL106">
        <v>35.573599999999999</v>
      </c>
      <c r="GM106">
        <v>56.6203</v>
      </c>
      <c r="GN106">
        <v>75.871499999999997</v>
      </c>
      <c r="GO106">
        <v>23.450600000000001</v>
      </c>
      <c r="GP106">
        <v>800</v>
      </c>
      <c r="GQ106">
        <v>9.3451500000000003</v>
      </c>
      <c r="GR106">
        <v>99.812700000000007</v>
      </c>
      <c r="GS106">
        <v>99.677999999999997</v>
      </c>
    </row>
    <row r="107" spans="1:201" x14ac:dyDescent="0.25">
      <c r="A107">
        <v>91</v>
      </c>
      <c r="B107">
        <v>1690389185.5999999</v>
      </c>
      <c r="C107">
        <v>927.09999990463257</v>
      </c>
      <c r="D107" t="s">
        <v>515</v>
      </c>
      <c r="E107" t="s">
        <v>516</v>
      </c>
      <c r="F107" t="s">
        <v>330</v>
      </c>
      <c r="H107">
        <v>1690389185.5999999</v>
      </c>
      <c r="I107">
        <f t="shared" si="30"/>
        <v>1.2981789121815233E-3</v>
      </c>
      <c r="J107">
        <f t="shared" si="31"/>
        <v>1.2981789121815233</v>
      </c>
      <c r="K107">
        <f t="shared" si="32"/>
        <v>21.92606738225625</v>
      </c>
      <c r="L107">
        <f t="shared" si="33"/>
        <v>559.97900000000004</v>
      </c>
      <c r="M107">
        <f t="shared" si="34"/>
        <v>163.90387562400932</v>
      </c>
      <c r="N107">
        <f t="shared" si="35"/>
        <v>16.18077253490414</v>
      </c>
      <c r="O107">
        <f t="shared" si="36"/>
        <v>55.281748456690003</v>
      </c>
      <c r="P107">
        <f t="shared" si="37"/>
        <v>9.2312252464066213E-2</v>
      </c>
      <c r="Q107">
        <f t="shared" si="38"/>
        <v>2.1547400948543665</v>
      </c>
      <c r="R107">
        <f t="shared" si="39"/>
        <v>9.0170139072591318E-2</v>
      </c>
      <c r="S107">
        <f t="shared" si="40"/>
        <v>5.65446571772283E-2</v>
      </c>
      <c r="T107">
        <f t="shared" si="41"/>
        <v>276.11597944800002</v>
      </c>
      <c r="U107">
        <f t="shared" si="42"/>
        <v>27.227563316943197</v>
      </c>
      <c r="V107">
        <f t="shared" si="43"/>
        <v>27.227563316943197</v>
      </c>
      <c r="W107">
        <f t="shared" si="44"/>
        <v>3.627276411042637</v>
      </c>
      <c r="X107">
        <f t="shared" si="45"/>
        <v>68.583359500099732</v>
      </c>
      <c r="Y107">
        <f t="shared" si="46"/>
        <v>2.2482844312510002</v>
      </c>
      <c r="Z107">
        <f t="shared" si="47"/>
        <v>3.2781777498778411</v>
      </c>
      <c r="AA107">
        <f t="shared" si="48"/>
        <v>1.3789919797916368</v>
      </c>
      <c r="AB107">
        <f t="shared" si="49"/>
        <v>-57.249690027205176</v>
      </c>
      <c r="AC107">
        <f t="shared" si="50"/>
        <v>-199.20940883780617</v>
      </c>
      <c r="AD107">
        <f t="shared" si="51"/>
        <v>-19.826914287690997</v>
      </c>
      <c r="AE107">
        <f t="shared" si="52"/>
        <v>-0.17003370470234813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52294.733593013232</v>
      </c>
      <c r="AK107">
        <f t="shared" si="56"/>
        <v>1800</v>
      </c>
      <c r="AL107">
        <f t="shared" si="57"/>
        <v>1499.1118218000001</v>
      </c>
      <c r="AM107">
        <f t="shared" si="58"/>
        <v>0.83283990100000005</v>
      </c>
      <c r="AN107">
        <f t="shared" si="59"/>
        <v>0.15339776636000002</v>
      </c>
      <c r="AO107">
        <v>31.8</v>
      </c>
      <c r="AP107">
        <v>0.5</v>
      </c>
      <c r="AQ107" t="s">
        <v>331</v>
      </c>
      <c r="AR107">
        <v>2</v>
      </c>
      <c r="AS107">
        <v>1690389185.5999999</v>
      </c>
      <c r="AT107">
        <v>559.97900000000004</v>
      </c>
      <c r="AU107">
        <v>800.03300000000002</v>
      </c>
      <c r="AV107">
        <v>22.774100000000001</v>
      </c>
      <c r="AW107">
        <v>9.3306000000000004</v>
      </c>
      <c r="AX107">
        <v>559.66800000000001</v>
      </c>
      <c r="AY107">
        <v>22.575700000000001</v>
      </c>
      <c r="AZ107">
        <v>300.08499999999998</v>
      </c>
      <c r="BA107">
        <v>98.621099999999998</v>
      </c>
      <c r="BB107">
        <v>0.10001</v>
      </c>
      <c r="BC107">
        <v>25.512699999999999</v>
      </c>
      <c r="BD107">
        <v>26.951899999999998</v>
      </c>
      <c r="BE107">
        <v>26.923200000000001</v>
      </c>
      <c r="BF107">
        <v>0</v>
      </c>
      <c r="BG107">
        <v>0</v>
      </c>
      <c r="BH107">
        <v>9977.5</v>
      </c>
      <c r="BI107">
        <v>1060.33</v>
      </c>
      <c r="BJ107">
        <v>1.3455900000000001</v>
      </c>
      <c r="BK107">
        <v>-240.05500000000001</v>
      </c>
      <c r="BL107">
        <v>573.029</v>
      </c>
      <c r="BM107">
        <v>807.56799999999998</v>
      </c>
      <c r="BN107">
        <v>13.4435</v>
      </c>
      <c r="BO107">
        <v>800.03300000000002</v>
      </c>
      <c r="BP107">
        <v>9.3306000000000004</v>
      </c>
      <c r="BQ107">
        <v>2.2460100000000001</v>
      </c>
      <c r="BR107">
        <v>0.92019399999999996</v>
      </c>
      <c r="BS107">
        <v>19.2943</v>
      </c>
      <c r="BT107">
        <v>5.7104900000000001</v>
      </c>
      <c r="BU107">
        <v>1800</v>
      </c>
      <c r="BV107">
        <v>0.90999099999999999</v>
      </c>
      <c r="BW107">
        <v>3.4001200000000002E-2</v>
      </c>
      <c r="BX107">
        <v>2.20033E-2</v>
      </c>
      <c r="BY107">
        <v>3.4005000000000001E-2</v>
      </c>
      <c r="BZ107">
        <v>25</v>
      </c>
      <c r="CA107">
        <v>33528.199999999997</v>
      </c>
      <c r="CB107">
        <v>1690387638</v>
      </c>
      <c r="CC107" t="s">
        <v>332</v>
      </c>
      <c r="CD107">
        <v>1690387638</v>
      </c>
      <c r="CE107">
        <v>1690387638</v>
      </c>
      <c r="CF107">
        <v>6</v>
      </c>
      <c r="CG107">
        <v>0.43</v>
      </c>
      <c r="CH107">
        <v>-8.1000000000000003E-2</v>
      </c>
      <c r="CI107">
        <v>0.14199999999999999</v>
      </c>
      <c r="CJ107">
        <v>-2.7E-2</v>
      </c>
      <c r="CK107">
        <v>800</v>
      </c>
      <c r="CL107">
        <v>0</v>
      </c>
      <c r="CM107">
        <v>0.01</v>
      </c>
      <c r="CN107">
        <v>0.01</v>
      </c>
      <c r="CO107">
        <v>-235.99636585365849</v>
      </c>
      <c r="CP107">
        <v>-22.397038327525689</v>
      </c>
      <c r="CQ107">
        <v>2.2091338635598108</v>
      </c>
      <c r="CR107">
        <v>-1</v>
      </c>
      <c r="CS107">
        <v>13.215114634146341</v>
      </c>
      <c r="CT107">
        <v>1.4978425087108069</v>
      </c>
      <c r="CU107">
        <v>0.1480740282244738</v>
      </c>
      <c r="CV107">
        <v>-1</v>
      </c>
      <c r="CW107">
        <v>0</v>
      </c>
      <c r="CX107">
        <v>0</v>
      </c>
      <c r="CY107" t="s">
        <v>333</v>
      </c>
      <c r="CZ107">
        <v>2.3645900000000002</v>
      </c>
      <c r="DA107">
        <v>2.7137799999999999</v>
      </c>
      <c r="DB107">
        <v>0.114205</v>
      </c>
      <c r="DC107">
        <v>0.145568</v>
      </c>
      <c r="DD107">
        <v>0.109273</v>
      </c>
      <c r="DE107">
        <v>5.5846399999999997E-2</v>
      </c>
      <c r="DF107">
        <v>32368.2</v>
      </c>
      <c r="DG107">
        <v>27566.6</v>
      </c>
      <c r="DH107">
        <v>31194.6</v>
      </c>
      <c r="DI107">
        <v>28111.9</v>
      </c>
      <c r="DJ107">
        <v>37724.9</v>
      </c>
      <c r="DK107">
        <v>37747</v>
      </c>
      <c r="DL107">
        <v>44396.800000000003</v>
      </c>
      <c r="DM107">
        <v>42611.8</v>
      </c>
      <c r="DN107">
        <v>1.4685299999999999</v>
      </c>
      <c r="DO107">
        <v>2.0453800000000002</v>
      </c>
      <c r="DP107">
        <v>0.16045599999999999</v>
      </c>
      <c r="DQ107">
        <v>0.16218399999999999</v>
      </c>
      <c r="DR107">
        <v>24.321899999999999</v>
      </c>
      <c r="DS107">
        <v>24.264700000000001</v>
      </c>
      <c r="DT107">
        <v>52.7</v>
      </c>
      <c r="DU107">
        <v>28.8</v>
      </c>
      <c r="DV107">
        <v>21.244399999999999</v>
      </c>
      <c r="DW107">
        <v>60.602200000000003</v>
      </c>
      <c r="DX107">
        <v>37.347799999999999</v>
      </c>
      <c r="DY107">
        <v>1</v>
      </c>
      <c r="DZ107">
        <v>-0.11250300000000001</v>
      </c>
      <c r="EA107">
        <v>0.127688</v>
      </c>
      <c r="EB107">
        <v>20.1906</v>
      </c>
      <c r="EC107">
        <v>5.2406499999999996</v>
      </c>
      <c r="ED107">
        <v>12.039899999999999</v>
      </c>
      <c r="EE107">
        <v>5.0166000000000004</v>
      </c>
      <c r="EF107">
        <v>3.2879499999999999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1.8646199999999999</v>
      </c>
      <c r="EM107">
        <v>1.8692</v>
      </c>
      <c r="EN107">
        <v>1.8672299999999999</v>
      </c>
      <c r="EO107">
        <v>1.86337</v>
      </c>
      <c r="EP107">
        <v>1.8644700000000001</v>
      </c>
      <c r="EQ107">
        <v>1.8701399999999999</v>
      </c>
      <c r="ER107">
        <v>1.8693900000000001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0.311</v>
      </c>
      <c r="FG107">
        <v>0.19839999999999999</v>
      </c>
      <c r="FH107">
        <v>0.69281559908863044</v>
      </c>
      <c r="FI107">
        <v>-6.1462078757559423E-4</v>
      </c>
      <c r="FJ107">
        <v>-1.8861989874597051E-7</v>
      </c>
      <c r="FK107">
        <v>1.1980462299894961E-10</v>
      </c>
      <c r="FL107">
        <v>0.19840465858211129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25.8</v>
      </c>
      <c r="FU107">
        <v>25.8</v>
      </c>
      <c r="FV107">
        <v>1.77979</v>
      </c>
      <c r="FW107">
        <v>2.5866699999999998</v>
      </c>
      <c r="FX107">
        <v>1.5490699999999999</v>
      </c>
      <c r="FY107">
        <v>2.3315399999999999</v>
      </c>
      <c r="FZ107">
        <v>1.50146</v>
      </c>
      <c r="GA107">
        <v>2.33643</v>
      </c>
      <c r="GB107">
        <v>33.558</v>
      </c>
      <c r="GC107">
        <v>23.982399999999998</v>
      </c>
      <c r="GD107">
        <v>19</v>
      </c>
      <c r="GE107">
        <v>278.71699999999998</v>
      </c>
      <c r="GF107">
        <v>588.28200000000004</v>
      </c>
      <c r="GG107">
        <v>23.491</v>
      </c>
      <c r="GH107">
        <v>25.982900000000001</v>
      </c>
      <c r="GI107">
        <v>29.999700000000001</v>
      </c>
      <c r="GJ107">
        <v>26.1435</v>
      </c>
      <c r="GK107">
        <v>26.133199999999999</v>
      </c>
      <c r="GL107">
        <v>35.569299999999998</v>
      </c>
      <c r="GM107">
        <v>57.225200000000001</v>
      </c>
      <c r="GN107">
        <v>75.4816</v>
      </c>
      <c r="GO107">
        <v>23.517399999999999</v>
      </c>
      <c r="GP107">
        <v>800</v>
      </c>
      <c r="GQ107">
        <v>9.1920099999999998</v>
      </c>
      <c r="GR107">
        <v>99.814599999999999</v>
      </c>
      <c r="GS107">
        <v>99.680199999999999</v>
      </c>
    </row>
    <row r="108" spans="1:201" x14ac:dyDescent="0.25">
      <c r="A108">
        <v>92</v>
      </c>
      <c r="B108">
        <v>1690389195.5999999</v>
      </c>
      <c r="C108">
        <v>937.09999990463257</v>
      </c>
      <c r="D108" t="s">
        <v>517</v>
      </c>
      <c r="E108" t="s">
        <v>518</v>
      </c>
      <c r="F108" t="s">
        <v>330</v>
      </c>
      <c r="H108">
        <v>1690389195.5999999</v>
      </c>
      <c r="I108">
        <f t="shared" si="30"/>
        <v>1.3233398990843608E-3</v>
      </c>
      <c r="J108">
        <f t="shared" si="31"/>
        <v>1.3233398990843608</v>
      </c>
      <c r="K108">
        <f t="shared" si="32"/>
        <v>22.276374291062112</v>
      </c>
      <c r="L108">
        <f t="shared" si="33"/>
        <v>556.26099999999997</v>
      </c>
      <c r="M108">
        <f t="shared" si="34"/>
        <v>162.4350461414146</v>
      </c>
      <c r="N108">
        <f t="shared" si="35"/>
        <v>16.034681529958025</v>
      </c>
      <c r="O108">
        <f t="shared" si="36"/>
        <v>54.910982539880997</v>
      </c>
      <c r="P108">
        <f t="shared" si="37"/>
        <v>9.435224086513215E-2</v>
      </c>
      <c r="Q108">
        <f t="shared" si="38"/>
        <v>2.1596752207393743</v>
      </c>
      <c r="R108">
        <f t="shared" si="39"/>
        <v>9.2120621441446573E-2</v>
      </c>
      <c r="S108">
        <f t="shared" si="40"/>
        <v>5.7771494348537525E-2</v>
      </c>
      <c r="T108">
        <f t="shared" si="41"/>
        <v>276.11568419400004</v>
      </c>
      <c r="U108">
        <f t="shared" si="42"/>
        <v>27.22879698289875</v>
      </c>
      <c r="V108">
        <f t="shared" si="43"/>
        <v>27.22879698289875</v>
      </c>
      <c r="W108">
        <f t="shared" si="44"/>
        <v>3.6275387923807192</v>
      </c>
      <c r="X108">
        <f t="shared" si="45"/>
        <v>68.63267364225679</v>
      </c>
      <c r="Y108">
        <f t="shared" si="46"/>
        <v>2.2517055573363001</v>
      </c>
      <c r="Z108">
        <f t="shared" si="47"/>
        <v>3.2808069944545135</v>
      </c>
      <c r="AA108">
        <f t="shared" si="48"/>
        <v>1.3758332350444191</v>
      </c>
      <c r="AB108">
        <f t="shared" si="49"/>
        <v>-58.359289549620307</v>
      </c>
      <c r="AC108">
        <f t="shared" si="50"/>
        <v>-198.23747082978207</v>
      </c>
      <c r="AD108">
        <f t="shared" si="51"/>
        <v>-19.686544277431519</v>
      </c>
      <c r="AE108">
        <f t="shared" si="52"/>
        <v>-0.16762046283383825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52499.415625458692</v>
      </c>
      <c r="AK108">
        <f t="shared" si="56"/>
        <v>1800</v>
      </c>
      <c r="AL108">
        <f t="shared" si="57"/>
        <v>1499.1115553999998</v>
      </c>
      <c r="AM108">
        <f t="shared" si="58"/>
        <v>0.8328397529999999</v>
      </c>
      <c r="AN108">
        <f t="shared" si="59"/>
        <v>0.15339760233000002</v>
      </c>
      <c r="AO108">
        <v>31.8</v>
      </c>
      <c r="AP108">
        <v>0.5</v>
      </c>
      <c r="AQ108" t="s">
        <v>331</v>
      </c>
      <c r="AR108">
        <v>2</v>
      </c>
      <c r="AS108">
        <v>1690389195.5999999</v>
      </c>
      <c r="AT108">
        <v>556.26099999999997</v>
      </c>
      <c r="AU108">
        <v>800.06100000000004</v>
      </c>
      <c r="AV108">
        <v>22.810300000000002</v>
      </c>
      <c r="AW108">
        <v>9.1103100000000001</v>
      </c>
      <c r="AX108">
        <v>555.947</v>
      </c>
      <c r="AY108">
        <v>22.611799999999999</v>
      </c>
      <c r="AZ108">
        <v>300.16300000000001</v>
      </c>
      <c r="BA108">
        <v>98.614400000000003</v>
      </c>
      <c r="BB108">
        <v>0.100021</v>
      </c>
      <c r="BC108">
        <v>25.526199999999999</v>
      </c>
      <c r="BD108">
        <v>26.9648</v>
      </c>
      <c r="BE108">
        <v>26.959599999999998</v>
      </c>
      <c r="BF108">
        <v>0</v>
      </c>
      <c r="BG108">
        <v>0</v>
      </c>
      <c r="BH108">
        <v>10019.4</v>
      </c>
      <c r="BI108">
        <v>1060.48</v>
      </c>
      <c r="BJ108">
        <v>1.3455900000000001</v>
      </c>
      <c r="BK108">
        <v>-243.8</v>
      </c>
      <c r="BL108">
        <v>569.245</v>
      </c>
      <c r="BM108">
        <v>807.41700000000003</v>
      </c>
      <c r="BN108">
        <v>13.6999</v>
      </c>
      <c r="BO108">
        <v>800.06100000000004</v>
      </c>
      <c r="BP108">
        <v>9.1103100000000001</v>
      </c>
      <c r="BQ108">
        <v>2.2494200000000002</v>
      </c>
      <c r="BR108">
        <v>0.89840799999999998</v>
      </c>
      <c r="BS108">
        <v>19.3187</v>
      </c>
      <c r="BT108">
        <v>5.3652600000000001</v>
      </c>
      <c r="BU108">
        <v>1800</v>
      </c>
      <c r="BV108">
        <v>0.90999399999999997</v>
      </c>
      <c r="BW108">
        <v>3.39999E-2</v>
      </c>
      <c r="BX108">
        <v>2.2002399999999998E-2</v>
      </c>
      <c r="BY108">
        <v>3.4003699999999998E-2</v>
      </c>
      <c r="BZ108">
        <v>25</v>
      </c>
      <c r="CA108">
        <v>33528.300000000003</v>
      </c>
      <c r="CB108">
        <v>1690387638</v>
      </c>
      <c r="CC108" t="s">
        <v>332</v>
      </c>
      <c r="CD108">
        <v>1690387638</v>
      </c>
      <c r="CE108">
        <v>1690387638</v>
      </c>
      <c r="CF108">
        <v>6</v>
      </c>
      <c r="CG108">
        <v>0.43</v>
      </c>
      <c r="CH108">
        <v>-8.1000000000000003E-2</v>
      </c>
      <c r="CI108">
        <v>0.14199999999999999</v>
      </c>
      <c r="CJ108">
        <v>-2.7E-2</v>
      </c>
      <c r="CK108">
        <v>800</v>
      </c>
      <c r="CL108">
        <v>0</v>
      </c>
      <c r="CM108">
        <v>0.01</v>
      </c>
      <c r="CN108">
        <v>0.01</v>
      </c>
      <c r="CO108">
        <v>-239.73699999999999</v>
      </c>
      <c r="CP108">
        <v>-22.19462717769979</v>
      </c>
      <c r="CQ108">
        <v>2.189242702341633</v>
      </c>
      <c r="CR108">
        <v>-1</v>
      </c>
      <c r="CS108">
        <v>13.445039024390249</v>
      </c>
      <c r="CT108">
        <v>1.2750689895470531</v>
      </c>
      <c r="CU108">
        <v>0.12627770959481191</v>
      </c>
      <c r="CV108">
        <v>-1</v>
      </c>
      <c r="CW108">
        <v>0</v>
      </c>
      <c r="CX108">
        <v>0</v>
      </c>
      <c r="CY108" t="s">
        <v>333</v>
      </c>
      <c r="CZ108">
        <v>2.3648699999999998</v>
      </c>
      <c r="DA108">
        <v>2.7138300000000002</v>
      </c>
      <c r="DB108">
        <v>0.11365599999999999</v>
      </c>
      <c r="DC108">
        <v>0.14555799999999999</v>
      </c>
      <c r="DD108">
        <v>0.109389</v>
      </c>
      <c r="DE108">
        <v>5.4816299999999998E-2</v>
      </c>
      <c r="DF108">
        <v>32388.3</v>
      </c>
      <c r="DG108">
        <v>27567.599999999999</v>
      </c>
      <c r="DH108">
        <v>31194.6</v>
      </c>
      <c r="DI108">
        <v>28112.6</v>
      </c>
      <c r="DJ108">
        <v>37720.1</v>
      </c>
      <c r="DK108">
        <v>37789.5</v>
      </c>
      <c r="DL108">
        <v>44397.1</v>
      </c>
      <c r="DM108">
        <v>42613.1</v>
      </c>
      <c r="DN108">
        <v>1.46875</v>
      </c>
      <c r="DO108">
        <v>2.0449000000000002</v>
      </c>
      <c r="DP108">
        <v>0.16093299999999999</v>
      </c>
      <c r="DQ108">
        <v>0.16403899999999999</v>
      </c>
      <c r="DR108">
        <v>24.327000000000002</v>
      </c>
      <c r="DS108">
        <v>24.270800000000001</v>
      </c>
      <c r="DT108">
        <v>52.5</v>
      </c>
      <c r="DU108">
        <v>28.8</v>
      </c>
      <c r="DV108">
        <v>21.162500000000001</v>
      </c>
      <c r="DW108">
        <v>60.742199999999997</v>
      </c>
      <c r="DX108">
        <v>36.859000000000002</v>
      </c>
      <c r="DY108">
        <v>1</v>
      </c>
      <c r="DZ108">
        <v>-0.112856</v>
      </c>
      <c r="EA108">
        <v>0.147865</v>
      </c>
      <c r="EB108">
        <v>20.1907</v>
      </c>
      <c r="EC108">
        <v>5.2409499999999998</v>
      </c>
      <c r="ED108">
        <v>12.039899999999999</v>
      </c>
      <c r="EE108">
        <v>5.0170500000000002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1.8692</v>
      </c>
      <c r="EN108">
        <v>1.8672299999999999</v>
      </c>
      <c r="EO108">
        <v>1.86338</v>
      </c>
      <c r="EP108">
        <v>1.8644700000000001</v>
      </c>
      <c r="EQ108">
        <v>1.87015</v>
      </c>
      <c r="ER108">
        <v>1.8693900000000001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0.314</v>
      </c>
      <c r="FG108">
        <v>0.19850000000000001</v>
      </c>
      <c r="FH108">
        <v>0.69281559908863044</v>
      </c>
      <c r="FI108">
        <v>-6.1462078757559423E-4</v>
      </c>
      <c r="FJ108">
        <v>-1.8861989874597051E-7</v>
      </c>
      <c r="FK108">
        <v>1.1980462299894961E-10</v>
      </c>
      <c r="FL108">
        <v>0.19840465858211129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26</v>
      </c>
      <c r="FU108">
        <v>26</v>
      </c>
      <c r="FV108">
        <v>1.7785599999999999</v>
      </c>
      <c r="FW108">
        <v>2.5805699999999998</v>
      </c>
      <c r="FX108">
        <v>1.5490699999999999</v>
      </c>
      <c r="FY108">
        <v>2.3315399999999999</v>
      </c>
      <c r="FZ108">
        <v>1.50146</v>
      </c>
      <c r="GA108">
        <v>2.36084</v>
      </c>
      <c r="GB108">
        <v>33.580399999999997</v>
      </c>
      <c r="GC108">
        <v>23.982399999999998</v>
      </c>
      <c r="GD108">
        <v>19</v>
      </c>
      <c r="GE108">
        <v>278.80099999999999</v>
      </c>
      <c r="GF108">
        <v>587.85900000000004</v>
      </c>
      <c r="GG108">
        <v>23.5534</v>
      </c>
      <c r="GH108">
        <v>25.9801</v>
      </c>
      <c r="GI108">
        <v>29.9999</v>
      </c>
      <c r="GJ108">
        <v>26.141100000000002</v>
      </c>
      <c r="GK108">
        <v>26.130800000000001</v>
      </c>
      <c r="GL108">
        <v>35.560699999999997</v>
      </c>
      <c r="GM108">
        <v>57.832000000000001</v>
      </c>
      <c r="GN108">
        <v>74.703299999999999</v>
      </c>
      <c r="GO108">
        <v>23.5563</v>
      </c>
      <c r="GP108">
        <v>800</v>
      </c>
      <c r="GQ108">
        <v>8.9476700000000005</v>
      </c>
      <c r="GR108">
        <v>99.814999999999998</v>
      </c>
      <c r="GS108">
        <v>99.683000000000007</v>
      </c>
    </row>
    <row r="109" spans="1:201" x14ac:dyDescent="0.25">
      <c r="A109">
        <v>93</v>
      </c>
      <c r="B109">
        <v>1690389205.5999999</v>
      </c>
      <c r="C109">
        <v>947.09999990463257</v>
      </c>
      <c r="D109" t="s">
        <v>519</v>
      </c>
      <c r="E109" t="s">
        <v>520</v>
      </c>
      <c r="F109" t="s">
        <v>330</v>
      </c>
      <c r="H109">
        <v>1690389205.5999999</v>
      </c>
      <c r="I109">
        <f t="shared" si="30"/>
        <v>1.3504751344112626E-3</v>
      </c>
      <c r="J109">
        <f t="shared" si="31"/>
        <v>1.3504751344112627</v>
      </c>
      <c r="K109">
        <f t="shared" si="32"/>
        <v>22.611462671445718</v>
      </c>
      <c r="L109">
        <f t="shared" si="33"/>
        <v>552.62800000000004</v>
      </c>
      <c r="M109">
        <f t="shared" si="34"/>
        <v>161.22291052213703</v>
      </c>
      <c r="N109">
        <f t="shared" si="35"/>
        <v>15.914495195860304</v>
      </c>
      <c r="O109">
        <f t="shared" si="36"/>
        <v>54.550532691756011</v>
      </c>
      <c r="P109">
        <f t="shared" si="37"/>
        <v>9.6409786847290638E-2</v>
      </c>
      <c r="Q109">
        <f t="shared" si="38"/>
        <v>2.153117376273721</v>
      </c>
      <c r="R109">
        <f t="shared" si="39"/>
        <v>9.4074162323928193E-2</v>
      </c>
      <c r="S109">
        <f t="shared" si="40"/>
        <v>5.9001485275577456E-2</v>
      </c>
      <c r="T109">
        <f t="shared" si="41"/>
        <v>276.11563598999999</v>
      </c>
      <c r="U109">
        <f t="shared" si="42"/>
        <v>27.235116864365924</v>
      </c>
      <c r="V109">
        <f t="shared" si="43"/>
        <v>27.235116864365924</v>
      </c>
      <c r="W109">
        <f t="shared" si="44"/>
        <v>3.6288831915493387</v>
      </c>
      <c r="X109">
        <f t="shared" si="45"/>
        <v>68.659836482604078</v>
      </c>
      <c r="Y109">
        <f t="shared" si="46"/>
        <v>2.2540685850450006</v>
      </c>
      <c r="Z109">
        <f t="shared" si="47"/>
        <v>3.2829507038166343</v>
      </c>
      <c r="AA109">
        <f t="shared" si="48"/>
        <v>1.3748146065043381</v>
      </c>
      <c r="AB109">
        <f t="shared" si="49"/>
        <v>-59.555953427536679</v>
      </c>
      <c r="AC109">
        <f t="shared" si="50"/>
        <v>-197.09226076449733</v>
      </c>
      <c r="AD109">
        <f t="shared" si="51"/>
        <v>-19.634132534394507</v>
      </c>
      <c r="AE109">
        <f t="shared" si="52"/>
        <v>-0.16671073642851297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52222.213317039525</v>
      </c>
      <c r="AK109">
        <f t="shared" si="56"/>
        <v>1800</v>
      </c>
      <c r="AL109">
        <f t="shared" si="57"/>
        <v>1499.111991</v>
      </c>
      <c r="AM109">
        <f t="shared" si="58"/>
        <v>0.83283999499999994</v>
      </c>
      <c r="AN109">
        <f t="shared" si="59"/>
        <v>0.15339757555</v>
      </c>
      <c r="AO109">
        <v>31.8</v>
      </c>
      <c r="AP109">
        <v>0.5</v>
      </c>
      <c r="AQ109" t="s">
        <v>331</v>
      </c>
      <c r="AR109">
        <v>2</v>
      </c>
      <c r="AS109">
        <v>1690389205.5999999</v>
      </c>
      <c r="AT109">
        <v>552.62800000000004</v>
      </c>
      <c r="AU109">
        <v>800.00599999999997</v>
      </c>
      <c r="AV109">
        <v>22.835000000000001</v>
      </c>
      <c r="AW109">
        <v>8.8589599999999997</v>
      </c>
      <c r="AX109">
        <v>552.31200000000001</v>
      </c>
      <c r="AY109">
        <v>22.636600000000001</v>
      </c>
      <c r="AZ109">
        <v>300.26</v>
      </c>
      <c r="BA109">
        <v>98.611000000000004</v>
      </c>
      <c r="BB109">
        <v>0.10012699999999999</v>
      </c>
      <c r="BC109">
        <v>25.537199999999999</v>
      </c>
      <c r="BD109">
        <v>26.960899999999999</v>
      </c>
      <c r="BE109">
        <v>26.963200000000001</v>
      </c>
      <c r="BF109">
        <v>0</v>
      </c>
      <c r="BG109">
        <v>0</v>
      </c>
      <c r="BH109">
        <v>9965</v>
      </c>
      <c r="BI109">
        <v>1060.68</v>
      </c>
      <c r="BJ109">
        <v>1.3455900000000001</v>
      </c>
      <c r="BK109">
        <v>-247.37700000000001</v>
      </c>
      <c r="BL109">
        <v>565.54300000000001</v>
      </c>
      <c r="BM109">
        <v>807.15599999999995</v>
      </c>
      <c r="BN109">
        <v>13.976000000000001</v>
      </c>
      <c r="BO109">
        <v>800.00599999999997</v>
      </c>
      <c r="BP109">
        <v>8.8589599999999997</v>
      </c>
      <c r="BQ109">
        <v>2.2517800000000001</v>
      </c>
      <c r="BR109">
        <v>0.87359100000000001</v>
      </c>
      <c r="BS109">
        <v>19.3355</v>
      </c>
      <c r="BT109">
        <v>4.9628800000000002</v>
      </c>
      <c r="BU109">
        <v>1800</v>
      </c>
      <c r="BV109">
        <v>0.90999600000000003</v>
      </c>
      <c r="BW109">
        <v>3.39992E-2</v>
      </c>
      <c r="BX109">
        <v>2.2002000000000001E-2</v>
      </c>
      <c r="BY109">
        <v>3.4002900000000003E-2</v>
      </c>
      <c r="BZ109">
        <v>25</v>
      </c>
      <c r="CA109">
        <v>33528.300000000003</v>
      </c>
      <c r="CB109">
        <v>1690387638</v>
      </c>
      <c r="CC109" t="s">
        <v>332</v>
      </c>
      <c r="CD109">
        <v>1690387638</v>
      </c>
      <c r="CE109">
        <v>1690387638</v>
      </c>
      <c r="CF109">
        <v>6</v>
      </c>
      <c r="CG109">
        <v>0.43</v>
      </c>
      <c r="CH109">
        <v>-8.1000000000000003E-2</v>
      </c>
      <c r="CI109">
        <v>0.14199999999999999</v>
      </c>
      <c r="CJ109">
        <v>-2.7E-2</v>
      </c>
      <c r="CK109">
        <v>800</v>
      </c>
      <c r="CL109">
        <v>0</v>
      </c>
      <c r="CM109">
        <v>0.01</v>
      </c>
      <c r="CN109">
        <v>0.01</v>
      </c>
      <c r="CO109">
        <v>-243.35919999999999</v>
      </c>
      <c r="CP109">
        <v>-22.099924953095279</v>
      </c>
      <c r="CQ109">
        <v>2.126901939441499</v>
      </c>
      <c r="CR109">
        <v>-1</v>
      </c>
      <c r="CS109">
        <v>13.676655</v>
      </c>
      <c r="CT109">
        <v>1.6276277673545561</v>
      </c>
      <c r="CU109">
        <v>0.15673009435012769</v>
      </c>
      <c r="CV109">
        <v>-1</v>
      </c>
      <c r="CW109">
        <v>0</v>
      </c>
      <c r="CX109">
        <v>0</v>
      </c>
      <c r="CY109" t="s">
        <v>333</v>
      </c>
      <c r="CZ109">
        <v>2.3651900000000001</v>
      </c>
      <c r="DA109">
        <v>2.7138900000000001</v>
      </c>
      <c r="DB109">
        <v>0.113121</v>
      </c>
      <c r="DC109">
        <v>0.145542</v>
      </c>
      <c r="DD109">
        <v>0.109471</v>
      </c>
      <c r="DE109">
        <v>5.3633199999999999E-2</v>
      </c>
      <c r="DF109">
        <v>32408</v>
      </c>
      <c r="DG109">
        <v>27567.9</v>
      </c>
      <c r="DH109">
        <v>31194.7</v>
      </c>
      <c r="DI109">
        <v>28112.400000000001</v>
      </c>
      <c r="DJ109">
        <v>37716.6</v>
      </c>
      <c r="DK109">
        <v>37836.5</v>
      </c>
      <c r="DL109">
        <v>44397.2</v>
      </c>
      <c r="DM109">
        <v>42612.6</v>
      </c>
      <c r="DN109">
        <v>1.46905</v>
      </c>
      <c r="DO109">
        <v>2.0446499999999999</v>
      </c>
      <c r="DP109">
        <v>0.16050800000000001</v>
      </c>
      <c r="DQ109">
        <v>0.16397999999999999</v>
      </c>
      <c r="DR109">
        <v>24.330100000000002</v>
      </c>
      <c r="DS109">
        <v>24.275400000000001</v>
      </c>
      <c r="DT109">
        <v>52.2</v>
      </c>
      <c r="DU109">
        <v>28.8</v>
      </c>
      <c r="DV109">
        <v>21.043900000000001</v>
      </c>
      <c r="DW109">
        <v>60.882199999999997</v>
      </c>
      <c r="DX109">
        <v>36.586500000000001</v>
      </c>
      <c r="DY109">
        <v>1</v>
      </c>
      <c r="DZ109">
        <v>-0.112871</v>
      </c>
      <c r="EA109">
        <v>0.14105400000000001</v>
      </c>
      <c r="EB109">
        <v>20.1904</v>
      </c>
      <c r="EC109">
        <v>5.2409499999999998</v>
      </c>
      <c r="ED109">
        <v>12.039899999999999</v>
      </c>
      <c r="EE109">
        <v>5.0167999999999999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1.8646199999999999</v>
      </c>
      <c r="EM109">
        <v>1.8692</v>
      </c>
      <c r="EN109">
        <v>1.8672200000000001</v>
      </c>
      <c r="EO109">
        <v>1.8633599999999999</v>
      </c>
      <c r="EP109">
        <v>1.8644700000000001</v>
      </c>
      <c r="EQ109">
        <v>1.8701700000000001</v>
      </c>
      <c r="ER109">
        <v>1.86937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0.316</v>
      </c>
      <c r="FG109">
        <v>0.19839999999999999</v>
      </c>
      <c r="FH109">
        <v>0.69281559908863044</v>
      </c>
      <c r="FI109">
        <v>-6.1462078757559423E-4</v>
      </c>
      <c r="FJ109">
        <v>-1.8861989874597051E-7</v>
      </c>
      <c r="FK109">
        <v>1.1980462299894961E-10</v>
      </c>
      <c r="FL109">
        <v>0.19840465858211129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26.1</v>
      </c>
      <c r="FU109">
        <v>26.1</v>
      </c>
      <c r="FV109">
        <v>1.7785599999999999</v>
      </c>
      <c r="FW109">
        <v>2.5830099999999998</v>
      </c>
      <c r="FX109">
        <v>1.5490699999999999</v>
      </c>
      <c r="FY109">
        <v>2.3315399999999999</v>
      </c>
      <c r="FZ109">
        <v>1.50146</v>
      </c>
      <c r="GA109">
        <v>2.3962400000000001</v>
      </c>
      <c r="GB109">
        <v>33.580399999999997</v>
      </c>
      <c r="GC109">
        <v>23.991199999999999</v>
      </c>
      <c r="GD109">
        <v>19</v>
      </c>
      <c r="GE109">
        <v>278.91199999999998</v>
      </c>
      <c r="GF109">
        <v>587.61800000000005</v>
      </c>
      <c r="GG109">
        <v>23.584599999999998</v>
      </c>
      <c r="GH109">
        <v>25.9758</v>
      </c>
      <c r="GI109">
        <v>30.0002</v>
      </c>
      <c r="GJ109">
        <v>26.1374</v>
      </c>
      <c r="GK109">
        <v>26.127800000000001</v>
      </c>
      <c r="GL109">
        <v>35.555</v>
      </c>
      <c r="GM109">
        <v>58.431199999999997</v>
      </c>
      <c r="GN109">
        <v>73.957700000000003</v>
      </c>
      <c r="GO109">
        <v>23.6053</v>
      </c>
      <c r="GP109">
        <v>800</v>
      </c>
      <c r="GQ109">
        <v>8.7090899999999998</v>
      </c>
      <c r="GR109">
        <v>99.815299999999993</v>
      </c>
      <c r="GS109">
        <v>99.682000000000002</v>
      </c>
    </row>
    <row r="110" spans="1:201" x14ac:dyDescent="0.25">
      <c r="A110">
        <v>94</v>
      </c>
      <c r="B110">
        <v>1690389215.5999999</v>
      </c>
      <c r="C110">
        <v>957.09999990463257</v>
      </c>
      <c r="D110" t="s">
        <v>521</v>
      </c>
      <c r="E110" t="s">
        <v>522</v>
      </c>
      <c r="F110" t="s">
        <v>330</v>
      </c>
      <c r="H110">
        <v>1690389215.5999999</v>
      </c>
      <c r="I110">
        <f t="shared" si="30"/>
        <v>1.3751481407827894E-3</v>
      </c>
      <c r="J110">
        <f t="shared" si="31"/>
        <v>1.3751481407827895</v>
      </c>
      <c r="K110">
        <f t="shared" si="32"/>
        <v>22.941761217716415</v>
      </c>
      <c r="L110">
        <f t="shared" si="33"/>
        <v>548.98199999999997</v>
      </c>
      <c r="M110">
        <f t="shared" si="34"/>
        <v>159.4633703545384</v>
      </c>
      <c r="N110">
        <f t="shared" si="35"/>
        <v>15.740021572792063</v>
      </c>
      <c r="O110">
        <f t="shared" si="36"/>
        <v>54.187921049597996</v>
      </c>
      <c r="P110">
        <f t="shared" si="37"/>
        <v>9.8321390328677233E-2</v>
      </c>
      <c r="Q110">
        <f t="shared" si="38"/>
        <v>2.1559834683084897</v>
      </c>
      <c r="R110">
        <f t="shared" si="39"/>
        <v>9.5896624613676346E-2</v>
      </c>
      <c r="S110">
        <f t="shared" si="40"/>
        <v>6.0148265324269326E-2</v>
      </c>
      <c r="T110">
        <f t="shared" si="41"/>
        <v>276.11394339912573</v>
      </c>
      <c r="U110">
        <f t="shared" si="42"/>
        <v>27.23820758946977</v>
      </c>
      <c r="V110">
        <f t="shared" si="43"/>
        <v>27.23820758946977</v>
      </c>
      <c r="W110">
        <f t="shared" si="44"/>
        <v>3.6295408255395536</v>
      </c>
      <c r="X110">
        <f t="shared" si="45"/>
        <v>68.672075546414717</v>
      </c>
      <c r="Y110">
        <f t="shared" si="46"/>
        <v>2.2563050331132</v>
      </c>
      <c r="Z110">
        <f t="shared" si="47"/>
        <v>3.2856223074081803</v>
      </c>
      <c r="AA110">
        <f t="shared" si="48"/>
        <v>1.3732357924263536</v>
      </c>
      <c r="AB110">
        <f t="shared" si="49"/>
        <v>-60.644033008521014</v>
      </c>
      <c r="AC110">
        <f t="shared" si="50"/>
        <v>-196.12146547814822</v>
      </c>
      <c r="AD110">
        <f t="shared" si="51"/>
        <v>-19.513089989851796</v>
      </c>
      <c r="AE110">
        <f t="shared" si="52"/>
        <v>-0.16464507739527789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52339.870558840033</v>
      </c>
      <c r="AK110">
        <f t="shared" si="56"/>
        <v>1799.99</v>
      </c>
      <c r="AL110">
        <f t="shared" si="57"/>
        <v>1499.1036590000699</v>
      </c>
      <c r="AM110">
        <f t="shared" si="58"/>
        <v>0.83283999299999989</v>
      </c>
      <c r="AN110">
        <f t="shared" si="59"/>
        <v>0.15339748743000001</v>
      </c>
      <c r="AO110">
        <v>31.8</v>
      </c>
      <c r="AP110">
        <v>0.5</v>
      </c>
      <c r="AQ110" t="s">
        <v>331</v>
      </c>
      <c r="AR110">
        <v>2</v>
      </c>
      <c r="AS110">
        <v>1690389215.5999999</v>
      </c>
      <c r="AT110">
        <v>548.98199999999997</v>
      </c>
      <c r="AU110">
        <v>800.06399999999996</v>
      </c>
      <c r="AV110">
        <v>22.858799999999999</v>
      </c>
      <c r="AW110">
        <v>8.6212700000000009</v>
      </c>
      <c r="AX110">
        <v>548.66399999999999</v>
      </c>
      <c r="AY110">
        <v>22.660399999999999</v>
      </c>
      <c r="AZ110">
        <v>300.12299999999999</v>
      </c>
      <c r="BA110">
        <v>98.606200000000001</v>
      </c>
      <c r="BB110">
        <v>9.9988999999999995E-2</v>
      </c>
      <c r="BC110">
        <v>25.550899999999999</v>
      </c>
      <c r="BD110">
        <v>26.976299999999998</v>
      </c>
      <c r="BE110">
        <v>26.950700000000001</v>
      </c>
      <c r="BF110">
        <v>0</v>
      </c>
      <c r="BG110">
        <v>0</v>
      </c>
      <c r="BH110">
        <v>9989.3799999999992</v>
      </c>
      <c r="BI110">
        <v>1060.79</v>
      </c>
      <c r="BJ110">
        <v>1.3455900000000001</v>
      </c>
      <c r="BK110">
        <v>-251.08099999999999</v>
      </c>
      <c r="BL110">
        <v>561.82500000000005</v>
      </c>
      <c r="BM110">
        <v>807.02099999999996</v>
      </c>
      <c r="BN110">
        <v>14.237500000000001</v>
      </c>
      <c r="BO110">
        <v>800.06399999999996</v>
      </c>
      <c r="BP110">
        <v>8.6212700000000009</v>
      </c>
      <c r="BQ110">
        <v>2.2540200000000001</v>
      </c>
      <c r="BR110">
        <v>0.85011099999999995</v>
      </c>
      <c r="BS110">
        <v>19.351500000000001</v>
      </c>
      <c r="BT110">
        <v>4.5727799999999998</v>
      </c>
      <c r="BU110">
        <v>1799.99</v>
      </c>
      <c r="BV110">
        <v>0.90999799999999997</v>
      </c>
      <c r="BW110">
        <v>3.3998399999999998E-2</v>
      </c>
      <c r="BX110">
        <v>2.2001400000000001E-2</v>
      </c>
      <c r="BY110">
        <v>3.40021E-2</v>
      </c>
      <c r="BZ110">
        <v>25</v>
      </c>
      <c r="CA110">
        <v>33528.199999999997</v>
      </c>
      <c r="CB110">
        <v>1690387638</v>
      </c>
      <c r="CC110" t="s">
        <v>332</v>
      </c>
      <c r="CD110">
        <v>1690387638</v>
      </c>
      <c r="CE110">
        <v>1690387638</v>
      </c>
      <c r="CF110">
        <v>6</v>
      </c>
      <c r="CG110">
        <v>0.43</v>
      </c>
      <c r="CH110">
        <v>-8.1000000000000003E-2</v>
      </c>
      <c r="CI110">
        <v>0.14199999999999999</v>
      </c>
      <c r="CJ110">
        <v>-2.7E-2</v>
      </c>
      <c r="CK110">
        <v>800</v>
      </c>
      <c r="CL110">
        <v>0</v>
      </c>
      <c r="CM110">
        <v>0.01</v>
      </c>
      <c r="CN110">
        <v>0.01</v>
      </c>
      <c r="CO110">
        <v>-247.10570731707321</v>
      </c>
      <c r="CP110">
        <v>-21.734905923344549</v>
      </c>
      <c r="CQ110">
        <v>2.1441570205959382</v>
      </c>
      <c r="CR110">
        <v>-1</v>
      </c>
      <c r="CS110">
        <v>13.948904878048779</v>
      </c>
      <c r="CT110">
        <v>1.582664111498252</v>
      </c>
      <c r="CU110">
        <v>0.1562006260741638</v>
      </c>
      <c r="CV110">
        <v>-1</v>
      </c>
      <c r="CW110">
        <v>0</v>
      </c>
      <c r="CX110">
        <v>0</v>
      </c>
      <c r="CY110" t="s">
        <v>333</v>
      </c>
      <c r="CZ110">
        <v>2.3647499999999999</v>
      </c>
      <c r="DA110">
        <v>2.7137699999999998</v>
      </c>
      <c r="DB110">
        <v>0.112581</v>
      </c>
      <c r="DC110">
        <v>0.145539</v>
      </c>
      <c r="DD110">
        <v>0.10954800000000001</v>
      </c>
      <c r="DE110">
        <v>5.25032E-2</v>
      </c>
      <c r="DF110">
        <v>32427.8</v>
      </c>
      <c r="DG110">
        <v>27568.2</v>
      </c>
      <c r="DH110">
        <v>31194.799999999999</v>
      </c>
      <c r="DI110">
        <v>28112.5</v>
      </c>
      <c r="DJ110">
        <v>37713.300000000003</v>
      </c>
      <c r="DK110">
        <v>37882.199999999997</v>
      </c>
      <c r="DL110">
        <v>44397.2</v>
      </c>
      <c r="DM110">
        <v>42613.1</v>
      </c>
      <c r="DN110">
        <v>1.4689000000000001</v>
      </c>
      <c r="DO110">
        <v>2.0442200000000001</v>
      </c>
      <c r="DP110">
        <v>0.161298</v>
      </c>
      <c r="DQ110">
        <v>0.162937</v>
      </c>
      <c r="DR110">
        <v>24.332699999999999</v>
      </c>
      <c r="DS110">
        <v>24.28</v>
      </c>
      <c r="DT110">
        <v>52</v>
      </c>
      <c r="DU110">
        <v>28.8</v>
      </c>
      <c r="DV110">
        <v>20.968599999999999</v>
      </c>
      <c r="DW110">
        <v>61.172199999999997</v>
      </c>
      <c r="DX110">
        <v>36.370199999999997</v>
      </c>
      <c r="DY110">
        <v>1</v>
      </c>
      <c r="DZ110">
        <v>-0.113359</v>
      </c>
      <c r="EA110">
        <v>0.101326</v>
      </c>
      <c r="EB110">
        <v>20.190300000000001</v>
      </c>
      <c r="EC110">
        <v>5.2409499999999998</v>
      </c>
      <c r="ED110">
        <v>12.039899999999999</v>
      </c>
      <c r="EE110">
        <v>5.0167999999999999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1.8646199999999999</v>
      </c>
      <c r="EM110">
        <v>1.8692</v>
      </c>
      <c r="EN110">
        <v>1.8672299999999999</v>
      </c>
      <c r="EO110">
        <v>1.8633599999999999</v>
      </c>
      <c r="EP110">
        <v>1.86446</v>
      </c>
      <c r="EQ110">
        <v>1.87015</v>
      </c>
      <c r="ER110">
        <v>1.86937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0.318</v>
      </c>
      <c r="FG110">
        <v>0.19839999999999999</v>
      </c>
      <c r="FH110">
        <v>0.69281559908863044</v>
      </c>
      <c r="FI110">
        <v>-6.1462078757559423E-4</v>
      </c>
      <c r="FJ110">
        <v>-1.8861989874597051E-7</v>
      </c>
      <c r="FK110">
        <v>1.1980462299894961E-10</v>
      </c>
      <c r="FL110">
        <v>0.19840465858211129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26.3</v>
      </c>
      <c r="FU110">
        <v>26.3</v>
      </c>
      <c r="FV110">
        <v>1.7785599999999999</v>
      </c>
      <c r="FW110">
        <v>2.5793499999999998</v>
      </c>
      <c r="FX110">
        <v>1.5490699999999999</v>
      </c>
      <c r="FY110">
        <v>2.3315399999999999</v>
      </c>
      <c r="FZ110">
        <v>1.50146</v>
      </c>
      <c r="GA110">
        <v>2.3938000000000001</v>
      </c>
      <c r="GB110">
        <v>33.580399999999997</v>
      </c>
      <c r="GC110">
        <v>23.991199999999999</v>
      </c>
      <c r="GD110">
        <v>19</v>
      </c>
      <c r="GE110">
        <v>278.83600000000001</v>
      </c>
      <c r="GF110">
        <v>587.22400000000005</v>
      </c>
      <c r="GG110">
        <v>23.636299999999999</v>
      </c>
      <c r="GH110">
        <v>25.973500000000001</v>
      </c>
      <c r="GI110">
        <v>30</v>
      </c>
      <c r="GJ110">
        <v>26.134599999999999</v>
      </c>
      <c r="GK110">
        <v>26.124300000000002</v>
      </c>
      <c r="GL110">
        <v>35.548999999999999</v>
      </c>
      <c r="GM110">
        <v>59.321100000000001</v>
      </c>
      <c r="GN110">
        <v>73.191900000000004</v>
      </c>
      <c r="GO110">
        <v>23.648900000000001</v>
      </c>
      <c r="GP110">
        <v>800</v>
      </c>
      <c r="GQ110">
        <v>8.4654199999999999</v>
      </c>
      <c r="GR110">
        <v>99.815399999999997</v>
      </c>
      <c r="GS110">
        <v>99.682900000000004</v>
      </c>
    </row>
    <row r="111" spans="1:201" x14ac:dyDescent="0.25">
      <c r="A111">
        <v>95</v>
      </c>
      <c r="B111">
        <v>1690389225.5999999</v>
      </c>
      <c r="C111">
        <v>967.09999990463257</v>
      </c>
      <c r="D111" t="s">
        <v>523</v>
      </c>
      <c r="E111" t="s">
        <v>524</v>
      </c>
      <c r="F111" t="s">
        <v>330</v>
      </c>
      <c r="H111">
        <v>1690389225.5999999</v>
      </c>
      <c r="I111">
        <f t="shared" si="30"/>
        <v>1.4022632850122282E-3</v>
      </c>
      <c r="J111">
        <f t="shared" si="31"/>
        <v>1.4022632850122281</v>
      </c>
      <c r="K111">
        <f t="shared" si="32"/>
        <v>23.281349707921599</v>
      </c>
      <c r="L111">
        <f t="shared" si="33"/>
        <v>545.30700000000002</v>
      </c>
      <c r="M111">
        <f t="shared" si="34"/>
        <v>158.47092209624392</v>
      </c>
      <c r="N111">
        <f t="shared" si="35"/>
        <v>15.640234219893864</v>
      </c>
      <c r="O111">
        <f t="shared" si="36"/>
        <v>53.818890487479607</v>
      </c>
      <c r="P111">
        <f t="shared" si="37"/>
        <v>0.10050848009714033</v>
      </c>
      <c r="Q111">
        <f t="shared" si="38"/>
        <v>2.159734724753112</v>
      </c>
      <c r="R111">
        <f t="shared" si="39"/>
        <v>9.7980415812715493E-2</v>
      </c>
      <c r="S111">
        <f t="shared" si="40"/>
        <v>6.1459600167685473E-2</v>
      </c>
      <c r="T111">
        <f t="shared" si="41"/>
        <v>276.11395189507851</v>
      </c>
      <c r="U111">
        <f t="shared" si="42"/>
        <v>27.236175494621243</v>
      </c>
      <c r="V111">
        <f t="shared" si="43"/>
        <v>27.236175494621243</v>
      </c>
      <c r="W111">
        <f t="shared" si="44"/>
        <v>3.6291084315880631</v>
      </c>
      <c r="X111">
        <f t="shared" si="45"/>
        <v>68.70585874077571</v>
      </c>
      <c r="Y111">
        <f t="shared" si="46"/>
        <v>2.2587556612396398</v>
      </c>
      <c r="Z111">
        <f t="shared" si="47"/>
        <v>3.2875735819878606</v>
      </c>
      <c r="AA111">
        <f t="shared" si="48"/>
        <v>1.3703527703484233</v>
      </c>
      <c r="AB111">
        <f t="shared" si="49"/>
        <v>-61.839810869039262</v>
      </c>
      <c r="AC111">
        <f t="shared" si="50"/>
        <v>-195.06173834210296</v>
      </c>
      <c r="AD111">
        <f t="shared" si="51"/>
        <v>-19.374714479972777</v>
      </c>
      <c r="AE111">
        <f t="shared" si="52"/>
        <v>-0.16231179603650503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52495.380933322413</v>
      </c>
      <c r="AK111">
        <f t="shared" si="56"/>
        <v>1799.99</v>
      </c>
      <c r="AL111">
        <f t="shared" si="57"/>
        <v>1499.1043645961499</v>
      </c>
      <c r="AM111">
        <f t="shared" si="58"/>
        <v>0.83284038499999991</v>
      </c>
      <c r="AN111">
        <f t="shared" si="59"/>
        <v>0.15339749215000001</v>
      </c>
      <c r="AO111">
        <v>31.8</v>
      </c>
      <c r="AP111">
        <v>0.5</v>
      </c>
      <c r="AQ111" t="s">
        <v>331</v>
      </c>
      <c r="AR111">
        <v>2</v>
      </c>
      <c r="AS111">
        <v>1690389225.5999999</v>
      </c>
      <c r="AT111">
        <v>545.30700000000002</v>
      </c>
      <c r="AU111">
        <v>800.12</v>
      </c>
      <c r="AV111">
        <v>22.886299999999999</v>
      </c>
      <c r="AW111">
        <v>8.3667499999999997</v>
      </c>
      <c r="AX111">
        <v>544.98500000000001</v>
      </c>
      <c r="AY111">
        <v>22.687899999999999</v>
      </c>
      <c r="AZ111">
        <v>300.08800000000002</v>
      </c>
      <c r="BA111">
        <v>98.594700000000003</v>
      </c>
      <c r="BB111">
        <v>9.9962800000000004E-2</v>
      </c>
      <c r="BC111">
        <v>25.5609</v>
      </c>
      <c r="BD111">
        <v>26.991800000000001</v>
      </c>
      <c r="BE111">
        <v>26.9772</v>
      </c>
      <c r="BF111">
        <v>0</v>
      </c>
      <c r="BG111">
        <v>0</v>
      </c>
      <c r="BH111">
        <v>10021.9</v>
      </c>
      <c r="BI111">
        <v>1060.93</v>
      </c>
      <c r="BJ111">
        <v>1.3455900000000001</v>
      </c>
      <c r="BK111">
        <v>-254.81399999999999</v>
      </c>
      <c r="BL111">
        <v>558.07899999999995</v>
      </c>
      <c r="BM111">
        <v>806.87099999999998</v>
      </c>
      <c r="BN111">
        <v>14.519500000000001</v>
      </c>
      <c r="BO111">
        <v>800.12</v>
      </c>
      <c r="BP111">
        <v>8.3667499999999997</v>
      </c>
      <c r="BQ111">
        <v>2.2564700000000002</v>
      </c>
      <c r="BR111">
        <v>0.82491800000000004</v>
      </c>
      <c r="BS111">
        <v>19.3689</v>
      </c>
      <c r="BT111">
        <v>4.1434699999999998</v>
      </c>
      <c r="BU111">
        <v>1799.99</v>
      </c>
      <c r="BV111">
        <v>0.91</v>
      </c>
      <c r="BW111">
        <v>3.3997699999999999E-2</v>
      </c>
      <c r="BX111">
        <v>2.2001E-2</v>
      </c>
      <c r="BY111">
        <v>3.4001499999999997E-2</v>
      </c>
      <c r="BZ111">
        <v>25</v>
      </c>
      <c r="CA111">
        <v>33528.300000000003</v>
      </c>
      <c r="CB111">
        <v>1690387638</v>
      </c>
      <c r="CC111" t="s">
        <v>332</v>
      </c>
      <c r="CD111">
        <v>1690387638</v>
      </c>
      <c r="CE111">
        <v>1690387638</v>
      </c>
      <c r="CF111">
        <v>6</v>
      </c>
      <c r="CG111">
        <v>0.43</v>
      </c>
      <c r="CH111">
        <v>-8.1000000000000003E-2</v>
      </c>
      <c r="CI111">
        <v>0.14199999999999999</v>
      </c>
      <c r="CJ111">
        <v>-2.7E-2</v>
      </c>
      <c r="CK111">
        <v>800</v>
      </c>
      <c r="CL111">
        <v>0</v>
      </c>
      <c r="CM111">
        <v>0.01</v>
      </c>
      <c r="CN111">
        <v>0.01</v>
      </c>
      <c r="CO111">
        <v>-251.06700000000001</v>
      </c>
      <c r="CP111">
        <v>-22.491332082551441</v>
      </c>
      <c r="CQ111">
        <v>2.164547111984398</v>
      </c>
      <c r="CR111">
        <v>-1</v>
      </c>
      <c r="CS111">
        <v>14.23521</v>
      </c>
      <c r="CT111">
        <v>1.6330941838648689</v>
      </c>
      <c r="CU111">
        <v>0.15716602177315561</v>
      </c>
      <c r="CV111">
        <v>-1</v>
      </c>
      <c r="CW111">
        <v>0</v>
      </c>
      <c r="CX111">
        <v>0</v>
      </c>
      <c r="CY111" t="s">
        <v>333</v>
      </c>
      <c r="CZ111">
        <v>2.3646400000000001</v>
      </c>
      <c r="DA111">
        <v>2.7137699999999998</v>
      </c>
      <c r="DB111">
        <v>0.112027</v>
      </c>
      <c r="DC111">
        <v>0.14552499999999999</v>
      </c>
      <c r="DD111">
        <v>0.109629</v>
      </c>
      <c r="DE111">
        <v>5.1278200000000003E-2</v>
      </c>
      <c r="DF111">
        <v>32448</v>
      </c>
      <c r="DG111">
        <v>27568.799999999999</v>
      </c>
      <c r="DH111">
        <v>31194.7</v>
      </c>
      <c r="DI111">
        <v>28112.799999999999</v>
      </c>
      <c r="DJ111">
        <v>37709.800000000003</v>
      </c>
      <c r="DK111">
        <v>37931.599999999999</v>
      </c>
      <c r="DL111">
        <v>44397.3</v>
      </c>
      <c r="DM111">
        <v>42613.5</v>
      </c>
      <c r="DN111">
        <v>1.4691700000000001</v>
      </c>
      <c r="DO111">
        <v>2.044</v>
      </c>
      <c r="DP111">
        <v>0.16204299999999999</v>
      </c>
      <c r="DQ111">
        <v>0.16426299999999999</v>
      </c>
      <c r="DR111">
        <v>24.335899999999999</v>
      </c>
      <c r="DS111">
        <v>24.284800000000001</v>
      </c>
      <c r="DT111">
        <v>51.7</v>
      </c>
      <c r="DU111">
        <v>28.8</v>
      </c>
      <c r="DV111">
        <v>20.848500000000001</v>
      </c>
      <c r="DW111">
        <v>60.8322</v>
      </c>
      <c r="DX111">
        <v>36.418300000000002</v>
      </c>
      <c r="DY111">
        <v>1</v>
      </c>
      <c r="DZ111">
        <v>-0.113758</v>
      </c>
      <c r="EA111">
        <v>8.9523400000000003E-2</v>
      </c>
      <c r="EB111">
        <v>20.190300000000001</v>
      </c>
      <c r="EC111">
        <v>5.2406499999999996</v>
      </c>
      <c r="ED111">
        <v>12.039899999999999</v>
      </c>
      <c r="EE111">
        <v>5.0168999999999997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1.8689199999999999</v>
      </c>
      <c r="EL111">
        <v>1.8646199999999999</v>
      </c>
      <c r="EM111">
        <v>1.8692</v>
      </c>
      <c r="EN111">
        <v>1.8672299999999999</v>
      </c>
      <c r="EO111">
        <v>1.8633500000000001</v>
      </c>
      <c r="EP111">
        <v>1.86446</v>
      </c>
      <c r="EQ111">
        <v>1.8701399999999999</v>
      </c>
      <c r="ER111">
        <v>1.8693599999999999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0.32200000000000001</v>
      </c>
      <c r="FG111">
        <v>0.19839999999999999</v>
      </c>
      <c r="FH111">
        <v>0.69281559908863044</v>
      </c>
      <c r="FI111">
        <v>-6.1462078757559423E-4</v>
      </c>
      <c r="FJ111">
        <v>-1.8861989874597051E-7</v>
      </c>
      <c r="FK111">
        <v>1.1980462299894961E-10</v>
      </c>
      <c r="FL111">
        <v>0.19840465858211129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26.5</v>
      </c>
      <c r="FU111">
        <v>26.5</v>
      </c>
      <c r="FV111">
        <v>1.7773399999999999</v>
      </c>
      <c r="FW111">
        <v>2.5793499999999998</v>
      </c>
      <c r="FX111">
        <v>1.5490699999999999</v>
      </c>
      <c r="FY111">
        <v>2.3315399999999999</v>
      </c>
      <c r="FZ111">
        <v>1.50146</v>
      </c>
      <c r="GA111">
        <v>2.3889200000000002</v>
      </c>
      <c r="GB111">
        <v>33.580399999999997</v>
      </c>
      <c r="GC111">
        <v>23.991199999999999</v>
      </c>
      <c r="GD111">
        <v>19</v>
      </c>
      <c r="GE111">
        <v>278.94</v>
      </c>
      <c r="GF111">
        <v>587.00900000000001</v>
      </c>
      <c r="GG111">
        <v>23.674800000000001</v>
      </c>
      <c r="GH111">
        <v>25.969799999999999</v>
      </c>
      <c r="GI111">
        <v>30.0001</v>
      </c>
      <c r="GJ111">
        <v>26.131900000000002</v>
      </c>
      <c r="GK111">
        <v>26.1218</v>
      </c>
      <c r="GL111">
        <v>35.535200000000003</v>
      </c>
      <c r="GM111">
        <v>59.866199999999999</v>
      </c>
      <c r="GN111">
        <v>72.423599999999993</v>
      </c>
      <c r="GO111">
        <v>23.692399999999999</v>
      </c>
      <c r="GP111">
        <v>800</v>
      </c>
      <c r="GQ111">
        <v>8.21814</v>
      </c>
      <c r="GR111">
        <v>99.815399999999997</v>
      </c>
      <c r="GS111">
        <v>99.683700000000002</v>
      </c>
    </row>
    <row r="112" spans="1:201" x14ac:dyDescent="0.25">
      <c r="A112">
        <v>96</v>
      </c>
      <c r="B112">
        <v>1690389235.5999999</v>
      </c>
      <c r="C112">
        <v>977.09999990463257</v>
      </c>
      <c r="D112" t="s">
        <v>525</v>
      </c>
      <c r="E112" t="s">
        <v>526</v>
      </c>
      <c r="F112" t="s">
        <v>330</v>
      </c>
      <c r="H112">
        <v>1690389235.5999999</v>
      </c>
      <c r="I112">
        <f t="shared" si="30"/>
        <v>1.4264971959872428E-3</v>
      </c>
      <c r="J112">
        <f t="shared" si="31"/>
        <v>1.4264971959872428</v>
      </c>
      <c r="K112">
        <f t="shared" si="32"/>
        <v>23.622039095562545</v>
      </c>
      <c r="L112">
        <f t="shared" si="33"/>
        <v>541.57100000000003</v>
      </c>
      <c r="M112">
        <f t="shared" si="34"/>
        <v>155.65111818042186</v>
      </c>
      <c r="N112">
        <f t="shared" si="35"/>
        <v>15.362904827809526</v>
      </c>
      <c r="O112">
        <f t="shared" si="36"/>
        <v>53.453542947616008</v>
      </c>
      <c r="P112">
        <f t="shared" si="37"/>
        <v>0.10225546601031509</v>
      </c>
      <c r="Q112">
        <f t="shared" si="38"/>
        <v>2.1501387881893299</v>
      </c>
      <c r="R112">
        <f t="shared" si="39"/>
        <v>9.9628636813807847E-2</v>
      </c>
      <c r="S112">
        <f t="shared" si="40"/>
        <v>6.2498287675992116E-2</v>
      </c>
      <c r="T112">
        <f t="shared" si="41"/>
        <v>276.11521259400001</v>
      </c>
      <c r="U112">
        <f t="shared" si="42"/>
        <v>27.247779405578626</v>
      </c>
      <c r="V112">
        <f t="shared" si="43"/>
        <v>27.247779405578626</v>
      </c>
      <c r="W112">
        <f t="shared" si="44"/>
        <v>3.6315781440104087</v>
      </c>
      <c r="X112">
        <f t="shared" si="45"/>
        <v>68.706474217416911</v>
      </c>
      <c r="Y112">
        <f t="shared" si="46"/>
        <v>2.2605466210879999</v>
      </c>
      <c r="Z112">
        <f t="shared" si="47"/>
        <v>3.2901508145137175</v>
      </c>
      <c r="AA112">
        <f t="shared" si="48"/>
        <v>1.3710315229224088</v>
      </c>
      <c r="AB112">
        <f t="shared" si="49"/>
        <v>-62.908526343037408</v>
      </c>
      <c r="AC112">
        <f t="shared" si="50"/>
        <v>-194.0100418973405</v>
      </c>
      <c r="AD112">
        <f t="shared" si="51"/>
        <v>-19.358660739257076</v>
      </c>
      <c r="AE112">
        <f t="shared" si="52"/>
        <v>-0.16201638563495635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52090.862626471717</v>
      </c>
      <c r="AK112">
        <f t="shared" si="56"/>
        <v>1800</v>
      </c>
      <c r="AL112">
        <f t="shared" si="57"/>
        <v>1499.1121673999999</v>
      </c>
      <c r="AM112">
        <f t="shared" si="58"/>
        <v>0.83284009299999995</v>
      </c>
      <c r="AN112">
        <f t="shared" si="59"/>
        <v>0.15339734033000002</v>
      </c>
      <c r="AO112">
        <v>31.8</v>
      </c>
      <c r="AP112">
        <v>0.5</v>
      </c>
      <c r="AQ112" t="s">
        <v>331</v>
      </c>
      <c r="AR112">
        <v>2</v>
      </c>
      <c r="AS112">
        <v>1690389235.5999999</v>
      </c>
      <c r="AT112">
        <v>541.57100000000003</v>
      </c>
      <c r="AU112">
        <v>799.99599999999998</v>
      </c>
      <c r="AV112">
        <v>22.902999999999999</v>
      </c>
      <c r="AW112">
        <v>8.1374499999999994</v>
      </c>
      <c r="AX112">
        <v>541.24699999999996</v>
      </c>
      <c r="AY112">
        <v>22.704599999999999</v>
      </c>
      <c r="AZ112">
        <v>300.18299999999999</v>
      </c>
      <c r="BA112">
        <v>98.600800000000007</v>
      </c>
      <c r="BB112">
        <v>0.100096</v>
      </c>
      <c r="BC112">
        <v>25.574100000000001</v>
      </c>
      <c r="BD112">
        <v>26.968900000000001</v>
      </c>
      <c r="BE112">
        <v>26.968399999999999</v>
      </c>
      <c r="BF112">
        <v>0</v>
      </c>
      <c r="BG112">
        <v>0</v>
      </c>
      <c r="BH112">
        <v>9941.25</v>
      </c>
      <c r="BI112">
        <v>1061.06</v>
      </c>
      <c r="BJ112">
        <v>1.3455900000000001</v>
      </c>
      <c r="BK112">
        <v>-258.42500000000001</v>
      </c>
      <c r="BL112">
        <v>554.26499999999999</v>
      </c>
      <c r="BM112">
        <v>806.56</v>
      </c>
      <c r="BN112">
        <v>14.765499999999999</v>
      </c>
      <c r="BO112">
        <v>799.99599999999998</v>
      </c>
      <c r="BP112">
        <v>8.1374499999999994</v>
      </c>
      <c r="BQ112">
        <v>2.2582499999999999</v>
      </c>
      <c r="BR112">
        <v>0.80235900000000004</v>
      </c>
      <c r="BS112">
        <v>19.381599999999999</v>
      </c>
      <c r="BT112">
        <v>3.7490999999999999</v>
      </c>
      <c r="BU112">
        <v>1800</v>
      </c>
      <c r="BV112">
        <v>0.91000199999999998</v>
      </c>
      <c r="BW112">
        <v>3.3996699999999998E-2</v>
      </c>
      <c r="BX112">
        <v>2.20004E-2</v>
      </c>
      <c r="BY112">
        <v>3.4000500000000003E-2</v>
      </c>
      <c r="BZ112">
        <v>25</v>
      </c>
      <c r="CA112">
        <v>33528.300000000003</v>
      </c>
      <c r="CB112">
        <v>1690387638</v>
      </c>
      <c r="CC112" t="s">
        <v>332</v>
      </c>
      <c r="CD112">
        <v>1690387638</v>
      </c>
      <c r="CE112">
        <v>1690387638</v>
      </c>
      <c r="CF112">
        <v>6</v>
      </c>
      <c r="CG112">
        <v>0.43</v>
      </c>
      <c r="CH112">
        <v>-8.1000000000000003E-2</v>
      </c>
      <c r="CI112">
        <v>0.14199999999999999</v>
      </c>
      <c r="CJ112">
        <v>-2.7E-2</v>
      </c>
      <c r="CK112">
        <v>800</v>
      </c>
      <c r="CL112">
        <v>0</v>
      </c>
      <c r="CM112">
        <v>0.01</v>
      </c>
      <c r="CN112">
        <v>0.01</v>
      </c>
      <c r="CO112">
        <v>-254.37354999999999</v>
      </c>
      <c r="CP112">
        <v>-21.813320825516211</v>
      </c>
      <c r="CQ112">
        <v>2.0991496010289521</v>
      </c>
      <c r="CR112">
        <v>-1</v>
      </c>
      <c r="CS112">
        <v>14.481775000000001</v>
      </c>
      <c r="CT112">
        <v>1.6231744840524629</v>
      </c>
      <c r="CU112">
        <v>0.1564330859345299</v>
      </c>
      <c r="CV112">
        <v>-1</v>
      </c>
      <c r="CW112">
        <v>0</v>
      </c>
      <c r="CX112">
        <v>0</v>
      </c>
      <c r="CY112" t="s">
        <v>333</v>
      </c>
      <c r="CZ112">
        <v>2.3649499999999999</v>
      </c>
      <c r="DA112">
        <v>2.7138399999999998</v>
      </c>
      <c r="DB112">
        <v>0.111482</v>
      </c>
      <c r="DC112">
        <v>0.14551500000000001</v>
      </c>
      <c r="DD112">
        <v>0.109694</v>
      </c>
      <c r="DE112">
        <v>5.0172599999999998E-2</v>
      </c>
      <c r="DF112">
        <v>32467.7</v>
      </c>
      <c r="DG112">
        <v>27569.1</v>
      </c>
      <c r="DH112">
        <v>31194.5</v>
      </c>
      <c r="DI112">
        <v>28112.799999999999</v>
      </c>
      <c r="DJ112">
        <v>37706.800000000003</v>
      </c>
      <c r="DK112">
        <v>37976.1</v>
      </c>
      <c r="DL112">
        <v>44397.1</v>
      </c>
      <c r="DM112">
        <v>42613.599999999999</v>
      </c>
      <c r="DN112">
        <v>1.4696</v>
      </c>
      <c r="DO112">
        <v>2.04332</v>
      </c>
      <c r="DP112">
        <v>0.16056000000000001</v>
      </c>
      <c r="DQ112">
        <v>0.16348799999999999</v>
      </c>
      <c r="DR112">
        <v>24.337299999999999</v>
      </c>
      <c r="DS112">
        <v>24.288699999999999</v>
      </c>
      <c r="DT112">
        <v>51.4</v>
      </c>
      <c r="DU112">
        <v>28.8</v>
      </c>
      <c r="DV112">
        <v>20.7241</v>
      </c>
      <c r="DW112">
        <v>60.7622</v>
      </c>
      <c r="DX112">
        <v>36.3902</v>
      </c>
      <c r="DY112">
        <v>1</v>
      </c>
      <c r="DZ112">
        <v>-0.11384900000000001</v>
      </c>
      <c r="EA112">
        <v>9.7587099999999996E-2</v>
      </c>
      <c r="EB112">
        <v>20.190300000000001</v>
      </c>
      <c r="EC112">
        <v>5.24125</v>
      </c>
      <c r="ED112">
        <v>12.039899999999999</v>
      </c>
      <c r="EE112">
        <v>5.0170500000000002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1.8646199999999999</v>
      </c>
      <c r="EM112">
        <v>1.8692</v>
      </c>
      <c r="EN112">
        <v>1.8672200000000001</v>
      </c>
      <c r="EO112">
        <v>1.8633599999999999</v>
      </c>
      <c r="EP112">
        <v>1.86446</v>
      </c>
      <c r="EQ112">
        <v>1.87015</v>
      </c>
      <c r="ER112">
        <v>1.8693599999999999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0.32400000000000001</v>
      </c>
      <c r="FG112">
        <v>0.19839999999999999</v>
      </c>
      <c r="FH112">
        <v>0.69281559908863044</v>
      </c>
      <c r="FI112">
        <v>-6.1462078757559423E-4</v>
      </c>
      <c r="FJ112">
        <v>-1.8861989874597051E-7</v>
      </c>
      <c r="FK112">
        <v>1.1980462299894961E-10</v>
      </c>
      <c r="FL112">
        <v>0.19840465858211129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26.6</v>
      </c>
      <c r="FU112">
        <v>26.6</v>
      </c>
      <c r="FV112">
        <v>1.7773399999999999</v>
      </c>
      <c r="FW112">
        <v>2.5817899999999998</v>
      </c>
      <c r="FX112">
        <v>1.5490699999999999</v>
      </c>
      <c r="FY112">
        <v>2.3315399999999999</v>
      </c>
      <c r="FZ112">
        <v>1.50024</v>
      </c>
      <c r="GA112">
        <v>2.3706100000000001</v>
      </c>
      <c r="GB112">
        <v>33.580399999999997</v>
      </c>
      <c r="GC112">
        <v>23.991199999999999</v>
      </c>
      <c r="GD112">
        <v>19</v>
      </c>
      <c r="GE112">
        <v>279.10500000000002</v>
      </c>
      <c r="GF112">
        <v>586.41300000000001</v>
      </c>
      <c r="GG112">
        <v>23.7072</v>
      </c>
      <c r="GH112">
        <v>25.966999999999999</v>
      </c>
      <c r="GI112">
        <v>30</v>
      </c>
      <c r="GJ112">
        <v>26.128599999999999</v>
      </c>
      <c r="GK112">
        <v>26.118500000000001</v>
      </c>
      <c r="GL112">
        <v>35.535400000000003</v>
      </c>
      <c r="GM112">
        <v>60.700499999999998</v>
      </c>
      <c r="GN112">
        <v>71.6434</v>
      </c>
      <c r="GO112">
        <v>23.726099999999999</v>
      </c>
      <c r="GP112">
        <v>800</v>
      </c>
      <c r="GQ112">
        <v>7.9712100000000001</v>
      </c>
      <c r="GR112">
        <v>99.814899999999994</v>
      </c>
      <c r="GS112">
        <v>99.683999999999997</v>
      </c>
    </row>
    <row r="113" spans="1:201" x14ac:dyDescent="0.25">
      <c r="A113">
        <v>97</v>
      </c>
      <c r="B113">
        <v>1690389245.5999999</v>
      </c>
      <c r="C113">
        <v>987.09999990463257</v>
      </c>
      <c r="D113" t="s">
        <v>527</v>
      </c>
      <c r="E113" t="s">
        <v>528</v>
      </c>
      <c r="F113" t="s">
        <v>330</v>
      </c>
      <c r="H113">
        <v>1690389245.5999999</v>
      </c>
      <c r="I113">
        <f t="shared" si="30"/>
        <v>1.4525396200144988E-3</v>
      </c>
      <c r="J113">
        <f t="shared" si="31"/>
        <v>1.4525396200144989</v>
      </c>
      <c r="K113">
        <f t="shared" si="32"/>
        <v>23.940010914062587</v>
      </c>
      <c r="L113">
        <f t="shared" si="33"/>
        <v>538.07600000000002</v>
      </c>
      <c r="M113">
        <f t="shared" si="34"/>
        <v>154.61368452537349</v>
      </c>
      <c r="N113">
        <f t="shared" si="35"/>
        <v>15.258458802599733</v>
      </c>
      <c r="O113">
        <f t="shared" si="36"/>
        <v>53.101447675029604</v>
      </c>
      <c r="P113">
        <f t="shared" si="37"/>
        <v>0.10433187989727996</v>
      </c>
      <c r="Q113">
        <f t="shared" si="38"/>
        <v>2.156581778388686</v>
      </c>
      <c r="R113">
        <f t="shared" si="39"/>
        <v>0.10160675707542799</v>
      </c>
      <c r="S113">
        <f t="shared" si="40"/>
        <v>6.3743135982952129E-2</v>
      </c>
      <c r="T113">
        <f t="shared" si="41"/>
        <v>276.115179888</v>
      </c>
      <c r="U113">
        <f t="shared" si="42"/>
        <v>27.244421568841105</v>
      </c>
      <c r="V113">
        <f t="shared" si="43"/>
        <v>27.244421568841105</v>
      </c>
      <c r="W113">
        <f t="shared" si="44"/>
        <v>3.6308633297735518</v>
      </c>
      <c r="X113">
        <f t="shared" si="45"/>
        <v>68.714415346637381</v>
      </c>
      <c r="Y113">
        <f t="shared" si="46"/>
        <v>2.2621771728819597</v>
      </c>
      <c r="Z113">
        <f t="shared" si="47"/>
        <v>3.2921435210794705</v>
      </c>
      <c r="AA113">
        <f t="shared" si="48"/>
        <v>1.368686156891592</v>
      </c>
      <c r="AB113">
        <f t="shared" si="49"/>
        <v>-64.056997242639397</v>
      </c>
      <c r="AC113">
        <f t="shared" si="50"/>
        <v>-193.01509142730549</v>
      </c>
      <c r="AD113">
        <f t="shared" si="51"/>
        <v>-19.202499419543464</v>
      </c>
      <c r="AE113">
        <f t="shared" si="52"/>
        <v>-0.1594082014883611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52358.716995355127</v>
      </c>
      <c r="AK113">
        <f t="shared" si="56"/>
        <v>1800</v>
      </c>
      <c r="AL113">
        <f t="shared" si="57"/>
        <v>1499.1136938</v>
      </c>
      <c r="AM113">
        <f t="shared" si="58"/>
        <v>0.83284094099999995</v>
      </c>
      <c r="AN113">
        <f t="shared" si="59"/>
        <v>0.15339732215999999</v>
      </c>
      <c r="AO113">
        <v>31.8</v>
      </c>
      <c r="AP113">
        <v>0.5</v>
      </c>
      <c r="AQ113" t="s">
        <v>331</v>
      </c>
      <c r="AR113">
        <v>2</v>
      </c>
      <c r="AS113">
        <v>1690389245.5999999</v>
      </c>
      <c r="AT113">
        <v>538.07600000000002</v>
      </c>
      <c r="AU113">
        <v>800.04100000000005</v>
      </c>
      <c r="AV113">
        <v>22.922599999999999</v>
      </c>
      <c r="AW113">
        <v>7.8834299999999997</v>
      </c>
      <c r="AX113">
        <v>537.75</v>
      </c>
      <c r="AY113">
        <v>22.7242</v>
      </c>
      <c r="AZ113">
        <v>300.096</v>
      </c>
      <c r="BA113">
        <v>98.587699999999998</v>
      </c>
      <c r="BB113">
        <v>9.9934599999999998E-2</v>
      </c>
      <c r="BC113">
        <v>25.584299999999999</v>
      </c>
      <c r="BD113">
        <v>26.984200000000001</v>
      </c>
      <c r="BE113">
        <v>26.967600000000001</v>
      </c>
      <c r="BF113">
        <v>0</v>
      </c>
      <c r="BG113">
        <v>0</v>
      </c>
      <c r="BH113">
        <v>9996.25</v>
      </c>
      <c r="BI113">
        <v>1061.26</v>
      </c>
      <c r="BJ113">
        <v>1.3455900000000001</v>
      </c>
      <c r="BK113">
        <v>-261.96499999999997</v>
      </c>
      <c r="BL113">
        <v>550.70000000000005</v>
      </c>
      <c r="BM113">
        <v>806.39800000000002</v>
      </c>
      <c r="BN113">
        <v>15.039199999999999</v>
      </c>
      <c r="BO113">
        <v>800.04100000000005</v>
      </c>
      <c r="BP113">
        <v>7.8834299999999997</v>
      </c>
      <c r="BQ113">
        <v>2.25989</v>
      </c>
      <c r="BR113">
        <v>0.77720999999999996</v>
      </c>
      <c r="BS113">
        <v>19.3933</v>
      </c>
      <c r="BT113">
        <v>3.2977300000000001</v>
      </c>
      <c r="BU113">
        <v>1800</v>
      </c>
      <c r="BV113">
        <v>0.91000700000000001</v>
      </c>
      <c r="BW113">
        <v>3.39951E-2</v>
      </c>
      <c r="BX113">
        <v>2.1999299999999999E-2</v>
      </c>
      <c r="BY113">
        <v>3.3998800000000003E-2</v>
      </c>
      <c r="BZ113">
        <v>25</v>
      </c>
      <c r="CA113">
        <v>33528.400000000001</v>
      </c>
      <c r="CB113">
        <v>1690387638</v>
      </c>
      <c r="CC113" t="s">
        <v>332</v>
      </c>
      <c r="CD113">
        <v>1690387638</v>
      </c>
      <c r="CE113">
        <v>1690387638</v>
      </c>
      <c r="CF113">
        <v>6</v>
      </c>
      <c r="CG113">
        <v>0.43</v>
      </c>
      <c r="CH113">
        <v>-8.1000000000000003E-2</v>
      </c>
      <c r="CI113">
        <v>0.14199999999999999</v>
      </c>
      <c r="CJ113">
        <v>-2.7E-2</v>
      </c>
      <c r="CK113">
        <v>800</v>
      </c>
      <c r="CL113">
        <v>0</v>
      </c>
      <c r="CM113">
        <v>0.01</v>
      </c>
      <c r="CN113">
        <v>0.01</v>
      </c>
      <c r="CO113">
        <v>-258.09112195121952</v>
      </c>
      <c r="CP113">
        <v>-21.869811846689711</v>
      </c>
      <c r="CQ113">
        <v>2.1566757413715609</v>
      </c>
      <c r="CR113">
        <v>-1</v>
      </c>
      <c r="CS113">
        <v>14.752517073170729</v>
      </c>
      <c r="CT113">
        <v>1.5442515679442861</v>
      </c>
      <c r="CU113">
        <v>0.15259927101197071</v>
      </c>
      <c r="CV113">
        <v>-1</v>
      </c>
      <c r="CW113">
        <v>0</v>
      </c>
      <c r="CX113">
        <v>0</v>
      </c>
      <c r="CY113" t="s">
        <v>333</v>
      </c>
      <c r="CZ113">
        <v>2.3646600000000002</v>
      </c>
      <c r="DA113">
        <v>2.7137199999999999</v>
      </c>
      <c r="DB113">
        <v>0.11094999999999999</v>
      </c>
      <c r="DC113">
        <v>0.14549699999999999</v>
      </c>
      <c r="DD113">
        <v>0.109747</v>
      </c>
      <c r="DE113">
        <v>4.8925799999999998E-2</v>
      </c>
      <c r="DF113">
        <v>32487.1</v>
      </c>
      <c r="DG113">
        <v>27569.5</v>
      </c>
      <c r="DH113">
        <v>31194.5</v>
      </c>
      <c r="DI113">
        <v>28112.6</v>
      </c>
      <c r="DJ113">
        <v>37704.400000000001</v>
      </c>
      <c r="DK113">
        <v>38026.1</v>
      </c>
      <c r="DL113">
        <v>44397.1</v>
      </c>
      <c r="DM113">
        <v>42613.599999999999</v>
      </c>
      <c r="DN113">
        <v>1.4702299999999999</v>
      </c>
      <c r="DO113">
        <v>2.04345</v>
      </c>
      <c r="DP113">
        <v>0.161245</v>
      </c>
      <c r="DQ113">
        <v>0.16313</v>
      </c>
      <c r="DR113">
        <v>24.3414</v>
      </c>
      <c r="DS113">
        <v>24.293800000000001</v>
      </c>
      <c r="DT113">
        <v>51.1</v>
      </c>
      <c r="DU113">
        <v>28.8</v>
      </c>
      <c r="DV113">
        <v>20.606200000000001</v>
      </c>
      <c r="DW113">
        <v>60.902200000000001</v>
      </c>
      <c r="DX113">
        <v>36.670699999999997</v>
      </c>
      <c r="DY113">
        <v>1</v>
      </c>
      <c r="DZ113">
        <v>-0.114151</v>
      </c>
      <c r="EA113">
        <v>0.10756499999999999</v>
      </c>
      <c r="EB113">
        <v>20.1904</v>
      </c>
      <c r="EC113">
        <v>5.24125</v>
      </c>
      <c r="ED113">
        <v>12.039899999999999</v>
      </c>
      <c r="EE113">
        <v>5.0170000000000003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1.8646100000000001</v>
      </c>
      <c r="EM113">
        <v>1.8692</v>
      </c>
      <c r="EN113">
        <v>1.8672299999999999</v>
      </c>
      <c r="EO113">
        <v>1.8633599999999999</v>
      </c>
      <c r="EP113">
        <v>1.86446</v>
      </c>
      <c r="EQ113">
        <v>1.87015</v>
      </c>
      <c r="ER113">
        <v>1.86937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0.32600000000000001</v>
      </c>
      <c r="FG113">
        <v>0.19839999999999999</v>
      </c>
      <c r="FH113">
        <v>0.69281559908863044</v>
      </c>
      <c r="FI113">
        <v>-6.1462078757559423E-4</v>
      </c>
      <c r="FJ113">
        <v>-1.8861989874597051E-7</v>
      </c>
      <c r="FK113">
        <v>1.1980462299894961E-10</v>
      </c>
      <c r="FL113">
        <v>0.19840465858211129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26.8</v>
      </c>
      <c r="FU113">
        <v>26.8</v>
      </c>
      <c r="FV113">
        <v>1.7761199999999999</v>
      </c>
      <c r="FW113">
        <v>2.5817899999999998</v>
      </c>
      <c r="FX113">
        <v>1.5490699999999999</v>
      </c>
      <c r="FY113">
        <v>2.3327599999999999</v>
      </c>
      <c r="FZ113">
        <v>1.50146</v>
      </c>
      <c r="GA113">
        <v>2.3596200000000001</v>
      </c>
      <c r="GB113">
        <v>33.580399999999997</v>
      </c>
      <c r="GC113">
        <v>23.991199999999999</v>
      </c>
      <c r="GD113">
        <v>19</v>
      </c>
      <c r="GE113">
        <v>279.35599999999999</v>
      </c>
      <c r="GF113">
        <v>586.48199999999997</v>
      </c>
      <c r="GG113">
        <v>23.746200000000002</v>
      </c>
      <c r="GH113">
        <v>25.964300000000001</v>
      </c>
      <c r="GI113">
        <v>30.0001</v>
      </c>
      <c r="GJ113">
        <v>26.125800000000002</v>
      </c>
      <c r="GK113">
        <v>26.115600000000001</v>
      </c>
      <c r="GL113">
        <v>35.525399999999998</v>
      </c>
      <c r="GM113">
        <v>61.290599999999998</v>
      </c>
      <c r="GN113">
        <v>70.851600000000005</v>
      </c>
      <c r="GO113">
        <v>23.7423</v>
      </c>
      <c r="GP113">
        <v>800</v>
      </c>
      <c r="GQ113">
        <v>7.7230299999999996</v>
      </c>
      <c r="GR113">
        <v>99.814899999999994</v>
      </c>
      <c r="GS113">
        <v>99.683700000000002</v>
      </c>
    </row>
    <row r="114" spans="1:201" x14ac:dyDescent="0.25">
      <c r="A114">
        <v>98</v>
      </c>
      <c r="B114">
        <v>1690389255.5999999</v>
      </c>
      <c r="C114">
        <v>997.09999990463257</v>
      </c>
      <c r="D114" t="s">
        <v>529</v>
      </c>
      <c r="E114" t="s">
        <v>530</v>
      </c>
      <c r="F114" t="s">
        <v>330</v>
      </c>
      <c r="H114">
        <v>1690389255.5999999</v>
      </c>
      <c r="I114">
        <f t="shared" si="30"/>
        <v>1.4712672139311858E-3</v>
      </c>
      <c r="J114">
        <f t="shared" si="31"/>
        <v>1.4712672139311858</v>
      </c>
      <c r="K114">
        <f t="shared" si="32"/>
        <v>24.273150121022933</v>
      </c>
      <c r="L114">
        <f t="shared" si="33"/>
        <v>534.43799999999999</v>
      </c>
      <c r="M114">
        <f t="shared" si="34"/>
        <v>150.60266927595728</v>
      </c>
      <c r="N114">
        <f t="shared" si="35"/>
        <v>14.861202578386807</v>
      </c>
      <c r="O114">
        <f t="shared" si="36"/>
        <v>52.737387868169996</v>
      </c>
      <c r="P114">
        <f t="shared" si="37"/>
        <v>0.1056895164678861</v>
      </c>
      <c r="Q114">
        <f t="shared" si="38"/>
        <v>2.1530194620892438</v>
      </c>
      <c r="R114">
        <f t="shared" si="39"/>
        <v>0.10288953987625757</v>
      </c>
      <c r="S114">
        <f t="shared" si="40"/>
        <v>6.4551350738720675E-2</v>
      </c>
      <c r="T114">
        <f t="shared" si="41"/>
        <v>276.11516964600003</v>
      </c>
      <c r="U114">
        <f t="shared" si="42"/>
        <v>27.253027094006033</v>
      </c>
      <c r="V114">
        <f t="shared" si="43"/>
        <v>27.253027094006033</v>
      </c>
      <c r="W114">
        <f t="shared" si="44"/>
        <v>3.6326955146976854</v>
      </c>
      <c r="X114">
        <f t="shared" si="45"/>
        <v>68.71250013429767</v>
      </c>
      <c r="Y114">
        <f t="shared" si="46"/>
        <v>2.2638065337794995</v>
      </c>
      <c r="Z114">
        <f t="shared" si="47"/>
        <v>3.2946065553646275</v>
      </c>
      <c r="AA114">
        <f t="shared" si="48"/>
        <v>1.3688889809181859</v>
      </c>
      <c r="AB114">
        <f t="shared" si="49"/>
        <v>-64.882884134365298</v>
      </c>
      <c r="AC114">
        <f t="shared" si="50"/>
        <v>-192.23260941463977</v>
      </c>
      <c r="AD114">
        <f t="shared" si="51"/>
        <v>-19.158330057389456</v>
      </c>
      <c r="AE114">
        <f t="shared" si="52"/>
        <v>-0.15865396039447432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52206.975405814614</v>
      </c>
      <c r="AK114">
        <f t="shared" si="56"/>
        <v>1800</v>
      </c>
      <c r="AL114">
        <f t="shared" si="57"/>
        <v>1499.1139836000002</v>
      </c>
      <c r="AM114">
        <f t="shared" si="58"/>
        <v>0.83284110200000006</v>
      </c>
      <c r="AN114">
        <f t="shared" si="59"/>
        <v>0.15339731647000002</v>
      </c>
      <c r="AO114">
        <v>31.8</v>
      </c>
      <c r="AP114">
        <v>0.5</v>
      </c>
      <c r="AQ114" t="s">
        <v>331</v>
      </c>
      <c r="AR114">
        <v>2</v>
      </c>
      <c r="AS114">
        <v>1690389255.5999999</v>
      </c>
      <c r="AT114">
        <v>534.43799999999999</v>
      </c>
      <c r="AU114">
        <v>800.03099999999995</v>
      </c>
      <c r="AV114">
        <v>22.941299999999998</v>
      </c>
      <c r="AW114">
        <v>7.7057799999999999</v>
      </c>
      <c r="AX114">
        <v>534.10900000000004</v>
      </c>
      <c r="AY114">
        <v>22.742899999999999</v>
      </c>
      <c r="AZ114">
        <v>300.04199999999997</v>
      </c>
      <c r="BA114">
        <v>98.578199999999995</v>
      </c>
      <c r="BB114">
        <v>0.10001500000000001</v>
      </c>
      <c r="BC114">
        <v>25.596900000000002</v>
      </c>
      <c r="BD114">
        <v>26.996600000000001</v>
      </c>
      <c r="BE114">
        <v>26.979500000000002</v>
      </c>
      <c r="BF114">
        <v>0</v>
      </c>
      <c r="BG114">
        <v>0</v>
      </c>
      <c r="BH114">
        <v>9967.5</v>
      </c>
      <c r="BI114">
        <v>1061.43</v>
      </c>
      <c r="BJ114">
        <v>1.3455900000000001</v>
      </c>
      <c r="BK114">
        <v>-265.59399999999999</v>
      </c>
      <c r="BL114">
        <v>546.98599999999999</v>
      </c>
      <c r="BM114">
        <v>806.24400000000003</v>
      </c>
      <c r="BN114">
        <v>15.2356</v>
      </c>
      <c r="BO114">
        <v>800.03099999999995</v>
      </c>
      <c r="BP114">
        <v>7.7057799999999999</v>
      </c>
      <c r="BQ114">
        <v>2.26152</v>
      </c>
      <c r="BR114">
        <v>0.75962200000000002</v>
      </c>
      <c r="BS114">
        <v>19.404900000000001</v>
      </c>
      <c r="BT114">
        <v>2.9743400000000002</v>
      </c>
      <c r="BU114">
        <v>1800</v>
      </c>
      <c r="BV114">
        <v>0.91000800000000004</v>
      </c>
      <c r="BW114">
        <v>3.3994700000000003E-2</v>
      </c>
      <c r="BX114">
        <v>2.1999100000000001E-2</v>
      </c>
      <c r="BY114">
        <v>3.3998500000000001E-2</v>
      </c>
      <c r="BZ114">
        <v>25</v>
      </c>
      <c r="CA114">
        <v>33528.5</v>
      </c>
      <c r="CB114">
        <v>1690387638</v>
      </c>
      <c r="CC114" t="s">
        <v>332</v>
      </c>
      <c r="CD114">
        <v>1690387638</v>
      </c>
      <c r="CE114">
        <v>1690387638</v>
      </c>
      <c r="CF114">
        <v>6</v>
      </c>
      <c r="CG114">
        <v>0.43</v>
      </c>
      <c r="CH114">
        <v>-8.1000000000000003E-2</v>
      </c>
      <c r="CI114">
        <v>0.14199999999999999</v>
      </c>
      <c r="CJ114">
        <v>-2.7E-2</v>
      </c>
      <c r="CK114">
        <v>800</v>
      </c>
      <c r="CL114">
        <v>0</v>
      </c>
      <c r="CM114">
        <v>0.01</v>
      </c>
      <c r="CN114">
        <v>0.01</v>
      </c>
      <c r="CO114">
        <v>-261.64909756097558</v>
      </c>
      <c r="CP114">
        <v>-20.942843205574</v>
      </c>
      <c r="CQ114">
        <v>2.0658312778469159</v>
      </c>
      <c r="CR114">
        <v>-1</v>
      </c>
      <c r="CS114">
        <v>15.00964390243902</v>
      </c>
      <c r="CT114">
        <v>1.54221114982578</v>
      </c>
      <c r="CU114">
        <v>0.15289914426339429</v>
      </c>
      <c r="CV114">
        <v>-1</v>
      </c>
      <c r="CW114">
        <v>0</v>
      </c>
      <c r="CX114">
        <v>0</v>
      </c>
      <c r="CY114" t="s">
        <v>333</v>
      </c>
      <c r="CZ114">
        <v>2.3645</v>
      </c>
      <c r="DA114">
        <v>2.7137799999999999</v>
      </c>
      <c r="DB114">
        <v>0.110399</v>
      </c>
      <c r="DC114">
        <v>0.14548</v>
      </c>
      <c r="DD114">
        <v>0.109801</v>
      </c>
      <c r="DE114">
        <v>4.8046199999999997E-2</v>
      </c>
      <c r="DF114">
        <v>32506.7</v>
      </c>
      <c r="DG114">
        <v>27569.9</v>
      </c>
      <c r="DH114">
        <v>31193.9</v>
      </c>
      <c r="DI114">
        <v>28112.400000000001</v>
      </c>
      <c r="DJ114">
        <v>37701.300000000003</v>
      </c>
      <c r="DK114">
        <v>38060.9</v>
      </c>
      <c r="DL114">
        <v>44396.2</v>
      </c>
      <c r="DM114">
        <v>42613.1</v>
      </c>
      <c r="DN114">
        <v>1.4692499999999999</v>
      </c>
      <c r="DO114">
        <v>2.04297</v>
      </c>
      <c r="DP114">
        <v>0.161663</v>
      </c>
      <c r="DQ114">
        <v>0.16348099999999999</v>
      </c>
      <c r="DR114">
        <v>24.347000000000001</v>
      </c>
      <c r="DS114">
        <v>24.299900000000001</v>
      </c>
      <c r="DT114">
        <v>50.7</v>
      </c>
      <c r="DU114">
        <v>28.8</v>
      </c>
      <c r="DV114">
        <v>20.4436</v>
      </c>
      <c r="DW114">
        <v>60.982199999999999</v>
      </c>
      <c r="DX114">
        <v>36.822899999999997</v>
      </c>
      <c r="DY114">
        <v>1</v>
      </c>
      <c r="DZ114">
        <v>-0.114327</v>
      </c>
      <c r="EA114">
        <v>0.14710799999999999</v>
      </c>
      <c r="EB114">
        <v>20.1904</v>
      </c>
      <c r="EC114">
        <v>5.2411000000000003</v>
      </c>
      <c r="ED114">
        <v>12.039899999999999</v>
      </c>
      <c r="EE114">
        <v>5.0170500000000002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1.8646199999999999</v>
      </c>
      <c r="EM114">
        <v>1.8692</v>
      </c>
      <c r="EN114">
        <v>1.86724</v>
      </c>
      <c r="EO114">
        <v>1.86338</v>
      </c>
      <c r="EP114">
        <v>1.8644700000000001</v>
      </c>
      <c r="EQ114">
        <v>1.87015</v>
      </c>
      <c r="ER114">
        <v>1.86937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0.32900000000000001</v>
      </c>
      <c r="FG114">
        <v>0.19839999999999999</v>
      </c>
      <c r="FH114">
        <v>0.69281559908863044</v>
      </c>
      <c r="FI114">
        <v>-6.1462078757559423E-4</v>
      </c>
      <c r="FJ114">
        <v>-1.8861989874597051E-7</v>
      </c>
      <c r="FK114">
        <v>1.1980462299894961E-10</v>
      </c>
      <c r="FL114">
        <v>0.19840465858211129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27</v>
      </c>
      <c r="FU114">
        <v>27</v>
      </c>
      <c r="FV114">
        <v>1.7761199999999999</v>
      </c>
      <c r="FW114">
        <v>2.5781200000000002</v>
      </c>
      <c r="FX114">
        <v>1.5490699999999999</v>
      </c>
      <c r="FY114">
        <v>2.3315399999999999</v>
      </c>
      <c r="FZ114">
        <v>1.50146</v>
      </c>
      <c r="GA114">
        <v>2.3315399999999999</v>
      </c>
      <c r="GB114">
        <v>33.580399999999997</v>
      </c>
      <c r="GC114">
        <v>23.991199999999999</v>
      </c>
      <c r="GD114">
        <v>19</v>
      </c>
      <c r="GE114">
        <v>278.93400000000003</v>
      </c>
      <c r="GF114">
        <v>586.06100000000004</v>
      </c>
      <c r="GG114">
        <v>23.7517</v>
      </c>
      <c r="GH114">
        <v>25.961600000000001</v>
      </c>
      <c r="GI114">
        <v>30.000499999999999</v>
      </c>
      <c r="GJ114">
        <v>26.123200000000001</v>
      </c>
      <c r="GK114">
        <v>26.113099999999999</v>
      </c>
      <c r="GL114">
        <v>35.521299999999997</v>
      </c>
      <c r="GM114">
        <v>61.572200000000002</v>
      </c>
      <c r="GN114">
        <v>70.071799999999996</v>
      </c>
      <c r="GO114">
        <v>23.750399999999999</v>
      </c>
      <c r="GP114">
        <v>800</v>
      </c>
      <c r="GQ114">
        <v>7.5650399999999998</v>
      </c>
      <c r="GR114">
        <v>99.813000000000002</v>
      </c>
      <c r="GS114">
        <v>99.6828</v>
      </c>
    </row>
    <row r="115" spans="1:201" x14ac:dyDescent="0.25">
      <c r="A115">
        <v>99</v>
      </c>
      <c r="B115">
        <v>1690389265.5999999</v>
      </c>
      <c r="C115">
        <v>1007.099999904633</v>
      </c>
      <c r="D115" t="s">
        <v>531</v>
      </c>
      <c r="E115" t="s">
        <v>532</v>
      </c>
      <c r="F115" t="s">
        <v>330</v>
      </c>
      <c r="H115">
        <v>1690389265.5999999</v>
      </c>
      <c r="I115">
        <f t="shared" si="30"/>
        <v>1.4969738588847079E-3</v>
      </c>
      <c r="J115">
        <f t="shared" si="31"/>
        <v>1.4969738588847079</v>
      </c>
      <c r="K115">
        <f t="shared" si="32"/>
        <v>24.591155850541593</v>
      </c>
      <c r="L115">
        <f t="shared" si="33"/>
        <v>531.07600000000002</v>
      </c>
      <c r="M115">
        <f t="shared" si="34"/>
        <v>149.92740078860453</v>
      </c>
      <c r="N115">
        <f t="shared" si="35"/>
        <v>14.792808441578631</v>
      </c>
      <c r="O115">
        <f t="shared" si="36"/>
        <v>52.399397939252005</v>
      </c>
      <c r="P115">
        <f t="shared" si="37"/>
        <v>0.10787151143293236</v>
      </c>
      <c r="Q115">
        <f t="shared" si="38"/>
        <v>2.1569169436273361</v>
      </c>
      <c r="R115">
        <f t="shared" si="39"/>
        <v>0.10496155995805838</v>
      </c>
      <c r="S115">
        <f t="shared" si="40"/>
        <v>6.5855884153508376E-2</v>
      </c>
      <c r="T115">
        <f t="shared" si="41"/>
        <v>276.11341972803501</v>
      </c>
      <c r="U115">
        <f t="shared" si="42"/>
        <v>27.248205813180643</v>
      </c>
      <c r="V115">
        <f t="shared" si="43"/>
        <v>27.248205813180643</v>
      </c>
      <c r="W115">
        <f t="shared" si="44"/>
        <v>3.6316689261892798</v>
      </c>
      <c r="X115">
        <f t="shared" si="45"/>
        <v>68.767608932967832</v>
      </c>
      <c r="Y115">
        <f t="shared" si="46"/>
        <v>2.2665367097008997</v>
      </c>
      <c r="Z115">
        <f t="shared" si="47"/>
        <v>3.2959364806623377</v>
      </c>
      <c r="AA115">
        <f t="shared" si="48"/>
        <v>1.3651322164883801</v>
      </c>
      <c r="AB115">
        <f t="shared" si="49"/>
        <v>-66.016547176815621</v>
      </c>
      <c r="AC115">
        <f t="shared" si="50"/>
        <v>-191.22923093071478</v>
      </c>
      <c r="AD115">
        <f t="shared" si="51"/>
        <v>-19.024079854723272</v>
      </c>
      <c r="AE115">
        <f t="shared" si="52"/>
        <v>-0.15643823421862635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52368.918121640716</v>
      </c>
      <c r="AK115">
        <f t="shared" si="56"/>
        <v>1799.99</v>
      </c>
      <c r="AL115">
        <f t="shared" si="57"/>
        <v>1499.10539059045</v>
      </c>
      <c r="AM115">
        <f t="shared" si="58"/>
        <v>0.83284095499999999</v>
      </c>
      <c r="AN115">
        <f t="shared" si="59"/>
        <v>0.1533971965</v>
      </c>
      <c r="AO115">
        <v>31.8</v>
      </c>
      <c r="AP115">
        <v>0.5</v>
      </c>
      <c r="AQ115" t="s">
        <v>331</v>
      </c>
      <c r="AR115">
        <v>2</v>
      </c>
      <c r="AS115">
        <v>1690389265.5999999</v>
      </c>
      <c r="AT115">
        <v>531.07600000000002</v>
      </c>
      <c r="AU115">
        <v>800.09400000000005</v>
      </c>
      <c r="AV115">
        <v>22.971699999999998</v>
      </c>
      <c r="AW115">
        <v>7.4726299999999997</v>
      </c>
      <c r="AX115">
        <v>530.745</v>
      </c>
      <c r="AY115">
        <v>22.773299999999999</v>
      </c>
      <c r="AZ115">
        <v>300.084</v>
      </c>
      <c r="BA115">
        <v>98.566500000000005</v>
      </c>
      <c r="BB115">
        <v>9.9976999999999996E-2</v>
      </c>
      <c r="BC115">
        <v>25.6037</v>
      </c>
      <c r="BD115">
        <v>26.996400000000001</v>
      </c>
      <c r="BE115">
        <v>26.996300000000002</v>
      </c>
      <c r="BF115">
        <v>0</v>
      </c>
      <c r="BG115">
        <v>0</v>
      </c>
      <c r="BH115">
        <v>10001.200000000001</v>
      </c>
      <c r="BI115">
        <v>1061.6199999999999</v>
      </c>
      <c r="BJ115">
        <v>1.3455900000000001</v>
      </c>
      <c r="BK115">
        <v>-269.01799999999997</v>
      </c>
      <c r="BL115">
        <v>543.56299999999999</v>
      </c>
      <c r="BM115">
        <v>806.11800000000005</v>
      </c>
      <c r="BN115">
        <v>15.4991</v>
      </c>
      <c r="BO115">
        <v>800.09400000000005</v>
      </c>
      <c r="BP115">
        <v>7.4726299999999997</v>
      </c>
      <c r="BQ115">
        <v>2.26424</v>
      </c>
      <c r="BR115">
        <v>0.73655099999999996</v>
      </c>
      <c r="BS115">
        <v>19.424299999999999</v>
      </c>
      <c r="BT115">
        <v>2.53992</v>
      </c>
      <c r="BU115">
        <v>1799.99</v>
      </c>
      <c r="BV115">
        <v>0.91000999999999999</v>
      </c>
      <c r="BW115">
        <v>3.3993799999999998E-2</v>
      </c>
      <c r="BX115">
        <v>2.1998500000000001E-2</v>
      </c>
      <c r="BY115">
        <v>3.3997600000000003E-2</v>
      </c>
      <c r="BZ115">
        <v>25</v>
      </c>
      <c r="CA115">
        <v>33528.199999999997</v>
      </c>
      <c r="CB115">
        <v>1690387638</v>
      </c>
      <c r="CC115" t="s">
        <v>332</v>
      </c>
      <c r="CD115">
        <v>1690387638</v>
      </c>
      <c r="CE115">
        <v>1690387638</v>
      </c>
      <c r="CF115">
        <v>6</v>
      </c>
      <c r="CG115">
        <v>0.43</v>
      </c>
      <c r="CH115">
        <v>-8.1000000000000003E-2</v>
      </c>
      <c r="CI115">
        <v>0.14199999999999999</v>
      </c>
      <c r="CJ115">
        <v>-2.7E-2</v>
      </c>
      <c r="CK115">
        <v>800</v>
      </c>
      <c r="CL115">
        <v>0</v>
      </c>
      <c r="CM115">
        <v>0.01</v>
      </c>
      <c r="CN115">
        <v>0.01</v>
      </c>
      <c r="CO115">
        <v>-265.09359999999998</v>
      </c>
      <c r="CP115">
        <v>-21.427834896809738</v>
      </c>
      <c r="CQ115">
        <v>2.0619351444698761</v>
      </c>
      <c r="CR115">
        <v>-1</v>
      </c>
      <c r="CS115">
        <v>15.23277</v>
      </c>
      <c r="CT115">
        <v>1.244703939962414</v>
      </c>
      <c r="CU115">
        <v>0.1212591732612424</v>
      </c>
      <c r="CV115">
        <v>-1</v>
      </c>
      <c r="CW115">
        <v>0</v>
      </c>
      <c r="CX115">
        <v>0</v>
      </c>
      <c r="CY115" t="s">
        <v>333</v>
      </c>
      <c r="CZ115">
        <v>2.36463</v>
      </c>
      <c r="DA115">
        <v>2.7137699999999998</v>
      </c>
      <c r="DB115">
        <v>0.109886</v>
      </c>
      <c r="DC115">
        <v>0.14546700000000001</v>
      </c>
      <c r="DD115">
        <v>0.109892</v>
      </c>
      <c r="DE115">
        <v>4.6882199999999999E-2</v>
      </c>
      <c r="DF115">
        <v>32525.7</v>
      </c>
      <c r="DG115">
        <v>27569.9</v>
      </c>
      <c r="DH115">
        <v>31194.2</v>
      </c>
      <c r="DI115">
        <v>28112</v>
      </c>
      <c r="DJ115">
        <v>37697.800000000003</v>
      </c>
      <c r="DK115">
        <v>38107</v>
      </c>
      <c r="DL115">
        <v>44396.7</v>
      </c>
      <c r="DM115">
        <v>42612.5</v>
      </c>
      <c r="DN115">
        <v>1.47035</v>
      </c>
      <c r="DO115">
        <v>2.0429499999999998</v>
      </c>
      <c r="DP115">
        <v>0.161245</v>
      </c>
      <c r="DQ115">
        <v>0.16405400000000001</v>
      </c>
      <c r="DR115">
        <v>24.3536</v>
      </c>
      <c r="DS115">
        <v>24.307400000000001</v>
      </c>
      <c r="DT115">
        <v>50.4</v>
      </c>
      <c r="DU115">
        <v>28.8</v>
      </c>
      <c r="DV115">
        <v>20.3292</v>
      </c>
      <c r="DW115">
        <v>61.002200000000002</v>
      </c>
      <c r="DX115">
        <v>36.999200000000002</v>
      </c>
      <c r="DY115">
        <v>1</v>
      </c>
      <c r="DZ115">
        <v>-0.11469500000000001</v>
      </c>
      <c r="EA115">
        <v>0.12953700000000001</v>
      </c>
      <c r="EB115">
        <v>20.190300000000001</v>
      </c>
      <c r="EC115">
        <v>5.2409499999999998</v>
      </c>
      <c r="ED115">
        <v>12.039899999999999</v>
      </c>
      <c r="EE115">
        <v>5.0170000000000003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1.8646199999999999</v>
      </c>
      <c r="EM115">
        <v>1.8692</v>
      </c>
      <c r="EN115">
        <v>1.86724</v>
      </c>
      <c r="EO115">
        <v>1.86337</v>
      </c>
      <c r="EP115">
        <v>1.8644700000000001</v>
      </c>
      <c r="EQ115">
        <v>1.8701700000000001</v>
      </c>
      <c r="ER115">
        <v>1.8693599999999999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0.33100000000000002</v>
      </c>
      <c r="FG115">
        <v>0.19839999999999999</v>
      </c>
      <c r="FH115">
        <v>0.69281559908863044</v>
      </c>
      <c r="FI115">
        <v>-6.1462078757559423E-4</v>
      </c>
      <c r="FJ115">
        <v>-1.8861989874597051E-7</v>
      </c>
      <c r="FK115">
        <v>1.1980462299894961E-10</v>
      </c>
      <c r="FL115">
        <v>0.19840465858211129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27.1</v>
      </c>
      <c r="FU115">
        <v>27.1</v>
      </c>
      <c r="FV115">
        <v>1.7761199999999999</v>
      </c>
      <c r="FW115">
        <v>2.5817899999999998</v>
      </c>
      <c r="FX115">
        <v>1.5490699999999999</v>
      </c>
      <c r="FY115">
        <v>2.3315399999999999</v>
      </c>
      <c r="FZ115">
        <v>1.50146</v>
      </c>
      <c r="GA115">
        <v>2.3315399999999999</v>
      </c>
      <c r="GB115">
        <v>33.580399999999997</v>
      </c>
      <c r="GC115">
        <v>23.982399999999998</v>
      </c>
      <c r="GD115">
        <v>19</v>
      </c>
      <c r="GE115">
        <v>279.38600000000002</v>
      </c>
      <c r="GF115">
        <v>586.00300000000004</v>
      </c>
      <c r="GG115">
        <v>23.756399999999999</v>
      </c>
      <c r="GH115">
        <v>25.958200000000001</v>
      </c>
      <c r="GI115">
        <v>29.9999</v>
      </c>
      <c r="GJ115">
        <v>26.1204</v>
      </c>
      <c r="GK115">
        <v>26.1098</v>
      </c>
      <c r="GL115">
        <v>35.512300000000003</v>
      </c>
      <c r="GM115">
        <v>62.151200000000003</v>
      </c>
      <c r="GN115">
        <v>69.269900000000007</v>
      </c>
      <c r="GO115">
        <v>23.766400000000001</v>
      </c>
      <c r="GP115">
        <v>800</v>
      </c>
      <c r="GQ115">
        <v>7.3202299999999996</v>
      </c>
      <c r="GR115">
        <v>99.813999999999993</v>
      </c>
      <c r="GS115">
        <v>99.681299999999993</v>
      </c>
    </row>
    <row r="116" spans="1:201" x14ac:dyDescent="0.25">
      <c r="A116">
        <v>100</v>
      </c>
      <c r="B116">
        <v>1690389275.5999999</v>
      </c>
      <c r="C116">
        <v>1017.099999904633</v>
      </c>
      <c r="D116" t="s">
        <v>533</v>
      </c>
      <c r="E116" t="s">
        <v>534</v>
      </c>
      <c r="F116" t="s">
        <v>330</v>
      </c>
      <c r="H116">
        <v>1690389275.5999999</v>
      </c>
      <c r="I116">
        <f t="shared" si="30"/>
        <v>1.5218065758470099E-3</v>
      </c>
      <c r="J116">
        <f t="shared" si="31"/>
        <v>1.5218065758470098</v>
      </c>
      <c r="K116">
        <f t="shared" si="32"/>
        <v>24.931427276970027</v>
      </c>
      <c r="L116">
        <f t="shared" si="33"/>
        <v>527.43499999999995</v>
      </c>
      <c r="M116">
        <f t="shared" si="34"/>
        <v>148.25727029070282</v>
      </c>
      <c r="N116">
        <f t="shared" si="35"/>
        <v>14.627692825051286</v>
      </c>
      <c r="O116">
        <f t="shared" si="36"/>
        <v>52.038980281054997</v>
      </c>
      <c r="P116">
        <f t="shared" si="37"/>
        <v>0.10997092836517507</v>
      </c>
      <c r="Q116">
        <f t="shared" si="38"/>
        <v>2.1567453783566135</v>
      </c>
      <c r="R116">
        <f t="shared" si="39"/>
        <v>0.10694808211508079</v>
      </c>
      <c r="S116">
        <f t="shared" si="40"/>
        <v>6.7107221108599874E-2</v>
      </c>
      <c r="T116">
        <f t="shared" si="41"/>
        <v>276.11475649199997</v>
      </c>
      <c r="U116">
        <f t="shared" si="42"/>
        <v>27.243357480078771</v>
      </c>
      <c r="V116">
        <f t="shared" si="43"/>
        <v>27.243357480078771</v>
      </c>
      <c r="W116">
        <f t="shared" si="44"/>
        <v>3.6306368328324203</v>
      </c>
      <c r="X116">
        <f t="shared" si="45"/>
        <v>68.817810009024896</v>
      </c>
      <c r="Y116">
        <f t="shared" si="46"/>
        <v>2.2686759670567</v>
      </c>
      <c r="Z116">
        <f t="shared" si="47"/>
        <v>3.2966407486073468</v>
      </c>
      <c r="AA116">
        <f t="shared" si="48"/>
        <v>1.3619608657757203</v>
      </c>
      <c r="AB116">
        <f t="shared" si="49"/>
        <v>-67.111669994853145</v>
      </c>
      <c r="AC116">
        <f t="shared" si="50"/>
        <v>-190.23169485184371</v>
      </c>
      <c r="AD116">
        <f t="shared" si="51"/>
        <v>-18.92622747418752</v>
      </c>
      <c r="AE116">
        <f t="shared" si="52"/>
        <v>-0.15483582888438718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52361.03837336279</v>
      </c>
      <c r="AK116">
        <f t="shared" si="56"/>
        <v>1800</v>
      </c>
      <c r="AL116">
        <f t="shared" si="57"/>
        <v>1499.1138702000001</v>
      </c>
      <c r="AM116">
        <f t="shared" si="58"/>
        <v>0.83284103900000006</v>
      </c>
      <c r="AN116">
        <f t="shared" si="59"/>
        <v>0.15339708693999998</v>
      </c>
      <c r="AO116">
        <v>31.8</v>
      </c>
      <c r="AP116">
        <v>0.5</v>
      </c>
      <c r="AQ116" t="s">
        <v>331</v>
      </c>
      <c r="AR116">
        <v>2</v>
      </c>
      <c r="AS116">
        <v>1690389275.5999999</v>
      </c>
      <c r="AT116">
        <v>527.43499999999995</v>
      </c>
      <c r="AU116">
        <v>800.12900000000002</v>
      </c>
      <c r="AV116">
        <v>22.9939</v>
      </c>
      <c r="AW116">
        <v>7.2387100000000002</v>
      </c>
      <c r="AX116">
        <v>527.101</v>
      </c>
      <c r="AY116">
        <v>22.795500000000001</v>
      </c>
      <c r="AZ116">
        <v>300.096</v>
      </c>
      <c r="BA116">
        <v>98.5642</v>
      </c>
      <c r="BB116">
        <v>0.100053</v>
      </c>
      <c r="BC116">
        <v>25.607299999999999</v>
      </c>
      <c r="BD116">
        <v>26.9817</v>
      </c>
      <c r="BE116">
        <v>27.000499999999999</v>
      </c>
      <c r="BF116">
        <v>0</v>
      </c>
      <c r="BG116">
        <v>0</v>
      </c>
      <c r="BH116">
        <v>10000</v>
      </c>
      <c r="BI116">
        <v>1061.81</v>
      </c>
      <c r="BJ116">
        <v>1.3455900000000001</v>
      </c>
      <c r="BK116">
        <v>-272.69400000000002</v>
      </c>
      <c r="BL116">
        <v>539.84799999999996</v>
      </c>
      <c r="BM116">
        <v>805.96400000000006</v>
      </c>
      <c r="BN116">
        <v>15.7552</v>
      </c>
      <c r="BO116">
        <v>800.12900000000002</v>
      </c>
      <c r="BP116">
        <v>7.2387100000000002</v>
      </c>
      <c r="BQ116">
        <v>2.2663799999999998</v>
      </c>
      <c r="BR116">
        <v>0.71347799999999995</v>
      </c>
      <c r="BS116">
        <v>19.439399999999999</v>
      </c>
      <c r="BT116">
        <v>2.0932599999999999</v>
      </c>
      <c r="BU116">
        <v>1800</v>
      </c>
      <c r="BV116">
        <v>0.91001299999999996</v>
      </c>
      <c r="BW116">
        <v>3.3992599999999998E-2</v>
      </c>
      <c r="BX116">
        <v>2.1997699999999999E-2</v>
      </c>
      <c r="BY116">
        <v>3.3996400000000003E-2</v>
      </c>
      <c r="BZ116">
        <v>25</v>
      </c>
      <c r="CA116">
        <v>33528.5</v>
      </c>
      <c r="CB116">
        <v>1690387638</v>
      </c>
      <c r="CC116" t="s">
        <v>332</v>
      </c>
      <c r="CD116">
        <v>1690387638</v>
      </c>
      <c r="CE116">
        <v>1690387638</v>
      </c>
      <c r="CF116">
        <v>6</v>
      </c>
      <c r="CG116">
        <v>0.43</v>
      </c>
      <c r="CH116">
        <v>-8.1000000000000003E-2</v>
      </c>
      <c r="CI116">
        <v>0.14199999999999999</v>
      </c>
      <c r="CJ116">
        <v>-2.7E-2</v>
      </c>
      <c r="CK116">
        <v>800</v>
      </c>
      <c r="CL116">
        <v>0</v>
      </c>
      <c r="CM116">
        <v>0.01</v>
      </c>
      <c r="CN116">
        <v>0.01</v>
      </c>
      <c r="CO116">
        <v>-268.77487804878052</v>
      </c>
      <c r="CP116">
        <v>-21.653414634146539</v>
      </c>
      <c r="CQ116">
        <v>2.1361815967740632</v>
      </c>
      <c r="CR116">
        <v>-1</v>
      </c>
      <c r="CS116">
        <v>15.46910487804878</v>
      </c>
      <c r="CT116">
        <v>1.595335191637606</v>
      </c>
      <c r="CU116">
        <v>0.1574975786902065</v>
      </c>
      <c r="CV116">
        <v>-1</v>
      </c>
      <c r="CW116">
        <v>0</v>
      </c>
      <c r="CX116">
        <v>0</v>
      </c>
      <c r="CY116" t="s">
        <v>333</v>
      </c>
      <c r="CZ116">
        <v>2.3646799999999999</v>
      </c>
      <c r="DA116">
        <v>2.7138399999999998</v>
      </c>
      <c r="DB116">
        <v>0.10933900000000001</v>
      </c>
      <c r="DC116">
        <v>0.14546400000000001</v>
      </c>
      <c r="DD116">
        <v>0.10996599999999999</v>
      </c>
      <c r="DE116">
        <v>4.5707200000000003E-2</v>
      </c>
      <c r="DF116">
        <v>32545.1</v>
      </c>
      <c r="DG116">
        <v>27570.3</v>
      </c>
      <c r="DH116">
        <v>31193.599999999999</v>
      </c>
      <c r="DI116">
        <v>28112.3</v>
      </c>
      <c r="DJ116">
        <v>37693.9</v>
      </c>
      <c r="DK116">
        <v>38154.5</v>
      </c>
      <c r="DL116">
        <v>44395.9</v>
      </c>
      <c r="DM116">
        <v>42612.9</v>
      </c>
      <c r="DN116">
        <v>1.4696499999999999</v>
      </c>
      <c r="DO116">
        <v>2.0419</v>
      </c>
      <c r="DP116">
        <v>0.15991900000000001</v>
      </c>
      <c r="DQ116">
        <v>0.16381599999999999</v>
      </c>
      <c r="DR116">
        <v>24.360600000000002</v>
      </c>
      <c r="DS116">
        <v>24.3156</v>
      </c>
      <c r="DT116">
        <v>50.1</v>
      </c>
      <c r="DU116">
        <v>28.8</v>
      </c>
      <c r="DV116">
        <v>20.205300000000001</v>
      </c>
      <c r="DW116">
        <v>60.572200000000002</v>
      </c>
      <c r="DX116">
        <v>37.099400000000003</v>
      </c>
      <c r="DY116">
        <v>1</v>
      </c>
      <c r="DZ116">
        <v>-0.112746</v>
      </c>
      <c r="EA116">
        <v>1.1915</v>
      </c>
      <c r="EB116">
        <v>20.183900000000001</v>
      </c>
      <c r="EC116">
        <v>5.2413999999999996</v>
      </c>
      <c r="ED116">
        <v>12.039899999999999</v>
      </c>
      <c r="EE116">
        <v>5.0169499999999996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1.8692</v>
      </c>
      <c r="EN116">
        <v>1.8672299999999999</v>
      </c>
      <c r="EO116">
        <v>1.8633599999999999</v>
      </c>
      <c r="EP116">
        <v>1.8644700000000001</v>
      </c>
      <c r="EQ116">
        <v>1.87015</v>
      </c>
      <c r="ER116">
        <v>1.8693500000000001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0.33400000000000002</v>
      </c>
      <c r="FG116">
        <v>0.19839999999999999</v>
      </c>
      <c r="FH116">
        <v>0.69281559908863044</v>
      </c>
      <c r="FI116">
        <v>-6.1462078757559423E-4</v>
      </c>
      <c r="FJ116">
        <v>-1.8861989874597051E-7</v>
      </c>
      <c r="FK116">
        <v>1.1980462299894961E-10</v>
      </c>
      <c r="FL116">
        <v>0.19840465858211129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27.3</v>
      </c>
      <c r="FU116">
        <v>27.3</v>
      </c>
      <c r="FV116">
        <v>1.7761199999999999</v>
      </c>
      <c r="FW116">
        <v>2.5842299999999998</v>
      </c>
      <c r="FX116">
        <v>1.5490699999999999</v>
      </c>
      <c r="FY116">
        <v>2.3315399999999999</v>
      </c>
      <c r="FZ116">
        <v>1.50146</v>
      </c>
      <c r="GA116">
        <v>2.3022499999999999</v>
      </c>
      <c r="GB116">
        <v>33.580399999999997</v>
      </c>
      <c r="GC116">
        <v>23.982399999999998</v>
      </c>
      <c r="GD116">
        <v>19</v>
      </c>
      <c r="GE116">
        <v>279.07600000000002</v>
      </c>
      <c r="GF116">
        <v>585.1</v>
      </c>
      <c r="GG116">
        <v>23.468299999999999</v>
      </c>
      <c r="GH116">
        <v>25.956</v>
      </c>
      <c r="GI116">
        <v>30.001200000000001</v>
      </c>
      <c r="GJ116">
        <v>26.117100000000001</v>
      </c>
      <c r="GK116">
        <v>26.1069</v>
      </c>
      <c r="GL116">
        <v>35.503900000000002</v>
      </c>
      <c r="GM116">
        <v>63.078800000000001</v>
      </c>
      <c r="GN116">
        <v>68.465699999999998</v>
      </c>
      <c r="GO116">
        <v>23.404199999999999</v>
      </c>
      <c r="GP116">
        <v>800</v>
      </c>
      <c r="GQ116">
        <v>7.0801100000000003</v>
      </c>
      <c r="GR116">
        <v>99.812100000000001</v>
      </c>
      <c r="GS116">
        <v>99.682400000000001</v>
      </c>
    </row>
    <row r="117" spans="1:201" x14ac:dyDescent="0.25">
      <c r="A117">
        <v>101</v>
      </c>
      <c r="B117">
        <v>1690389285.5999999</v>
      </c>
      <c r="C117">
        <v>1027.099999904633</v>
      </c>
      <c r="D117" t="s">
        <v>535</v>
      </c>
      <c r="E117" t="s">
        <v>536</v>
      </c>
      <c r="F117" t="s">
        <v>330</v>
      </c>
      <c r="H117">
        <v>1690389285.5999999</v>
      </c>
      <c r="I117">
        <f t="shared" si="30"/>
        <v>1.5388588622915087E-3</v>
      </c>
      <c r="J117">
        <f t="shared" si="31"/>
        <v>1.5388588622915087</v>
      </c>
      <c r="K117">
        <f t="shared" si="32"/>
        <v>25.235154505128488</v>
      </c>
      <c r="L117">
        <f t="shared" si="33"/>
        <v>524.03200000000004</v>
      </c>
      <c r="M117">
        <f t="shared" si="34"/>
        <v>145.72197667191782</v>
      </c>
      <c r="N117">
        <f t="shared" si="35"/>
        <v>14.377292774729371</v>
      </c>
      <c r="O117">
        <f t="shared" si="36"/>
        <v>51.702300911616</v>
      </c>
      <c r="P117">
        <f t="shared" si="37"/>
        <v>0.11158705470781372</v>
      </c>
      <c r="Q117">
        <f t="shared" si="38"/>
        <v>2.1532021516692006</v>
      </c>
      <c r="R117">
        <f t="shared" si="39"/>
        <v>0.10847109630414795</v>
      </c>
      <c r="S117">
        <f t="shared" si="40"/>
        <v>6.8067144242898239E-2</v>
      </c>
      <c r="T117">
        <f t="shared" si="41"/>
        <v>276.11491075200001</v>
      </c>
      <c r="U117">
        <f t="shared" si="42"/>
        <v>27.207461255943397</v>
      </c>
      <c r="V117">
        <f t="shared" si="43"/>
        <v>27.207461255943397</v>
      </c>
      <c r="W117">
        <f t="shared" si="44"/>
        <v>3.6230033523351279</v>
      </c>
      <c r="X117">
        <f t="shared" si="45"/>
        <v>68.840907565791596</v>
      </c>
      <c r="Y117">
        <f t="shared" si="46"/>
        <v>2.2650638007575998</v>
      </c>
      <c r="Z117">
        <f t="shared" si="47"/>
        <v>3.2902875352026224</v>
      </c>
      <c r="AA117">
        <f t="shared" si="48"/>
        <v>1.3579395515775281</v>
      </c>
      <c r="AB117">
        <f t="shared" si="49"/>
        <v>-67.86367582705553</v>
      </c>
      <c r="AC117">
        <f t="shared" si="50"/>
        <v>-189.52492580301666</v>
      </c>
      <c r="AD117">
        <f t="shared" si="51"/>
        <v>-18.880468114093894</v>
      </c>
      <c r="AE117">
        <f t="shared" si="52"/>
        <v>-0.15415899216608864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52218.155887468129</v>
      </c>
      <c r="AK117">
        <f t="shared" si="56"/>
        <v>1800</v>
      </c>
      <c r="AL117">
        <f t="shared" si="57"/>
        <v>1499.1155352000001</v>
      </c>
      <c r="AM117">
        <f t="shared" si="58"/>
        <v>0.83284196399999999</v>
      </c>
      <c r="AN117">
        <f t="shared" si="59"/>
        <v>0.15339717264</v>
      </c>
      <c r="AO117">
        <v>31.8</v>
      </c>
      <c r="AP117">
        <v>0.5</v>
      </c>
      <c r="AQ117" t="s">
        <v>331</v>
      </c>
      <c r="AR117">
        <v>2</v>
      </c>
      <c r="AS117">
        <v>1690389285.5999999</v>
      </c>
      <c r="AT117">
        <v>524.03200000000004</v>
      </c>
      <c r="AU117">
        <v>799.94200000000001</v>
      </c>
      <c r="AV117">
        <v>22.957699999999999</v>
      </c>
      <c r="AW117">
        <v>7.0278200000000002</v>
      </c>
      <c r="AX117">
        <v>523.69500000000005</v>
      </c>
      <c r="AY117">
        <v>22.7593</v>
      </c>
      <c r="AZ117">
        <v>300.142</v>
      </c>
      <c r="BA117">
        <v>98.562399999999997</v>
      </c>
      <c r="BB117">
        <v>0.100088</v>
      </c>
      <c r="BC117">
        <v>25.5748</v>
      </c>
      <c r="BD117">
        <v>26.9878</v>
      </c>
      <c r="BE117">
        <v>26.962599999999998</v>
      </c>
      <c r="BF117">
        <v>0</v>
      </c>
      <c r="BG117">
        <v>0</v>
      </c>
      <c r="BH117">
        <v>9970.6200000000008</v>
      </c>
      <c r="BI117">
        <v>1061.73</v>
      </c>
      <c r="BJ117">
        <v>1.3455900000000001</v>
      </c>
      <c r="BK117">
        <v>-275.911</v>
      </c>
      <c r="BL117">
        <v>536.34500000000003</v>
      </c>
      <c r="BM117">
        <v>805.60400000000004</v>
      </c>
      <c r="BN117">
        <v>15.9299</v>
      </c>
      <c r="BO117">
        <v>799.94200000000001</v>
      </c>
      <c r="BP117">
        <v>7.0278200000000002</v>
      </c>
      <c r="BQ117">
        <v>2.2627700000000002</v>
      </c>
      <c r="BR117">
        <v>0.69267900000000004</v>
      </c>
      <c r="BS117">
        <v>19.413799999999998</v>
      </c>
      <c r="BT117">
        <v>1.6795199999999999</v>
      </c>
      <c r="BU117">
        <v>1800</v>
      </c>
      <c r="BV117">
        <v>0.91001600000000005</v>
      </c>
      <c r="BW117">
        <v>3.3991800000000003E-2</v>
      </c>
      <c r="BX117">
        <v>2.1997200000000001E-2</v>
      </c>
      <c r="BY117">
        <v>3.3995600000000001E-2</v>
      </c>
      <c r="BZ117">
        <v>25</v>
      </c>
      <c r="CA117">
        <v>33528.400000000001</v>
      </c>
      <c r="CB117">
        <v>1690387638</v>
      </c>
      <c r="CC117" t="s">
        <v>332</v>
      </c>
      <c r="CD117">
        <v>1690387638</v>
      </c>
      <c r="CE117">
        <v>1690387638</v>
      </c>
      <c r="CF117">
        <v>6</v>
      </c>
      <c r="CG117">
        <v>0.43</v>
      </c>
      <c r="CH117">
        <v>-8.1000000000000003E-2</v>
      </c>
      <c r="CI117">
        <v>0.14199999999999999</v>
      </c>
      <c r="CJ117">
        <v>-2.7E-2</v>
      </c>
      <c r="CK117">
        <v>800</v>
      </c>
      <c r="CL117">
        <v>0</v>
      </c>
      <c r="CM117">
        <v>0.01</v>
      </c>
      <c r="CN117">
        <v>0.01</v>
      </c>
      <c r="CO117">
        <v>-272.27341463414632</v>
      </c>
      <c r="CP117">
        <v>-20.698515679442949</v>
      </c>
      <c r="CQ117">
        <v>2.0438758252531231</v>
      </c>
      <c r="CR117">
        <v>-1</v>
      </c>
      <c r="CS117">
        <v>15.717451219512199</v>
      </c>
      <c r="CT117">
        <v>1.3771484320557641</v>
      </c>
      <c r="CU117">
        <v>0.13668750923709019</v>
      </c>
      <c r="CV117">
        <v>-1</v>
      </c>
      <c r="CW117">
        <v>0</v>
      </c>
      <c r="CX117">
        <v>0</v>
      </c>
      <c r="CY117" t="s">
        <v>333</v>
      </c>
      <c r="CZ117">
        <v>2.3648500000000001</v>
      </c>
      <c r="DA117">
        <v>2.7138499999999999</v>
      </c>
      <c r="DB117">
        <v>0.10882600000000001</v>
      </c>
      <c r="DC117">
        <v>0.14543500000000001</v>
      </c>
      <c r="DD117">
        <v>0.109842</v>
      </c>
      <c r="DE117">
        <v>4.4637700000000002E-2</v>
      </c>
      <c r="DF117">
        <v>32563.8</v>
      </c>
      <c r="DG117">
        <v>27570.9</v>
      </c>
      <c r="DH117">
        <v>31193.5</v>
      </c>
      <c r="DI117">
        <v>28111.9</v>
      </c>
      <c r="DJ117">
        <v>37699.1</v>
      </c>
      <c r="DK117">
        <v>38196.9</v>
      </c>
      <c r="DL117">
        <v>44395.9</v>
      </c>
      <c r="DM117">
        <v>42612.4</v>
      </c>
      <c r="DN117">
        <v>1.4702999999999999</v>
      </c>
      <c r="DO117">
        <v>2.0418500000000002</v>
      </c>
      <c r="DP117">
        <v>0.159971</v>
      </c>
      <c r="DQ117">
        <v>0.16125300000000001</v>
      </c>
      <c r="DR117">
        <v>24.366</v>
      </c>
      <c r="DS117">
        <v>24.319600000000001</v>
      </c>
      <c r="DT117">
        <v>49.7</v>
      </c>
      <c r="DU117">
        <v>28.8</v>
      </c>
      <c r="DV117">
        <v>20.046099999999999</v>
      </c>
      <c r="DW117">
        <v>61.042200000000001</v>
      </c>
      <c r="DX117">
        <v>37.1554</v>
      </c>
      <c r="DY117">
        <v>1</v>
      </c>
      <c r="DZ117">
        <v>-0.11404499999999999</v>
      </c>
      <c r="EA117">
        <v>0.49567800000000001</v>
      </c>
      <c r="EB117">
        <v>20.189</v>
      </c>
      <c r="EC117">
        <v>5.2418500000000003</v>
      </c>
      <c r="ED117">
        <v>12.039899999999999</v>
      </c>
      <c r="EE117">
        <v>5.0171999999999999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1.8646199999999999</v>
      </c>
      <c r="EM117">
        <v>1.8692</v>
      </c>
      <c r="EN117">
        <v>1.86724</v>
      </c>
      <c r="EO117">
        <v>1.8633599999999999</v>
      </c>
      <c r="EP117">
        <v>1.8644700000000001</v>
      </c>
      <c r="EQ117">
        <v>1.87015</v>
      </c>
      <c r="ER117">
        <v>1.86937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0.33700000000000002</v>
      </c>
      <c r="FG117">
        <v>0.19839999999999999</v>
      </c>
      <c r="FH117">
        <v>0.69281559908863044</v>
      </c>
      <c r="FI117">
        <v>-6.1462078757559423E-4</v>
      </c>
      <c r="FJ117">
        <v>-1.8861989874597051E-7</v>
      </c>
      <c r="FK117">
        <v>1.1980462299894961E-10</v>
      </c>
      <c r="FL117">
        <v>0.19840465858211129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27.5</v>
      </c>
      <c r="FU117">
        <v>27.5</v>
      </c>
      <c r="FV117">
        <v>1.7748999999999999</v>
      </c>
      <c r="FW117">
        <v>2.5842299999999998</v>
      </c>
      <c r="FX117">
        <v>1.5490699999999999</v>
      </c>
      <c r="FY117">
        <v>2.3315399999999999</v>
      </c>
      <c r="FZ117">
        <v>1.50146</v>
      </c>
      <c r="GA117">
        <v>2.3059099999999999</v>
      </c>
      <c r="GB117">
        <v>33.580399999999997</v>
      </c>
      <c r="GC117">
        <v>23.982399999999998</v>
      </c>
      <c r="GD117">
        <v>19</v>
      </c>
      <c r="GE117">
        <v>279.33600000000001</v>
      </c>
      <c r="GF117">
        <v>585.03300000000002</v>
      </c>
      <c r="GG117">
        <v>23.355399999999999</v>
      </c>
      <c r="GH117">
        <v>25.953800000000001</v>
      </c>
      <c r="GI117">
        <v>29.9998</v>
      </c>
      <c r="GJ117">
        <v>26.113900000000001</v>
      </c>
      <c r="GK117">
        <v>26.104700000000001</v>
      </c>
      <c r="GL117">
        <v>35.501300000000001</v>
      </c>
      <c r="GM117">
        <v>63.660499999999999</v>
      </c>
      <c r="GN117">
        <v>67.653300000000002</v>
      </c>
      <c r="GO117">
        <v>23.401900000000001</v>
      </c>
      <c r="GP117">
        <v>800</v>
      </c>
      <c r="GQ117">
        <v>6.8763199999999998</v>
      </c>
      <c r="GR117">
        <v>99.811999999999998</v>
      </c>
      <c r="GS117">
        <v>99.681100000000001</v>
      </c>
    </row>
    <row r="118" spans="1:201" x14ac:dyDescent="0.25">
      <c r="A118">
        <v>102</v>
      </c>
      <c r="B118">
        <v>1690389295.5999999</v>
      </c>
      <c r="C118">
        <v>1037.099999904633</v>
      </c>
      <c r="D118" t="s">
        <v>537</v>
      </c>
      <c r="E118" t="s">
        <v>538</v>
      </c>
      <c r="F118" t="s">
        <v>330</v>
      </c>
      <c r="H118">
        <v>1690389295.5999999</v>
      </c>
      <c r="I118">
        <f t="shared" si="30"/>
        <v>1.5642864845567387E-3</v>
      </c>
      <c r="J118">
        <f t="shared" si="31"/>
        <v>1.5642864845567388</v>
      </c>
      <c r="K118">
        <f t="shared" si="32"/>
        <v>25.552452520404696</v>
      </c>
      <c r="L118">
        <f t="shared" si="33"/>
        <v>520.62699999999995</v>
      </c>
      <c r="M118">
        <f t="shared" si="34"/>
        <v>145.51709112138045</v>
      </c>
      <c r="N118">
        <f t="shared" si="35"/>
        <v>14.354983829065597</v>
      </c>
      <c r="O118">
        <f t="shared" si="36"/>
        <v>51.358861755564995</v>
      </c>
      <c r="P118">
        <f t="shared" si="37"/>
        <v>0.11400447893993672</v>
      </c>
      <c r="Q118">
        <f t="shared" si="38"/>
        <v>2.1572917647764722</v>
      </c>
      <c r="R118">
        <f t="shared" si="39"/>
        <v>0.11076013979428638</v>
      </c>
      <c r="S118">
        <f t="shared" si="40"/>
        <v>6.9508887935285035E-2</v>
      </c>
      <c r="T118">
        <f t="shared" si="41"/>
        <v>276.11470504800002</v>
      </c>
      <c r="U118">
        <f t="shared" si="42"/>
        <v>27.185980766273381</v>
      </c>
      <c r="V118">
        <f t="shared" si="43"/>
        <v>27.185980766273381</v>
      </c>
      <c r="W118">
        <f t="shared" si="44"/>
        <v>3.6184421400575353</v>
      </c>
      <c r="X118">
        <f t="shared" si="45"/>
        <v>68.93342771143827</v>
      </c>
      <c r="Y118">
        <f t="shared" si="46"/>
        <v>2.2667753861480007</v>
      </c>
      <c r="Z118">
        <f t="shared" si="47"/>
        <v>3.2883543752342232</v>
      </c>
      <c r="AA118">
        <f t="shared" si="48"/>
        <v>1.3516667539095346</v>
      </c>
      <c r="AB118">
        <f t="shared" si="49"/>
        <v>-68.98503396895218</v>
      </c>
      <c r="AC118">
        <f t="shared" si="50"/>
        <v>-188.53803741596471</v>
      </c>
      <c r="AD118">
        <f t="shared" si="51"/>
        <v>-18.743599521184638</v>
      </c>
      <c r="AE118">
        <f t="shared" si="52"/>
        <v>-0.15196585810150509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52391.053635624558</v>
      </c>
      <c r="AK118">
        <f t="shared" si="56"/>
        <v>1800</v>
      </c>
      <c r="AL118">
        <f t="shared" si="57"/>
        <v>1499.1149807999998</v>
      </c>
      <c r="AM118">
        <f t="shared" si="58"/>
        <v>0.83284165599999982</v>
      </c>
      <c r="AN118">
        <f t="shared" si="59"/>
        <v>0.15339705836</v>
      </c>
      <c r="AO118">
        <v>31.8</v>
      </c>
      <c r="AP118">
        <v>0.5</v>
      </c>
      <c r="AQ118" t="s">
        <v>331</v>
      </c>
      <c r="AR118">
        <v>2</v>
      </c>
      <c r="AS118">
        <v>1690389295.5999999</v>
      </c>
      <c r="AT118">
        <v>520.62699999999995</v>
      </c>
      <c r="AU118">
        <v>800.08500000000004</v>
      </c>
      <c r="AV118">
        <v>22.978400000000001</v>
      </c>
      <c r="AW118">
        <v>6.7797599999999996</v>
      </c>
      <c r="AX118">
        <v>520.28800000000001</v>
      </c>
      <c r="AY118">
        <v>22.78</v>
      </c>
      <c r="AZ118">
        <v>300.03300000000002</v>
      </c>
      <c r="BA118">
        <v>98.548100000000005</v>
      </c>
      <c r="BB118">
        <v>9.9995000000000001E-2</v>
      </c>
      <c r="BC118">
        <v>25.564900000000002</v>
      </c>
      <c r="BD118">
        <v>26.946200000000001</v>
      </c>
      <c r="BE118">
        <v>26.944199999999999</v>
      </c>
      <c r="BF118">
        <v>0</v>
      </c>
      <c r="BG118">
        <v>0</v>
      </c>
      <c r="BH118">
        <v>10006.200000000001</v>
      </c>
      <c r="BI118">
        <v>1061.8499999999999</v>
      </c>
      <c r="BJ118">
        <v>1.3455900000000001</v>
      </c>
      <c r="BK118">
        <v>-279.45800000000003</v>
      </c>
      <c r="BL118">
        <v>532.87099999999998</v>
      </c>
      <c r="BM118">
        <v>805.54600000000005</v>
      </c>
      <c r="BN118">
        <v>16.198599999999999</v>
      </c>
      <c r="BO118">
        <v>800.08500000000004</v>
      </c>
      <c r="BP118">
        <v>6.7797599999999996</v>
      </c>
      <c r="BQ118">
        <v>2.2644799999999998</v>
      </c>
      <c r="BR118">
        <v>0.66813199999999995</v>
      </c>
      <c r="BS118">
        <v>19.425899999999999</v>
      </c>
      <c r="BT118">
        <v>1.17686</v>
      </c>
      <c r="BU118">
        <v>1800</v>
      </c>
      <c r="BV118">
        <v>0.91001699999999996</v>
      </c>
      <c r="BW118">
        <v>3.3991300000000002E-2</v>
      </c>
      <c r="BX118">
        <v>2.19968E-2</v>
      </c>
      <c r="BY118">
        <v>3.3994999999999997E-2</v>
      </c>
      <c r="BZ118">
        <v>25</v>
      </c>
      <c r="CA118">
        <v>33528.5</v>
      </c>
      <c r="CB118">
        <v>1690387638</v>
      </c>
      <c r="CC118" t="s">
        <v>332</v>
      </c>
      <c r="CD118">
        <v>1690387638</v>
      </c>
      <c r="CE118">
        <v>1690387638</v>
      </c>
      <c r="CF118">
        <v>6</v>
      </c>
      <c r="CG118">
        <v>0.43</v>
      </c>
      <c r="CH118">
        <v>-8.1000000000000003E-2</v>
      </c>
      <c r="CI118">
        <v>0.14199999999999999</v>
      </c>
      <c r="CJ118">
        <v>-2.7E-2</v>
      </c>
      <c r="CK118">
        <v>800</v>
      </c>
      <c r="CL118">
        <v>0</v>
      </c>
      <c r="CM118">
        <v>0.01</v>
      </c>
      <c r="CN118">
        <v>0.01</v>
      </c>
      <c r="CO118">
        <v>-275.96884999999997</v>
      </c>
      <c r="CP118">
        <v>-20.672532833019702</v>
      </c>
      <c r="CQ118">
        <v>1.990465932263098</v>
      </c>
      <c r="CR118">
        <v>-1</v>
      </c>
      <c r="CS118">
        <v>15.9525975</v>
      </c>
      <c r="CT118">
        <v>1.2746262664165069</v>
      </c>
      <c r="CU118">
        <v>0.1238591144960675</v>
      </c>
      <c r="CV118">
        <v>-1</v>
      </c>
      <c r="CW118">
        <v>0</v>
      </c>
      <c r="CX118">
        <v>0</v>
      </c>
      <c r="CY118" t="s">
        <v>333</v>
      </c>
      <c r="CZ118">
        <v>2.3645299999999998</v>
      </c>
      <c r="DA118">
        <v>2.7137899999999999</v>
      </c>
      <c r="DB118">
        <v>0.10829800000000001</v>
      </c>
      <c r="DC118">
        <v>0.145428</v>
      </c>
      <c r="DD118">
        <v>0.10989699999999999</v>
      </c>
      <c r="DE118">
        <v>4.3361400000000001E-2</v>
      </c>
      <c r="DF118">
        <v>32583.4</v>
      </c>
      <c r="DG118">
        <v>27571.5</v>
      </c>
      <c r="DH118">
        <v>31193.9</v>
      </c>
      <c r="DI118">
        <v>28112.3</v>
      </c>
      <c r="DJ118">
        <v>37697</v>
      </c>
      <c r="DK118">
        <v>38248.5</v>
      </c>
      <c r="DL118">
        <v>44396.3</v>
      </c>
      <c r="DM118">
        <v>42612.9</v>
      </c>
      <c r="DN118">
        <v>1.47</v>
      </c>
      <c r="DO118">
        <v>2.0415199999999998</v>
      </c>
      <c r="DP118">
        <v>0.15725900000000001</v>
      </c>
      <c r="DQ118">
        <v>0.160001</v>
      </c>
      <c r="DR118">
        <v>24.3687</v>
      </c>
      <c r="DS118">
        <v>24.3216</v>
      </c>
      <c r="DT118">
        <v>49.4</v>
      </c>
      <c r="DU118">
        <v>28.8</v>
      </c>
      <c r="DV118">
        <v>19.9282</v>
      </c>
      <c r="DW118">
        <v>60.852200000000003</v>
      </c>
      <c r="DX118">
        <v>37.411900000000003</v>
      </c>
      <c r="DY118">
        <v>1</v>
      </c>
      <c r="DZ118">
        <v>-0.11407</v>
      </c>
      <c r="EA118">
        <v>0.25699899999999998</v>
      </c>
      <c r="EB118">
        <v>20.190100000000001</v>
      </c>
      <c r="EC118">
        <v>5.2416999999999998</v>
      </c>
      <c r="ED118">
        <v>12.039899999999999</v>
      </c>
      <c r="EE118">
        <v>5.0171999999999999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1.8692</v>
      </c>
      <c r="EN118">
        <v>1.8672200000000001</v>
      </c>
      <c r="EO118">
        <v>1.8633599999999999</v>
      </c>
      <c r="EP118">
        <v>1.8644700000000001</v>
      </c>
      <c r="EQ118">
        <v>1.87015</v>
      </c>
      <c r="ER118">
        <v>1.86937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0.33900000000000002</v>
      </c>
      <c r="FG118">
        <v>0.19839999999999999</v>
      </c>
      <c r="FH118">
        <v>0.69281559908863044</v>
      </c>
      <c r="FI118">
        <v>-6.1462078757559423E-4</v>
      </c>
      <c r="FJ118">
        <v>-1.8861989874597051E-7</v>
      </c>
      <c r="FK118">
        <v>1.1980462299894961E-10</v>
      </c>
      <c r="FL118">
        <v>0.19840465858211129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27.6</v>
      </c>
      <c r="FU118">
        <v>27.6</v>
      </c>
      <c r="FV118">
        <v>1.7748999999999999</v>
      </c>
      <c r="FW118">
        <v>2.5842299999999998</v>
      </c>
      <c r="FX118">
        <v>1.5490699999999999</v>
      </c>
      <c r="FY118">
        <v>2.3315399999999999</v>
      </c>
      <c r="FZ118">
        <v>1.50146</v>
      </c>
      <c r="GA118">
        <v>2.3022499999999999</v>
      </c>
      <c r="GB118">
        <v>33.580399999999997</v>
      </c>
      <c r="GC118">
        <v>23.982399999999998</v>
      </c>
      <c r="GD118">
        <v>19</v>
      </c>
      <c r="GE118">
        <v>279.2</v>
      </c>
      <c r="GF118">
        <v>584.73099999999999</v>
      </c>
      <c r="GG118">
        <v>23.3995</v>
      </c>
      <c r="GH118">
        <v>25.951599999999999</v>
      </c>
      <c r="GI118">
        <v>29.9999</v>
      </c>
      <c r="GJ118">
        <v>26.111699999999999</v>
      </c>
      <c r="GK118">
        <v>26.101600000000001</v>
      </c>
      <c r="GL118">
        <v>35.490400000000001</v>
      </c>
      <c r="GM118">
        <v>64.228200000000001</v>
      </c>
      <c r="GN118">
        <v>66.461799999999997</v>
      </c>
      <c r="GO118">
        <v>23.4511</v>
      </c>
      <c r="GP118">
        <v>800</v>
      </c>
      <c r="GQ118">
        <v>6.6284599999999996</v>
      </c>
      <c r="GR118">
        <v>99.813000000000002</v>
      </c>
      <c r="GS118">
        <v>99.682400000000001</v>
      </c>
    </row>
    <row r="119" spans="1:201" x14ac:dyDescent="0.25">
      <c r="A119">
        <v>103</v>
      </c>
      <c r="B119">
        <v>1690389305.5999999</v>
      </c>
      <c r="C119">
        <v>1047.099999904633</v>
      </c>
      <c r="D119" t="s">
        <v>539</v>
      </c>
      <c r="E119" t="s">
        <v>540</v>
      </c>
      <c r="F119" t="s">
        <v>330</v>
      </c>
      <c r="H119">
        <v>1690389305.5999999</v>
      </c>
      <c r="I119">
        <f t="shared" si="30"/>
        <v>1.5909279019130087E-3</v>
      </c>
      <c r="J119">
        <f t="shared" si="31"/>
        <v>1.5909279019130087</v>
      </c>
      <c r="K119">
        <f t="shared" si="32"/>
        <v>25.862592533974269</v>
      </c>
      <c r="L119">
        <f t="shared" si="33"/>
        <v>517.19600000000003</v>
      </c>
      <c r="M119">
        <f t="shared" si="34"/>
        <v>145.25987380597937</v>
      </c>
      <c r="N119">
        <f t="shared" si="35"/>
        <v>14.328462001903437</v>
      </c>
      <c r="O119">
        <f t="shared" si="36"/>
        <v>51.016313310547609</v>
      </c>
      <c r="P119">
        <f t="shared" si="37"/>
        <v>0.11643538626024787</v>
      </c>
      <c r="Q119">
        <f t="shared" si="38"/>
        <v>2.1545829191435732</v>
      </c>
      <c r="R119">
        <f t="shared" si="39"/>
        <v>0.11304930525823199</v>
      </c>
      <c r="S119">
        <f t="shared" si="40"/>
        <v>7.0951839421267177E-2</v>
      </c>
      <c r="T119">
        <f t="shared" si="41"/>
        <v>276.11326177891254</v>
      </c>
      <c r="U119">
        <f t="shared" si="42"/>
        <v>27.179817004392483</v>
      </c>
      <c r="V119">
        <f t="shared" si="43"/>
        <v>27.179817004392483</v>
      </c>
      <c r="W119">
        <f t="shared" si="44"/>
        <v>3.6171342397278434</v>
      </c>
      <c r="X119">
        <f t="shared" si="45"/>
        <v>69.039075233537332</v>
      </c>
      <c r="Y119">
        <f t="shared" si="46"/>
        <v>2.2704111886020102</v>
      </c>
      <c r="Z119">
        <f t="shared" si="47"/>
        <v>3.288588644795615</v>
      </c>
      <c r="AA119">
        <f t="shared" si="48"/>
        <v>1.3467230511258332</v>
      </c>
      <c r="AB119">
        <f t="shared" si="49"/>
        <v>-70.159920474363688</v>
      </c>
      <c r="AC119">
        <f t="shared" si="50"/>
        <v>-187.44593701148975</v>
      </c>
      <c r="AD119">
        <f t="shared" si="51"/>
        <v>-18.657991411084463</v>
      </c>
      <c r="AE119">
        <f t="shared" si="52"/>
        <v>-0.1505871180253564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52277.057701713842</v>
      </c>
      <c r="AK119">
        <f t="shared" si="56"/>
        <v>1799.99</v>
      </c>
      <c r="AL119">
        <f t="shared" si="57"/>
        <v>1499.1037705994499</v>
      </c>
      <c r="AM119">
        <f t="shared" si="58"/>
        <v>0.83284005500000002</v>
      </c>
      <c r="AN119">
        <f t="shared" si="59"/>
        <v>0.15339710875000001</v>
      </c>
      <c r="AO119">
        <v>31.8</v>
      </c>
      <c r="AP119">
        <v>0.5</v>
      </c>
      <c r="AQ119" t="s">
        <v>331</v>
      </c>
      <c r="AR119">
        <v>2</v>
      </c>
      <c r="AS119">
        <v>1690389305.5999999</v>
      </c>
      <c r="AT119">
        <v>517.19600000000003</v>
      </c>
      <c r="AU119">
        <v>800.00199999999995</v>
      </c>
      <c r="AV119">
        <v>23.017099999999999</v>
      </c>
      <c r="AW119">
        <v>6.54488</v>
      </c>
      <c r="AX119">
        <v>516.85500000000002</v>
      </c>
      <c r="AY119">
        <v>22.8187</v>
      </c>
      <c r="AZ119">
        <v>300.06299999999999</v>
      </c>
      <c r="BA119">
        <v>98.540199999999999</v>
      </c>
      <c r="BB119">
        <v>9.9993100000000001E-2</v>
      </c>
      <c r="BC119">
        <v>25.566099999999999</v>
      </c>
      <c r="BD119">
        <v>26.9434</v>
      </c>
      <c r="BE119">
        <v>26.9359</v>
      </c>
      <c r="BF119">
        <v>0</v>
      </c>
      <c r="BG119">
        <v>0</v>
      </c>
      <c r="BH119">
        <v>9984.3799999999992</v>
      </c>
      <c r="BI119">
        <v>1061.8499999999999</v>
      </c>
      <c r="BJ119">
        <v>1.3455900000000001</v>
      </c>
      <c r="BK119">
        <v>-282.80500000000001</v>
      </c>
      <c r="BL119">
        <v>529.38099999999997</v>
      </c>
      <c r="BM119">
        <v>805.27200000000005</v>
      </c>
      <c r="BN119">
        <v>16.472300000000001</v>
      </c>
      <c r="BO119">
        <v>800.00199999999995</v>
      </c>
      <c r="BP119">
        <v>6.54488</v>
      </c>
      <c r="BQ119">
        <v>2.2681100000000001</v>
      </c>
      <c r="BR119">
        <v>0.64493400000000001</v>
      </c>
      <c r="BS119">
        <v>19.451699999999999</v>
      </c>
      <c r="BT119">
        <v>0.68653799999999998</v>
      </c>
      <c r="BU119">
        <v>1799.99</v>
      </c>
      <c r="BV119">
        <v>0.91000700000000001</v>
      </c>
      <c r="BW119">
        <v>3.4003400000000003E-2</v>
      </c>
      <c r="BX119">
        <v>2.1996000000000002E-2</v>
      </c>
      <c r="BY119">
        <v>3.3993700000000002E-2</v>
      </c>
      <c r="BZ119">
        <v>25</v>
      </c>
      <c r="CA119">
        <v>33528.300000000003</v>
      </c>
      <c r="CB119">
        <v>1690387638</v>
      </c>
      <c r="CC119" t="s">
        <v>332</v>
      </c>
      <c r="CD119">
        <v>1690387638</v>
      </c>
      <c r="CE119">
        <v>1690387638</v>
      </c>
      <c r="CF119">
        <v>6</v>
      </c>
      <c r="CG119">
        <v>0.43</v>
      </c>
      <c r="CH119">
        <v>-8.1000000000000003E-2</v>
      </c>
      <c r="CI119">
        <v>0.14199999999999999</v>
      </c>
      <c r="CJ119">
        <v>-2.7E-2</v>
      </c>
      <c r="CK119">
        <v>800</v>
      </c>
      <c r="CL119">
        <v>0</v>
      </c>
      <c r="CM119">
        <v>0.01</v>
      </c>
      <c r="CN119">
        <v>0.01</v>
      </c>
      <c r="CO119">
        <v>-279.15707317073168</v>
      </c>
      <c r="CP119">
        <v>-20.79819512195127</v>
      </c>
      <c r="CQ119">
        <v>2.0522471133268132</v>
      </c>
      <c r="CR119">
        <v>-1</v>
      </c>
      <c r="CS119">
        <v>16.166204878048781</v>
      </c>
      <c r="CT119">
        <v>1.5581017421603081</v>
      </c>
      <c r="CU119">
        <v>0.15380119722839461</v>
      </c>
      <c r="CV119">
        <v>-1</v>
      </c>
      <c r="CW119">
        <v>0</v>
      </c>
      <c r="CX119">
        <v>0</v>
      </c>
      <c r="CY119" t="s">
        <v>333</v>
      </c>
      <c r="CZ119">
        <v>2.3646099999999999</v>
      </c>
      <c r="DA119">
        <v>2.7137699999999998</v>
      </c>
      <c r="DB119">
        <v>0.10777200000000001</v>
      </c>
      <c r="DC119">
        <v>0.145403</v>
      </c>
      <c r="DD119">
        <v>0.11002099999999999</v>
      </c>
      <c r="DE119">
        <v>4.2142300000000001E-2</v>
      </c>
      <c r="DF119">
        <v>32603.1</v>
      </c>
      <c r="DG119">
        <v>27572.9</v>
      </c>
      <c r="DH119">
        <v>31194.3</v>
      </c>
      <c r="DI119">
        <v>28113</v>
      </c>
      <c r="DJ119">
        <v>37692.300000000003</v>
      </c>
      <c r="DK119">
        <v>38298.300000000003</v>
      </c>
      <c r="DL119">
        <v>44397</v>
      </c>
      <c r="DM119">
        <v>42613.9</v>
      </c>
      <c r="DN119">
        <v>1.47072</v>
      </c>
      <c r="DO119">
        <v>2.0411999999999999</v>
      </c>
      <c r="DP119">
        <v>0.15696099999999999</v>
      </c>
      <c r="DQ119">
        <v>0.15936800000000001</v>
      </c>
      <c r="DR119">
        <v>24.370799999999999</v>
      </c>
      <c r="DS119">
        <v>24.323699999999999</v>
      </c>
      <c r="DT119">
        <v>49</v>
      </c>
      <c r="DU119">
        <v>28.8</v>
      </c>
      <c r="DV119">
        <v>19.770399999999999</v>
      </c>
      <c r="DW119">
        <v>60.542200000000001</v>
      </c>
      <c r="DX119">
        <v>37.323700000000002</v>
      </c>
      <c r="DY119">
        <v>1</v>
      </c>
      <c r="DZ119">
        <v>-0.11516999999999999</v>
      </c>
      <c r="EA119">
        <v>0.104975</v>
      </c>
      <c r="EB119">
        <v>20.1904</v>
      </c>
      <c r="EC119">
        <v>5.2413999999999996</v>
      </c>
      <c r="ED119">
        <v>12.039899999999999</v>
      </c>
      <c r="EE119">
        <v>5.0170000000000003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1.8692</v>
      </c>
      <c r="EN119">
        <v>1.8672200000000001</v>
      </c>
      <c r="EO119">
        <v>1.86337</v>
      </c>
      <c r="EP119">
        <v>1.86446</v>
      </c>
      <c r="EQ119">
        <v>1.8701399999999999</v>
      </c>
      <c r="ER119">
        <v>1.86937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0.34100000000000003</v>
      </c>
      <c r="FG119">
        <v>0.19839999999999999</v>
      </c>
      <c r="FH119">
        <v>0.69281559908863044</v>
      </c>
      <c r="FI119">
        <v>-6.1462078757559423E-4</v>
      </c>
      <c r="FJ119">
        <v>-1.8861989874597051E-7</v>
      </c>
      <c r="FK119">
        <v>1.1980462299894961E-10</v>
      </c>
      <c r="FL119">
        <v>0.19840465858211129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27.8</v>
      </c>
      <c r="FU119">
        <v>27.8</v>
      </c>
      <c r="FV119">
        <v>1.7748999999999999</v>
      </c>
      <c r="FW119">
        <v>2.5866699999999998</v>
      </c>
      <c r="FX119">
        <v>1.5490699999999999</v>
      </c>
      <c r="FY119">
        <v>2.3315399999999999</v>
      </c>
      <c r="FZ119">
        <v>1.50146</v>
      </c>
      <c r="GA119">
        <v>2.3095699999999999</v>
      </c>
      <c r="GB119">
        <v>33.580399999999997</v>
      </c>
      <c r="GC119">
        <v>23.982399999999998</v>
      </c>
      <c r="GD119">
        <v>19</v>
      </c>
      <c r="GE119">
        <v>279.49599999999998</v>
      </c>
      <c r="GF119">
        <v>584.42499999999995</v>
      </c>
      <c r="GG119">
        <v>23.4954</v>
      </c>
      <c r="GH119">
        <v>25.949400000000001</v>
      </c>
      <c r="GI119">
        <v>29.9998</v>
      </c>
      <c r="GJ119">
        <v>26.109500000000001</v>
      </c>
      <c r="GK119">
        <v>26.098299999999998</v>
      </c>
      <c r="GL119">
        <v>35.488900000000001</v>
      </c>
      <c r="GM119">
        <v>65.421400000000006</v>
      </c>
      <c r="GN119">
        <v>65.708100000000002</v>
      </c>
      <c r="GO119">
        <v>23.541699999999999</v>
      </c>
      <c r="GP119">
        <v>800</v>
      </c>
      <c r="GQ119">
        <v>6.3709800000000003</v>
      </c>
      <c r="GR119">
        <v>99.814499999999995</v>
      </c>
      <c r="GS119">
        <v>99.684700000000007</v>
      </c>
    </row>
    <row r="120" spans="1:201" x14ac:dyDescent="0.25">
      <c r="A120">
        <v>104</v>
      </c>
      <c r="B120">
        <v>1690389315.5999999</v>
      </c>
      <c r="C120">
        <v>1057.099999904633</v>
      </c>
      <c r="D120" t="s">
        <v>541</v>
      </c>
      <c r="E120" t="s">
        <v>542</v>
      </c>
      <c r="F120" t="s">
        <v>330</v>
      </c>
      <c r="H120">
        <v>1690389315.5999999</v>
      </c>
      <c r="I120">
        <f t="shared" si="30"/>
        <v>1.6198481367516988E-3</v>
      </c>
      <c r="J120">
        <f t="shared" si="31"/>
        <v>1.6198481367516988</v>
      </c>
      <c r="K120">
        <f t="shared" si="32"/>
        <v>26.163100032426662</v>
      </c>
      <c r="L120">
        <f t="shared" si="33"/>
        <v>513.91800000000001</v>
      </c>
      <c r="M120">
        <f t="shared" si="34"/>
        <v>145.08646770792291</v>
      </c>
      <c r="N120">
        <f t="shared" si="35"/>
        <v>14.310128294016296</v>
      </c>
      <c r="O120">
        <f t="shared" si="36"/>
        <v>50.688617820713993</v>
      </c>
      <c r="P120">
        <f t="shared" si="37"/>
        <v>0.11884721993265077</v>
      </c>
      <c r="Q120">
        <f t="shared" si="38"/>
        <v>2.1523804891055125</v>
      </c>
      <c r="R120">
        <f t="shared" si="39"/>
        <v>0.11531820228967686</v>
      </c>
      <c r="S120">
        <f t="shared" si="40"/>
        <v>7.2382215929546231E-2</v>
      </c>
      <c r="T120">
        <f t="shared" si="41"/>
        <v>276.11483117399996</v>
      </c>
      <c r="U120">
        <f t="shared" si="42"/>
        <v>27.183212390792207</v>
      </c>
      <c r="V120">
        <f t="shared" si="43"/>
        <v>27.183212390792207</v>
      </c>
      <c r="W120">
        <f t="shared" si="44"/>
        <v>3.6178546621565415</v>
      </c>
      <c r="X120">
        <f t="shared" si="45"/>
        <v>69.092592481434451</v>
      </c>
      <c r="Y120">
        <f t="shared" si="46"/>
        <v>2.2737768366636</v>
      </c>
      <c r="Z120">
        <f t="shared" si="47"/>
        <v>3.2909126072734587</v>
      </c>
      <c r="AA120">
        <f t="shared" si="48"/>
        <v>1.3440778254929415</v>
      </c>
      <c r="AB120">
        <f t="shared" si="49"/>
        <v>-71.435302830749919</v>
      </c>
      <c r="AC120">
        <f t="shared" si="50"/>
        <v>-186.26746041471284</v>
      </c>
      <c r="AD120">
        <f t="shared" si="51"/>
        <v>-18.561081009750332</v>
      </c>
      <c r="AE120">
        <f t="shared" si="52"/>
        <v>-0.14901308121315537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52182.536211033315</v>
      </c>
      <c r="AK120">
        <f t="shared" si="56"/>
        <v>1800</v>
      </c>
      <c r="AL120">
        <f t="shared" si="57"/>
        <v>1499.1109434</v>
      </c>
      <c r="AM120">
        <f t="shared" si="58"/>
        <v>0.83283941299999997</v>
      </c>
      <c r="AN120">
        <f t="shared" si="59"/>
        <v>0.15339712842999997</v>
      </c>
      <c r="AO120">
        <v>31.8</v>
      </c>
      <c r="AP120">
        <v>0.5</v>
      </c>
      <c r="AQ120" t="s">
        <v>331</v>
      </c>
      <c r="AR120">
        <v>2</v>
      </c>
      <c r="AS120">
        <v>1690389315.5999999</v>
      </c>
      <c r="AT120">
        <v>513.91800000000001</v>
      </c>
      <c r="AU120">
        <v>800.01</v>
      </c>
      <c r="AV120">
        <v>23.0532</v>
      </c>
      <c r="AW120">
        <v>6.2822199999999997</v>
      </c>
      <c r="AX120">
        <v>513.57399999999996</v>
      </c>
      <c r="AY120">
        <v>22.854800000000001</v>
      </c>
      <c r="AZ120">
        <v>300.06400000000002</v>
      </c>
      <c r="BA120">
        <v>98.531700000000001</v>
      </c>
      <c r="BB120">
        <v>0.100023</v>
      </c>
      <c r="BC120">
        <v>25.577999999999999</v>
      </c>
      <c r="BD120">
        <v>26.918700000000001</v>
      </c>
      <c r="BE120">
        <v>26.936199999999999</v>
      </c>
      <c r="BF120">
        <v>0</v>
      </c>
      <c r="BG120">
        <v>0</v>
      </c>
      <c r="BH120">
        <v>9966.8799999999992</v>
      </c>
      <c r="BI120">
        <v>1061.94</v>
      </c>
      <c r="BJ120">
        <v>1.3455900000000001</v>
      </c>
      <c r="BK120">
        <v>-286.09199999999998</v>
      </c>
      <c r="BL120">
        <v>526.04499999999996</v>
      </c>
      <c r="BM120">
        <v>805.06799999999998</v>
      </c>
      <c r="BN120">
        <v>16.771000000000001</v>
      </c>
      <c r="BO120">
        <v>800.01</v>
      </c>
      <c r="BP120">
        <v>6.2822199999999997</v>
      </c>
      <c r="BQ120">
        <v>2.2714699999999999</v>
      </c>
      <c r="BR120">
        <v>0.61899800000000005</v>
      </c>
      <c r="BS120">
        <v>19.4755</v>
      </c>
      <c r="BT120">
        <v>0.119523</v>
      </c>
      <c r="BU120">
        <v>1800</v>
      </c>
      <c r="BV120">
        <v>0.91000300000000001</v>
      </c>
      <c r="BW120">
        <v>3.40091E-2</v>
      </c>
      <c r="BX120">
        <v>2.1995399999999998E-2</v>
      </c>
      <c r="BY120">
        <v>3.3992700000000001E-2</v>
      </c>
      <c r="BZ120">
        <v>25</v>
      </c>
      <c r="CA120">
        <v>33528.400000000001</v>
      </c>
      <c r="CB120">
        <v>1690387638</v>
      </c>
      <c r="CC120" t="s">
        <v>332</v>
      </c>
      <c r="CD120">
        <v>1690387638</v>
      </c>
      <c r="CE120">
        <v>1690387638</v>
      </c>
      <c r="CF120">
        <v>6</v>
      </c>
      <c r="CG120">
        <v>0.43</v>
      </c>
      <c r="CH120">
        <v>-8.1000000000000003E-2</v>
      </c>
      <c r="CI120">
        <v>0.14199999999999999</v>
      </c>
      <c r="CJ120">
        <v>-2.7E-2</v>
      </c>
      <c r="CK120">
        <v>800</v>
      </c>
      <c r="CL120">
        <v>0</v>
      </c>
      <c r="CM120">
        <v>0.01</v>
      </c>
      <c r="CN120">
        <v>0.01</v>
      </c>
      <c r="CO120">
        <v>-282.51870731707322</v>
      </c>
      <c r="CP120">
        <v>-20.005756097561779</v>
      </c>
      <c r="CQ120">
        <v>1.9740990689043161</v>
      </c>
      <c r="CR120">
        <v>-1</v>
      </c>
      <c r="CS120">
        <v>16.441882926829269</v>
      </c>
      <c r="CT120">
        <v>1.7463428571428801</v>
      </c>
      <c r="CU120">
        <v>0.17254437096703371</v>
      </c>
      <c r="CV120">
        <v>-1</v>
      </c>
      <c r="CW120">
        <v>0</v>
      </c>
      <c r="CX120">
        <v>0</v>
      </c>
      <c r="CY120" t="s">
        <v>333</v>
      </c>
      <c r="CZ120">
        <v>2.3646199999999999</v>
      </c>
      <c r="DA120">
        <v>2.7137799999999999</v>
      </c>
      <c r="DB120">
        <v>0.107267</v>
      </c>
      <c r="DC120">
        <v>0.14538699999999999</v>
      </c>
      <c r="DD120">
        <v>0.110134</v>
      </c>
      <c r="DE120">
        <v>4.0763300000000002E-2</v>
      </c>
      <c r="DF120">
        <v>32621.7</v>
      </c>
      <c r="DG120">
        <v>27573.5</v>
      </c>
      <c r="DH120">
        <v>31194.400000000001</v>
      </c>
      <c r="DI120">
        <v>28113.1</v>
      </c>
      <c r="DJ120">
        <v>37687.599999999999</v>
      </c>
      <c r="DK120">
        <v>38353.9</v>
      </c>
      <c r="DL120">
        <v>44397.3</v>
      </c>
      <c r="DM120">
        <v>42614.2</v>
      </c>
      <c r="DN120">
        <v>1.47072</v>
      </c>
      <c r="DO120">
        <v>2.0405799999999998</v>
      </c>
      <c r="DP120">
        <v>0.15533</v>
      </c>
      <c r="DQ120">
        <v>0.15933800000000001</v>
      </c>
      <c r="DR120">
        <v>24.372800000000002</v>
      </c>
      <c r="DS120">
        <v>24.3245</v>
      </c>
      <c r="DT120">
        <v>48.6</v>
      </c>
      <c r="DU120">
        <v>28.8</v>
      </c>
      <c r="DV120">
        <v>19.6096</v>
      </c>
      <c r="DW120">
        <v>61.312199999999997</v>
      </c>
      <c r="DX120">
        <v>37.439900000000002</v>
      </c>
      <c r="DY120">
        <v>1</v>
      </c>
      <c r="DZ120">
        <v>-0.11587699999999999</v>
      </c>
      <c r="EA120">
        <v>4.2086100000000001E-2</v>
      </c>
      <c r="EB120">
        <v>20.190300000000001</v>
      </c>
      <c r="EC120">
        <v>5.2418500000000003</v>
      </c>
      <c r="ED120">
        <v>12.039899999999999</v>
      </c>
      <c r="EE120">
        <v>5.0170500000000002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1.8646100000000001</v>
      </c>
      <c r="EM120">
        <v>1.8692</v>
      </c>
      <c r="EN120">
        <v>1.8672200000000001</v>
      </c>
      <c r="EO120">
        <v>1.8633599999999999</v>
      </c>
      <c r="EP120">
        <v>1.8644499999999999</v>
      </c>
      <c r="EQ120">
        <v>1.87015</v>
      </c>
      <c r="ER120">
        <v>1.86937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0.34399999999999997</v>
      </c>
      <c r="FG120">
        <v>0.19839999999999999</v>
      </c>
      <c r="FH120">
        <v>0.69281559908863044</v>
      </c>
      <c r="FI120">
        <v>-6.1462078757559423E-4</v>
      </c>
      <c r="FJ120">
        <v>-1.8861989874597051E-7</v>
      </c>
      <c r="FK120">
        <v>1.1980462299894961E-10</v>
      </c>
      <c r="FL120">
        <v>0.19840465858211129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28</v>
      </c>
      <c r="FU120">
        <v>28</v>
      </c>
      <c r="FV120">
        <v>1.7748999999999999</v>
      </c>
      <c r="FW120">
        <v>2.5842299999999998</v>
      </c>
      <c r="FX120">
        <v>1.5490699999999999</v>
      </c>
      <c r="FY120">
        <v>2.3315399999999999</v>
      </c>
      <c r="FZ120">
        <v>1.50146</v>
      </c>
      <c r="GA120">
        <v>2.3034699999999999</v>
      </c>
      <c r="GB120">
        <v>33.580399999999997</v>
      </c>
      <c r="GC120">
        <v>23.982399999999998</v>
      </c>
      <c r="GD120">
        <v>19</v>
      </c>
      <c r="GE120">
        <v>279.48599999999999</v>
      </c>
      <c r="GF120">
        <v>583.88</v>
      </c>
      <c r="GG120">
        <v>23.597799999999999</v>
      </c>
      <c r="GH120">
        <v>25.947199999999999</v>
      </c>
      <c r="GI120">
        <v>29.9999</v>
      </c>
      <c r="GJ120">
        <v>26.107299999999999</v>
      </c>
      <c r="GK120">
        <v>26.0959</v>
      </c>
      <c r="GL120">
        <v>35.4786</v>
      </c>
      <c r="GM120">
        <v>66.3172</v>
      </c>
      <c r="GN120">
        <v>64.946299999999994</v>
      </c>
      <c r="GO120">
        <v>23.638500000000001</v>
      </c>
      <c r="GP120">
        <v>800</v>
      </c>
      <c r="GQ120">
        <v>6.1073399999999998</v>
      </c>
      <c r="GR120">
        <v>99.814999999999998</v>
      </c>
      <c r="GS120">
        <v>99.685299999999998</v>
      </c>
    </row>
    <row r="121" spans="1:201" x14ac:dyDescent="0.25">
      <c r="A121">
        <v>105</v>
      </c>
      <c r="B121">
        <v>1690389325.5999999</v>
      </c>
      <c r="C121">
        <v>1067.099999904633</v>
      </c>
      <c r="D121" t="s">
        <v>543</v>
      </c>
      <c r="E121" t="s">
        <v>544</v>
      </c>
      <c r="F121" t="s">
        <v>330</v>
      </c>
      <c r="H121">
        <v>1690389325.5999999</v>
      </c>
      <c r="I121">
        <f t="shared" si="30"/>
        <v>1.6475208992211882E-3</v>
      </c>
      <c r="J121">
        <f t="shared" si="31"/>
        <v>1.6475208992211881</v>
      </c>
      <c r="K121">
        <f t="shared" si="32"/>
        <v>26.47147142684733</v>
      </c>
      <c r="L121">
        <f t="shared" si="33"/>
        <v>510.71499999999997</v>
      </c>
      <c r="M121">
        <f t="shared" si="34"/>
        <v>144.20581456119828</v>
      </c>
      <c r="N121">
        <f t="shared" si="35"/>
        <v>14.22263388382285</v>
      </c>
      <c r="O121">
        <f t="shared" si="36"/>
        <v>50.370454798089995</v>
      </c>
      <c r="P121">
        <f t="shared" si="37"/>
        <v>0.12105589699005818</v>
      </c>
      <c r="Q121">
        <f t="shared" si="38"/>
        <v>2.1585455768393236</v>
      </c>
      <c r="R121">
        <f t="shared" si="39"/>
        <v>0.11740677873886354</v>
      </c>
      <c r="S121">
        <f t="shared" si="40"/>
        <v>7.3697932724853324E-2</v>
      </c>
      <c r="T121">
        <f t="shared" si="41"/>
        <v>276.11477060399994</v>
      </c>
      <c r="U121">
        <f t="shared" si="42"/>
        <v>27.186368381910924</v>
      </c>
      <c r="V121">
        <f t="shared" si="43"/>
        <v>27.186368381910924</v>
      </c>
      <c r="W121">
        <f t="shared" si="44"/>
        <v>3.6185244027486503</v>
      </c>
      <c r="X121">
        <f t="shared" si="45"/>
        <v>69.087305632859014</v>
      </c>
      <c r="Y121">
        <f t="shared" si="46"/>
        <v>2.2758847238455999</v>
      </c>
      <c r="Z121">
        <f t="shared" si="47"/>
        <v>3.2942154900930936</v>
      </c>
      <c r="AA121">
        <f t="shared" si="48"/>
        <v>1.3426396789030504</v>
      </c>
      <c r="AB121">
        <f t="shared" si="49"/>
        <v>-72.655671655654402</v>
      </c>
      <c r="AC121">
        <f t="shared" si="50"/>
        <v>-185.20157734927909</v>
      </c>
      <c r="AD121">
        <f t="shared" si="51"/>
        <v>-18.404005931751488</v>
      </c>
      <c r="AE121">
        <f t="shared" si="52"/>
        <v>-0.14648433268504846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52437.967295279333</v>
      </c>
      <c r="AK121">
        <f t="shared" si="56"/>
        <v>1800</v>
      </c>
      <c r="AL121">
        <f t="shared" si="57"/>
        <v>1499.1113573999999</v>
      </c>
      <c r="AM121">
        <f t="shared" si="58"/>
        <v>0.83283964299999991</v>
      </c>
      <c r="AN121">
        <f t="shared" si="59"/>
        <v>0.15339709477999997</v>
      </c>
      <c r="AO121">
        <v>31.8</v>
      </c>
      <c r="AP121">
        <v>0.5</v>
      </c>
      <c r="AQ121" t="s">
        <v>331</v>
      </c>
      <c r="AR121">
        <v>2</v>
      </c>
      <c r="AS121">
        <v>1690389325.5999999</v>
      </c>
      <c r="AT121">
        <v>510.71499999999997</v>
      </c>
      <c r="AU121">
        <v>800.11099999999999</v>
      </c>
      <c r="AV121">
        <v>23.075600000000001</v>
      </c>
      <c r="AW121">
        <v>6.0219699999999996</v>
      </c>
      <c r="AX121">
        <v>510.36900000000003</v>
      </c>
      <c r="AY121">
        <v>22.877199999999998</v>
      </c>
      <c r="AZ121">
        <v>300.125</v>
      </c>
      <c r="BA121">
        <v>98.527299999999997</v>
      </c>
      <c r="BB121">
        <v>0.100026</v>
      </c>
      <c r="BC121">
        <v>25.594899999999999</v>
      </c>
      <c r="BD121">
        <v>26.957599999999999</v>
      </c>
      <c r="BE121">
        <v>26.9207</v>
      </c>
      <c r="BF121">
        <v>0</v>
      </c>
      <c r="BG121">
        <v>0</v>
      </c>
      <c r="BH121">
        <v>10018.799999999999</v>
      </c>
      <c r="BI121">
        <v>1062.06</v>
      </c>
      <c r="BJ121">
        <v>1.3455900000000001</v>
      </c>
      <c r="BK121">
        <v>-289.39600000000002</v>
      </c>
      <c r="BL121">
        <v>522.77800000000002</v>
      </c>
      <c r="BM121">
        <v>804.95799999999997</v>
      </c>
      <c r="BN121">
        <v>17.053599999999999</v>
      </c>
      <c r="BO121">
        <v>800.11099999999999</v>
      </c>
      <c r="BP121">
        <v>6.0219699999999996</v>
      </c>
      <c r="BQ121">
        <v>2.2735699999999999</v>
      </c>
      <c r="BR121">
        <v>0.593329</v>
      </c>
      <c r="BS121">
        <v>19.490400000000001</v>
      </c>
      <c r="BT121">
        <v>-0.46277000000000001</v>
      </c>
      <c r="BU121">
        <v>1800</v>
      </c>
      <c r="BV121">
        <v>0.91000499999999995</v>
      </c>
      <c r="BW121">
        <v>3.4008400000000001E-2</v>
      </c>
      <c r="BX121">
        <v>2.1994900000000001E-2</v>
      </c>
      <c r="BY121">
        <v>3.3992000000000001E-2</v>
      </c>
      <c r="BZ121">
        <v>25</v>
      </c>
      <c r="CA121">
        <v>33528.300000000003</v>
      </c>
      <c r="CB121">
        <v>1690387638</v>
      </c>
      <c r="CC121" t="s">
        <v>332</v>
      </c>
      <c r="CD121">
        <v>1690387638</v>
      </c>
      <c r="CE121">
        <v>1690387638</v>
      </c>
      <c r="CF121">
        <v>6</v>
      </c>
      <c r="CG121">
        <v>0.43</v>
      </c>
      <c r="CH121">
        <v>-8.1000000000000003E-2</v>
      </c>
      <c r="CI121">
        <v>0.14199999999999999</v>
      </c>
      <c r="CJ121">
        <v>-2.7E-2</v>
      </c>
      <c r="CK121">
        <v>800</v>
      </c>
      <c r="CL121">
        <v>0</v>
      </c>
      <c r="CM121">
        <v>0.01</v>
      </c>
      <c r="CN121">
        <v>0.01</v>
      </c>
      <c r="CO121">
        <v>-285.70802500000002</v>
      </c>
      <c r="CP121">
        <v>-19.63297936210035</v>
      </c>
      <c r="CQ121">
        <v>1.8894303968061379</v>
      </c>
      <c r="CR121">
        <v>-1</v>
      </c>
      <c r="CS121">
        <v>16.727297499999999</v>
      </c>
      <c r="CT121">
        <v>1.758489681050639</v>
      </c>
      <c r="CU121">
        <v>0.16928540765154559</v>
      </c>
      <c r="CV121">
        <v>-1</v>
      </c>
      <c r="CW121">
        <v>0</v>
      </c>
      <c r="CX121">
        <v>0</v>
      </c>
      <c r="CY121" t="s">
        <v>333</v>
      </c>
      <c r="CZ121">
        <v>2.3647999999999998</v>
      </c>
      <c r="DA121">
        <v>2.7138300000000002</v>
      </c>
      <c r="DB121">
        <v>0.106776</v>
      </c>
      <c r="DC121">
        <v>0.14538899999999999</v>
      </c>
      <c r="DD121">
        <v>0.110206</v>
      </c>
      <c r="DE121">
        <v>3.9381300000000001E-2</v>
      </c>
      <c r="DF121">
        <v>32639.5</v>
      </c>
      <c r="DG121">
        <v>27573.3</v>
      </c>
      <c r="DH121">
        <v>31194.3</v>
      </c>
      <c r="DI121">
        <v>28112.9</v>
      </c>
      <c r="DJ121">
        <v>37684.300000000003</v>
      </c>
      <c r="DK121">
        <v>38409.199999999997</v>
      </c>
      <c r="DL121">
        <v>44397</v>
      </c>
      <c r="DM121">
        <v>42614.2</v>
      </c>
      <c r="DN121">
        <v>1.4716</v>
      </c>
      <c r="DO121">
        <v>2.0400999999999998</v>
      </c>
      <c r="DP121">
        <v>0.15770600000000001</v>
      </c>
      <c r="DQ121">
        <v>0.15831700000000001</v>
      </c>
      <c r="DR121">
        <v>24.372800000000002</v>
      </c>
      <c r="DS121">
        <v>24.325700000000001</v>
      </c>
      <c r="DT121">
        <v>48.3</v>
      </c>
      <c r="DU121">
        <v>28.8</v>
      </c>
      <c r="DV121">
        <v>19.490500000000001</v>
      </c>
      <c r="DW121">
        <v>60.732199999999999</v>
      </c>
      <c r="DX121">
        <v>37.459899999999998</v>
      </c>
      <c r="DY121">
        <v>1</v>
      </c>
      <c r="DZ121">
        <v>-0.115953</v>
      </c>
      <c r="EA121">
        <v>-2.9411799999999998E-3</v>
      </c>
      <c r="EB121">
        <v>20.190300000000001</v>
      </c>
      <c r="EC121">
        <v>5.2418500000000003</v>
      </c>
      <c r="ED121">
        <v>12.039899999999999</v>
      </c>
      <c r="EE121">
        <v>5.01715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1.8646199999999999</v>
      </c>
      <c r="EM121">
        <v>1.8692</v>
      </c>
      <c r="EN121">
        <v>1.8672200000000001</v>
      </c>
      <c r="EO121">
        <v>1.8633599999999999</v>
      </c>
      <c r="EP121">
        <v>1.86446</v>
      </c>
      <c r="EQ121">
        <v>1.87015</v>
      </c>
      <c r="ER121">
        <v>1.86937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0.34599999999999997</v>
      </c>
      <c r="FG121">
        <v>0.19839999999999999</v>
      </c>
      <c r="FH121">
        <v>0.69281559908863044</v>
      </c>
      <c r="FI121">
        <v>-6.1462078757559423E-4</v>
      </c>
      <c r="FJ121">
        <v>-1.8861989874597051E-7</v>
      </c>
      <c r="FK121">
        <v>1.1980462299894961E-10</v>
      </c>
      <c r="FL121">
        <v>0.19840465858211129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28.1</v>
      </c>
      <c r="FU121">
        <v>28.1</v>
      </c>
      <c r="FV121">
        <v>1.7736799999999999</v>
      </c>
      <c r="FW121">
        <v>2.5854499999999998</v>
      </c>
      <c r="FX121">
        <v>1.5490699999999999</v>
      </c>
      <c r="FY121">
        <v>2.3315399999999999</v>
      </c>
      <c r="FZ121">
        <v>1.50146</v>
      </c>
      <c r="GA121">
        <v>2.2717299999999998</v>
      </c>
      <c r="GB121">
        <v>33.580399999999997</v>
      </c>
      <c r="GC121">
        <v>23.982399999999998</v>
      </c>
      <c r="GD121">
        <v>19</v>
      </c>
      <c r="GE121">
        <v>279.84399999999999</v>
      </c>
      <c r="GF121">
        <v>583.46100000000001</v>
      </c>
      <c r="GG121">
        <v>23.702100000000002</v>
      </c>
      <c r="GH121">
        <v>25.9451</v>
      </c>
      <c r="GI121">
        <v>29.9998</v>
      </c>
      <c r="GJ121">
        <v>26.104500000000002</v>
      </c>
      <c r="GK121">
        <v>26.093499999999999</v>
      </c>
      <c r="GL121">
        <v>35.468899999999998</v>
      </c>
      <c r="GM121">
        <v>67.205600000000004</v>
      </c>
      <c r="GN121">
        <v>64.1858</v>
      </c>
      <c r="GO121">
        <v>23.7255</v>
      </c>
      <c r="GP121">
        <v>800</v>
      </c>
      <c r="GQ121">
        <v>5.8446999999999996</v>
      </c>
      <c r="GR121">
        <v>99.814499999999995</v>
      </c>
      <c r="GS121">
        <v>99.685000000000002</v>
      </c>
    </row>
    <row r="122" spans="1:201" x14ac:dyDescent="0.25">
      <c r="A122">
        <v>106</v>
      </c>
      <c r="B122">
        <v>1690389335.5999999</v>
      </c>
      <c r="C122">
        <v>1077.099999904633</v>
      </c>
      <c r="D122" t="s">
        <v>545</v>
      </c>
      <c r="E122" t="s">
        <v>546</v>
      </c>
      <c r="F122" t="s">
        <v>330</v>
      </c>
      <c r="H122">
        <v>1690389335.5999999</v>
      </c>
      <c r="I122">
        <f t="shared" si="30"/>
        <v>1.6757925806428178E-3</v>
      </c>
      <c r="J122">
        <f t="shared" si="31"/>
        <v>1.6757925806428178</v>
      </c>
      <c r="K122">
        <f t="shared" si="32"/>
        <v>26.766123966581578</v>
      </c>
      <c r="L122">
        <f t="shared" si="33"/>
        <v>507.40199999999999</v>
      </c>
      <c r="M122">
        <f t="shared" si="34"/>
        <v>143.42092004317578</v>
      </c>
      <c r="N122">
        <f t="shared" si="35"/>
        <v>14.143271842463049</v>
      </c>
      <c r="O122">
        <f t="shared" si="36"/>
        <v>50.036803677239405</v>
      </c>
      <c r="P122">
        <f t="shared" si="37"/>
        <v>0.1233175296193043</v>
      </c>
      <c r="Q122">
        <f t="shared" si="38"/>
        <v>2.1550854379653748</v>
      </c>
      <c r="R122">
        <f t="shared" si="39"/>
        <v>0.11952720719704063</v>
      </c>
      <c r="S122">
        <f t="shared" si="40"/>
        <v>7.5035345464059877E-2</v>
      </c>
      <c r="T122">
        <f t="shared" si="41"/>
        <v>276.11451606600008</v>
      </c>
      <c r="U122">
        <f t="shared" si="42"/>
        <v>27.191107880544305</v>
      </c>
      <c r="V122">
        <f t="shared" si="43"/>
        <v>27.191107880544305</v>
      </c>
      <c r="W122">
        <f t="shared" si="44"/>
        <v>3.619530386626661</v>
      </c>
      <c r="X122">
        <f t="shared" si="45"/>
        <v>69.110344021013518</v>
      </c>
      <c r="Y122">
        <f t="shared" si="46"/>
        <v>2.2782927200050405</v>
      </c>
      <c r="Z122">
        <f t="shared" si="47"/>
        <v>3.296601619161827</v>
      </c>
      <c r="AA122">
        <f t="shared" si="48"/>
        <v>1.3412376666216206</v>
      </c>
      <c r="AB122">
        <f t="shared" si="49"/>
        <v>-73.902452806348265</v>
      </c>
      <c r="AC122">
        <f t="shared" si="50"/>
        <v>-184.03790195321068</v>
      </c>
      <c r="AD122">
        <f t="shared" si="51"/>
        <v>-18.31928489903326</v>
      </c>
      <c r="AE122">
        <f t="shared" si="52"/>
        <v>-0.14512359259214236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52290.372578455652</v>
      </c>
      <c r="AK122">
        <f t="shared" si="56"/>
        <v>1800</v>
      </c>
      <c r="AL122">
        <f t="shared" si="57"/>
        <v>1499.1112475999998</v>
      </c>
      <c r="AM122">
        <f t="shared" si="58"/>
        <v>0.83283958199999997</v>
      </c>
      <c r="AN122">
        <f t="shared" si="59"/>
        <v>0.15339695337000003</v>
      </c>
      <c r="AO122">
        <v>31.8</v>
      </c>
      <c r="AP122">
        <v>0.5</v>
      </c>
      <c r="AQ122" t="s">
        <v>331</v>
      </c>
      <c r="AR122">
        <v>2</v>
      </c>
      <c r="AS122">
        <v>1690389335.5999999</v>
      </c>
      <c r="AT122">
        <v>507.40199999999999</v>
      </c>
      <c r="AU122">
        <v>800.1</v>
      </c>
      <c r="AV122">
        <v>23.103200000000001</v>
      </c>
      <c r="AW122">
        <v>5.7523299999999997</v>
      </c>
      <c r="AX122">
        <v>507.053</v>
      </c>
      <c r="AY122">
        <v>22.904800000000002</v>
      </c>
      <c r="AZ122">
        <v>300.03699999999998</v>
      </c>
      <c r="BA122">
        <v>98.513800000000003</v>
      </c>
      <c r="BB122">
        <v>9.9929699999999996E-2</v>
      </c>
      <c r="BC122">
        <v>25.607099999999999</v>
      </c>
      <c r="BD122">
        <v>26.968900000000001</v>
      </c>
      <c r="BE122">
        <v>26.946200000000001</v>
      </c>
      <c r="BF122">
        <v>0</v>
      </c>
      <c r="BG122">
        <v>0</v>
      </c>
      <c r="BH122">
        <v>9991.25</v>
      </c>
      <c r="BI122">
        <v>1062.1400000000001</v>
      </c>
      <c r="BJ122">
        <v>1.3455900000000001</v>
      </c>
      <c r="BK122">
        <v>-292.69799999999998</v>
      </c>
      <c r="BL122">
        <v>519.40099999999995</v>
      </c>
      <c r="BM122">
        <v>804.72900000000004</v>
      </c>
      <c r="BN122">
        <v>17.350899999999999</v>
      </c>
      <c r="BO122">
        <v>800.1</v>
      </c>
      <c r="BP122">
        <v>5.7523299999999997</v>
      </c>
      <c r="BQ122">
        <v>2.2759900000000002</v>
      </c>
      <c r="BR122">
        <v>0.56668399999999997</v>
      </c>
      <c r="BS122">
        <v>19.5075</v>
      </c>
      <c r="BT122">
        <v>-1.0912900000000001</v>
      </c>
      <c r="BU122">
        <v>1800</v>
      </c>
      <c r="BV122">
        <v>0.91000800000000004</v>
      </c>
      <c r="BW122">
        <v>3.4007099999999998E-2</v>
      </c>
      <c r="BX122">
        <v>2.1994099999999999E-2</v>
      </c>
      <c r="BY122">
        <v>3.3990699999999999E-2</v>
      </c>
      <c r="BZ122">
        <v>25</v>
      </c>
      <c r="CA122">
        <v>33528.5</v>
      </c>
      <c r="CB122">
        <v>1690387638</v>
      </c>
      <c r="CC122" t="s">
        <v>332</v>
      </c>
      <c r="CD122">
        <v>1690387638</v>
      </c>
      <c r="CE122">
        <v>1690387638</v>
      </c>
      <c r="CF122">
        <v>6</v>
      </c>
      <c r="CG122">
        <v>0.43</v>
      </c>
      <c r="CH122">
        <v>-8.1000000000000003E-2</v>
      </c>
      <c r="CI122">
        <v>0.14199999999999999</v>
      </c>
      <c r="CJ122">
        <v>-2.7E-2</v>
      </c>
      <c r="CK122">
        <v>800</v>
      </c>
      <c r="CL122">
        <v>0</v>
      </c>
      <c r="CM122">
        <v>0.01</v>
      </c>
      <c r="CN122">
        <v>0.01</v>
      </c>
      <c r="CO122">
        <v>-289.0597317073171</v>
      </c>
      <c r="CP122">
        <v>-19.700027874564501</v>
      </c>
      <c r="CQ122">
        <v>1.9426388517958879</v>
      </c>
      <c r="CR122">
        <v>-1</v>
      </c>
      <c r="CS122">
        <v>17.027768292682929</v>
      </c>
      <c r="CT122">
        <v>1.7508668989546889</v>
      </c>
      <c r="CU122">
        <v>0.17269754674917229</v>
      </c>
      <c r="CV122">
        <v>-1</v>
      </c>
      <c r="CW122">
        <v>0</v>
      </c>
      <c r="CX122">
        <v>0</v>
      </c>
      <c r="CY122" t="s">
        <v>333</v>
      </c>
      <c r="CZ122">
        <v>2.3645200000000002</v>
      </c>
      <c r="DA122">
        <v>2.7137099999999998</v>
      </c>
      <c r="DB122">
        <v>0.106257</v>
      </c>
      <c r="DC122">
        <v>0.14536399999999999</v>
      </c>
      <c r="DD122">
        <v>0.110286</v>
      </c>
      <c r="DE122">
        <v>3.7927700000000002E-2</v>
      </c>
      <c r="DF122">
        <v>32658.7</v>
      </c>
      <c r="DG122">
        <v>27574.2</v>
      </c>
      <c r="DH122">
        <v>31194.5</v>
      </c>
      <c r="DI122">
        <v>28113</v>
      </c>
      <c r="DJ122">
        <v>37681.1</v>
      </c>
      <c r="DK122">
        <v>38467.300000000003</v>
      </c>
      <c r="DL122">
        <v>44397.4</v>
      </c>
      <c r="DM122">
        <v>42614</v>
      </c>
      <c r="DN122">
        <v>1.4714799999999999</v>
      </c>
      <c r="DO122">
        <v>2.03972</v>
      </c>
      <c r="DP122">
        <v>0.158273</v>
      </c>
      <c r="DQ122">
        <v>0.15962899999999999</v>
      </c>
      <c r="DR122">
        <v>24.3749</v>
      </c>
      <c r="DS122">
        <v>24.329799999999999</v>
      </c>
      <c r="DT122">
        <v>47.9</v>
      </c>
      <c r="DU122">
        <v>28.8</v>
      </c>
      <c r="DV122">
        <v>19.3306</v>
      </c>
      <c r="DW122">
        <v>61.292200000000001</v>
      </c>
      <c r="DX122">
        <v>37.472000000000001</v>
      </c>
      <c r="DY122">
        <v>1</v>
      </c>
      <c r="DZ122">
        <v>-0.115968</v>
      </c>
      <c r="EA122">
        <v>4.1721099999999997E-3</v>
      </c>
      <c r="EB122">
        <v>20.1906</v>
      </c>
      <c r="EC122">
        <v>5.2418500000000003</v>
      </c>
      <c r="ED122">
        <v>12.039899999999999</v>
      </c>
      <c r="EE122">
        <v>5.0171000000000001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1.8692</v>
      </c>
      <c r="EN122">
        <v>1.8672200000000001</v>
      </c>
      <c r="EO122">
        <v>1.86338</v>
      </c>
      <c r="EP122">
        <v>1.8644700000000001</v>
      </c>
      <c r="EQ122">
        <v>1.87016</v>
      </c>
      <c r="ER122">
        <v>1.86938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0.34899999999999998</v>
      </c>
      <c r="FG122">
        <v>0.19839999999999999</v>
      </c>
      <c r="FH122">
        <v>0.69281559908863044</v>
      </c>
      <c r="FI122">
        <v>-6.1462078757559423E-4</v>
      </c>
      <c r="FJ122">
        <v>-1.8861989874597051E-7</v>
      </c>
      <c r="FK122">
        <v>1.1980462299894961E-10</v>
      </c>
      <c r="FL122">
        <v>0.19840465858211129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28.3</v>
      </c>
      <c r="FU122">
        <v>28.3</v>
      </c>
      <c r="FV122">
        <v>1.7736799999999999</v>
      </c>
      <c r="FW122">
        <v>2.5891099999999998</v>
      </c>
      <c r="FX122">
        <v>1.5490699999999999</v>
      </c>
      <c r="FY122">
        <v>2.3327599999999999</v>
      </c>
      <c r="FZ122">
        <v>1.50146</v>
      </c>
      <c r="GA122">
        <v>2.2863799999999999</v>
      </c>
      <c r="GB122">
        <v>33.580399999999997</v>
      </c>
      <c r="GC122">
        <v>23.982399999999998</v>
      </c>
      <c r="GD122">
        <v>19</v>
      </c>
      <c r="GE122">
        <v>279.78100000000001</v>
      </c>
      <c r="GF122">
        <v>583.12099999999998</v>
      </c>
      <c r="GG122">
        <v>23.774100000000001</v>
      </c>
      <c r="GH122">
        <v>25.942900000000002</v>
      </c>
      <c r="GI122">
        <v>30.0002</v>
      </c>
      <c r="GJ122">
        <v>26.1023</v>
      </c>
      <c r="GK122">
        <v>26.090699999999998</v>
      </c>
      <c r="GL122">
        <v>35.462899999999998</v>
      </c>
      <c r="GM122">
        <v>68.055899999999994</v>
      </c>
      <c r="GN122">
        <v>63.408099999999997</v>
      </c>
      <c r="GO122">
        <v>23.7944</v>
      </c>
      <c r="GP122">
        <v>800</v>
      </c>
      <c r="GQ122">
        <v>5.5769799999999998</v>
      </c>
      <c r="GR122">
        <v>99.815299999999993</v>
      </c>
      <c r="GS122">
        <v>99.684899999999999</v>
      </c>
    </row>
    <row r="123" spans="1:201" x14ac:dyDescent="0.25">
      <c r="A123">
        <v>107</v>
      </c>
      <c r="B123">
        <v>1690389345.5999999</v>
      </c>
      <c r="C123">
        <v>1087.099999904633</v>
      </c>
      <c r="D123" t="s">
        <v>547</v>
      </c>
      <c r="E123" t="s">
        <v>548</v>
      </c>
      <c r="F123" t="s">
        <v>330</v>
      </c>
      <c r="H123">
        <v>1690389345.5999999</v>
      </c>
      <c r="I123">
        <f t="shared" si="30"/>
        <v>1.7035243382453079E-3</v>
      </c>
      <c r="J123">
        <f t="shared" si="31"/>
        <v>1.703524338245308</v>
      </c>
      <c r="K123">
        <f t="shared" si="32"/>
        <v>27.0674165111331</v>
      </c>
      <c r="L123">
        <f t="shared" si="33"/>
        <v>504.27100000000002</v>
      </c>
      <c r="M123">
        <f t="shared" si="34"/>
        <v>142.0940461757674</v>
      </c>
      <c r="N123">
        <f t="shared" si="35"/>
        <v>14.011201469105409</v>
      </c>
      <c r="O123">
        <f t="shared" si="36"/>
        <v>49.723705997416999</v>
      </c>
      <c r="P123">
        <f t="shared" si="37"/>
        <v>0.12537609861880802</v>
      </c>
      <c r="Q123">
        <f t="shared" si="38"/>
        <v>2.156254848703016</v>
      </c>
      <c r="R123">
        <f t="shared" si="39"/>
        <v>0.12146238943894451</v>
      </c>
      <c r="S123">
        <f t="shared" si="40"/>
        <v>7.6255447822646538E-2</v>
      </c>
      <c r="T123">
        <f t="shared" si="41"/>
        <v>276.11298209646634</v>
      </c>
      <c r="U123">
        <f t="shared" si="42"/>
        <v>27.199112558983991</v>
      </c>
      <c r="V123">
        <f t="shared" si="43"/>
        <v>27.199112558983991</v>
      </c>
      <c r="W123">
        <f t="shared" si="44"/>
        <v>3.6212299766471014</v>
      </c>
      <c r="X123">
        <f t="shared" si="45"/>
        <v>69.076406354816243</v>
      </c>
      <c r="Y123">
        <f t="shared" si="46"/>
        <v>2.2796617916257</v>
      </c>
      <c r="Z123">
        <f t="shared" si="47"/>
        <v>3.300203227012191</v>
      </c>
      <c r="AA123">
        <f t="shared" si="48"/>
        <v>1.3415681850214014</v>
      </c>
      <c r="AB123">
        <f t="shared" si="49"/>
        <v>-75.125423316618082</v>
      </c>
      <c r="AC123">
        <f t="shared" si="50"/>
        <v>-182.92933070111104</v>
      </c>
      <c r="AD123">
        <f t="shared" si="51"/>
        <v>-18.201467423993009</v>
      </c>
      <c r="AE123">
        <f t="shared" si="52"/>
        <v>-0.14323934525577897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52335.98834044893</v>
      </c>
      <c r="AK123">
        <f t="shared" si="56"/>
        <v>1799.99</v>
      </c>
      <c r="AL123">
        <f t="shared" si="57"/>
        <v>1499.1029192041799</v>
      </c>
      <c r="AM123">
        <f t="shared" si="58"/>
        <v>0.83283958199999997</v>
      </c>
      <c r="AN123">
        <f t="shared" si="59"/>
        <v>0.15339695337000003</v>
      </c>
      <c r="AO123">
        <v>31.8</v>
      </c>
      <c r="AP123">
        <v>0.5</v>
      </c>
      <c r="AQ123" t="s">
        <v>331</v>
      </c>
      <c r="AR123">
        <v>2</v>
      </c>
      <c r="AS123">
        <v>1690389345.5999999</v>
      </c>
      <c r="AT123">
        <v>504.27100000000002</v>
      </c>
      <c r="AU123">
        <v>800.17700000000002</v>
      </c>
      <c r="AV123">
        <v>23.1191</v>
      </c>
      <c r="AW123">
        <v>5.4860300000000004</v>
      </c>
      <c r="AX123">
        <v>503.92099999999999</v>
      </c>
      <c r="AY123">
        <v>22.9207</v>
      </c>
      <c r="AZ123">
        <v>300.11599999999999</v>
      </c>
      <c r="BA123">
        <v>98.505099999999999</v>
      </c>
      <c r="BB123">
        <v>0.100027</v>
      </c>
      <c r="BC123">
        <v>25.625499999999999</v>
      </c>
      <c r="BD123">
        <v>26.9986</v>
      </c>
      <c r="BE123">
        <v>26.9499</v>
      </c>
      <c r="BF123">
        <v>0</v>
      </c>
      <c r="BG123">
        <v>0</v>
      </c>
      <c r="BH123">
        <v>10001.9</v>
      </c>
      <c r="BI123">
        <v>1062.3699999999999</v>
      </c>
      <c r="BJ123">
        <v>1.3455900000000001</v>
      </c>
      <c r="BK123">
        <v>-295.90600000000001</v>
      </c>
      <c r="BL123">
        <v>516.20600000000002</v>
      </c>
      <c r="BM123">
        <v>804.59100000000001</v>
      </c>
      <c r="BN123">
        <v>17.633099999999999</v>
      </c>
      <c r="BO123">
        <v>800.17700000000002</v>
      </c>
      <c r="BP123">
        <v>5.4860300000000004</v>
      </c>
      <c r="BQ123">
        <v>2.2773500000000002</v>
      </c>
      <c r="BR123">
        <v>0.54040200000000005</v>
      </c>
      <c r="BS123">
        <v>19.517099999999999</v>
      </c>
      <c r="BT123">
        <v>-1.7374700000000001</v>
      </c>
      <c r="BU123">
        <v>1799.99</v>
      </c>
      <c r="BV123">
        <v>0.91000800000000004</v>
      </c>
      <c r="BW123">
        <v>3.4007099999999998E-2</v>
      </c>
      <c r="BX123">
        <v>2.1994099999999999E-2</v>
      </c>
      <c r="BY123">
        <v>3.3990699999999999E-2</v>
      </c>
      <c r="BZ123">
        <v>25</v>
      </c>
      <c r="CA123">
        <v>33528.300000000003</v>
      </c>
      <c r="CB123">
        <v>1690387638</v>
      </c>
      <c r="CC123" t="s">
        <v>332</v>
      </c>
      <c r="CD123">
        <v>1690387638</v>
      </c>
      <c r="CE123">
        <v>1690387638</v>
      </c>
      <c r="CF123">
        <v>6</v>
      </c>
      <c r="CG123">
        <v>0.43</v>
      </c>
      <c r="CH123">
        <v>-8.1000000000000003E-2</v>
      </c>
      <c r="CI123">
        <v>0.14199999999999999</v>
      </c>
      <c r="CJ123">
        <v>-2.7E-2</v>
      </c>
      <c r="CK123">
        <v>800</v>
      </c>
      <c r="CL123">
        <v>0</v>
      </c>
      <c r="CM123">
        <v>0.01</v>
      </c>
      <c r="CN123">
        <v>0.01</v>
      </c>
      <c r="CO123">
        <v>-292.33646341463418</v>
      </c>
      <c r="CP123">
        <v>-19.576118466898979</v>
      </c>
      <c r="CQ123">
        <v>1.9306658411348441</v>
      </c>
      <c r="CR123">
        <v>-1</v>
      </c>
      <c r="CS123">
        <v>17.321365853658531</v>
      </c>
      <c r="CT123">
        <v>1.7546404181184869</v>
      </c>
      <c r="CU123">
        <v>0.17309758365781339</v>
      </c>
      <c r="CV123">
        <v>-1</v>
      </c>
      <c r="CW123">
        <v>0</v>
      </c>
      <c r="CX123">
        <v>0</v>
      </c>
      <c r="CY123" t="s">
        <v>333</v>
      </c>
      <c r="CZ123">
        <v>2.36477</v>
      </c>
      <c r="DA123">
        <v>2.7138200000000001</v>
      </c>
      <c r="DB123">
        <v>0.10577</v>
      </c>
      <c r="DC123">
        <v>0.14535600000000001</v>
      </c>
      <c r="DD123">
        <v>0.110331</v>
      </c>
      <c r="DE123">
        <v>3.6474300000000001E-2</v>
      </c>
      <c r="DF123">
        <v>32676.5</v>
      </c>
      <c r="DG123">
        <v>27574.7</v>
      </c>
      <c r="DH123">
        <v>31194.5</v>
      </c>
      <c r="DI123">
        <v>28113.3</v>
      </c>
      <c r="DJ123">
        <v>37679.1</v>
      </c>
      <c r="DK123">
        <v>38526.1</v>
      </c>
      <c r="DL123">
        <v>44397.3</v>
      </c>
      <c r="DM123">
        <v>42614.5</v>
      </c>
      <c r="DN123">
        <v>1.4717199999999999</v>
      </c>
      <c r="DO123">
        <v>2.0394700000000001</v>
      </c>
      <c r="DP123">
        <v>0.159964</v>
      </c>
      <c r="DQ123">
        <v>0.159524</v>
      </c>
      <c r="DR123">
        <v>24.376899999999999</v>
      </c>
      <c r="DS123">
        <v>24.3352</v>
      </c>
      <c r="DT123">
        <v>47.5</v>
      </c>
      <c r="DU123">
        <v>28.8</v>
      </c>
      <c r="DV123">
        <v>19.1722</v>
      </c>
      <c r="DW123">
        <v>60.922199999999997</v>
      </c>
      <c r="DX123">
        <v>37.311700000000002</v>
      </c>
      <c r="DY123">
        <v>1</v>
      </c>
      <c r="DZ123">
        <v>-0.116171</v>
      </c>
      <c r="EA123">
        <v>8.0370399999999995E-2</v>
      </c>
      <c r="EB123">
        <v>20.1904</v>
      </c>
      <c r="EC123">
        <v>5.242</v>
      </c>
      <c r="ED123">
        <v>12.039899999999999</v>
      </c>
      <c r="EE123">
        <v>5.0172499999999998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1.8646100000000001</v>
      </c>
      <c r="EM123">
        <v>1.8692</v>
      </c>
      <c r="EN123">
        <v>1.8672200000000001</v>
      </c>
      <c r="EO123">
        <v>1.86338</v>
      </c>
      <c r="EP123">
        <v>1.86446</v>
      </c>
      <c r="EQ123">
        <v>1.8701399999999999</v>
      </c>
      <c r="ER123">
        <v>1.86938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0.35</v>
      </c>
      <c r="FG123">
        <v>0.19839999999999999</v>
      </c>
      <c r="FH123">
        <v>0.69281559908863044</v>
      </c>
      <c r="FI123">
        <v>-6.1462078757559423E-4</v>
      </c>
      <c r="FJ123">
        <v>-1.8861989874597051E-7</v>
      </c>
      <c r="FK123">
        <v>1.1980462299894961E-10</v>
      </c>
      <c r="FL123">
        <v>0.19840465858211129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28.5</v>
      </c>
      <c r="FU123">
        <v>28.5</v>
      </c>
      <c r="FV123">
        <v>1.7736799999999999</v>
      </c>
      <c r="FW123">
        <v>2.5805699999999998</v>
      </c>
      <c r="FX123">
        <v>1.5490699999999999</v>
      </c>
      <c r="FY123">
        <v>2.3327599999999999</v>
      </c>
      <c r="FZ123">
        <v>1.50146</v>
      </c>
      <c r="GA123">
        <v>2.32178</v>
      </c>
      <c r="GB123">
        <v>33.580399999999997</v>
      </c>
      <c r="GC123">
        <v>23.991199999999999</v>
      </c>
      <c r="GD123">
        <v>19</v>
      </c>
      <c r="GE123">
        <v>279.87700000000001</v>
      </c>
      <c r="GF123">
        <v>582.88300000000004</v>
      </c>
      <c r="GG123">
        <v>23.819500000000001</v>
      </c>
      <c r="GH123">
        <v>25.940799999999999</v>
      </c>
      <c r="GI123">
        <v>30.0001</v>
      </c>
      <c r="GJ123">
        <v>26.100100000000001</v>
      </c>
      <c r="GK123">
        <v>26.088000000000001</v>
      </c>
      <c r="GL123">
        <v>35.453299999999999</v>
      </c>
      <c r="GM123">
        <v>68.911299999999997</v>
      </c>
      <c r="GN123">
        <v>62.240900000000003</v>
      </c>
      <c r="GO123">
        <v>23.8157</v>
      </c>
      <c r="GP123">
        <v>800</v>
      </c>
      <c r="GQ123">
        <v>5.3143500000000001</v>
      </c>
      <c r="GR123">
        <v>99.815100000000001</v>
      </c>
      <c r="GS123">
        <v>99.686099999999996</v>
      </c>
    </row>
    <row r="124" spans="1:201" x14ac:dyDescent="0.25">
      <c r="A124">
        <v>108</v>
      </c>
      <c r="B124">
        <v>1690389355.5999999</v>
      </c>
      <c r="C124">
        <v>1097.099999904633</v>
      </c>
      <c r="D124" t="s">
        <v>549</v>
      </c>
      <c r="E124" t="s">
        <v>550</v>
      </c>
      <c r="F124" t="s">
        <v>330</v>
      </c>
      <c r="H124">
        <v>1690389355.5999999</v>
      </c>
      <c r="I124">
        <f t="shared" si="30"/>
        <v>1.7312390232048804E-3</v>
      </c>
      <c r="J124">
        <f t="shared" si="31"/>
        <v>1.7312390232048804</v>
      </c>
      <c r="K124">
        <f t="shared" si="32"/>
        <v>27.336032817176232</v>
      </c>
      <c r="L124">
        <f t="shared" si="33"/>
        <v>501.10700000000003</v>
      </c>
      <c r="M124">
        <f t="shared" si="34"/>
        <v>141.67132053149314</v>
      </c>
      <c r="N124">
        <f t="shared" si="35"/>
        <v>13.968505858332167</v>
      </c>
      <c r="O124">
        <f t="shared" si="36"/>
        <v>49.408137362531605</v>
      </c>
      <c r="P124">
        <f t="shared" si="37"/>
        <v>0.12764635318229783</v>
      </c>
      <c r="Q124">
        <f t="shared" si="38"/>
        <v>2.1583328873555252</v>
      </c>
      <c r="R124">
        <f t="shared" si="39"/>
        <v>0.12359586212344645</v>
      </c>
      <c r="S124">
        <f t="shared" si="40"/>
        <v>7.7600627501163866E-2</v>
      </c>
      <c r="T124">
        <f t="shared" si="41"/>
        <v>276.11436594600002</v>
      </c>
      <c r="U124">
        <f t="shared" si="42"/>
        <v>27.195473183608467</v>
      </c>
      <c r="V124">
        <f t="shared" si="43"/>
        <v>27.195473183608467</v>
      </c>
      <c r="W124">
        <f t="shared" si="44"/>
        <v>3.6204571614485412</v>
      </c>
      <c r="X124">
        <f t="shared" si="45"/>
        <v>69.077919114967472</v>
      </c>
      <c r="Y124">
        <f t="shared" si="46"/>
        <v>2.2806994270164402</v>
      </c>
      <c r="Z124">
        <f t="shared" si="47"/>
        <v>3.3016330778879373</v>
      </c>
      <c r="AA124">
        <f t="shared" si="48"/>
        <v>1.339757734432101</v>
      </c>
      <c r="AB124">
        <f t="shared" si="49"/>
        <v>-76.34764092333522</v>
      </c>
      <c r="AC124">
        <f t="shared" si="50"/>
        <v>-181.83271825067393</v>
      </c>
      <c r="AD124">
        <f t="shared" si="51"/>
        <v>-18.075264956049978</v>
      </c>
      <c r="AE124">
        <f t="shared" si="52"/>
        <v>-0.14125818405912582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52421.738842493665</v>
      </c>
      <c r="AK124">
        <f t="shared" si="56"/>
        <v>1800</v>
      </c>
      <c r="AL124">
        <f t="shared" si="57"/>
        <v>1499.1119495999999</v>
      </c>
      <c r="AM124">
        <f t="shared" si="58"/>
        <v>0.83283997199999993</v>
      </c>
      <c r="AN124">
        <f t="shared" si="59"/>
        <v>0.15339686997000002</v>
      </c>
      <c r="AO124">
        <v>31.8</v>
      </c>
      <c r="AP124">
        <v>0.5</v>
      </c>
      <c r="AQ124" t="s">
        <v>331</v>
      </c>
      <c r="AR124">
        <v>2</v>
      </c>
      <c r="AS124">
        <v>1690389355.5999999</v>
      </c>
      <c r="AT124">
        <v>501.10700000000003</v>
      </c>
      <c r="AU124">
        <v>800.01800000000003</v>
      </c>
      <c r="AV124">
        <v>23.1313</v>
      </c>
      <c r="AW124">
        <v>5.2074600000000002</v>
      </c>
      <c r="AX124">
        <v>500.75400000000002</v>
      </c>
      <c r="AY124">
        <v>22.9329</v>
      </c>
      <c r="AZ124">
        <v>300.04700000000003</v>
      </c>
      <c r="BA124">
        <v>98.498000000000005</v>
      </c>
      <c r="BB124">
        <v>9.9978800000000007E-2</v>
      </c>
      <c r="BC124">
        <v>25.6328</v>
      </c>
      <c r="BD124">
        <v>26.997399999999999</v>
      </c>
      <c r="BE124">
        <v>26.959599999999998</v>
      </c>
      <c r="BF124">
        <v>0</v>
      </c>
      <c r="BG124">
        <v>0</v>
      </c>
      <c r="BH124">
        <v>10020</v>
      </c>
      <c r="BI124">
        <v>1062.45</v>
      </c>
      <c r="BJ124">
        <v>1.3455900000000001</v>
      </c>
      <c r="BK124">
        <v>-298.91199999999998</v>
      </c>
      <c r="BL124">
        <v>512.97199999999998</v>
      </c>
      <c r="BM124">
        <v>804.20600000000002</v>
      </c>
      <c r="BN124">
        <v>17.9238</v>
      </c>
      <c r="BO124">
        <v>800.01800000000003</v>
      </c>
      <c r="BP124">
        <v>5.2074600000000002</v>
      </c>
      <c r="BQ124">
        <v>2.2783799999999998</v>
      </c>
      <c r="BR124">
        <v>0.51292499999999996</v>
      </c>
      <c r="BS124">
        <v>19.5244</v>
      </c>
      <c r="BT124">
        <v>-2.44354</v>
      </c>
      <c r="BU124">
        <v>1800</v>
      </c>
      <c r="BV124">
        <v>0.91001200000000004</v>
      </c>
      <c r="BW124">
        <v>3.4005599999999997E-2</v>
      </c>
      <c r="BX124">
        <v>2.1993100000000002E-2</v>
      </c>
      <c r="BY124">
        <v>3.39893E-2</v>
      </c>
      <c r="BZ124">
        <v>25</v>
      </c>
      <c r="CA124">
        <v>33528.400000000001</v>
      </c>
      <c r="CB124">
        <v>1690387638</v>
      </c>
      <c r="CC124" t="s">
        <v>332</v>
      </c>
      <c r="CD124">
        <v>1690387638</v>
      </c>
      <c r="CE124">
        <v>1690387638</v>
      </c>
      <c r="CF124">
        <v>6</v>
      </c>
      <c r="CG124">
        <v>0.43</v>
      </c>
      <c r="CH124">
        <v>-8.1000000000000003E-2</v>
      </c>
      <c r="CI124">
        <v>0.14199999999999999</v>
      </c>
      <c r="CJ124">
        <v>-2.7E-2</v>
      </c>
      <c r="CK124">
        <v>800</v>
      </c>
      <c r="CL124">
        <v>0</v>
      </c>
      <c r="CM124">
        <v>0.01</v>
      </c>
      <c r="CN124">
        <v>0.01</v>
      </c>
      <c r="CO124">
        <v>-295.47190000000001</v>
      </c>
      <c r="CP124">
        <v>-18.867084427767232</v>
      </c>
      <c r="CQ124">
        <v>1.815525017729033</v>
      </c>
      <c r="CR124">
        <v>-1</v>
      </c>
      <c r="CS124">
        <v>17.596985</v>
      </c>
      <c r="CT124">
        <v>1.6201688555346749</v>
      </c>
      <c r="CU124">
        <v>0.15594825832627959</v>
      </c>
      <c r="CV124">
        <v>-1</v>
      </c>
      <c r="CW124">
        <v>0</v>
      </c>
      <c r="CX124">
        <v>0</v>
      </c>
      <c r="CY124" t="s">
        <v>333</v>
      </c>
      <c r="CZ124">
        <v>2.3645399999999999</v>
      </c>
      <c r="DA124">
        <v>2.7137899999999999</v>
      </c>
      <c r="DB124">
        <v>0.105278</v>
      </c>
      <c r="DC124">
        <v>0.14532200000000001</v>
      </c>
      <c r="DD124">
        <v>0.110365</v>
      </c>
      <c r="DE124">
        <v>3.4933100000000002E-2</v>
      </c>
      <c r="DF124">
        <v>32694.3</v>
      </c>
      <c r="DG124">
        <v>27576.1</v>
      </c>
      <c r="DH124">
        <v>31194.400000000001</v>
      </c>
      <c r="DI124">
        <v>28113.599999999999</v>
      </c>
      <c r="DJ124">
        <v>37677.4</v>
      </c>
      <c r="DK124">
        <v>38588.6</v>
      </c>
      <c r="DL124">
        <v>44397.2</v>
      </c>
      <c r="DM124">
        <v>42615.3</v>
      </c>
      <c r="DN124">
        <v>1.4714499999999999</v>
      </c>
      <c r="DO124">
        <v>2.0390299999999999</v>
      </c>
      <c r="DP124">
        <v>0.15962100000000001</v>
      </c>
      <c r="DQ124">
        <v>0.15973999999999999</v>
      </c>
      <c r="DR124">
        <v>24.3813</v>
      </c>
      <c r="DS124">
        <v>24.3414</v>
      </c>
      <c r="DT124">
        <v>47.1</v>
      </c>
      <c r="DU124">
        <v>28.8</v>
      </c>
      <c r="DV124">
        <v>19.010000000000002</v>
      </c>
      <c r="DW124">
        <v>60.702199999999998</v>
      </c>
      <c r="DX124">
        <v>37.207500000000003</v>
      </c>
      <c r="DY124">
        <v>1</v>
      </c>
      <c r="DZ124">
        <v>-0.11594500000000001</v>
      </c>
      <c r="EA124">
        <v>0.13217899999999999</v>
      </c>
      <c r="EB124">
        <v>20.190200000000001</v>
      </c>
      <c r="EC124">
        <v>5.24125</v>
      </c>
      <c r="ED124">
        <v>12.039899999999999</v>
      </c>
      <c r="EE124">
        <v>5.0172999999999996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1.8646100000000001</v>
      </c>
      <c r="EM124">
        <v>1.8692</v>
      </c>
      <c r="EN124">
        <v>1.8672299999999999</v>
      </c>
      <c r="EO124">
        <v>1.86337</v>
      </c>
      <c r="EP124">
        <v>1.8644700000000001</v>
      </c>
      <c r="EQ124">
        <v>1.87018</v>
      </c>
      <c r="ER124">
        <v>1.86938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0.35299999999999998</v>
      </c>
      <c r="FG124">
        <v>0.19839999999999999</v>
      </c>
      <c r="FH124">
        <v>0.69281559908863044</v>
      </c>
      <c r="FI124">
        <v>-6.1462078757559423E-4</v>
      </c>
      <c r="FJ124">
        <v>-1.8861989874597051E-7</v>
      </c>
      <c r="FK124">
        <v>1.1980462299894961E-10</v>
      </c>
      <c r="FL124">
        <v>0.19840465858211129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28.6</v>
      </c>
      <c r="FU124">
        <v>28.6</v>
      </c>
      <c r="FV124">
        <v>1.7724599999999999</v>
      </c>
      <c r="FW124">
        <v>2.5842299999999998</v>
      </c>
      <c r="FX124">
        <v>1.5490699999999999</v>
      </c>
      <c r="FY124">
        <v>2.3327599999999999</v>
      </c>
      <c r="FZ124">
        <v>1.50146</v>
      </c>
      <c r="GA124">
        <v>2.31934</v>
      </c>
      <c r="GB124">
        <v>33.580399999999997</v>
      </c>
      <c r="GC124">
        <v>23.991199999999999</v>
      </c>
      <c r="GD124">
        <v>19</v>
      </c>
      <c r="GE124">
        <v>279.74900000000002</v>
      </c>
      <c r="GF124">
        <v>582.47900000000004</v>
      </c>
      <c r="GG124">
        <v>23.825700000000001</v>
      </c>
      <c r="GH124">
        <v>25.939699999999998</v>
      </c>
      <c r="GI124">
        <v>30</v>
      </c>
      <c r="GJ124">
        <v>26.097300000000001</v>
      </c>
      <c r="GK124">
        <v>26.085100000000001</v>
      </c>
      <c r="GL124">
        <v>35.448999999999998</v>
      </c>
      <c r="GM124">
        <v>69.797300000000007</v>
      </c>
      <c r="GN124">
        <v>61.447200000000002</v>
      </c>
      <c r="GO124">
        <v>23.824100000000001</v>
      </c>
      <c r="GP124">
        <v>800</v>
      </c>
      <c r="GQ124">
        <v>5.0516300000000003</v>
      </c>
      <c r="GR124">
        <v>99.814800000000005</v>
      </c>
      <c r="GS124">
        <v>99.687600000000003</v>
      </c>
    </row>
    <row r="125" spans="1:201" x14ac:dyDescent="0.25">
      <c r="A125">
        <v>109</v>
      </c>
      <c r="B125">
        <v>1690389365.5999999</v>
      </c>
      <c r="C125">
        <v>1107.099999904633</v>
      </c>
      <c r="D125" t="s">
        <v>551</v>
      </c>
      <c r="E125" t="s">
        <v>552</v>
      </c>
      <c r="F125" t="s">
        <v>330</v>
      </c>
      <c r="H125">
        <v>1690389365.5999999</v>
      </c>
      <c r="I125">
        <f t="shared" si="30"/>
        <v>1.7541785282863306E-3</v>
      </c>
      <c r="J125">
        <f t="shared" si="31"/>
        <v>1.7541785282863307</v>
      </c>
      <c r="K125">
        <f t="shared" si="32"/>
        <v>27.644185801906051</v>
      </c>
      <c r="L125">
        <f t="shared" si="33"/>
        <v>497.84500000000003</v>
      </c>
      <c r="M125">
        <f t="shared" si="34"/>
        <v>139.38925406893387</v>
      </c>
      <c r="N125">
        <f t="shared" si="35"/>
        <v>13.742527063024292</v>
      </c>
      <c r="O125">
        <f t="shared" si="36"/>
        <v>49.08304037776</v>
      </c>
      <c r="P125">
        <f t="shared" si="37"/>
        <v>0.12947605506843218</v>
      </c>
      <c r="Q125">
        <f t="shared" si="38"/>
        <v>2.1555568557750613</v>
      </c>
      <c r="R125">
        <f t="shared" si="39"/>
        <v>0.12530547188849295</v>
      </c>
      <c r="S125">
        <f t="shared" si="40"/>
        <v>7.8679439359071859E-2</v>
      </c>
      <c r="T125">
        <f t="shared" si="41"/>
        <v>276.11446399200003</v>
      </c>
      <c r="U125">
        <f t="shared" si="42"/>
        <v>27.193876473729894</v>
      </c>
      <c r="V125">
        <f t="shared" si="43"/>
        <v>27.193876473729894</v>
      </c>
      <c r="W125">
        <f t="shared" si="44"/>
        <v>3.6201181482453468</v>
      </c>
      <c r="X125">
        <f t="shared" si="45"/>
        <v>69.075491996957368</v>
      </c>
      <c r="Y125">
        <f t="shared" si="46"/>
        <v>2.2812283204064001</v>
      </c>
      <c r="Z125">
        <f t="shared" si="47"/>
        <v>3.3025147624093414</v>
      </c>
      <c r="AA125">
        <f t="shared" si="48"/>
        <v>1.3388898278389467</v>
      </c>
      <c r="AB125">
        <f t="shared" si="49"/>
        <v>-77.359273097427177</v>
      </c>
      <c r="AC125">
        <f t="shared" si="50"/>
        <v>-180.8903453924039</v>
      </c>
      <c r="AD125">
        <f t="shared" si="51"/>
        <v>-18.005005920253502</v>
      </c>
      <c r="AE125">
        <f t="shared" si="52"/>
        <v>-0.14016041808454816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52304.350570941897</v>
      </c>
      <c r="AK125">
        <f t="shared" si="56"/>
        <v>1800</v>
      </c>
      <c r="AL125">
        <f t="shared" si="57"/>
        <v>1499.1123672000001</v>
      </c>
      <c r="AM125">
        <f t="shared" si="58"/>
        <v>0.83284020400000003</v>
      </c>
      <c r="AN125">
        <f t="shared" si="59"/>
        <v>0.15339692444000003</v>
      </c>
      <c r="AO125">
        <v>31.8</v>
      </c>
      <c r="AP125">
        <v>0.5</v>
      </c>
      <c r="AQ125" t="s">
        <v>331</v>
      </c>
      <c r="AR125">
        <v>2</v>
      </c>
      <c r="AS125">
        <v>1690389365.5999999</v>
      </c>
      <c r="AT125">
        <v>497.84500000000003</v>
      </c>
      <c r="AU125">
        <v>800.07</v>
      </c>
      <c r="AV125">
        <v>23.138300000000001</v>
      </c>
      <c r="AW125">
        <v>4.9778799999999999</v>
      </c>
      <c r="AX125">
        <v>497.49</v>
      </c>
      <c r="AY125">
        <v>22.939900000000002</v>
      </c>
      <c r="AZ125">
        <v>300.06</v>
      </c>
      <c r="BA125">
        <v>98.491</v>
      </c>
      <c r="BB125">
        <v>0.100008</v>
      </c>
      <c r="BC125">
        <v>25.6373</v>
      </c>
      <c r="BD125">
        <v>26.957599999999999</v>
      </c>
      <c r="BE125">
        <v>26.946300000000001</v>
      </c>
      <c r="BF125">
        <v>0</v>
      </c>
      <c r="BG125">
        <v>0</v>
      </c>
      <c r="BH125">
        <v>9997.5</v>
      </c>
      <c r="BI125">
        <v>1062.52</v>
      </c>
      <c r="BJ125">
        <v>1.3455900000000001</v>
      </c>
      <c r="BK125">
        <v>-302.22399999999999</v>
      </c>
      <c r="BL125">
        <v>509.637</v>
      </c>
      <c r="BM125">
        <v>804.072</v>
      </c>
      <c r="BN125">
        <v>18.160399999999999</v>
      </c>
      <c r="BO125">
        <v>800.07</v>
      </c>
      <c r="BP125">
        <v>4.9778799999999999</v>
      </c>
      <c r="BQ125">
        <v>2.2789100000000002</v>
      </c>
      <c r="BR125">
        <v>0.49027599999999999</v>
      </c>
      <c r="BS125">
        <v>19.528099999999998</v>
      </c>
      <c r="BT125">
        <v>-3.0512199999999998</v>
      </c>
      <c r="BU125">
        <v>1800</v>
      </c>
      <c r="BV125">
        <v>0.91001200000000004</v>
      </c>
      <c r="BW125">
        <v>3.40057E-2</v>
      </c>
      <c r="BX125">
        <v>2.1993200000000001E-2</v>
      </c>
      <c r="BY125">
        <v>3.3989400000000003E-2</v>
      </c>
      <c r="BZ125">
        <v>25</v>
      </c>
      <c r="CA125">
        <v>33528.5</v>
      </c>
      <c r="CB125">
        <v>1690387638</v>
      </c>
      <c r="CC125" t="s">
        <v>332</v>
      </c>
      <c r="CD125">
        <v>1690387638</v>
      </c>
      <c r="CE125">
        <v>1690387638</v>
      </c>
      <c r="CF125">
        <v>6</v>
      </c>
      <c r="CG125">
        <v>0.43</v>
      </c>
      <c r="CH125">
        <v>-8.1000000000000003E-2</v>
      </c>
      <c r="CI125">
        <v>0.14199999999999999</v>
      </c>
      <c r="CJ125">
        <v>-2.7E-2</v>
      </c>
      <c r="CK125">
        <v>800</v>
      </c>
      <c r="CL125">
        <v>0</v>
      </c>
      <c r="CM125">
        <v>0.01</v>
      </c>
      <c r="CN125">
        <v>0.01</v>
      </c>
      <c r="CO125">
        <v>-298.63452500000011</v>
      </c>
      <c r="CP125">
        <v>-18.998735459662321</v>
      </c>
      <c r="CQ125">
        <v>1.828784268134158</v>
      </c>
      <c r="CR125">
        <v>-1</v>
      </c>
      <c r="CS125">
        <v>17.87406</v>
      </c>
      <c r="CT125">
        <v>1.6471924953095369</v>
      </c>
      <c r="CU125">
        <v>0.1588983429743685</v>
      </c>
      <c r="CV125">
        <v>-1</v>
      </c>
      <c r="CW125">
        <v>0</v>
      </c>
      <c r="CX125">
        <v>0</v>
      </c>
      <c r="CY125" t="s">
        <v>333</v>
      </c>
      <c r="CZ125">
        <v>2.3645399999999999</v>
      </c>
      <c r="DA125">
        <v>2.7138</v>
      </c>
      <c r="DB125">
        <v>0.10477</v>
      </c>
      <c r="DC125">
        <v>0.145314</v>
      </c>
      <c r="DD125">
        <v>0.11038100000000001</v>
      </c>
      <c r="DE125">
        <v>3.3645500000000002E-2</v>
      </c>
      <c r="DF125">
        <v>32713.1</v>
      </c>
      <c r="DG125">
        <v>27576.5</v>
      </c>
      <c r="DH125">
        <v>31194.5</v>
      </c>
      <c r="DI125">
        <v>28113.8</v>
      </c>
      <c r="DJ125">
        <v>37676.9</v>
      </c>
      <c r="DK125">
        <v>38640.199999999997</v>
      </c>
      <c r="DL125">
        <v>44397.5</v>
      </c>
      <c r="DM125">
        <v>42615.3</v>
      </c>
      <c r="DN125">
        <v>1.4716499999999999</v>
      </c>
      <c r="DO125">
        <v>2.0384500000000001</v>
      </c>
      <c r="DP125">
        <v>0.157081</v>
      </c>
      <c r="DQ125">
        <v>0.158556</v>
      </c>
      <c r="DR125">
        <v>24.383099999999999</v>
      </c>
      <c r="DS125">
        <v>24.3475</v>
      </c>
      <c r="DT125">
        <v>46.8</v>
      </c>
      <c r="DU125">
        <v>28.8</v>
      </c>
      <c r="DV125">
        <v>18.888999999999999</v>
      </c>
      <c r="DW125">
        <v>61.112200000000001</v>
      </c>
      <c r="DX125">
        <v>37.095399999999998</v>
      </c>
      <c r="DY125">
        <v>1</v>
      </c>
      <c r="DZ125">
        <v>-0.115297</v>
      </c>
      <c r="EA125">
        <v>0.106242</v>
      </c>
      <c r="EB125">
        <v>20.1906</v>
      </c>
      <c r="EC125">
        <v>5.2409499999999998</v>
      </c>
      <c r="ED125">
        <v>12.039899999999999</v>
      </c>
      <c r="EE125">
        <v>5.0174000000000003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1.8646199999999999</v>
      </c>
      <c r="EM125">
        <v>1.8692</v>
      </c>
      <c r="EN125">
        <v>1.8672299999999999</v>
      </c>
      <c r="EO125">
        <v>1.86338</v>
      </c>
      <c r="EP125">
        <v>1.8644700000000001</v>
      </c>
      <c r="EQ125">
        <v>1.8701399999999999</v>
      </c>
      <c r="ER125">
        <v>1.8693500000000001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0.35499999999999998</v>
      </c>
      <c r="FG125">
        <v>0.19839999999999999</v>
      </c>
      <c r="FH125">
        <v>0.69281559908863044</v>
      </c>
      <c r="FI125">
        <v>-6.1462078757559423E-4</v>
      </c>
      <c r="FJ125">
        <v>-1.8861989874597051E-7</v>
      </c>
      <c r="FK125">
        <v>1.1980462299894961E-10</v>
      </c>
      <c r="FL125">
        <v>0.19840465858211129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28.8</v>
      </c>
      <c r="FU125">
        <v>28.8</v>
      </c>
      <c r="FV125">
        <v>1.7724599999999999</v>
      </c>
      <c r="FW125">
        <v>2.5793499999999998</v>
      </c>
      <c r="FX125">
        <v>1.5490699999999999</v>
      </c>
      <c r="FY125">
        <v>2.3327599999999999</v>
      </c>
      <c r="FZ125">
        <v>1.50146</v>
      </c>
      <c r="GA125">
        <v>2.3327599999999999</v>
      </c>
      <c r="GB125">
        <v>33.580399999999997</v>
      </c>
      <c r="GC125">
        <v>23.991199999999999</v>
      </c>
      <c r="GD125">
        <v>19</v>
      </c>
      <c r="GE125">
        <v>279.82299999999998</v>
      </c>
      <c r="GF125">
        <v>581.98099999999999</v>
      </c>
      <c r="GG125">
        <v>23.829799999999999</v>
      </c>
      <c r="GH125">
        <v>25.938500000000001</v>
      </c>
      <c r="GI125">
        <v>30.000299999999999</v>
      </c>
      <c r="GJ125">
        <v>26.095099999999999</v>
      </c>
      <c r="GK125">
        <v>26.082899999999999</v>
      </c>
      <c r="GL125">
        <v>35.4392</v>
      </c>
      <c r="GM125">
        <v>70.959299999999999</v>
      </c>
      <c r="GN125">
        <v>60.645400000000002</v>
      </c>
      <c r="GO125">
        <v>23.8474</v>
      </c>
      <c r="GP125">
        <v>800</v>
      </c>
      <c r="GQ125">
        <v>4.78796</v>
      </c>
      <c r="GR125">
        <v>99.815399999999997</v>
      </c>
      <c r="GS125">
        <v>99.687899999999999</v>
      </c>
    </row>
    <row r="126" spans="1:201" x14ac:dyDescent="0.25">
      <c r="A126">
        <v>110</v>
      </c>
      <c r="B126">
        <v>1690389375.5999999</v>
      </c>
      <c r="C126">
        <v>1117.099999904633</v>
      </c>
      <c r="D126" t="s">
        <v>553</v>
      </c>
      <c r="E126" t="s">
        <v>554</v>
      </c>
      <c r="F126" t="s">
        <v>330</v>
      </c>
      <c r="H126">
        <v>1690389375.5999999</v>
      </c>
      <c r="I126">
        <f t="shared" si="30"/>
        <v>1.7825342335708357E-3</v>
      </c>
      <c r="J126">
        <f t="shared" si="31"/>
        <v>1.7825342335708358</v>
      </c>
      <c r="K126">
        <f t="shared" si="32"/>
        <v>27.958900557144247</v>
      </c>
      <c r="L126">
        <f t="shared" si="33"/>
        <v>494.54500000000002</v>
      </c>
      <c r="M126">
        <f t="shared" si="34"/>
        <v>137.88536736870077</v>
      </c>
      <c r="N126">
        <f t="shared" si="35"/>
        <v>13.593115528603336</v>
      </c>
      <c r="O126">
        <f t="shared" si="36"/>
        <v>48.753594724214999</v>
      </c>
      <c r="P126">
        <f t="shared" si="37"/>
        <v>0.13167427116679392</v>
      </c>
      <c r="Q126">
        <f t="shared" si="38"/>
        <v>2.1495315415917844</v>
      </c>
      <c r="R126">
        <f t="shared" si="39"/>
        <v>0.12735175183731301</v>
      </c>
      <c r="S126">
        <f t="shared" si="40"/>
        <v>7.9971385426513913E-2</v>
      </c>
      <c r="T126">
        <f t="shared" si="41"/>
        <v>276.11265674827376</v>
      </c>
      <c r="U126">
        <f t="shared" si="42"/>
        <v>27.198199673448762</v>
      </c>
      <c r="V126">
        <f t="shared" si="43"/>
        <v>27.198199673448762</v>
      </c>
      <c r="W126">
        <f t="shared" si="44"/>
        <v>3.6210361134220861</v>
      </c>
      <c r="X126">
        <f t="shared" si="45"/>
        <v>69.0720550857787</v>
      </c>
      <c r="Y126">
        <f t="shared" si="46"/>
        <v>2.2824957365036997</v>
      </c>
      <c r="Z126">
        <f t="shared" si="47"/>
        <v>3.304514008840667</v>
      </c>
      <c r="AA126">
        <f t="shared" si="48"/>
        <v>1.3385403769183863</v>
      </c>
      <c r="AB126">
        <f t="shared" si="49"/>
        <v>-78.609759700473859</v>
      </c>
      <c r="AC126">
        <f t="shared" si="50"/>
        <v>-179.70367596752038</v>
      </c>
      <c r="AD126">
        <f t="shared" si="51"/>
        <v>-17.938332817186797</v>
      </c>
      <c r="AE126">
        <f t="shared" si="52"/>
        <v>-0.13911173690726741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52050.207356994499</v>
      </c>
      <c r="AK126">
        <f t="shared" si="56"/>
        <v>1799.99</v>
      </c>
      <c r="AL126">
        <f t="shared" si="57"/>
        <v>1499.1035132008801</v>
      </c>
      <c r="AM126">
        <f t="shared" si="58"/>
        <v>0.83283991200000007</v>
      </c>
      <c r="AN126">
        <f t="shared" si="59"/>
        <v>0.15339677261999998</v>
      </c>
      <c r="AO126">
        <v>31.8</v>
      </c>
      <c r="AP126">
        <v>0.5</v>
      </c>
      <c r="AQ126" t="s">
        <v>331</v>
      </c>
      <c r="AR126">
        <v>2</v>
      </c>
      <c r="AS126">
        <v>1690389375.5999999</v>
      </c>
      <c r="AT126">
        <v>494.54500000000002</v>
      </c>
      <c r="AU126">
        <v>800.10500000000002</v>
      </c>
      <c r="AV126">
        <v>23.153099999999998</v>
      </c>
      <c r="AW126">
        <v>4.7046900000000003</v>
      </c>
      <c r="AX126">
        <v>494.18700000000001</v>
      </c>
      <c r="AY126">
        <v>22.954699999999999</v>
      </c>
      <c r="AZ126">
        <v>300.14600000000002</v>
      </c>
      <c r="BA126">
        <v>98.482699999999994</v>
      </c>
      <c r="BB126">
        <v>0.100027</v>
      </c>
      <c r="BC126">
        <v>25.647500000000001</v>
      </c>
      <c r="BD126">
        <v>26.947299999999998</v>
      </c>
      <c r="BE126">
        <v>26.9617</v>
      </c>
      <c r="BF126">
        <v>0</v>
      </c>
      <c r="BG126">
        <v>0</v>
      </c>
      <c r="BH126">
        <v>9948.1200000000008</v>
      </c>
      <c r="BI126">
        <v>1062.6199999999999</v>
      </c>
      <c r="BJ126">
        <v>1.3455900000000001</v>
      </c>
      <c r="BK126">
        <v>-305.56</v>
      </c>
      <c r="BL126">
        <v>506.26600000000002</v>
      </c>
      <c r="BM126">
        <v>803.88699999999994</v>
      </c>
      <c r="BN126">
        <v>18.448399999999999</v>
      </c>
      <c r="BO126">
        <v>800.10500000000002</v>
      </c>
      <c r="BP126">
        <v>4.7046900000000003</v>
      </c>
      <c r="BQ126">
        <v>2.2801800000000001</v>
      </c>
      <c r="BR126">
        <v>0.46333000000000002</v>
      </c>
      <c r="BS126">
        <v>19.536999999999999</v>
      </c>
      <c r="BT126">
        <v>-3.8075000000000001</v>
      </c>
      <c r="BU126">
        <v>1799.99</v>
      </c>
      <c r="BV126">
        <v>0.91001399999999999</v>
      </c>
      <c r="BW126">
        <v>3.4004699999999999E-2</v>
      </c>
      <c r="BX126">
        <v>2.1992600000000001E-2</v>
      </c>
      <c r="BY126">
        <v>3.3988400000000002E-2</v>
      </c>
      <c r="BZ126">
        <v>25</v>
      </c>
      <c r="CA126">
        <v>33528.300000000003</v>
      </c>
      <c r="CB126">
        <v>1690387638</v>
      </c>
      <c r="CC126" t="s">
        <v>332</v>
      </c>
      <c r="CD126">
        <v>1690387638</v>
      </c>
      <c r="CE126">
        <v>1690387638</v>
      </c>
      <c r="CF126">
        <v>6</v>
      </c>
      <c r="CG126">
        <v>0.43</v>
      </c>
      <c r="CH126">
        <v>-8.1000000000000003E-2</v>
      </c>
      <c r="CI126">
        <v>0.14199999999999999</v>
      </c>
      <c r="CJ126">
        <v>-2.7E-2</v>
      </c>
      <c r="CK126">
        <v>800</v>
      </c>
      <c r="CL126">
        <v>0</v>
      </c>
      <c r="CM126">
        <v>0.01</v>
      </c>
      <c r="CN126">
        <v>0.01</v>
      </c>
      <c r="CO126">
        <v>-302.16640000000001</v>
      </c>
      <c r="CP126">
        <v>-19.393485928704852</v>
      </c>
      <c r="CQ126">
        <v>1.8667743811184041</v>
      </c>
      <c r="CR126">
        <v>-1</v>
      </c>
      <c r="CS126">
        <v>18.174417500000001</v>
      </c>
      <c r="CT126">
        <v>1.5823666041275379</v>
      </c>
      <c r="CU126">
        <v>0.1527497674098065</v>
      </c>
      <c r="CV126">
        <v>-1</v>
      </c>
      <c r="CW126">
        <v>0</v>
      </c>
      <c r="CX126">
        <v>0</v>
      </c>
      <c r="CY126" t="s">
        <v>333</v>
      </c>
      <c r="CZ126">
        <v>2.3648099999999999</v>
      </c>
      <c r="DA126">
        <v>2.7137699999999998</v>
      </c>
      <c r="DB126">
        <v>0.104252</v>
      </c>
      <c r="DC126">
        <v>0.14530199999999999</v>
      </c>
      <c r="DD126">
        <v>0.11042299999999999</v>
      </c>
      <c r="DE126">
        <v>3.20919E-2</v>
      </c>
      <c r="DF126">
        <v>32732.3</v>
      </c>
      <c r="DG126">
        <v>27577.4</v>
      </c>
      <c r="DH126">
        <v>31194.799999999999</v>
      </c>
      <c r="DI126">
        <v>28114.3</v>
      </c>
      <c r="DJ126">
        <v>37675.4</v>
      </c>
      <c r="DK126">
        <v>38703.1</v>
      </c>
      <c r="DL126">
        <v>44397.8</v>
      </c>
      <c r="DM126">
        <v>42616</v>
      </c>
      <c r="DN126">
        <v>1.47218</v>
      </c>
      <c r="DO126">
        <v>2.0378500000000002</v>
      </c>
      <c r="DP126">
        <v>0.15621599999999999</v>
      </c>
      <c r="DQ126">
        <v>0.159219</v>
      </c>
      <c r="DR126">
        <v>24.387</v>
      </c>
      <c r="DS126">
        <v>24.3521</v>
      </c>
      <c r="DT126">
        <v>46.3</v>
      </c>
      <c r="DU126">
        <v>28.8</v>
      </c>
      <c r="DV126">
        <v>18.690899999999999</v>
      </c>
      <c r="DW126">
        <v>61.222200000000001</v>
      </c>
      <c r="DX126">
        <v>36.758800000000001</v>
      </c>
      <c r="DY126">
        <v>1</v>
      </c>
      <c r="DZ126">
        <v>-0.11590399999999999</v>
      </c>
      <c r="EA126">
        <v>-2.0686300000000001E-2</v>
      </c>
      <c r="EB126">
        <v>20.1904</v>
      </c>
      <c r="EC126">
        <v>5.2409499999999998</v>
      </c>
      <c r="ED126">
        <v>12.039899999999999</v>
      </c>
      <c r="EE126">
        <v>5.0171000000000001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1.8646199999999999</v>
      </c>
      <c r="EM126">
        <v>1.8692</v>
      </c>
      <c r="EN126">
        <v>1.86724</v>
      </c>
      <c r="EO126">
        <v>1.86337</v>
      </c>
      <c r="EP126">
        <v>1.86446</v>
      </c>
      <c r="EQ126">
        <v>1.8701399999999999</v>
      </c>
      <c r="ER126">
        <v>1.8693500000000001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0.35799999999999998</v>
      </c>
      <c r="FG126">
        <v>0.19839999999999999</v>
      </c>
      <c r="FH126">
        <v>0.69281559908863044</v>
      </c>
      <c r="FI126">
        <v>-6.1462078757559423E-4</v>
      </c>
      <c r="FJ126">
        <v>-1.8861989874597051E-7</v>
      </c>
      <c r="FK126">
        <v>1.1980462299894961E-10</v>
      </c>
      <c r="FL126">
        <v>0.19840465858211129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29</v>
      </c>
      <c r="FU126">
        <v>29</v>
      </c>
      <c r="FV126">
        <v>1.7724599999999999</v>
      </c>
      <c r="FW126">
        <v>2.5769000000000002</v>
      </c>
      <c r="FX126">
        <v>1.5490699999999999</v>
      </c>
      <c r="FY126">
        <v>2.3327599999999999</v>
      </c>
      <c r="FZ126">
        <v>1.50146</v>
      </c>
      <c r="GA126">
        <v>2.3730500000000001</v>
      </c>
      <c r="GB126">
        <v>33.580399999999997</v>
      </c>
      <c r="GC126">
        <v>23.991199999999999</v>
      </c>
      <c r="GD126">
        <v>19</v>
      </c>
      <c r="GE126">
        <v>280.03500000000003</v>
      </c>
      <c r="GF126">
        <v>581.46199999999999</v>
      </c>
      <c r="GG126">
        <v>23.877800000000001</v>
      </c>
      <c r="GH126">
        <v>25.936299999999999</v>
      </c>
      <c r="GI126">
        <v>29.9999</v>
      </c>
      <c r="GJ126">
        <v>26.093</v>
      </c>
      <c r="GK126">
        <v>26.0807</v>
      </c>
      <c r="GL126">
        <v>35.431399999999996</v>
      </c>
      <c r="GM126">
        <v>71.828400000000002</v>
      </c>
      <c r="GN126">
        <v>59.844099999999997</v>
      </c>
      <c r="GO126">
        <v>23.909199999999998</v>
      </c>
      <c r="GP126">
        <v>800</v>
      </c>
      <c r="GQ126">
        <v>4.5162399999999998</v>
      </c>
      <c r="GR126">
        <v>99.816299999999998</v>
      </c>
      <c r="GS126">
        <v>99.689499999999995</v>
      </c>
    </row>
    <row r="127" spans="1:201" x14ac:dyDescent="0.25">
      <c r="A127">
        <v>111</v>
      </c>
      <c r="B127">
        <v>1690389385.5999999</v>
      </c>
      <c r="C127">
        <v>1127.099999904633</v>
      </c>
      <c r="D127" t="s">
        <v>555</v>
      </c>
      <c r="E127" t="s">
        <v>556</v>
      </c>
      <c r="F127" t="s">
        <v>330</v>
      </c>
      <c r="H127">
        <v>1690389385.5999999</v>
      </c>
      <c r="I127">
        <f t="shared" si="30"/>
        <v>1.809771832138567E-3</v>
      </c>
      <c r="J127">
        <f t="shared" si="31"/>
        <v>1.809771832138567</v>
      </c>
      <c r="K127">
        <f t="shared" si="32"/>
        <v>28.226626592915377</v>
      </c>
      <c r="L127">
        <f t="shared" si="33"/>
        <v>491.541</v>
      </c>
      <c r="M127">
        <f t="shared" si="34"/>
        <v>137.8710902052139</v>
      </c>
      <c r="N127">
        <f t="shared" si="35"/>
        <v>13.591182482297114</v>
      </c>
      <c r="O127">
        <f t="shared" si="36"/>
        <v>48.455578458014998</v>
      </c>
      <c r="P127">
        <f t="shared" si="37"/>
        <v>0.134114855083416</v>
      </c>
      <c r="Q127">
        <f t="shared" si="38"/>
        <v>2.1586979708663971</v>
      </c>
      <c r="R127">
        <f t="shared" si="39"/>
        <v>0.12965189671091773</v>
      </c>
      <c r="S127">
        <f t="shared" si="40"/>
        <v>8.1421042421885803E-2</v>
      </c>
      <c r="T127">
        <f t="shared" si="41"/>
        <v>276.11427591</v>
      </c>
      <c r="U127">
        <f t="shared" si="42"/>
        <v>27.187717348402717</v>
      </c>
      <c r="V127">
        <f t="shared" si="43"/>
        <v>27.187717348402717</v>
      </c>
      <c r="W127">
        <f t="shared" si="44"/>
        <v>3.6188107032376062</v>
      </c>
      <c r="X127">
        <f t="shared" si="45"/>
        <v>69.096726339421821</v>
      </c>
      <c r="Y127">
        <f t="shared" si="46"/>
        <v>2.2839748816349998</v>
      </c>
      <c r="Z127">
        <f t="shared" si="47"/>
        <v>3.3054748070342681</v>
      </c>
      <c r="AA127">
        <f t="shared" si="48"/>
        <v>1.3348358216026064</v>
      </c>
      <c r="AB127">
        <f t="shared" si="49"/>
        <v>-79.8109377973108</v>
      </c>
      <c r="AC127">
        <f t="shared" si="50"/>
        <v>-178.67981080305017</v>
      </c>
      <c r="AD127">
        <f t="shared" si="51"/>
        <v>-17.759892657181847</v>
      </c>
      <c r="AE127">
        <f t="shared" si="52"/>
        <v>-0.13636534754283502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52433.20239731222</v>
      </c>
      <c r="AK127">
        <f t="shared" si="56"/>
        <v>1800</v>
      </c>
      <c r="AL127">
        <f t="shared" si="57"/>
        <v>1499.1132149999999</v>
      </c>
      <c r="AM127">
        <f t="shared" si="58"/>
        <v>0.83284067499999992</v>
      </c>
      <c r="AN127">
        <f t="shared" si="59"/>
        <v>0.15339681995000001</v>
      </c>
      <c r="AO127">
        <v>31.8</v>
      </c>
      <c r="AP127">
        <v>0.5</v>
      </c>
      <c r="AQ127" t="s">
        <v>331</v>
      </c>
      <c r="AR127">
        <v>2</v>
      </c>
      <c r="AS127">
        <v>1690389385.5999999</v>
      </c>
      <c r="AT127">
        <v>491.541</v>
      </c>
      <c r="AU127">
        <v>800.07299999999998</v>
      </c>
      <c r="AV127">
        <v>23.169</v>
      </c>
      <c r="AW127">
        <v>4.4359400000000004</v>
      </c>
      <c r="AX127">
        <v>491.18200000000002</v>
      </c>
      <c r="AY127">
        <v>22.970600000000001</v>
      </c>
      <c r="AZ127">
        <v>300.09699999999998</v>
      </c>
      <c r="BA127">
        <v>98.478899999999996</v>
      </c>
      <c r="BB127">
        <v>0.10001500000000001</v>
      </c>
      <c r="BC127">
        <v>25.6524</v>
      </c>
      <c r="BD127">
        <v>26.957100000000001</v>
      </c>
      <c r="BE127">
        <v>26.953600000000002</v>
      </c>
      <c r="BF127">
        <v>0</v>
      </c>
      <c r="BG127">
        <v>0</v>
      </c>
      <c r="BH127">
        <v>10025</v>
      </c>
      <c r="BI127">
        <v>1062.73</v>
      </c>
      <c r="BJ127">
        <v>1.3455900000000001</v>
      </c>
      <c r="BK127">
        <v>-308.53199999999998</v>
      </c>
      <c r="BL127">
        <v>503.2</v>
      </c>
      <c r="BM127">
        <v>803.63800000000003</v>
      </c>
      <c r="BN127">
        <v>18.7331</v>
      </c>
      <c r="BO127">
        <v>800.07299999999998</v>
      </c>
      <c r="BP127">
        <v>4.4359400000000004</v>
      </c>
      <c r="BQ127">
        <v>2.28166</v>
      </c>
      <c r="BR127">
        <v>0.43684699999999999</v>
      </c>
      <c r="BS127">
        <v>19.547499999999999</v>
      </c>
      <c r="BT127">
        <v>-4.5898700000000003</v>
      </c>
      <c r="BU127">
        <v>1800</v>
      </c>
      <c r="BV127">
        <v>0.91001699999999996</v>
      </c>
      <c r="BW127">
        <v>3.4003899999999997E-2</v>
      </c>
      <c r="BX127">
        <v>2.1992000000000001E-2</v>
      </c>
      <c r="BY127">
        <v>3.3987499999999997E-2</v>
      </c>
      <c r="BZ127">
        <v>25</v>
      </c>
      <c r="CA127">
        <v>33528.400000000001</v>
      </c>
      <c r="CB127">
        <v>1690387638</v>
      </c>
      <c r="CC127" t="s">
        <v>332</v>
      </c>
      <c r="CD127">
        <v>1690387638</v>
      </c>
      <c r="CE127">
        <v>1690387638</v>
      </c>
      <c r="CF127">
        <v>6</v>
      </c>
      <c r="CG127">
        <v>0.43</v>
      </c>
      <c r="CH127">
        <v>-8.1000000000000003E-2</v>
      </c>
      <c r="CI127">
        <v>0.14199999999999999</v>
      </c>
      <c r="CJ127">
        <v>-2.7E-2</v>
      </c>
      <c r="CK127">
        <v>800</v>
      </c>
      <c r="CL127">
        <v>0</v>
      </c>
      <c r="CM127">
        <v>0.01</v>
      </c>
      <c r="CN127">
        <v>0.01</v>
      </c>
      <c r="CO127">
        <v>-305.13046341463422</v>
      </c>
      <c r="CP127">
        <v>-18.76480139372762</v>
      </c>
      <c r="CQ127">
        <v>1.852837311347125</v>
      </c>
      <c r="CR127">
        <v>-1</v>
      </c>
      <c r="CS127">
        <v>18.426280487804881</v>
      </c>
      <c r="CT127">
        <v>1.6942703832752919</v>
      </c>
      <c r="CU127">
        <v>0.16724351344672819</v>
      </c>
      <c r="CV127">
        <v>-1</v>
      </c>
      <c r="CW127">
        <v>0</v>
      </c>
      <c r="CX127">
        <v>0</v>
      </c>
      <c r="CY127" t="s">
        <v>333</v>
      </c>
      <c r="CZ127">
        <v>2.3646400000000001</v>
      </c>
      <c r="DA127">
        <v>2.7138300000000002</v>
      </c>
      <c r="DB127">
        <v>0.103784</v>
      </c>
      <c r="DC127">
        <v>0.145288</v>
      </c>
      <c r="DD127">
        <v>0.110473</v>
      </c>
      <c r="DE127">
        <v>3.05414E-2</v>
      </c>
      <c r="DF127">
        <v>32750.1</v>
      </c>
      <c r="DG127">
        <v>27578.7</v>
      </c>
      <c r="DH127">
        <v>31195.5</v>
      </c>
      <c r="DI127">
        <v>28115.200000000001</v>
      </c>
      <c r="DJ127">
        <v>37674</v>
      </c>
      <c r="DK127">
        <v>38766.400000000001</v>
      </c>
      <c r="DL127">
        <v>44398.8</v>
      </c>
      <c r="DM127">
        <v>42617.3</v>
      </c>
      <c r="DN127">
        <v>1.4722999999999999</v>
      </c>
      <c r="DO127">
        <v>2.0375999999999999</v>
      </c>
      <c r="DP127">
        <v>0.15659600000000001</v>
      </c>
      <c r="DQ127">
        <v>0.158586</v>
      </c>
      <c r="DR127">
        <v>24.390599999999999</v>
      </c>
      <c r="DS127">
        <v>24.354299999999999</v>
      </c>
      <c r="DT127">
        <v>46</v>
      </c>
      <c r="DU127">
        <v>28.8</v>
      </c>
      <c r="DV127">
        <v>18.571000000000002</v>
      </c>
      <c r="DW127">
        <v>60.702199999999998</v>
      </c>
      <c r="DX127">
        <v>36.770800000000001</v>
      </c>
      <c r="DY127">
        <v>1</v>
      </c>
      <c r="DZ127">
        <v>-0.116397</v>
      </c>
      <c r="EA127">
        <v>-6.4934599999999995E-2</v>
      </c>
      <c r="EB127">
        <v>20.190100000000001</v>
      </c>
      <c r="EC127">
        <v>5.2408000000000001</v>
      </c>
      <c r="ED127">
        <v>12.039899999999999</v>
      </c>
      <c r="EE127">
        <v>5.0165499999999996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1.8689100000000001</v>
      </c>
      <c r="EL127">
        <v>1.8646199999999999</v>
      </c>
      <c r="EM127">
        <v>1.8692</v>
      </c>
      <c r="EN127">
        <v>1.8672299999999999</v>
      </c>
      <c r="EO127">
        <v>1.8633900000000001</v>
      </c>
      <c r="EP127">
        <v>1.8644700000000001</v>
      </c>
      <c r="EQ127">
        <v>1.8701399999999999</v>
      </c>
      <c r="ER127">
        <v>1.8693599999999999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0.35899999999999999</v>
      </c>
      <c r="FG127">
        <v>0.19839999999999999</v>
      </c>
      <c r="FH127">
        <v>0.69281559908863044</v>
      </c>
      <c r="FI127">
        <v>-6.1462078757559423E-4</v>
      </c>
      <c r="FJ127">
        <v>-1.8861989874597051E-7</v>
      </c>
      <c r="FK127">
        <v>1.1980462299894961E-10</v>
      </c>
      <c r="FL127">
        <v>0.19840465858211129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29.1</v>
      </c>
      <c r="FU127">
        <v>29.1</v>
      </c>
      <c r="FV127">
        <v>1.7712399999999999</v>
      </c>
      <c r="FW127">
        <v>2.5793499999999998</v>
      </c>
      <c r="FX127">
        <v>1.5490699999999999</v>
      </c>
      <c r="FY127">
        <v>2.3327599999999999</v>
      </c>
      <c r="FZ127">
        <v>1.50146</v>
      </c>
      <c r="GA127">
        <v>2.3913600000000002</v>
      </c>
      <c r="GB127">
        <v>33.580399999999997</v>
      </c>
      <c r="GC127">
        <v>23.991199999999999</v>
      </c>
      <c r="GD127">
        <v>19</v>
      </c>
      <c r="GE127">
        <v>280.07900000000001</v>
      </c>
      <c r="GF127">
        <v>581.23199999999997</v>
      </c>
      <c r="GG127">
        <v>23.948599999999999</v>
      </c>
      <c r="GH127">
        <v>25.934100000000001</v>
      </c>
      <c r="GI127">
        <v>29.9999</v>
      </c>
      <c r="GJ127">
        <v>26.090800000000002</v>
      </c>
      <c r="GK127">
        <v>26.078499999999998</v>
      </c>
      <c r="GL127">
        <v>35.426699999999997</v>
      </c>
      <c r="GM127">
        <v>72.998400000000004</v>
      </c>
      <c r="GN127">
        <v>58.616399999999999</v>
      </c>
      <c r="GO127">
        <v>23.9693</v>
      </c>
      <c r="GP127">
        <v>800</v>
      </c>
      <c r="GQ127">
        <v>4.2434599999999998</v>
      </c>
      <c r="GR127">
        <v>99.818399999999997</v>
      </c>
      <c r="GS127">
        <v>99.692499999999995</v>
      </c>
    </row>
    <row r="128" spans="1:201" x14ac:dyDescent="0.25">
      <c r="A128">
        <v>112</v>
      </c>
      <c r="B128">
        <v>1690389395.5999999</v>
      </c>
      <c r="C128">
        <v>1137.099999904633</v>
      </c>
      <c r="D128" t="s">
        <v>557</v>
      </c>
      <c r="E128" t="s">
        <v>558</v>
      </c>
      <c r="F128" t="s">
        <v>330</v>
      </c>
      <c r="H128">
        <v>1690389395.5999999</v>
      </c>
      <c r="I128">
        <f t="shared" si="30"/>
        <v>1.8315167041317664E-3</v>
      </c>
      <c r="J128">
        <f t="shared" si="31"/>
        <v>1.8315167041317664</v>
      </c>
      <c r="K128">
        <f t="shared" si="32"/>
        <v>28.526337291452663</v>
      </c>
      <c r="L128">
        <f t="shared" si="33"/>
        <v>488.41699999999997</v>
      </c>
      <c r="M128">
        <f t="shared" si="34"/>
        <v>135.4109701157831</v>
      </c>
      <c r="N128">
        <f t="shared" si="35"/>
        <v>13.347650795424485</v>
      </c>
      <c r="O128">
        <f t="shared" si="36"/>
        <v>48.143954311637998</v>
      </c>
      <c r="P128">
        <f t="shared" si="37"/>
        <v>0.13583066771923163</v>
      </c>
      <c r="Q128">
        <f t="shared" si="38"/>
        <v>2.1546456953852702</v>
      </c>
      <c r="R128">
        <f t="shared" si="39"/>
        <v>0.13124658739083128</v>
      </c>
      <c r="S128">
        <f t="shared" si="40"/>
        <v>8.2428090463163697E-2</v>
      </c>
      <c r="T128">
        <f t="shared" si="41"/>
        <v>276.11246866731875</v>
      </c>
      <c r="U128">
        <f t="shared" si="42"/>
        <v>27.194601778558706</v>
      </c>
      <c r="V128">
        <f t="shared" si="43"/>
        <v>27.194601778558706</v>
      </c>
      <c r="W128">
        <f t="shared" si="44"/>
        <v>3.6202721414237691</v>
      </c>
      <c r="X128">
        <f t="shared" si="45"/>
        <v>69.10778464079408</v>
      </c>
      <c r="Y128">
        <f t="shared" si="46"/>
        <v>2.2859400906497997</v>
      </c>
      <c r="Z128">
        <f t="shared" si="47"/>
        <v>3.3077895674583924</v>
      </c>
      <c r="AA128">
        <f t="shared" si="48"/>
        <v>1.3343320507739693</v>
      </c>
      <c r="AB128">
        <f t="shared" si="49"/>
        <v>-80.7698866522109</v>
      </c>
      <c r="AC128">
        <f t="shared" si="50"/>
        <v>-177.7733969594141</v>
      </c>
      <c r="AD128">
        <f t="shared" si="51"/>
        <v>-17.704687812383757</v>
      </c>
      <c r="AE128">
        <f t="shared" si="52"/>
        <v>-0.13550275669004463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52261.035284242214</v>
      </c>
      <c r="AK128">
        <f t="shared" si="56"/>
        <v>1799.99</v>
      </c>
      <c r="AL128">
        <f t="shared" si="57"/>
        <v>1499.10436099617</v>
      </c>
      <c r="AM128">
        <f t="shared" si="58"/>
        <v>0.83284038300000007</v>
      </c>
      <c r="AN128">
        <f t="shared" si="59"/>
        <v>0.15339666813000002</v>
      </c>
      <c r="AO128">
        <v>31.8</v>
      </c>
      <c r="AP128">
        <v>0.5</v>
      </c>
      <c r="AQ128" t="s">
        <v>331</v>
      </c>
      <c r="AR128">
        <v>2</v>
      </c>
      <c r="AS128">
        <v>1690389395.5999999</v>
      </c>
      <c r="AT128">
        <v>488.41699999999997</v>
      </c>
      <c r="AU128">
        <v>800.05499999999995</v>
      </c>
      <c r="AV128">
        <v>23.1907</v>
      </c>
      <c r="AW128">
        <v>4.2404299999999999</v>
      </c>
      <c r="AX128">
        <v>488.05500000000001</v>
      </c>
      <c r="AY128">
        <v>22.9923</v>
      </c>
      <c r="AZ128">
        <v>300.21499999999997</v>
      </c>
      <c r="BA128">
        <v>98.471400000000003</v>
      </c>
      <c r="BB128">
        <v>0.10001400000000001</v>
      </c>
      <c r="BC128">
        <v>25.664200000000001</v>
      </c>
      <c r="BD128">
        <v>26.992899999999999</v>
      </c>
      <c r="BE128">
        <v>26.974599999999999</v>
      </c>
      <c r="BF128">
        <v>0</v>
      </c>
      <c r="BG128">
        <v>0</v>
      </c>
      <c r="BH128">
        <v>9991.8799999999992</v>
      </c>
      <c r="BI128">
        <v>1062.8399999999999</v>
      </c>
      <c r="BJ128">
        <v>1.3455900000000001</v>
      </c>
      <c r="BK128">
        <v>-311.63900000000001</v>
      </c>
      <c r="BL128">
        <v>500.012</v>
      </c>
      <c r="BM128">
        <v>803.46199999999999</v>
      </c>
      <c r="BN128">
        <v>18.950299999999999</v>
      </c>
      <c r="BO128">
        <v>800.05499999999995</v>
      </c>
      <c r="BP128">
        <v>4.2404299999999999</v>
      </c>
      <c r="BQ128">
        <v>2.28362</v>
      </c>
      <c r="BR128">
        <v>0.41756100000000002</v>
      </c>
      <c r="BS128">
        <v>19.561299999999999</v>
      </c>
      <c r="BT128">
        <v>-5.1865800000000002</v>
      </c>
      <c r="BU128">
        <v>1799.99</v>
      </c>
      <c r="BV128">
        <v>0.91001900000000002</v>
      </c>
      <c r="BW128">
        <v>3.4002900000000003E-2</v>
      </c>
      <c r="BX128">
        <v>2.1991400000000001E-2</v>
      </c>
      <c r="BY128">
        <v>3.3986500000000003E-2</v>
      </c>
      <c r="BZ128">
        <v>25</v>
      </c>
      <c r="CA128">
        <v>33528.400000000001</v>
      </c>
      <c r="CB128">
        <v>1690387638</v>
      </c>
      <c r="CC128" t="s">
        <v>332</v>
      </c>
      <c r="CD128">
        <v>1690387638</v>
      </c>
      <c r="CE128">
        <v>1690387638</v>
      </c>
      <c r="CF128">
        <v>6</v>
      </c>
      <c r="CG128">
        <v>0.43</v>
      </c>
      <c r="CH128">
        <v>-8.1000000000000003E-2</v>
      </c>
      <c r="CI128">
        <v>0.14199999999999999</v>
      </c>
      <c r="CJ128">
        <v>-2.7E-2</v>
      </c>
      <c r="CK128">
        <v>800</v>
      </c>
      <c r="CL128">
        <v>0</v>
      </c>
      <c r="CM128">
        <v>0.01</v>
      </c>
      <c r="CN128">
        <v>0.01</v>
      </c>
      <c r="CO128">
        <v>-308.28856097560981</v>
      </c>
      <c r="CP128">
        <v>-18.53165853658577</v>
      </c>
      <c r="CQ128">
        <v>1.829250200235732</v>
      </c>
      <c r="CR128">
        <v>-1</v>
      </c>
      <c r="CS128">
        <v>18.702592682926831</v>
      </c>
      <c r="CT128">
        <v>1.623359581881537</v>
      </c>
      <c r="CU128">
        <v>0.16051155173115519</v>
      </c>
      <c r="CV128">
        <v>-1</v>
      </c>
      <c r="CW128">
        <v>0</v>
      </c>
      <c r="CX128">
        <v>0</v>
      </c>
      <c r="CY128" t="s">
        <v>333</v>
      </c>
      <c r="CZ128">
        <v>2.3649900000000001</v>
      </c>
      <c r="DA128">
        <v>2.7138</v>
      </c>
      <c r="DB128">
        <v>0.10329199999999999</v>
      </c>
      <c r="DC128">
        <v>0.14527200000000001</v>
      </c>
      <c r="DD128">
        <v>0.110539</v>
      </c>
      <c r="DE128">
        <v>2.9396599999999998E-2</v>
      </c>
      <c r="DF128">
        <v>32768.6</v>
      </c>
      <c r="DG128">
        <v>27579.200000000001</v>
      </c>
      <c r="DH128">
        <v>31196</v>
      </c>
      <c r="DI128">
        <v>28115.200000000001</v>
      </c>
      <c r="DJ128">
        <v>37671.599999999999</v>
      </c>
      <c r="DK128">
        <v>38812.400000000001</v>
      </c>
      <c r="DL128">
        <v>44399.4</v>
      </c>
      <c r="DM128">
        <v>42617.3</v>
      </c>
      <c r="DN128">
        <v>1.47275</v>
      </c>
      <c r="DO128">
        <v>2.03715</v>
      </c>
      <c r="DP128">
        <v>0.15874199999999999</v>
      </c>
      <c r="DQ128">
        <v>0.15972600000000001</v>
      </c>
      <c r="DR128">
        <v>24.391300000000001</v>
      </c>
      <c r="DS128">
        <v>24.3568</v>
      </c>
      <c r="DT128">
        <v>45.6</v>
      </c>
      <c r="DU128">
        <v>28.8</v>
      </c>
      <c r="DV128">
        <v>18.409800000000001</v>
      </c>
      <c r="DW128">
        <v>60.6922</v>
      </c>
      <c r="DX128">
        <v>36.502400000000002</v>
      </c>
      <c r="DY128">
        <v>1</v>
      </c>
      <c r="DZ128">
        <v>-0.11673</v>
      </c>
      <c r="EA128">
        <v>-6.7736900000000003E-2</v>
      </c>
      <c r="EB128">
        <v>20.190300000000001</v>
      </c>
      <c r="EC128">
        <v>5.2411000000000003</v>
      </c>
      <c r="ED128">
        <v>12.039899999999999</v>
      </c>
      <c r="EE128">
        <v>5.0172999999999996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1.8689100000000001</v>
      </c>
      <c r="EL128">
        <v>1.8646199999999999</v>
      </c>
      <c r="EM128">
        <v>1.8692</v>
      </c>
      <c r="EN128">
        <v>1.8672299999999999</v>
      </c>
      <c r="EO128">
        <v>1.86338</v>
      </c>
      <c r="EP128">
        <v>1.8644700000000001</v>
      </c>
      <c r="EQ128">
        <v>1.87016</v>
      </c>
      <c r="ER128">
        <v>1.8693500000000001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0.36199999999999999</v>
      </c>
      <c r="FG128">
        <v>0.19839999999999999</v>
      </c>
      <c r="FH128">
        <v>0.69281559908863044</v>
      </c>
      <c r="FI128">
        <v>-6.1462078757559423E-4</v>
      </c>
      <c r="FJ128">
        <v>-1.8861989874597051E-7</v>
      </c>
      <c r="FK128">
        <v>1.1980462299894961E-10</v>
      </c>
      <c r="FL128">
        <v>0.19840465858211129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29.3</v>
      </c>
      <c r="FU128">
        <v>29.3</v>
      </c>
      <c r="FV128">
        <v>1.7712399999999999</v>
      </c>
      <c r="FW128">
        <v>2.5769000000000002</v>
      </c>
      <c r="FX128">
        <v>1.5490699999999999</v>
      </c>
      <c r="FY128">
        <v>2.3327599999999999</v>
      </c>
      <c r="FZ128">
        <v>1.50146</v>
      </c>
      <c r="GA128">
        <v>2.4121100000000002</v>
      </c>
      <c r="GB128">
        <v>33.580399999999997</v>
      </c>
      <c r="GC128">
        <v>23.991199999999999</v>
      </c>
      <c r="GD128">
        <v>19</v>
      </c>
      <c r="GE128">
        <v>280.25900000000001</v>
      </c>
      <c r="GF128">
        <v>580.83699999999999</v>
      </c>
      <c r="GG128">
        <v>24.009399999999999</v>
      </c>
      <c r="GH128">
        <v>25.931899999999999</v>
      </c>
      <c r="GI128">
        <v>30.0002</v>
      </c>
      <c r="GJ128">
        <v>26.0886</v>
      </c>
      <c r="GK128">
        <v>26.0764</v>
      </c>
      <c r="GL128">
        <v>35.422600000000003</v>
      </c>
      <c r="GM128">
        <v>73.571899999999999</v>
      </c>
      <c r="GN128">
        <v>57.808700000000002</v>
      </c>
      <c r="GO128">
        <v>24.017900000000001</v>
      </c>
      <c r="GP128">
        <v>800</v>
      </c>
      <c r="GQ128">
        <v>4.0598400000000003</v>
      </c>
      <c r="GR128">
        <v>99.819800000000001</v>
      </c>
      <c r="GS128">
        <v>99.692599999999999</v>
      </c>
    </row>
    <row r="129" spans="1:201" x14ac:dyDescent="0.25">
      <c r="A129">
        <v>113</v>
      </c>
      <c r="B129">
        <v>1690389405.5999999</v>
      </c>
      <c r="C129">
        <v>1147.099999904633</v>
      </c>
      <c r="D129" t="s">
        <v>559</v>
      </c>
      <c r="E129" t="s">
        <v>560</v>
      </c>
      <c r="F129" t="s">
        <v>330</v>
      </c>
      <c r="H129">
        <v>1690389405.5999999</v>
      </c>
      <c r="I129">
        <f t="shared" si="30"/>
        <v>1.858998369495617E-3</v>
      </c>
      <c r="J129">
        <f t="shared" si="31"/>
        <v>1.8589983694956169</v>
      </c>
      <c r="K129">
        <f t="shared" si="32"/>
        <v>28.814513736475941</v>
      </c>
      <c r="L129">
        <f t="shared" si="33"/>
        <v>485.33300000000003</v>
      </c>
      <c r="M129">
        <f t="shared" si="34"/>
        <v>134.2501893492564</v>
      </c>
      <c r="N129">
        <f t="shared" si="35"/>
        <v>13.232561931255283</v>
      </c>
      <c r="O129">
        <f t="shared" si="36"/>
        <v>47.837541316789903</v>
      </c>
      <c r="P129">
        <f t="shared" si="37"/>
        <v>0.13801298738840448</v>
      </c>
      <c r="Q129">
        <f t="shared" si="38"/>
        <v>2.1548100988524763</v>
      </c>
      <c r="R129">
        <f t="shared" si="39"/>
        <v>0.13328353103534521</v>
      </c>
      <c r="S129">
        <f t="shared" si="40"/>
        <v>8.3713627993872497E-2</v>
      </c>
      <c r="T129">
        <f t="shared" si="41"/>
        <v>276.11427947399994</v>
      </c>
      <c r="U129">
        <f t="shared" si="42"/>
        <v>27.205587163067396</v>
      </c>
      <c r="V129">
        <f t="shared" si="43"/>
        <v>27.205587163067396</v>
      </c>
      <c r="W129">
        <f t="shared" si="44"/>
        <v>3.6226052037991696</v>
      </c>
      <c r="X129">
        <f t="shared" si="45"/>
        <v>69.117519333436931</v>
      </c>
      <c r="Y129">
        <f t="shared" si="46"/>
        <v>2.2890574940720501</v>
      </c>
      <c r="Z129">
        <f t="shared" si="47"/>
        <v>3.3118339838401498</v>
      </c>
      <c r="AA129">
        <f t="shared" si="48"/>
        <v>1.3335477097271196</v>
      </c>
      <c r="AB129">
        <f t="shared" si="49"/>
        <v>-81.981828094756708</v>
      </c>
      <c r="AC129">
        <f t="shared" si="50"/>
        <v>-176.67003034460095</v>
      </c>
      <c r="AD129">
        <f t="shared" si="51"/>
        <v>-17.596242128899874</v>
      </c>
      <c r="AE129">
        <f t="shared" si="52"/>
        <v>-0.13382109425756994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52264.212060850041</v>
      </c>
      <c r="AK129">
        <f t="shared" si="56"/>
        <v>1800</v>
      </c>
      <c r="AL129">
        <f t="shared" si="57"/>
        <v>1499.1106284</v>
      </c>
      <c r="AM129">
        <f t="shared" si="58"/>
        <v>0.83283923800000004</v>
      </c>
      <c r="AN129">
        <f t="shared" si="59"/>
        <v>0.15339682192999998</v>
      </c>
      <c r="AO129">
        <v>31.8</v>
      </c>
      <c r="AP129">
        <v>0.5</v>
      </c>
      <c r="AQ129" t="s">
        <v>331</v>
      </c>
      <c r="AR129">
        <v>2</v>
      </c>
      <c r="AS129">
        <v>1690389405.5999999</v>
      </c>
      <c r="AT129">
        <v>485.33300000000003</v>
      </c>
      <c r="AU129">
        <v>800.12800000000004</v>
      </c>
      <c r="AV129">
        <v>23.223500000000001</v>
      </c>
      <c r="AW129">
        <v>3.9881199999999999</v>
      </c>
      <c r="AX129">
        <v>484.96899999999999</v>
      </c>
      <c r="AY129">
        <v>23.025099999999998</v>
      </c>
      <c r="AZ129">
        <v>300.19299999999998</v>
      </c>
      <c r="BA129">
        <v>98.466499999999996</v>
      </c>
      <c r="BB129">
        <v>9.99303E-2</v>
      </c>
      <c r="BC129">
        <v>25.684799999999999</v>
      </c>
      <c r="BD129">
        <v>26.982500000000002</v>
      </c>
      <c r="BE129">
        <v>26.981000000000002</v>
      </c>
      <c r="BF129">
        <v>0</v>
      </c>
      <c r="BG129">
        <v>0</v>
      </c>
      <c r="BH129">
        <v>9993.75</v>
      </c>
      <c r="BI129">
        <v>1062.94</v>
      </c>
      <c r="BJ129">
        <v>1.3455900000000001</v>
      </c>
      <c r="BK129">
        <v>-314.79599999999999</v>
      </c>
      <c r="BL129">
        <v>496.87200000000001</v>
      </c>
      <c r="BM129">
        <v>803.33199999999999</v>
      </c>
      <c r="BN129">
        <v>19.235399999999998</v>
      </c>
      <c r="BO129">
        <v>800.12800000000004</v>
      </c>
      <c r="BP129">
        <v>3.9881199999999999</v>
      </c>
      <c r="BQ129">
        <v>2.28674</v>
      </c>
      <c r="BR129">
        <v>0.39269599999999999</v>
      </c>
      <c r="BS129">
        <v>19.583300000000001</v>
      </c>
      <c r="BT129">
        <v>-5.9930899999999996</v>
      </c>
      <c r="BU129">
        <v>1800</v>
      </c>
      <c r="BV129">
        <v>0.91000499999999995</v>
      </c>
      <c r="BW129">
        <v>3.4001200000000002E-2</v>
      </c>
      <c r="BX129">
        <v>2.1992899999999999E-2</v>
      </c>
      <c r="BY129">
        <v>3.4000500000000003E-2</v>
      </c>
      <c r="BZ129">
        <v>25</v>
      </c>
      <c r="CA129">
        <v>33528.5</v>
      </c>
      <c r="CB129">
        <v>1690387638</v>
      </c>
      <c r="CC129" t="s">
        <v>332</v>
      </c>
      <c r="CD129">
        <v>1690387638</v>
      </c>
      <c r="CE129">
        <v>1690387638</v>
      </c>
      <c r="CF129">
        <v>6</v>
      </c>
      <c r="CG129">
        <v>0.43</v>
      </c>
      <c r="CH129">
        <v>-8.1000000000000003E-2</v>
      </c>
      <c r="CI129">
        <v>0.14199999999999999</v>
      </c>
      <c r="CJ129">
        <v>-2.7E-2</v>
      </c>
      <c r="CK129">
        <v>800</v>
      </c>
      <c r="CL129">
        <v>0</v>
      </c>
      <c r="CM129">
        <v>0.01</v>
      </c>
      <c r="CN129">
        <v>0.01</v>
      </c>
      <c r="CO129">
        <v>-311.62267500000002</v>
      </c>
      <c r="CP129">
        <v>-18.545729831144801</v>
      </c>
      <c r="CQ129">
        <v>1.7848138472611079</v>
      </c>
      <c r="CR129">
        <v>-1</v>
      </c>
      <c r="CS129">
        <v>18.967782499999998</v>
      </c>
      <c r="CT129">
        <v>1.3693677298310769</v>
      </c>
      <c r="CU129">
        <v>0.13247633163606989</v>
      </c>
      <c r="CV129">
        <v>-1</v>
      </c>
      <c r="CW129">
        <v>0</v>
      </c>
      <c r="CX129">
        <v>0</v>
      </c>
      <c r="CY129" t="s">
        <v>333</v>
      </c>
      <c r="CZ129">
        <v>2.3649100000000001</v>
      </c>
      <c r="DA129">
        <v>2.7137199999999999</v>
      </c>
      <c r="DB129">
        <v>0.102808</v>
      </c>
      <c r="DC129">
        <v>0.14527000000000001</v>
      </c>
      <c r="DD129">
        <v>0.11064499999999999</v>
      </c>
      <c r="DE129">
        <v>2.7900500000000002E-2</v>
      </c>
      <c r="DF129">
        <v>32785.9</v>
      </c>
      <c r="DG129">
        <v>27579.200000000001</v>
      </c>
      <c r="DH129">
        <v>31195.5</v>
      </c>
      <c r="DI129">
        <v>28115.1</v>
      </c>
      <c r="DJ129">
        <v>37666.699999999997</v>
      </c>
      <c r="DK129">
        <v>38872.199999999997</v>
      </c>
      <c r="DL129">
        <v>44399</v>
      </c>
      <c r="DM129">
        <v>42617.1</v>
      </c>
      <c r="DN129">
        <v>1.4726300000000001</v>
      </c>
      <c r="DO129">
        <v>2.0367999999999999</v>
      </c>
      <c r="DP129">
        <v>0.15792999999999999</v>
      </c>
      <c r="DQ129">
        <v>0.15983700000000001</v>
      </c>
      <c r="DR129">
        <v>24.394200000000001</v>
      </c>
      <c r="DS129">
        <v>24.3613</v>
      </c>
      <c r="DT129">
        <v>45.3</v>
      </c>
      <c r="DU129">
        <v>28.8</v>
      </c>
      <c r="DV129">
        <v>18.291399999999999</v>
      </c>
      <c r="DW129">
        <v>60.892200000000003</v>
      </c>
      <c r="DX129">
        <v>36.7468</v>
      </c>
      <c r="DY129">
        <v>1</v>
      </c>
      <c r="DZ129">
        <v>-0.11719499999999999</v>
      </c>
      <c r="EA129">
        <v>-2.3376899999999999E-2</v>
      </c>
      <c r="EB129">
        <v>20.190300000000001</v>
      </c>
      <c r="EC129">
        <v>5.2411000000000003</v>
      </c>
      <c r="ED129">
        <v>12.039899999999999</v>
      </c>
      <c r="EE129">
        <v>5.0171000000000001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1.8646100000000001</v>
      </c>
      <c r="EM129">
        <v>1.86921</v>
      </c>
      <c r="EN129">
        <v>1.86724</v>
      </c>
      <c r="EO129">
        <v>1.86337</v>
      </c>
      <c r="EP129">
        <v>1.8644700000000001</v>
      </c>
      <c r="EQ129">
        <v>1.8701700000000001</v>
      </c>
      <c r="ER129">
        <v>1.86937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0.36399999999999999</v>
      </c>
      <c r="FG129">
        <v>0.19839999999999999</v>
      </c>
      <c r="FH129">
        <v>0.69281559908863044</v>
      </c>
      <c r="FI129">
        <v>-6.1462078757559423E-4</v>
      </c>
      <c r="FJ129">
        <v>-1.8861989874597051E-7</v>
      </c>
      <c r="FK129">
        <v>1.1980462299894961E-10</v>
      </c>
      <c r="FL129">
        <v>0.19840465858211129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29.5</v>
      </c>
      <c r="FU129">
        <v>29.5</v>
      </c>
      <c r="FV129">
        <v>1.7712399999999999</v>
      </c>
      <c r="FW129">
        <v>2.5805699999999998</v>
      </c>
      <c r="FX129">
        <v>1.5490699999999999</v>
      </c>
      <c r="FY129">
        <v>2.3327599999999999</v>
      </c>
      <c r="FZ129">
        <v>1.50146</v>
      </c>
      <c r="GA129">
        <v>2.3950200000000001</v>
      </c>
      <c r="GB129">
        <v>33.580399999999997</v>
      </c>
      <c r="GC129">
        <v>23.991199999999999</v>
      </c>
      <c r="GD129">
        <v>19</v>
      </c>
      <c r="GE129">
        <v>280.19799999999998</v>
      </c>
      <c r="GF129">
        <v>580.51499999999999</v>
      </c>
      <c r="GG129">
        <v>24.0366</v>
      </c>
      <c r="GH129">
        <v>25.9298</v>
      </c>
      <c r="GI129">
        <v>29.999700000000001</v>
      </c>
      <c r="GJ129">
        <v>26.086500000000001</v>
      </c>
      <c r="GK129">
        <v>26.0733</v>
      </c>
      <c r="GL129">
        <v>35.415599999999998</v>
      </c>
      <c r="GM129">
        <v>74.765600000000006</v>
      </c>
      <c r="GN129">
        <v>57.023699999999998</v>
      </c>
      <c r="GO129">
        <v>24.041899999999998</v>
      </c>
      <c r="GP129">
        <v>800</v>
      </c>
      <c r="GQ129">
        <v>3.78776</v>
      </c>
      <c r="GR129">
        <v>99.818799999999996</v>
      </c>
      <c r="GS129">
        <v>99.6922</v>
      </c>
    </row>
    <row r="130" spans="1:201" x14ac:dyDescent="0.25">
      <c r="A130">
        <v>114</v>
      </c>
      <c r="B130">
        <v>1690389415.5999999</v>
      </c>
      <c r="C130">
        <v>1157.099999904633</v>
      </c>
      <c r="D130" t="s">
        <v>561</v>
      </c>
      <c r="E130" t="s">
        <v>562</v>
      </c>
      <c r="F130" t="s">
        <v>330</v>
      </c>
      <c r="H130">
        <v>1690389415.5999999</v>
      </c>
      <c r="I130">
        <f t="shared" si="30"/>
        <v>1.8876651503941257E-3</v>
      </c>
      <c r="J130">
        <f t="shared" si="31"/>
        <v>1.8876651503941257</v>
      </c>
      <c r="K130">
        <f t="shared" si="32"/>
        <v>29.083749163118107</v>
      </c>
      <c r="L130">
        <f t="shared" si="33"/>
        <v>482.37200000000001</v>
      </c>
      <c r="M130">
        <f t="shared" si="34"/>
        <v>134.41260462084981</v>
      </c>
      <c r="N130">
        <f t="shared" si="35"/>
        <v>13.248157628633491</v>
      </c>
      <c r="O130">
        <f t="shared" si="36"/>
        <v>47.544203980464403</v>
      </c>
      <c r="P130">
        <f t="shared" si="37"/>
        <v>0.14062940195472043</v>
      </c>
      <c r="Q130">
        <f t="shared" si="38"/>
        <v>2.1579122789409961</v>
      </c>
      <c r="R130">
        <f t="shared" si="39"/>
        <v>0.13572914621683094</v>
      </c>
      <c r="S130">
        <f t="shared" si="40"/>
        <v>8.525675972196177E-2</v>
      </c>
      <c r="T130">
        <f t="shared" si="41"/>
        <v>276.11481085200001</v>
      </c>
      <c r="U130">
        <f t="shared" si="42"/>
        <v>27.196507126364352</v>
      </c>
      <c r="V130">
        <f t="shared" si="43"/>
        <v>27.196507126364352</v>
      </c>
      <c r="W130">
        <f t="shared" si="44"/>
        <v>3.6206767028014131</v>
      </c>
      <c r="X130">
        <f t="shared" si="45"/>
        <v>69.164887167892203</v>
      </c>
      <c r="Y130">
        <f t="shared" si="46"/>
        <v>2.2910066863787999</v>
      </c>
      <c r="Z130">
        <f t="shared" si="47"/>
        <v>3.3123840436803795</v>
      </c>
      <c r="AA130">
        <f t="shared" si="48"/>
        <v>1.3296700164226132</v>
      </c>
      <c r="AB130">
        <f t="shared" si="49"/>
        <v>-83.246033132380944</v>
      </c>
      <c r="AC130">
        <f t="shared" si="50"/>
        <v>-175.54228180022616</v>
      </c>
      <c r="AD130">
        <f t="shared" si="51"/>
        <v>-17.458233396711123</v>
      </c>
      <c r="AE130">
        <f t="shared" si="52"/>
        <v>-0.13173747731823937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52393.709934575498</v>
      </c>
      <c r="AK130">
        <f t="shared" si="56"/>
        <v>1800</v>
      </c>
      <c r="AL130">
        <f t="shared" si="57"/>
        <v>1499.1119171999999</v>
      </c>
      <c r="AM130">
        <f t="shared" si="58"/>
        <v>0.83283995399999999</v>
      </c>
      <c r="AN130">
        <f t="shared" si="59"/>
        <v>0.15339711714000001</v>
      </c>
      <c r="AO130">
        <v>31.8</v>
      </c>
      <c r="AP130">
        <v>0.5</v>
      </c>
      <c r="AQ130" t="s">
        <v>331</v>
      </c>
      <c r="AR130">
        <v>2</v>
      </c>
      <c r="AS130">
        <v>1690389415.5999999</v>
      </c>
      <c r="AT130">
        <v>482.37200000000001</v>
      </c>
      <c r="AU130">
        <v>800.10299999999995</v>
      </c>
      <c r="AV130">
        <v>23.244</v>
      </c>
      <c r="AW130">
        <v>3.7126700000000001</v>
      </c>
      <c r="AX130">
        <v>482.00599999999997</v>
      </c>
      <c r="AY130">
        <v>23.0456</v>
      </c>
      <c r="AZ130">
        <v>300.197</v>
      </c>
      <c r="BA130">
        <v>98.463399999999993</v>
      </c>
      <c r="BB130">
        <v>9.9957699999999997E-2</v>
      </c>
      <c r="BC130">
        <v>25.6876</v>
      </c>
      <c r="BD130">
        <v>26.9849</v>
      </c>
      <c r="BE130">
        <v>26.978899999999999</v>
      </c>
      <c r="BF130">
        <v>0</v>
      </c>
      <c r="BG130">
        <v>0</v>
      </c>
      <c r="BH130">
        <v>10020</v>
      </c>
      <c r="BI130">
        <v>1063.22</v>
      </c>
      <c r="BJ130">
        <v>1.3455900000000001</v>
      </c>
      <c r="BK130">
        <v>-317.73099999999999</v>
      </c>
      <c r="BL130">
        <v>493.851</v>
      </c>
      <c r="BM130">
        <v>803.08399999999995</v>
      </c>
      <c r="BN130">
        <v>19.531400000000001</v>
      </c>
      <c r="BO130">
        <v>800.10299999999995</v>
      </c>
      <c r="BP130">
        <v>3.7126700000000001</v>
      </c>
      <c r="BQ130">
        <v>2.2886899999999999</v>
      </c>
      <c r="BR130">
        <v>0.365562</v>
      </c>
      <c r="BS130">
        <v>19.597000000000001</v>
      </c>
      <c r="BT130">
        <v>-6.9267300000000001</v>
      </c>
      <c r="BU130">
        <v>1800</v>
      </c>
      <c r="BV130">
        <v>0.91000300000000001</v>
      </c>
      <c r="BW130">
        <v>3.4000799999999998E-2</v>
      </c>
      <c r="BX130">
        <v>2.1995199999999999E-2</v>
      </c>
      <c r="BY130">
        <v>3.4001400000000001E-2</v>
      </c>
      <c r="BZ130">
        <v>25</v>
      </c>
      <c r="CA130">
        <v>33528.5</v>
      </c>
      <c r="CB130">
        <v>1690387638</v>
      </c>
      <c r="CC130" t="s">
        <v>332</v>
      </c>
      <c r="CD130">
        <v>1690387638</v>
      </c>
      <c r="CE130">
        <v>1690387638</v>
      </c>
      <c r="CF130">
        <v>6</v>
      </c>
      <c r="CG130">
        <v>0.43</v>
      </c>
      <c r="CH130">
        <v>-8.1000000000000003E-2</v>
      </c>
      <c r="CI130">
        <v>0.14199999999999999</v>
      </c>
      <c r="CJ130">
        <v>-2.7E-2</v>
      </c>
      <c r="CK130">
        <v>800</v>
      </c>
      <c r="CL130">
        <v>0</v>
      </c>
      <c r="CM130">
        <v>0.01</v>
      </c>
      <c r="CN130">
        <v>0.01</v>
      </c>
      <c r="CO130">
        <v>-314.38597499999997</v>
      </c>
      <c r="CP130">
        <v>-18.67655909943678</v>
      </c>
      <c r="CQ130">
        <v>1.7971355609344011</v>
      </c>
      <c r="CR130">
        <v>-1</v>
      </c>
      <c r="CS130">
        <v>19.1978425</v>
      </c>
      <c r="CT130">
        <v>1.739213133208219</v>
      </c>
      <c r="CU130">
        <v>0.16742532049767769</v>
      </c>
      <c r="CV130">
        <v>-1</v>
      </c>
      <c r="CW130">
        <v>0</v>
      </c>
      <c r="CX130">
        <v>0</v>
      </c>
      <c r="CY130" t="s">
        <v>333</v>
      </c>
      <c r="CZ130">
        <v>2.3649399999999998</v>
      </c>
      <c r="DA130">
        <v>2.7137699999999998</v>
      </c>
      <c r="DB130">
        <v>0.102343</v>
      </c>
      <c r="DC130">
        <v>0.145257</v>
      </c>
      <c r="DD130">
        <v>0.110712</v>
      </c>
      <c r="DE130">
        <v>2.6241199999999999E-2</v>
      </c>
      <c r="DF130">
        <v>32802.9</v>
      </c>
      <c r="DG130">
        <v>27579.7</v>
      </c>
      <c r="DH130">
        <v>31195.5</v>
      </c>
      <c r="DI130">
        <v>28115.3</v>
      </c>
      <c r="DJ130">
        <v>37663.800000000003</v>
      </c>
      <c r="DK130">
        <v>38938.9</v>
      </c>
      <c r="DL130">
        <v>44399</v>
      </c>
      <c r="DM130">
        <v>42617.2</v>
      </c>
      <c r="DN130">
        <v>1.4722</v>
      </c>
      <c r="DO130">
        <v>2.0363000000000002</v>
      </c>
      <c r="DP130">
        <v>0.15779599999999999</v>
      </c>
      <c r="DQ130">
        <v>0.159271</v>
      </c>
      <c r="DR130">
        <v>24.398800000000001</v>
      </c>
      <c r="DS130">
        <v>24.368500000000001</v>
      </c>
      <c r="DT130">
        <v>45</v>
      </c>
      <c r="DU130">
        <v>28.8</v>
      </c>
      <c r="DV130">
        <v>18.167300000000001</v>
      </c>
      <c r="DW130">
        <v>61.032200000000003</v>
      </c>
      <c r="DX130">
        <v>37.023200000000003</v>
      </c>
      <c r="DY130">
        <v>1</v>
      </c>
      <c r="DZ130">
        <v>-0.11698699999999999</v>
      </c>
      <c r="EA130">
        <v>-4.4264699999999997E-2</v>
      </c>
      <c r="EB130">
        <v>20.190200000000001</v>
      </c>
      <c r="EC130">
        <v>5.2409499999999998</v>
      </c>
      <c r="ED130">
        <v>12.039899999999999</v>
      </c>
      <c r="EE130">
        <v>5.0167999999999999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1.8646199999999999</v>
      </c>
      <c r="EM130">
        <v>1.8692</v>
      </c>
      <c r="EN130">
        <v>1.8672299999999999</v>
      </c>
      <c r="EO130">
        <v>1.86338</v>
      </c>
      <c r="EP130">
        <v>1.8644700000000001</v>
      </c>
      <c r="EQ130">
        <v>1.8702000000000001</v>
      </c>
      <c r="ER130">
        <v>1.86937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0.36599999999999999</v>
      </c>
      <c r="FG130">
        <v>0.19839999999999999</v>
      </c>
      <c r="FH130">
        <v>0.69281559908863044</v>
      </c>
      <c r="FI130">
        <v>-6.1462078757559423E-4</v>
      </c>
      <c r="FJ130">
        <v>-1.8861989874597051E-7</v>
      </c>
      <c r="FK130">
        <v>1.1980462299894961E-10</v>
      </c>
      <c r="FL130">
        <v>0.19840465858211129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29.6</v>
      </c>
      <c r="FU130">
        <v>29.6</v>
      </c>
      <c r="FV130">
        <v>1.7712399999999999</v>
      </c>
      <c r="FW130">
        <v>2.5805699999999998</v>
      </c>
      <c r="FX130">
        <v>1.5490699999999999</v>
      </c>
      <c r="FY130">
        <v>2.3327599999999999</v>
      </c>
      <c r="FZ130">
        <v>1.50146</v>
      </c>
      <c r="GA130">
        <v>2.36816</v>
      </c>
      <c r="GB130">
        <v>33.580399999999997</v>
      </c>
      <c r="GC130">
        <v>23.982399999999998</v>
      </c>
      <c r="GD130">
        <v>19</v>
      </c>
      <c r="GE130">
        <v>280.01100000000002</v>
      </c>
      <c r="GF130">
        <v>580.07399999999996</v>
      </c>
      <c r="GG130">
        <v>24.063099999999999</v>
      </c>
      <c r="GH130">
        <v>25.9282</v>
      </c>
      <c r="GI130">
        <v>30.0001</v>
      </c>
      <c r="GJ130">
        <v>26.084800000000001</v>
      </c>
      <c r="GK130">
        <v>26.070599999999999</v>
      </c>
      <c r="GL130">
        <v>35.406199999999998</v>
      </c>
      <c r="GM130">
        <v>75.9833</v>
      </c>
      <c r="GN130">
        <v>55.901499999999999</v>
      </c>
      <c r="GO130">
        <v>24.071000000000002</v>
      </c>
      <c r="GP130">
        <v>800</v>
      </c>
      <c r="GQ130">
        <v>3.52142</v>
      </c>
      <c r="GR130">
        <v>99.818799999999996</v>
      </c>
      <c r="GS130">
        <v>99.692599999999999</v>
      </c>
    </row>
    <row r="131" spans="1:201" x14ac:dyDescent="0.25">
      <c r="A131">
        <v>115</v>
      </c>
      <c r="B131">
        <v>1690389425.5999999</v>
      </c>
      <c r="C131">
        <v>1167.099999904633</v>
      </c>
      <c r="D131" t="s">
        <v>563</v>
      </c>
      <c r="E131" t="s">
        <v>564</v>
      </c>
      <c r="F131" t="s">
        <v>330</v>
      </c>
      <c r="H131">
        <v>1690389425.5999999</v>
      </c>
      <c r="I131">
        <f t="shared" si="30"/>
        <v>1.914759989936874E-3</v>
      </c>
      <c r="J131">
        <f t="shared" si="31"/>
        <v>1.9147599899368741</v>
      </c>
      <c r="K131">
        <f t="shared" si="32"/>
        <v>29.370315525589405</v>
      </c>
      <c r="L131">
        <f t="shared" si="33"/>
        <v>479.33600000000001</v>
      </c>
      <c r="M131">
        <f t="shared" si="34"/>
        <v>132.97378242403337</v>
      </c>
      <c r="N131">
        <f t="shared" si="35"/>
        <v>13.105753846739319</v>
      </c>
      <c r="O131">
        <f t="shared" si="36"/>
        <v>47.242843749815997</v>
      </c>
      <c r="P131">
        <f t="shared" si="37"/>
        <v>0.14273755141647526</v>
      </c>
      <c r="Q131">
        <f t="shared" si="38"/>
        <v>2.1521706113621368</v>
      </c>
      <c r="R131">
        <f t="shared" si="39"/>
        <v>0.13767916528201435</v>
      </c>
      <c r="S131">
        <f t="shared" si="40"/>
        <v>8.64890197079171E-2</v>
      </c>
      <c r="T131">
        <f t="shared" si="41"/>
        <v>276.11364866876312</v>
      </c>
      <c r="U131">
        <f t="shared" si="42"/>
        <v>27.204171969599898</v>
      </c>
      <c r="V131">
        <f t="shared" si="43"/>
        <v>27.204171969599898</v>
      </c>
      <c r="W131">
        <f t="shared" si="44"/>
        <v>3.6223045731397989</v>
      </c>
      <c r="X131">
        <f t="shared" si="45"/>
        <v>69.162136681961144</v>
      </c>
      <c r="Y131">
        <f t="shared" si="46"/>
        <v>2.2927369882806001</v>
      </c>
      <c r="Z131">
        <f t="shared" si="47"/>
        <v>3.3150175779323359</v>
      </c>
      <c r="AA131">
        <f t="shared" si="48"/>
        <v>1.3295675848591988</v>
      </c>
      <c r="AB131">
        <f t="shared" si="49"/>
        <v>-84.44091555621614</v>
      </c>
      <c r="AC131">
        <f t="shared" si="50"/>
        <v>-174.40976972375881</v>
      </c>
      <c r="AD131">
        <f t="shared" si="51"/>
        <v>-17.393711374643459</v>
      </c>
      <c r="AE131">
        <f t="shared" si="52"/>
        <v>-0.13074798585532221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52150.719318941163</v>
      </c>
      <c r="AK131">
        <f t="shared" si="56"/>
        <v>1799.99</v>
      </c>
      <c r="AL131">
        <f t="shared" si="57"/>
        <v>1499.1035078009099</v>
      </c>
      <c r="AM131">
        <f t="shared" si="58"/>
        <v>0.83283990899999993</v>
      </c>
      <c r="AN131">
        <f t="shared" si="59"/>
        <v>0.15339732369</v>
      </c>
      <c r="AO131">
        <v>31.8</v>
      </c>
      <c r="AP131">
        <v>0.5</v>
      </c>
      <c r="AQ131" t="s">
        <v>331</v>
      </c>
      <c r="AR131">
        <v>2</v>
      </c>
      <c r="AS131">
        <v>1690389425.5999999</v>
      </c>
      <c r="AT131">
        <v>479.33600000000001</v>
      </c>
      <c r="AU131">
        <v>800.09400000000005</v>
      </c>
      <c r="AV131">
        <v>23.262599999999999</v>
      </c>
      <c r="AW131">
        <v>3.4565800000000002</v>
      </c>
      <c r="AX131">
        <v>478.96699999999998</v>
      </c>
      <c r="AY131">
        <v>23.0642</v>
      </c>
      <c r="AZ131">
        <v>300.27699999999999</v>
      </c>
      <c r="BA131">
        <v>98.4589</v>
      </c>
      <c r="BB131">
        <v>0.10003099999999999</v>
      </c>
      <c r="BC131">
        <v>25.701000000000001</v>
      </c>
      <c r="BD131">
        <v>26.977699999999999</v>
      </c>
      <c r="BE131">
        <v>26.992799999999999</v>
      </c>
      <c r="BF131">
        <v>0</v>
      </c>
      <c r="BG131">
        <v>0</v>
      </c>
      <c r="BH131">
        <v>9972.5</v>
      </c>
      <c r="BI131">
        <v>1063.28</v>
      </c>
      <c r="BJ131">
        <v>1.3455900000000001</v>
      </c>
      <c r="BK131">
        <v>-320.75799999999998</v>
      </c>
      <c r="BL131">
        <v>490.75200000000001</v>
      </c>
      <c r="BM131">
        <v>802.86900000000003</v>
      </c>
      <c r="BN131">
        <v>19.806000000000001</v>
      </c>
      <c r="BO131">
        <v>800.09400000000005</v>
      </c>
      <c r="BP131">
        <v>3.4565800000000002</v>
      </c>
      <c r="BQ131">
        <v>2.2904100000000001</v>
      </c>
      <c r="BR131">
        <v>0.34033099999999999</v>
      </c>
      <c r="BS131">
        <v>19.609100000000002</v>
      </c>
      <c r="BT131">
        <v>-7.8519399999999999</v>
      </c>
      <c r="BU131">
        <v>1799.99</v>
      </c>
      <c r="BV131">
        <v>0.91000099999999995</v>
      </c>
      <c r="BW131">
        <v>3.4000200000000001E-2</v>
      </c>
      <c r="BX131">
        <v>2.19992E-2</v>
      </c>
      <c r="BY131">
        <v>3.3999500000000002E-2</v>
      </c>
      <c r="BZ131">
        <v>25</v>
      </c>
      <c r="CA131">
        <v>33528.300000000003</v>
      </c>
      <c r="CB131">
        <v>1690387638</v>
      </c>
      <c r="CC131" t="s">
        <v>332</v>
      </c>
      <c r="CD131">
        <v>1690387638</v>
      </c>
      <c r="CE131">
        <v>1690387638</v>
      </c>
      <c r="CF131">
        <v>6</v>
      </c>
      <c r="CG131">
        <v>0.43</v>
      </c>
      <c r="CH131">
        <v>-8.1000000000000003E-2</v>
      </c>
      <c r="CI131">
        <v>0.14199999999999999</v>
      </c>
      <c r="CJ131">
        <v>-2.7E-2</v>
      </c>
      <c r="CK131">
        <v>800</v>
      </c>
      <c r="CL131">
        <v>0</v>
      </c>
      <c r="CM131">
        <v>0.01</v>
      </c>
      <c r="CN131">
        <v>0.01</v>
      </c>
      <c r="CO131">
        <v>-317.45975609756101</v>
      </c>
      <c r="CP131">
        <v>-17.60251567944302</v>
      </c>
      <c r="CQ131">
        <v>1.736347551200615</v>
      </c>
      <c r="CR131">
        <v>-1</v>
      </c>
      <c r="CS131">
        <v>19.492082926829269</v>
      </c>
      <c r="CT131">
        <v>1.6848313588850421</v>
      </c>
      <c r="CU131">
        <v>0.1662244660786763</v>
      </c>
      <c r="CV131">
        <v>-1</v>
      </c>
      <c r="CW131">
        <v>0</v>
      </c>
      <c r="CX131">
        <v>0</v>
      </c>
      <c r="CY131" t="s">
        <v>333</v>
      </c>
      <c r="CZ131">
        <v>2.3652000000000002</v>
      </c>
      <c r="DA131">
        <v>2.7138</v>
      </c>
      <c r="DB131">
        <v>0.101863</v>
      </c>
      <c r="DC131">
        <v>0.14524500000000001</v>
      </c>
      <c r="DD131">
        <v>0.11076999999999999</v>
      </c>
      <c r="DE131">
        <v>2.4670999999999998E-2</v>
      </c>
      <c r="DF131">
        <v>32820.9</v>
      </c>
      <c r="DG131">
        <v>27579.7</v>
      </c>
      <c r="DH131">
        <v>31196.1</v>
      </c>
      <c r="DI131">
        <v>28114.799999999999</v>
      </c>
      <c r="DJ131">
        <v>37661.800000000003</v>
      </c>
      <c r="DK131">
        <v>39001.199999999997</v>
      </c>
      <c r="DL131">
        <v>44399.6</v>
      </c>
      <c r="DM131">
        <v>42616.6</v>
      </c>
      <c r="DN131">
        <v>1.47357</v>
      </c>
      <c r="DO131">
        <v>2.0358999999999998</v>
      </c>
      <c r="DP131">
        <v>0.15704299999999999</v>
      </c>
      <c r="DQ131">
        <v>0.159778</v>
      </c>
      <c r="DR131">
        <v>24.4039</v>
      </c>
      <c r="DS131">
        <v>24.374199999999998</v>
      </c>
      <c r="DT131">
        <v>44.6</v>
      </c>
      <c r="DU131">
        <v>28.8</v>
      </c>
      <c r="DV131">
        <v>18.007899999999999</v>
      </c>
      <c r="DW131">
        <v>61.022199999999998</v>
      </c>
      <c r="DX131">
        <v>37.319699999999997</v>
      </c>
      <c r="DY131">
        <v>1</v>
      </c>
      <c r="DZ131">
        <v>-0.117282</v>
      </c>
      <c r="EA131">
        <v>-3.9373600000000002E-2</v>
      </c>
      <c r="EB131">
        <v>20.190300000000001</v>
      </c>
      <c r="EC131">
        <v>5.2411000000000003</v>
      </c>
      <c r="ED131">
        <v>12.039899999999999</v>
      </c>
      <c r="EE131">
        <v>5.0165499999999996</v>
      </c>
      <c r="EF131">
        <v>3.2879700000000001</v>
      </c>
      <c r="EG131">
        <v>9999</v>
      </c>
      <c r="EH131">
        <v>9999</v>
      </c>
      <c r="EI131">
        <v>9999</v>
      </c>
      <c r="EJ131">
        <v>999.9</v>
      </c>
      <c r="EK131">
        <v>1.8689199999999999</v>
      </c>
      <c r="EL131">
        <v>1.8646199999999999</v>
      </c>
      <c r="EM131">
        <v>1.86921</v>
      </c>
      <c r="EN131">
        <v>1.8672299999999999</v>
      </c>
      <c r="EO131">
        <v>1.86338</v>
      </c>
      <c r="EP131">
        <v>1.8644700000000001</v>
      </c>
      <c r="EQ131">
        <v>1.87018</v>
      </c>
      <c r="ER131">
        <v>1.86937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0.36899999999999999</v>
      </c>
      <c r="FG131">
        <v>0.19839999999999999</v>
      </c>
      <c r="FH131">
        <v>0.69281559908863044</v>
      </c>
      <c r="FI131">
        <v>-6.1462078757559423E-4</v>
      </c>
      <c r="FJ131">
        <v>-1.8861989874597051E-7</v>
      </c>
      <c r="FK131">
        <v>1.1980462299894961E-10</v>
      </c>
      <c r="FL131">
        <v>0.19840465858211129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29.8</v>
      </c>
      <c r="FU131">
        <v>29.8</v>
      </c>
      <c r="FV131">
        <v>1.7700199999999999</v>
      </c>
      <c r="FW131">
        <v>2.5866699999999998</v>
      </c>
      <c r="FX131">
        <v>1.5490699999999999</v>
      </c>
      <c r="FY131">
        <v>2.3327599999999999</v>
      </c>
      <c r="FZ131">
        <v>1.50146</v>
      </c>
      <c r="GA131">
        <v>2.3706100000000001</v>
      </c>
      <c r="GB131">
        <v>33.580399999999997</v>
      </c>
      <c r="GC131">
        <v>23.982399999999998</v>
      </c>
      <c r="GD131">
        <v>19</v>
      </c>
      <c r="GE131">
        <v>280.58499999999998</v>
      </c>
      <c r="GF131">
        <v>579.72699999999998</v>
      </c>
      <c r="GG131">
        <v>24.084399999999999</v>
      </c>
      <c r="GH131">
        <v>25.927099999999999</v>
      </c>
      <c r="GI131">
        <v>30.0001</v>
      </c>
      <c r="GJ131">
        <v>26.083200000000001</v>
      </c>
      <c r="GK131">
        <v>26.068899999999999</v>
      </c>
      <c r="GL131">
        <v>35.396999999999998</v>
      </c>
      <c r="GM131">
        <v>77.498699999999999</v>
      </c>
      <c r="GN131">
        <v>55.147399999999998</v>
      </c>
      <c r="GO131">
        <v>24.094999999999999</v>
      </c>
      <c r="GP131">
        <v>800</v>
      </c>
      <c r="GQ131">
        <v>3.24776</v>
      </c>
      <c r="GR131">
        <v>99.820300000000003</v>
      </c>
      <c r="GS131">
        <v>99.691000000000003</v>
      </c>
    </row>
    <row r="132" spans="1:201" x14ac:dyDescent="0.25">
      <c r="A132">
        <v>116</v>
      </c>
      <c r="B132">
        <v>1690389435.5999999</v>
      </c>
      <c r="C132">
        <v>1177.099999904633</v>
      </c>
      <c r="D132" t="s">
        <v>565</v>
      </c>
      <c r="E132" t="s">
        <v>566</v>
      </c>
      <c r="F132" t="s">
        <v>330</v>
      </c>
      <c r="H132">
        <v>1690389435.5999999</v>
      </c>
      <c r="I132">
        <f t="shared" si="30"/>
        <v>1.9420872456648475E-3</v>
      </c>
      <c r="J132">
        <f t="shared" si="31"/>
        <v>1.9420872456648475</v>
      </c>
      <c r="K132">
        <f t="shared" si="32"/>
        <v>29.613003498407647</v>
      </c>
      <c r="L132">
        <f t="shared" si="33"/>
        <v>476.49799999999999</v>
      </c>
      <c r="M132">
        <f t="shared" si="34"/>
        <v>132.47958313872388</v>
      </c>
      <c r="N132">
        <f t="shared" si="35"/>
        <v>13.055450814081969</v>
      </c>
      <c r="O132">
        <f t="shared" si="36"/>
        <v>46.957395657671398</v>
      </c>
      <c r="P132">
        <f t="shared" si="37"/>
        <v>0.14496488592602014</v>
      </c>
      <c r="Q132">
        <f t="shared" si="38"/>
        <v>2.1535236381280773</v>
      </c>
      <c r="R132">
        <f t="shared" si="39"/>
        <v>0.13975365364280931</v>
      </c>
      <c r="S132">
        <f t="shared" si="40"/>
        <v>8.7798634656068936E-2</v>
      </c>
      <c r="T132">
        <f t="shared" si="41"/>
        <v>276.11388878742912</v>
      </c>
      <c r="U132">
        <f t="shared" si="42"/>
        <v>27.203256045512752</v>
      </c>
      <c r="V132">
        <f t="shared" si="43"/>
        <v>27.203256045512752</v>
      </c>
      <c r="W132">
        <f t="shared" si="44"/>
        <v>3.622110014274496</v>
      </c>
      <c r="X132">
        <f t="shared" si="45"/>
        <v>69.154365441415507</v>
      </c>
      <c r="Y132">
        <f t="shared" si="46"/>
        <v>2.2937576859689401</v>
      </c>
      <c r="Z132">
        <f t="shared" si="47"/>
        <v>3.3168660739315281</v>
      </c>
      <c r="AA132">
        <f t="shared" si="48"/>
        <v>1.3283523283055558</v>
      </c>
      <c r="AB132">
        <f t="shared" si="49"/>
        <v>-85.646047533819782</v>
      </c>
      <c r="AC132">
        <f t="shared" si="50"/>
        <v>-173.32173097719695</v>
      </c>
      <c r="AD132">
        <f t="shared" si="51"/>
        <v>-17.275074969774931</v>
      </c>
      <c r="AE132">
        <f t="shared" si="52"/>
        <v>-0.1289646933625761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52205.441043984385</v>
      </c>
      <c r="AK132">
        <f t="shared" si="56"/>
        <v>1799.99</v>
      </c>
      <c r="AL132">
        <f t="shared" si="57"/>
        <v>1499.10214880846</v>
      </c>
      <c r="AM132">
        <f t="shared" si="58"/>
        <v>0.83283915399999997</v>
      </c>
      <c r="AN132">
        <f t="shared" si="59"/>
        <v>0.15339745708999999</v>
      </c>
      <c r="AO132">
        <v>31.8</v>
      </c>
      <c r="AP132">
        <v>0.5</v>
      </c>
      <c r="AQ132" t="s">
        <v>331</v>
      </c>
      <c r="AR132">
        <v>2</v>
      </c>
      <c r="AS132">
        <v>1690389435.5999999</v>
      </c>
      <c r="AT132">
        <v>476.49799999999999</v>
      </c>
      <c r="AU132">
        <v>800.03899999999999</v>
      </c>
      <c r="AV132">
        <v>23.2758</v>
      </c>
      <c r="AW132">
        <v>3.1791499999999999</v>
      </c>
      <c r="AX132">
        <v>476.12799999999999</v>
      </c>
      <c r="AY132">
        <v>23.077400000000001</v>
      </c>
      <c r="AZ132">
        <v>300.154</v>
      </c>
      <c r="BA132">
        <v>98.446899999999999</v>
      </c>
      <c r="BB132">
        <v>9.9989300000000003E-2</v>
      </c>
      <c r="BC132">
        <v>25.7104</v>
      </c>
      <c r="BD132">
        <v>26.9818</v>
      </c>
      <c r="BE132">
        <v>27.008900000000001</v>
      </c>
      <c r="BF132">
        <v>0</v>
      </c>
      <c r="BG132">
        <v>0</v>
      </c>
      <c r="BH132">
        <v>9985</v>
      </c>
      <c r="BI132">
        <v>1063.51</v>
      </c>
      <c r="BJ132">
        <v>1.3455900000000001</v>
      </c>
      <c r="BK132">
        <v>-323.541</v>
      </c>
      <c r="BL132">
        <v>487.85300000000001</v>
      </c>
      <c r="BM132">
        <v>802.59100000000001</v>
      </c>
      <c r="BN132">
        <v>20.096699999999998</v>
      </c>
      <c r="BO132">
        <v>800.03899999999999</v>
      </c>
      <c r="BP132">
        <v>3.1791499999999999</v>
      </c>
      <c r="BQ132">
        <v>2.2914300000000001</v>
      </c>
      <c r="BR132">
        <v>0.31297799999999998</v>
      </c>
      <c r="BS132">
        <v>19.616299999999999</v>
      </c>
      <c r="BT132">
        <v>-8.9265899999999991</v>
      </c>
      <c r="BU132">
        <v>1799.99</v>
      </c>
      <c r="BV132">
        <v>0.90998999999999997</v>
      </c>
      <c r="BW132">
        <v>3.3999700000000001E-2</v>
      </c>
      <c r="BX132">
        <v>2.1999700000000001E-2</v>
      </c>
      <c r="BY132">
        <v>3.4010699999999998E-2</v>
      </c>
      <c r="BZ132">
        <v>25</v>
      </c>
      <c r="CA132">
        <v>33528.199999999997</v>
      </c>
      <c r="CB132">
        <v>1690387638</v>
      </c>
      <c r="CC132" t="s">
        <v>332</v>
      </c>
      <c r="CD132">
        <v>1690387638</v>
      </c>
      <c r="CE132">
        <v>1690387638</v>
      </c>
      <c r="CF132">
        <v>6</v>
      </c>
      <c r="CG132">
        <v>0.43</v>
      </c>
      <c r="CH132">
        <v>-8.1000000000000003E-2</v>
      </c>
      <c r="CI132">
        <v>0.14199999999999999</v>
      </c>
      <c r="CJ132">
        <v>-2.7E-2</v>
      </c>
      <c r="CK132">
        <v>800</v>
      </c>
      <c r="CL132">
        <v>0</v>
      </c>
      <c r="CM132">
        <v>0.01</v>
      </c>
      <c r="CN132">
        <v>0.01</v>
      </c>
      <c r="CO132">
        <v>-320.4171707317073</v>
      </c>
      <c r="CP132">
        <v>-17.892543554007268</v>
      </c>
      <c r="CQ132">
        <v>1.765156040949202</v>
      </c>
      <c r="CR132">
        <v>-1</v>
      </c>
      <c r="CS132">
        <v>19.782109756097562</v>
      </c>
      <c r="CT132">
        <v>1.7637156794425179</v>
      </c>
      <c r="CU132">
        <v>0.1740797683778246</v>
      </c>
      <c r="CV132">
        <v>-1</v>
      </c>
      <c r="CW132">
        <v>0</v>
      </c>
      <c r="CX132">
        <v>0</v>
      </c>
      <c r="CY132" t="s">
        <v>333</v>
      </c>
      <c r="CZ132">
        <v>2.3648199999999999</v>
      </c>
      <c r="DA132">
        <v>2.7137699999999998</v>
      </c>
      <c r="DB132">
        <v>0.101406</v>
      </c>
      <c r="DC132">
        <v>0.14521600000000001</v>
      </c>
      <c r="DD132">
        <v>0.110802</v>
      </c>
      <c r="DE132">
        <v>2.2938299999999998E-2</v>
      </c>
      <c r="DF132">
        <v>32837.4</v>
      </c>
      <c r="DG132">
        <v>27581</v>
      </c>
      <c r="DH132">
        <v>31195.8</v>
      </c>
      <c r="DI132">
        <v>28115.200000000001</v>
      </c>
      <c r="DJ132">
        <v>37660.1</v>
      </c>
      <c r="DK132">
        <v>39071.199999999997</v>
      </c>
      <c r="DL132">
        <v>44399.4</v>
      </c>
      <c r="DM132">
        <v>42617.1</v>
      </c>
      <c r="DN132">
        <v>1.4731000000000001</v>
      </c>
      <c r="DO132">
        <v>2.0356200000000002</v>
      </c>
      <c r="DP132">
        <v>0.15704299999999999</v>
      </c>
      <c r="DQ132">
        <v>0.16041800000000001</v>
      </c>
      <c r="DR132">
        <v>24.408000000000001</v>
      </c>
      <c r="DS132">
        <v>24.379799999999999</v>
      </c>
      <c r="DT132">
        <v>44.2</v>
      </c>
      <c r="DU132">
        <v>28.8</v>
      </c>
      <c r="DV132">
        <v>17.8504</v>
      </c>
      <c r="DW132">
        <v>60.922199999999997</v>
      </c>
      <c r="DX132">
        <v>37.744399999999999</v>
      </c>
      <c r="DY132">
        <v>1</v>
      </c>
      <c r="DZ132">
        <v>-0.11709899999999999</v>
      </c>
      <c r="EA132">
        <v>0.64117900000000005</v>
      </c>
      <c r="EB132">
        <v>20.185700000000001</v>
      </c>
      <c r="EC132">
        <v>5.2413999999999996</v>
      </c>
      <c r="ED132">
        <v>12.039899999999999</v>
      </c>
      <c r="EE132">
        <v>5.0175000000000001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1.8672200000000001</v>
      </c>
      <c r="EO132">
        <v>1.86338</v>
      </c>
      <c r="EP132">
        <v>1.8644700000000001</v>
      </c>
      <c r="EQ132">
        <v>1.8701700000000001</v>
      </c>
      <c r="ER132">
        <v>1.8693599999999999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0.37</v>
      </c>
      <c r="FG132">
        <v>0.19839999999999999</v>
      </c>
      <c r="FH132">
        <v>0.69281559908863044</v>
      </c>
      <c r="FI132">
        <v>-6.1462078757559423E-4</v>
      </c>
      <c r="FJ132">
        <v>-1.8861989874597051E-7</v>
      </c>
      <c r="FK132">
        <v>1.1980462299894961E-10</v>
      </c>
      <c r="FL132">
        <v>0.19840465858211129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30</v>
      </c>
      <c r="FU132">
        <v>30</v>
      </c>
      <c r="FV132">
        <v>1.7700199999999999</v>
      </c>
      <c r="FW132">
        <v>2.5891099999999998</v>
      </c>
      <c r="FX132">
        <v>1.5490699999999999</v>
      </c>
      <c r="FY132">
        <v>2.3327599999999999</v>
      </c>
      <c r="FZ132">
        <v>1.50146</v>
      </c>
      <c r="GA132">
        <v>2.3022499999999999</v>
      </c>
      <c r="GB132">
        <v>33.580399999999997</v>
      </c>
      <c r="GC132">
        <v>23.973700000000001</v>
      </c>
      <c r="GD132">
        <v>19</v>
      </c>
      <c r="GE132">
        <v>280.37400000000002</v>
      </c>
      <c r="GF132">
        <v>579.47699999999998</v>
      </c>
      <c r="GG132">
        <v>24.0975</v>
      </c>
      <c r="GH132">
        <v>25.9254</v>
      </c>
      <c r="GI132">
        <v>30.000299999999999</v>
      </c>
      <c r="GJ132">
        <v>26.081</v>
      </c>
      <c r="GK132">
        <v>26.066800000000001</v>
      </c>
      <c r="GL132">
        <v>35.389899999999997</v>
      </c>
      <c r="GM132">
        <v>78.621499999999997</v>
      </c>
      <c r="GN132">
        <v>53.946599999999997</v>
      </c>
      <c r="GO132">
        <v>23.7531</v>
      </c>
      <c r="GP132">
        <v>800</v>
      </c>
      <c r="GQ132">
        <v>2.9773299999999998</v>
      </c>
      <c r="GR132">
        <v>99.819599999999994</v>
      </c>
      <c r="GS132">
        <v>99.692300000000003</v>
      </c>
    </row>
    <row r="133" spans="1:201" x14ac:dyDescent="0.25">
      <c r="A133">
        <v>117</v>
      </c>
      <c r="B133">
        <v>1690389445.5999999</v>
      </c>
      <c r="C133">
        <v>1187.099999904633</v>
      </c>
      <c r="D133" t="s">
        <v>567</v>
      </c>
      <c r="E133" t="s">
        <v>568</v>
      </c>
      <c r="F133" t="s">
        <v>330</v>
      </c>
      <c r="H133">
        <v>1690389445.5999999</v>
      </c>
      <c r="I133">
        <f t="shared" si="30"/>
        <v>1.9651169268535304E-3</v>
      </c>
      <c r="J133">
        <f t="shared" si="31"/>
        <v>1.9651169268535302</v>
      </c>
      <c r="K133">
        <f t="shared" si="32"/>
        <v>29.88329650799346</v>
      </c>
      <c r="L133">
        <f t="shared" si="33"/>
        <v>473.56</v>
      </c>
      <c r="M133">
        <f t="shared" si="34"/>
        <v>131.40093983727706</v>
      </c>
      <c r="N133">
        <f t="shared" si="35"/>
        <v>12.949103374678923</v>
      </c>
      <c r="O133">
        <f t="shared" si="36"/>
        <v>46.6676829078</v>
      </c>
      <c r="P133">
        <f t="shared" si="37"/>
        <v>0.1471324823323574</v>
      </c>
      <c r="Q133">
        <f t="shared" si="38"/>
        <v>2.1568821773213664</v>
      </c>
      <c r="R133">
        <f t="shared" si="39"/>
        <v>0.14177537188870698</v>
      </c>
      <c r="S133">
        <f t="shared" si="40"/>
        <v>8.9074671835311606E-2</v>
      </c>
      <c r="T133">
        <f t="shared" si="41"/>
        <v>276.11617843800002</v>
      </c>
      <c r="U133">
        <f t="shared" si="42"/>
        <v>27.177230884063583</v>
      </c>
      <c r="V133">
        <f t="shared" si="43"/>
        <v>27.177230884063583</v>
      </c>
      <c r="W133">
        <f t="shared" si="44"/>
        <v>3.6165856088425476</v>
      </c>
      <c r="X133">
        <f t="shared" si="45"/>
        <v>69.154915453601092</v>
      </c>
      <c r="Y133">
        <f t="shared" si="46"/>
        <v>2.2916004272700001</v>
      </c>
      <c r="Z133">
        <f t="shared" si="47"/>
        <v>3.3137202355594382</v>
      </c>
      <c r="AA133">
        <f t="shared" si="48"/>
        <v>1.3249851815725475</v>
      </c>
      <c r="AB133">
        <f t="shared" si="49"/>
        <v>-86.661656474240687</v>
      </c>
      <c r="AC133">
        <f t="shared" si="50"/>
        <v>-172.42629166168288</v>
      </c>
      <c r="AD133">
        <f t="shared" si="51"/>
        <v>-17.155452254172999</v>
      </c>
      <c r="AE133">
        <f t="shared" si="52"/>
        <v>-0.12722195209653364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52348.940399969637</v>
      </c>
      <c r="AK133">
        <f t="shared" si="56"/>
        <v>1800</v>
      </c>
      <c r="AL133">
        <f t="shared" si="57"/>
        <v>1499.1095267999999</v>
      </c>
      <c r="AM133">
        <f t="shared" si="58"/>
        <v>0.83283862599999992</v>
      </c>
      <c r="AN133">
        <f t="shared" si="59"/>
        <v>0.15339787691000001</v>
      </c>
      <c r="AO133">
        <v>31.8</v>
      </c>
      <c r="AP133">
        <v>0.5</v>
      </c>
      <c r="AQ133" t="s">
        <v>331</v>
      </c>
      <c r="AR133">
        <v>2</v>
      </c>
      <c r="AS133">
        <v>1690389445.5999999</v>
      </c>
      <c r="AT133">
        <v>473.56</v>
      </c>
      <c r="AU133">
        <v>800.08500000000004</v>
      </c>
      <c r="AV133">
        <v>23.254000000000001</v>
      </c>
      <c r="AW133">
        <v>2.91452</v>
      </c>
      <c r="AX133">
        <v>473.18799999999999</v>
      </c>
      <c r="AY133">
        <v>23.055499999999999</v>
      </c>
      <c r="AZ133">
        <v>300.09399999999999</v>
      </c>
      <c r="BA133">
        <v>98.4465</v>
      </c>
      <c r="BB133">
        <v>0.100005</v>
      </c>
      <c r="BC133">
        <v>25.694400000000002</v>
      </c>
      <c r="BD133">
        <v>26.995999999999999</v>
      </c>
      <c r="BE133">
        <v>26.9634</v>
      </c>
      <c r="BF133">
        <v>0</v>
      </c>
      <c r="BG133">
        <v>0</v>
      </c>
      <c r="BH133">
        <v>10013.1</v>
      </c>
      <c r="BI133">
        <v>1063.7</v>
      </c>
      <c r="BJ133">
        <v>1.3595999999999999</v>
      </c>
      <c r="BK133">
        <v>-326.52499999999998</v>
      </c>
      <c r="BL133">
        <v>484.834</v>
      </c>
      <c r="BM133">
        <v>802.42399999999998</v>
      </c>
      <c r="BN133">
        <v>20.339400000000001</v>
      </c>
      <c r="BO133">
        <v>800.08500000000004</v>
      </c>
      <c r="BP133">
        <v>2.91452</v>
      </c>
      <c r="BQ133">
        <v>2.2892700000000001</v>
      </c>
      <c r="BR133">
        <v>0.28692400000000001</v>
      </c>
      <c r="BS133">
        <v>19.601099999999999</v>
      </c>
      <c r="BT133">
        <v>-10.030900000000001</v>
      </c>
      <c r="BU133">
        <v>1800</v>
      </c>
      <c r="BV133">
        <v>0.90998000000000001</v>
      </c>
      <c r="BW133">
        <v>3.3999099999999997E-2</v>
      </c>
      <c r="BX133">
        <v>2.2006299999999999E-2</v>
      </c>
      <c r="BY133">
        <v>3.4014099999999999E-2</v>
      </c>
      <c r="BZ133">
        <v>25</v>
      </c>
      <c r="CA133">
        <v>33528.199999999997</v>
      </c>
      <c r="CB133">
        <v>1690387638</v>
      </c>
      <c r="CC133" t="s">
        <v>332</v>
      </c>
      <c r="CD133">
        <v>1690387638</v>
      </c>
      <c r="CE133">
        <v>1690387638</v>
      </c>
      <c r="CF133">
        <v>6</v>
      </c>
      <c r="CG133">
        <v>0.43</v>
      </c>
      <c r="CH133">
        <v>-8.1000000000000003E-2</v>
      </c>
      <c r="CI133">
        <v>0.14199999999999999</v>
      </c>
      <c r="CJ133">
        <v>-2.7E-2</v>
      </c>
      <c r="CK133">
        <v>800</v>
      </c>
      <c r="CL133">
        <v>0</v>
      </c>
      <c r="CM133">
        <v>0.01</v>
      </c>
      <c r="CN133">
        <v>0.01</v>
      </c>
      <c r="CO133">
        <v>-323.297325</v>
      </c>
      <c r="CP133">
        <v>-17.50060412757955</v>
      </c>
      <c r="CQ133">
        <v>1.6849942045523461</v>
      </c>
      <c r="CR133">
        <v>-1</v>
      </c>
      <c r="CS133">
        <v>20.059505000000001</v>
      </c>
      <c r="CT133">
        <v>1.6349155722326101</v>
      </c>
      <c r="CU133">
        <v>0.15748027805093531</v>
      </c>
      <c r="CV133">
        <v>-1</v>
      </c>
      <c r="CW133">
        <v>0</v>
      </c>
      <c r="CX133">
        <v>0</v>
      </c>
      <c r="CY133" t="s">
        <v>333</v>
      </c>
      <c r="CZ133">
        <v>2.36463</v>
      </c>
      <c r="DA133">
        <v>2.7138100000000001</v>
      </c>
      <c r="DB133">
        <v>0.100943</v>
      </c>
      <c r="DC133">
        <v>0.14521700000000001</v>
      </c>
      <c r="DD133">
        <v>0.11072799999999999</v>
      </c>
      <c r="DE133">
        <v>2.12567E-2</v>
      </c>
      <c r="DF133">
        <v>32854.400000000001</v>
      </c>
      <c r="DG133">
        <v>27580.5</v>
      </c>
      <c r="DH133">
        <v>31195.9</v>
      </c>
      <c r="DI133">
        <v>28114.799999999999</v>
      </c>
      <c r="DJ133">
        <v>37663.300000000003</v>
      </c>
      <c r="DK133">
        <v>39138.1</v>
      </c>
      <c r="DL133">
        <v>44399.5</v>
      </c>
      <c r="DM133">
        <v>42616.5</v>
      </c>
      <c r="DN133">
        <v>1.4730300000000001</v>
      </c>
      <c r="DO133">
        <v>2.0350999999999999</v>
      </c>
      <c r="DP133">
        <v>0.15763199999999999</v>
      </c>
      <c r="DQ133">
        <v>0.15723000000000001</v>
      </c>
      <c r="DR133">
        <v>24.412600000000001</v>
      </c>
      <c r="DS133">
        <v>24.386500000000002</v>
      </c>
      <c r="DT133">
        <v>43.8</v>
      </c>
      <c r="DU133">
        <v>28.8</v>
      </c>
      <c r="DV133">
        <v>17.684899999999999</v>
      </c>
      <c r="DW133">
        <v>60.9422</v>
      </c>
      <c r="DX133">
        <v>37.6723</v>
      </c>
      <c r="DY133">
        <v>1</v>
      </c>
      <c r="DZ133">
        <v>-0.115943</v>
      </c>
      <c r="EA133">
        <v>0.35047899999999998</v>
      </c>
      <c r="EB133">
        <v>20.189399999999999</v>
      </c>
      <c r="EC133">
        <v>5.2418500000000003</v>
      </c>
      <c r="ED133">
        <v>12.039899999999999</v>
      </c>
      <c r="EE133">
        <v>5.0174500000000002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1.8689100000000001</v>
      </c>
      <c r="EL133">
        <v>1.8646199999999999</v>
      </c>
      <c r="EM133">
        <v>1.86921</v>
      </c>
      <c r="EN133">
        <v>1.8672299999999999</v>
      </c>
      <c r="EO133">
        <v>1.86338</v>
      </c>
      <c r="EP133">
        <v>1.8644700000000001</v>
      </c>
      <c r="EQ133">
        <v>1.8701700000000001</v>
      </c>
      <c r="ER133">
        <v>1.86937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0.372</v>
      </c>
      <c r="FG133">
        <v>0.19850000000000001</v>
      </c>
      <c r="FH133">
        <v>0.69281559908863044</v>
      </c>
      <c r="FI133">
        <v>-6.1462078757559423E-4</v>
      </c>
      <c r="FJ133">
        <v>-1.8861989874597051E-7</v>
      </c>
      <c r="FK133">
        <v>1.1980462299894961E-10</v>
      </c>
      <c r="FL133">
        <v>0.19840465858211129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30.1</v>
      </c>
      <c r="FU133">
        <v>30.1</v>
      </c>
      <c r="FV133">
        <v>1.7700199999999999</v>
      </c>
      <c r="FW133">
        <v>2.5854499999999998</v>
      </c>
      <c r="FX133">
        <v>1.5490699999999999</v>
      </c>
      <c r="FY133">
        <v>2.3327599999999999</v>
      </c>
      <c r="FZ133">
        <v>1.50146</v>
      </c>
      <c r="GA133">
        <v>2.2753899999999998</v>
      </c>
      <c r="GB133">
        <v>33.580399999999997</v>
      </c>
      <c r="GC133">
        <v>23.982399999999998</v>
      </c>
      <c r="GD133">
        <v>19</v>
      </c>
      <c r="GE133">
        <v>280.33100000000002</v>
      </c>
      <c r="GF133">
        <v>579.01599999999996</v>
      </c>
      <c r="GG133">
        <v>23.775500000000001</v>
      </c>
      <c r="GH133">
        <v>25.923200000000001</v>
      </c>
      <c r="GI133">
        <v>30.0001</v>
      </c>
      <c r="GJ133">
        <v>26.078299999999999</v>
      </c>
      <c r="GK133">
        <v>26.064</v>
      </c>
      <c r="GL133">
        <v>35.381100000000004</v>
      </c>
      <c r="GM133">
        <v>79.782399999999996</v>
      </c>
      <c r="GN133">
        <v>53.161999999999999</v>
      </c>
      <c r="GO133">
        <v>23.826799999999999</v>
      </c>
      <c r="GP133">
        <v>800</v>
      </c>
      <c r="GQ133">
        <v>2.73516</v>
      </c>
      <c r="GR133">
        <v>99.819900000000004</v>
      </c>
      <c r="GS133">
        <v>99.690899999999999</v>
      </c>
    </row>
    <row r="134" spans="1:201" x14ac:dyDescent="0.25">
      <c r="A134">
        <v>118</v>
      </c>
      <c r="B134">
        <v>1690389455.5999999</v>
      </c>
      <c r="C134">
        <v>1197.099999904633</v>
      </c>
      <c r="D134" t="s">
        <v>569</v>
      </c>
      <c r="E134" t="s">
        <v>570</v>
      </c>
      <c r="F134" t="s">
        <v>330</v>
      </c>
      <c r="H134">
        <v>1690389455.5999999</v>
      </c>
      <c r="I134">
        <f t="shared" si="30"/>
        <v>1.98857466668194E-3</v>
      </c>
      <c r="J134">
        <f t="shared" si="31"/>
        <v>1.9885746666819399</v>
      </c>
      <c r="K134">
        <f t="shared" si="32"/>
        <v>30.147127031229136</v>
      </c>
      <c r="L134">
        <f t="shared" si="33"/>
        <v>470.69200000000001</v>
      </c>
      <c r="M134">
        <f t="shared" si="34"/>
        <v>130.69102270469293</v>
      </c>
      <c r="N134">
        <f t="shared" si="35"/>
        <v>12.878965913323279</v>
      </c>
      <c r="O134">
        <f t="shared" si="36"/>
        <v>46.384411861032</v>
      </c>
      <c r="P134">
        <f t="shared" si="37"/>
        <v>0.1494383622213136</v>
      </c>
      <c r="Q134">
        <f t="shared" si="38"/>
        <v>2.1569488335908931</v>
      </c>
      <c r="R134">
        <f t="shared" si="39"/>
        <v>0.143915575514908</v>
      </c>
      <c r="S134">
        <f t="shared" si="40"/>
        <v>9.0426429940779707E-2</v>
      </c>
      <c r="T134">
        <f t="shared" si="41"/>
        <v>276.11593254000002</v>
      </c>
      <c r="U134">
        <f t="shared" si="42"/>
        <v>27.156307758280199</v>
      </c>
      <c r="V134">
        <f t="shared" si="43"/>
        <v>27.156307758280199</v>
      </c>
      <c r="W134">
        <f t="shared" si="44"/>
        <v>3.6121495556745842</v>
      </c>
      <c r="X134">
        <f t="shared" si="45"/>
        <v>69.19755448483464</v>
      </c>
      <c r="Y134">
        <f t="shared" si="46"/>
        <v>2.2912731896460001</v>
      </c>
      <c r="Z134">
        <f t="shared" si="47"/>
        <v>3.3112054417301064</v>
      </c>
      <c r="AA134">
        <f t="shared" si="48"/>
        <v>1.320876366028584</v>
      </c>
      <c r="AB134">
        <f t="shared" si="49"/>
        <v>-87.696142800673556</v>
      </c>
      <c r="AC134">
        <f t="shared" si="50"/>
        <v>-171.4870191841739</v>
      </c>
      <c r="AD134">
        <f t="shared" si="51"/>
        <v>-17.058589404975589</v>
      </c>
      <c r="AE134">
        <f t="shared" si="52"/>
        <v>-0.12581884982301972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52353.948295551709</v>
      </c>
      <c r="AK134">
        <f t="shared" si="56"/>
        <v>1800</v>
      </c>
      <c r="AL134">
        <f t="shared" si="57"/>
        <v>1499.1094709999998</v>
      </c>
      <c r="AM134">
        <f t="shared" si="58"/>
        <v>0.8328385949999999</v>
      </c>
      <c r="AN134">
        <f t="shared" si="59"/>
        <v>0.1533977403</v>
      </c>
      <c r="AO134">
        <v>31.8</v>
      </c>
      <c r="AP134">
        <v>0.5</v>
      </c>
      <c r="AQ134" t="s">
        <v>331</v>
      </c>
      <c r="AR134">
        <v>2</v>
      </c>
      <c r="AS134">
        <v>1690389455.5999999</v>
      </c>
      <c r="AT134">
        <v>470.69200000000001</v>
      </c>
      <c r="AU134">
        <v>799.99099999999999</v>
      </c>
      <c r="AV134">
        <v>23.251000000000001</v>
      </c>
      <c r="AW134">
        <v>2.6736</v>
      </c>
      <c r="AX134">
        <v>470.31799999999998</v>
      </c>
      <c r="AY134">
        <v>23.052600000000002</v>
      </c>
      <c r="AZ134">
        <v>300.166</v>
      </c>
      <c r="BA134">
        <v>98.445099999999996</v>
      </c>
      <c r="BB134">
        <v>0.100046</v>
      </c>
      <c r="BC134">
        <v>25.6816</v>
      </c>
      <c r="BD134">
        <v>26.9727</v>
      </c>
      <c r="BE134">
        <v>26.950500000000002</v>
      </c>
      <c r="BF134">
        <v>0</v>
      </c>
      <c r="BG134">
        <v>0</v>
      </c>
      <c r="BH134">
        <v>10013.799999999999</v>
      </c>
      <c r="BI134">
        <v>1063.8</v>
      </c>
      <c r="BJ134">
        <v>1.3455900000000001</v>
      </c>
      <c r="BK134">
        <v>-329.29899999999998</v>
      </c>
      <c r="BL134">
        <v>481.89699999999999</v>
      </c>
      <c r="BM134">
        <v>802.13599999999997</v>
      </c>
      <c r="BN134">
        <v>20.577400000000001</v>
      </c>
      <c r="BO134">
        <v>799.99099999999999</v>
      </c>
      <c r="BP134">
        <v>2.6736</v>
      </c>
      <c r="BQ134">
        <v>2.2889499999999998</v>
      </c>
      <c r="BR134">
        <v>0.26320199999999999</v>
      </c>
      <c r="BS134">
        <v>19.598800000000001</v>
      </c>
      <c r="BT134">
        <v>-11.117100000000001</v>
      </c>
      <c r="BU134">
        <v>1800</v>
      </c>
      <c r="BV134">
        <v>0.90998199999999996</v>
      </c>
      <c r="BW134">
        <v>3.3999000000000001E-2</v>
      </c>
      <c r="BX134">
        <v>2.20045E-2</v>
      </c>
      <c r="BY134">
        <v>3.4014000000000003E-2</v>
      </c>
      <c r="BZ134">
        <v>25</v>
      </c>
      <c r="CA134">
        <v>33528.199999999997</v>
      </c>
      <c r="CB134">
        <v>1690387638</v>
      </c>
      <c r="CC134" t="s">
        <v>332</v>
      </c>
      <c r="CD134">
        <v>1690387638</v>
      </c>
      <c r="CE134">
        <v>1690387638</v>
      </c>
      <c r="CF134">
        <v>6</v>
      </c>
      <c r="CG134">
        <v>0.43</v>
      </c>
      <c r="CH134">
        <v>-8.1000000000000003E-2</v>
      </c>
      <c r="CI134">
        <v>0.14199999999999999</v>
      </c>
      <c r="CJ134">
        <v>-2.7E-2</v>
      </c>
      <c r="CK134">
        <v>800</v>
      </c>
      <c r="CL134">
        <v>0</v>
      </c>
      <c r="CM134">
        <v>0.01</v>
      </c>
      <c r="CN134">
        <v>0.01</v>
      </c>
      <c r="CO134">
        <v>-326.24595121951222</v>
      </c>
      <c r="CP134">
        <v>-17.420655052265499</v>
      </c>
      <c r="CQ134">
        <v>1.7194274564831979</v>
      </c>
      <c r="CR134">
        <v>-1</v>
      </c>
      <c r="CS134">
        <v>20.314256097560971</v>
      </c>
      <c r="CT134">
        <v>1.3821909407665831</v>
      </c>
      <c r="CU134">
        <v>0.13643183422372149</v>
      </c>
      <c r="CV134">
        <v>-1</v>
      </c>
      <c r="CW134">
        <v>0</v>
      </c>
      <c r="CX134">
        <v>0</v>
      </c>
      <c r="CY134" t="s">
        <v>333</v>
      </c>
      <c r="CZ134">
        <v>2.3648799999999999</v>
      </c>
      <c r="DA134">
        <v>2.7138499999999999</v>
      </c>
      <c r="DB134">
        <v>0.10048899999999999</v>
      </c>
      <c r="DC134">
        <v>0.1452</v>
      </c>
      <c r="DD134">
        <v>0.110717</v>
      </c>
      <c r="DE134">
        <v>1.9697200000000002E-2</v>
      </c>
      <c r="DF134">
        <v>32871</v>
      </c>
      <c r="DG134">
        <v>27581.599999999999</v>
      </c>
      <c r="DH134">
        <v>31195.9</v>
      </c>
      <c r="DI134">
        <v>28115.3</v>
      </c>
      <c r="DJ134">
        <v>37663.9</v>
      </c>
      <c r="DK134">
        <v>39201.300000000003</v>
      </c>
      <c r="DL134">
        <v>44399.7</v>
      </c>
      <c r="DM134">
        <v>42617.3</v>
      </c>
      <c r="DN134">
        <v>1.4736</v>
      </c>
      <c r="DO134">
        <v>2.03498</v>
      </c>
      <c r="DP134">
        <v>0.155888</v>
      </c>
      <c r="DQ134">
        <v>0.15609700000000001</v>
      </c>
      <c r="DR134">
        <v>24.4178</v>
      </c>
      <c r="DS134">
        <v>24.392099999999999</v>
      </c>
      <c r="DT134">
        <v>43.4</v>
      </c>
      <c r="DU134">
        <v>28.9</v>
      </c>
      <c r="DV134">
        <v>17.631699999999999</v>
      </c>
      <c r="DW134">
        <v>60.722200000000001</v>
      </c>
      <c r="DX134">
        <v>37.039299999999997</v>
      </c>
      <c r="DY134">
        <v>1</v>
      </c>
      <c r="DZ134">
        <v>-0.116989</v>
      </c>
      <c r="EA134">
        <v>0.14122299999999999</v>
      </c>
      <c r="EB134">
        <v>20.190100000000001</v>
      </c>
      <c r="EC134">
        <v>5.2413999999999996</v>
      </c>
      <c r="ED134">
        <v>12.039899999999999</v>
      </c>
      <c r="EE134">
        <v>5.0165499999999996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1.8646199999999999</v>
      </c>
      <c r="EM134">
        <v>1.8692</v>
      </c>
      <c r="EN134">
        <v>1.86724</v>
      </c>
      <c r="EO134">
        <v>1.86338</v>
      </c>
      <c r="EP134">
        <v>1.8644700000000001</v>
      </c>
      <c r="EQ134">
        <v>1.87016</v>
      </c>
      <c r="ER134">
        <v>1.86937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0.374</v>
      </c>
      <c r="FG134">
        <v>0.19839999999999999</v>
      </c>
      <c r="FH134">
        <v>0.69281559908863044</v>
      </c>
      <c r="FI134">
        <v>-6.1462078757559423E-4</v>
      </c>
      <c r="FJ134">
        <v>-1.8861989874597051E-7</v>
      </c>
      <c r="FK134">
        <v>1.1980462299894961E-10</v>
      </c>
      <c r="FL134">
        <v>0.19840465858211129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30.3</v>
      </c>
      <c r="FU134">
        <v>30.3</v>
      </c>
      <c r="FV134">
        <v>1.7687999999999999</v>
      </c>
      <c r="FW134">
        <v>2.5805699999999998</v>
      </c>
      <c r="FX134">
        <v>1.5490699999999999</v>
      </c>
      <c r="FY134">
        <v>2.3327599999999999</v>
      </c>
      <c r="FZ134">
        <v>1.50146</v>
      </c>
      <c r="GA134">
        <v>2.3278799999999999</v>
      </c>
      <c r="GB134">
        <v>33.580399999999997</v>
      </c>
      <c r="GC134">
        <v>23.991199999999999</v>
      </c>
      <c r="GD134">
        <v>19</v>
      </c>
      <c r="GE134">
        <v>280.56400000000002</v>
      </c>
      <c r="GF134">
        <v>578.88</v>
      </c>
      <c r="GG134">
        <v>23.808900000000001</v>
      </c>
      <c r="GH134">
        <v>25.921099999999999</v>
      </c>
      <c r="GI134">
        <v>29.999600000000001</v>
      </c>
      <c r="GJ134">
        <v>26.0761</v>
      </c>
      <c r="GK134">
        <v>26.0611</v>
      </c>
      <c r="GL134">
        <v>35.3797</v>
      </c>
      <c r="GM134">
        <v>80.992999999999995</v>
      </c>
      <c r="GN134">
        <v>52.002000000000002</v>
      </c>
      <c r="GO134">
        <v>23.836300000000001</v>
      </c>
      <c r="GP134">
        <v>800</v>
      </c>
      <c r="GQ134">
        <v>2.47444</v>
      </c>
      <c r="GR134">
        <v>99.8202</v>
      </c>
      <c r="GS134">
        <v>99.692800000000005</v>
      </c>
    </row>
    <row r="135" spans="1:201" x14ac:dyDescent="0.25">
      <c r="A135">
        <v>119</v>
      </c>
      <c r="B135">
        <v>1690389465.5999999</v>
      </c>
      <c r="C135">
        <v>1207.099999904633</v>
      </c>
      <c r="D135" t="s">
        <v>571</v>
      </c>
      <c r="E135" t="s">
        <v>572</v>
      </c>
      <c r="F135" t="s">
        <v>330</v>
      </c>
      <c r="H135">
        <v>1690389465.5999999</v>
      </c>
      <c r="I135">
        <f t="shared" si="30"/>
        <v>2.0138491147267353E-3</v>
      </c>
      <c r="J135">
        <f t="shared" si="31"/>
        <v>2.0138491147267352</v>
      </c>
      <c r="K135">
        <f t="shared" si="32"/>
        <v>30.421101206808803</v>
      </c>
      <c r="L135">
        <f t="shared" si="33"/>
        <v>467.822</v>
      </c>
      <c r="M135">
        <f t="shared" si="34"/>
        <v>130.10844428035506</v>
      </c>
      <c r="N135">
        <f t="shared" si="35"/>
        <v>12.820998252865156</v>
      </c>
      <c r="O135">
        <f t="shared" si="36"/>
        <v>46.099583142564001</v>
      </c>
      <c r="P135">
        <f t="shared" si="37"/>
        <v>0.1518888769364381</v>
      </c>
      <c r="Q135">
        <f t="shared" si="38"/>
        <v>2.1576374755046985</v>
      </c>
      <c r="R135">
        <f t="shared" si="39"/>
        <v>0.14618894132627783</v>
      </c>
      <c r="S135">
        <f t="shared" si="40"/>
        <v>9.1862383162682304E-2</v>
      </c>
      <c r="T135">
        <f t="shared" si="41"/>
        <v>276.11681488200003</v>
      </c>
      <c r="U135">
        <f t="shared" si="42"/>
        <v>27.145467375798518</v>
      </c>
      <c r="V135">
        <f t="shared" si="43"/>
        <v>27.145467375798518</v>
      </c>
      <c r="W135">
        <f t="shared" si="44"/>
        <v>3.6098530813265373</v>
      </c>
      <c r="X135">
        <f t="shared" si="45"/>
        <v>69.258073274168737</v>
      </c>
      <c r="Y135">
        <f t="shared" si="46"/>
        <v>2.2930458587399998</v>
      </c>
      <c r="Z135">
        <f t="shared" si="47"/>
        <v>3.3108715711201278</v>
      </c>
      <c r="AA135">
        <f t="shared" si="48"/>
        <v>1.3168072225865375</v>
      </c>
      <c r="AB135">
        <f t="shared" si="49"/>
        <v>-88.810745959449022</v>
      </c>
      <c r="AC135">
        <f t="shared" si="50"/>
        <v>-170.47853666442262</v>
      </c>
      <c r="AD135">
        <f t="shared" si="51"/>
        <v>-16.951792321185479</v>
      </c>
      <c r="AE135">
        <f t="shared" si="52"/>
        <v>-0.12426006305707915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52383.034573665376</v>
      </c>
      <c r="AK135">
        <f t="shared" si="56"/>
        <v>1800</v>
      </c>
      <c r="AL135">
        <f t="shared" si="57"/>
        <v>1499.1115841999999</v>
      </c>
      <c r="AM135">
        <f t="shared" si="58"/>
        <v>0.83283976900000001</v>
      </c>
      <c r="AN135">
        <f t="shared" si="59"/>
        <v>0.15339823049000001</v>
      </c>
      <c r="AO135">
        <v>31.8</v>
      </c>
      <c r="AP135">
        <v>0.5</v>
      </c>
      <c r="AQ135" t="s">
        <v>331</v>
      </c>
      <c r="AR135">
        <v>2</v>
      </c>
      <c r="AS135">
        <v>1690389465.5999999</v>
      </c>
      <c r="AT135">
        <v>467.822</v>
      </c>
      <c r="AU135">
        <v>800.14700000000005</v>
      </c>
      <c r="AV135">
        <v>23.27</v>
      </c>
      <c r="AW135">
        <v>2.4277899999999999</v>
      </c>
      <c r="AX135">
        <v>467.44499999999999</v>
      </c>
      <c r="AY135">
        <v>23.0716</v>
      </c>
      <c r="AZ135">
        <v>300.113</v>
      </c>
      <c r="BA135">
        <v>98.440799999999996</v>
      </c>
      <c r="BB135">
        <v>0.100062</v>
      </c>
      <c r="BC135">
        <v>25.6799</v>
      </c>
      <c r="BD135">
        <v>26.950700000000001</v>
      </c>
      <c r="BE135">
        <v>26.934000000000001</v>
      </c>
      <c r="BF135">
        <v>0</v>
      </c>
      <c r="BG135">
        <v>0</v>
      </c>
      <c r="BH135">
        <v>10020</v>
      </c>
      <c r="BI135">
        <v>1063.8699999999999</v>
      </c>
      <c r="BJ135">
        <v>1.3540000000000001</v>
      </c>
      <c r="BK135">
        <v>-332.32600000000002</v>
      </c>
      <c r="BL135">
        <v>478.96699999999998</v>
      </c>
      <c r="BM135">
        <v>802.09500000000003</v>
      </c>
      <c r="BN135">
        <v>20.842199999999998</v>
      </c>
      <c r="BO135">
        <v>800.14700000000005</v>
      </c>
      <c r="BP135">
        <v>2.4277899999999999</v>
      </c>
      <c r="BQ135">
        <v>2.2907099999999998</v>
      </c>
      <c r="BR135">
        <v>0.23899300000000001</v>
      </c>
      <c r="BS135">
        <v>19.6112</v>
      </c>
      <c r="BT135">
        <v>-12.3194</v>
      </c>
      <c r="BU135">
        <v>1800</v>
      </c>
      <c r="BV135">
        <v>0.90998000000000001</v>
      </c>
      <c r="BW135">
        <v>3.3998199999999999E-2</v>
      </c>
      <c r="BX135">
        <v>2.20092E-2</v>
      </c>
      <c r="BY135">
        <v>3.4013099999999998E-2</v>
      </c>
      <c r="BZ135">
        <v>25</v>
      </c>
      <c r="CA135">
        <v>33528.199999999997</v>
      </c>
      <c r="CB135">
        <v>1690387638</v>
      </c>
      <c r="CC135" t="s">
        <v>332</v>
      </c>
      <c r="CD135">
        <v>1690387638</v>
      </c>
      <c r="CE135">
        <v>1690387638</v>
      </c>
      <c r="CF135">
        <v>6</v>
      </c>
      <c r="CG135">
        <v>0.43</v>
      </c>
      <c r="CH135">
        <v>-8.1000000000000003E-2</v>
      </c>
      <c r="CI135">
        <v>0.14199999999999999</v>
      </c>
      <c r="CJ135">
        <v>-2.7E-2</v>
      </c>
      <c r="CK135">
        <v>800</v>
      </c>
      <c r="CL135">
        <v>0</v>
      </c>
      <c r="CM135">
        <v>0.01</v>
      </c>
      <c r="CN135">
        <v>0.01</v>
      </c>
      <c r="CO135">
        <v>-329.11043902439019</v>
      </c>
      <c r="CP135">
        <v>-17.28635540069661</v>
      </c>
      <c r="CQ135">
        <v>1.705749546262479</v>
      </c>
      <c r="CR135">
        <v>-1</v>
      </c>
      <c r="CS135">
        <v>20.556092682926831</v>
      </c>
      <c r="CT135">
        <v>1.528005574912896</v>
      </c>
      <c r="CU135">
        <v>0.15085595841849561</v>
      </c>
      <c r="CV135">
        <v>-1</v>
      </c>
      <c r="CW135">
        <v>0</v>
      </c>
      <c r="CX135">
        <v>0</v>
      </c>
      <c r="CY135" t="s">
        <v>333</v>
      </c>
      <c r="CZ135">
        <v>2.3647</v>
      </c>
      <c r="DA135">
        <v>2.71387</v>
      </c>
      <c r="DB135">
        <v>0.10003099999999999</v>
      </c>
      <c r="DC135">
        <v>0.145208</v>
      </c>
      <c r="DD135">
        <v>0.110777</v>
      </c>
      <c r="DE135">
        <v>1.8076499999999999E-2</v>
      </c>
      <c r="DF135">
        <v>32887.699999999997</v>
      </c>
      <c r="DG135">
        <v>27581.7</v>
      </c>
      <c r="DH135">
        <v>31195.9</v>
      </c>
      <c r="DI135">
        <v>28115.7</v>
      </c>
      <c r="DJ135">
        <v>37661.1</v>
      </c>
      <c r="DK135">
        <v>39266.800000000003</v>
      </c>
      <c r="DL135">
        <v>44399.5</v>
      </c>
      <c r="DM135">
        <v>42617.8</v>
      </c>
      <c r="DN135">
        <v>1.47353</v>
      </c>
      <c r="DO135">
        <v>2.0342199999999999</v>
      </c>
      <c r="DP135">
        <v>0.15440599999999999</v>
      </c>
      <c r="DQ135">
        <v>0.15489</v>
      </c>
      <c r="DR135">
        <v>24.420100000000001</v>
      </c>
      <c r="DS135">
        <v>24.395399999999999</v>
      </c>
      <c r="DT135">
        <v>42.9</v>
      </c>
      <c r="DU135">
        <v>28.9</v>
      </c>
      <c r="DV135">
        <v>17.422499999999999</v>
      </c>
      <c r="DW135">
        <v>61.072200000000002</v>
      </c>
      <c r="DX135">
        <v>36.722799999999999</v>
      </c>
      <c r="DY135">
        <v>1</v>
      </c>
      <c r="DZ135">
        <v>-0.1178</v>
      </c>
      <c r="EA135">
        <v>6.9861099999999995E-2</v>
      </c>
      <c r="EB135">
        <v>20.190300000000001</v>
      </c>
      <c r="EC135">
        <v>5.2413999999999996</v>
      </c>
      <c r="ED135">
        <v>12.039899999999999</v>
      </c>
      <c r="EE135">
        <v>5.0172499999999998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1.8692</v>
      </c>
      <c r="EN135">
        <v>1.8672200000000001</v>
      </c>
      <c r="EO135">
        <v>1.8633900000000001</v>
      </c>
      <c r="EP135">
        <v>1.8644700000000001</v>
      </c>
      <c r="EQ135">
        <v>1.87015</v>
      </c>
      <c r="ER135">
        <v>1.8693599999999999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0.377</v>
      </c>
      <c r="FG135">
        <v>0.19839999999999999</v>
      </c>
      <c r="FH135">
        <v>0.69281559908863044</v>
      </c>
      <c r="FI135">
        <v>-6.1462078757559423E-4</v>
      </c>
      <c r="FJ135">
        <v>-1.8861989874597051E-7</v>
      </c>
      <c r="FK135">
        <v>1.1980462299894961E-10</v>
      </c>
      <c r="FL135">
        <v>0.19840465858211129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30.5</v>
      </c>
      <c r="FU135">
        <v>30.5</v>
      </c>
      <c r="FV135">
        <v>1.7687999999999999</v>
      </c>
      <c r="FW135">
        <v>2.5781200000000002</v>
      </c>
      <c r="FX135">
        <v>1.5490699999999999</v>
      </c>
      <c r="FY135">
        <v>2.3327599999999999</v>
      </c>
      <c r="FZ135">
        <v>1.50146</v>
      </c>
      <c r="GA135">
        <v>2.4011200000000001</v>
      </c>
      <c r="GB135">
        <v>33.580399999999997</v>
      </c>
      <c r="GC135">
        <v>23.991199999999999</v>
      </c>
      <c r="GD135">
        <v>19</v>
      </c>
      <c r="GE135">
        <v>280.529</v>
      </c>
      <c r="GF135">
        <v>578.24</v>
      </c>
      <c r="GG135">
        <v>23.853200000000001</v>
      </c>
      <c r="GH135">
        <v>25.920999999999999</v>
      </c>
      <c r="GI135">
        <v>29.999600000000001</v>
      </c>
      <c r="GJ135">
        <v>26.075399999999998</v>
      </c>
      <c r="GK135">
        <v>26.058900000000001</v>
      </c>
      <c r="GL135">
        <v>35.366</v>
      </c>
      <c r="GM135">
        <v>82.576099999999997</v>
      </c>
      <c r="GN135">
        <v>51.223999999999997</v>
      </c>
      <c r="GO135">
        <v>23.875599999999999</v>
      </c>
      <c r="GP135">
        <v>800</v>
      </c>
      <c r="GQ135">
        <v>2.1995200000000001</v>
      </c>
      <c r="GR135">
        <v>99.819800000000001</v>
      </c>
      <c r="GS135">
        <v>99.694000000000003</v>
      </c>
    </row>
    <row r="136" spans="1:201" x14ac:dyDescent="0.25">
      <c r="A136">
        <v>120</v>
      </c>
      <c r="B136">
        <v>1690389475.5999999</v>
      </c>
      <c r="C136">
        <v>1217.099999904633</v>
      </c>
      <c r="D136" t="s">
        <v>573</v>
      </c>
      <c r="E136" t="s">
        <v>574</v>
      </c>
      <c r="F136" t="s">
        <v>330</v>
      </c>
      <c r="H136">
        <v>1690389475.5999999</v>
      </c>
      <c r="I136">
        <f t="shared" si="30"/>
        <v>2.0402016574650938E-3</v>
      </c>
      <c r="J136">
        <f t="shared" si="31"/>
        <v>2.0402016574650936</v>
      </c>
      <c r="K136">
        <f t="shared" si="32"/>
        <v>30.663826096644176</v>
      </c>
      <c r="L136">
        <f t="shared" si="33"/>
        <v>465.14</v>
      </c>
      <c r="M136">
        <f t="shared" si="34"/>
        <v>129.63686519867767</v>
      </c>
      <c r="N136">
        <f t="shared" si="35"/>
        <v>12.774499793908291</v>
      </c>
      <c r="O136">
        <f t="shared" si="36"/>
        <v>45.835193754740004</v>
      </c>
      <c r="P136">
        <f t="shared" si="37"/>
        <v>0.15418076870359684</v>
      </c>
      <c r="Q136">
        <f t="shared" si="38"/>
        <v>2.1589008501822811</v>
      </c>
      <c r="R136">
        <f t="shared" si="39"/>
        <v>0.14831438908265276</v>
      </c>
      <c r="S136">
        <f t="shared" si="40"/>
        <v>9.3204966589245264E-2</v>
      </c>
      <c r="T136">
        <f t="shared" si="41"/>
        <v>276.11647191000003</v>
      </c>
      <c r="U136">
        <f t="shared" si="42"/>
        <v>27.142686419601898</v>
      </c>
      <c r="V136">
        <f t="shared" si="43"/>
        <v>27.142686419601898</v>
      </c>
      <c r="W136">
        <f t="shared" si="44"/>
        <v>3.6092641567605268</v>
      </c>
      <c r="X136">
        <f t="shared" si="45"/>
        <v>69.268325397763263</v>
      </c>
      <c r="Y136">
        <f t="shared" si="46"/>
        <v>2.2943513065953001</v>
      </c>
      <c r="Z136">
        <f t="shared" si="47"/>
        <v>3.3122661669967073</v>
      </c>
      <c r="AA136">
        <f t="shared" si="48"/>
        <v>1.3149128501652267</v>
      </c>
      <c r="AB136">
        <f t="shared" si="49"/>
        <v>-89.972893094210633</v>
      </c>
      <c r="AC136">
        <f t="shared" si="50"/>
        <v>-169.4283069662749</v>
      </c>
      <c r="AD136">
        <f t="shared" si="51"/>
        <v>-16.837865138337452</v>
      </c>
      <c r="AE136">
        <f t="shared" si="52"/>
        <v>-0.12259328882296927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52434.796947185925</v>
      </c>
      <c r="AK136">
        <f t="shared" si="56"/>
        <v>1800</v>
      </c>
      <c r="AL136">
        <f t="shared" si="57"/>
        <v>1499.1107759999998</v>
      </c>
      <c r="AM136">
        <f t="shared" si="58"/>
        <v>0.83283931999999983</v>
      </c>
      <c r="AN136">
        <f t="shared" si="59"/>
        <v>0.15339803995000001</v>
      </c>
      <c r="AO136">
        <v>31.8</v>
      </c>
      <c r="AP136">
        <v>0.5</v>
      </c>
      <c r="AQ136" t="s">
        <v>331</v>
      </c>
      <c r="AR136">
        <v>2</v>
      </c>
      <c r="AS136">
        <v>1690389475.5999999</v>
      </c>
      <c r="AT136">
        <v>465.14</v>
      </c>
      <c r="AU136">
        <v>800.05600000000004</v>
      </c>
      <c r="AV136">
        <v>23.283300000000001</v>
      </c>
      <c r="AW136">
        <v>2.1720199999999998</v>
      </c>
      <c r="AX136">
        <v>464.762</v>
      </c>
      <c r="AY136">
        <v>23.084900000000001</v>
      </c>
      <c r="AZ136">
        <v>300.161</v>
      </c>
      <c r="BA136">
        <v>98.440600000000003</v>
      </c>
      <c r="BB136">
        <v>0.100041</v>
      </c>
      <c r="BC136">
        <v>25.687000000000001</v>
      </c>
      <c r="BD136">
        <v>26.963999999999999</v>
      </c>
      <c r="BE136">
        <v>26.9497</v>
      </c>
      <c r="BF136">
        <v>0</v>
      </c>
      <c r="BG136">
        <v>0</v>
      </c>
      <c r="BH136">
        <v>10030.6</v>
      </c>
      <c r="BI136">
        <v>1063.97</v>
      </c>
      <c r="BJ136">
        <v>1.3595999999999999</v>
      </c>
      <c r="BK136">
        <v>-334.916</v>
      </c>
      <c r="BL136">
        <v>476.22800000000001</v>
      </c>
      <c r="BM136">
        <v>801.79700000000003</v>
      </c>
      <c r="BN136">
        <v>21.1113</v>
      </c>
      <c r="BO136">
        <v>800.05600000000004</v>
      </c>
      <c r="BP136">
        <v>2.1720199999999998</v>
      </c>
      <c r="BQ136">
        <v>2.2920199999999999</v>
      </c>
      <c r="BR136">
        <v>0.21381500000000001</v>
      </c>
      <c r="BS136">
        <v>19.6204</v>
      </c>
      <c r="BT136">
        <v>-13.6912</v>
      </c>
      <c r="BU136">
        <v>1800</v>
      </c>
      <c r="BV136">
        <v>0.90998199999999996</v>
      </c>
      <c r="BW136">
        <v>3.3997100000000002E-2</v>
      </c>
      <c r="BX136">
        <v>2.20085E-2</v>
      </c>
      <c r="BY136">
        <v>3.4012100000000003E-2</v>
      </c>
      <c r="BZ136">
        <v>25</v>
      </c>
      <c r="CA136">
        <v>33528.199999999997</v>
      </c>
      <c r="CB136">
        <v>1690387638</v>
      </c>
      <c r="CC136" t="s">
        <v>332</v>
      </c>
      <c r="CD136">
        <v>1690387638</v>
      </c>
      <c r="CE136">
        <v>1690387638</v>
      </c>
      <c r="CF136">
        <v>6</v>
      </c>
      <c r="CG136">
        <v>0.43</v>
      </c>
      <c r="CH136">
        <v>-8.1000000000000003E-2</v>
      </c>
      <c r="CI136">
        <v>0.14199999999999999</v>
      </c>
      <c r="CJ136">
        <v>-2.7E-2</v>
      </c>
      <c r="CK136">
        <v>800</v>
      </c>
      <c r="CL136">
        <v>0</v>
      </c>
      <c r="CM136">
        <v>0.01</v>
      </c>
      <c r="CN136">
        <v>0.01</v>
      </c>
      <c r="CO136">
        <v>-332.18347499999999</v>
      </c>
      <c r="CP136">
        <v>-17.17809005628483</v>
      </c>
      <c r="CQ136">
        <v>1.6547725521578529</v>
      </c>
      <c r="CR136">
        <v>-1</v>
      </c>
      <c r="CS136">
        <v>20.8383775</v>
      </c>
      <c r="CT136">
        <v>1.620503189493413</v>
      </c>
      <c r="CU136">
        <v>0.15591057450907561</v>
      </c>
      <c r="CV136">
        <v>-1</v>
      </c>
      <c r="CW136">
        <v>0</v>
      </c>
      <c r="CX136">
        <v>0</v>
      </c>
      <c r="CY136" t="s">
        <v>333</v>
      </c>
      <c r="CZ136">
        <v>2.3648899999999999</v>
      </c>
      <c r="DA136">
        <v>2.7138599999999999</v>
      </c>
      <c r="DB136">
        <v>9.9605200000000005E-2</v>
      </c>
      <c r="DC136">
        <v>0.14519199999999999</v>
      </c>
      <c r="DD136">
        <v>0.110822</v>
      </c>
      <c r="DE136">
        <v>1.6357400000000001E-2</v>
      </c>
      <c r="DF136">
        <v>32903.5</v>
      </c>
      <c r="DG136">
        <v>27582.799999999999</v>
      </c>
      <c r="DH136">
        <v>31196.1</v>
      </c>
      <c r="DI136">
        <v>28116.3</v>
      </c>
      <c r="DJ136">
        <v>37659.300000000003</v>
      </c>
      <c r="DK136">
        <v>39336.5</v>
      </c>
      <c r="DL136">
        <v>44399.7</v>
      </c>
      <c r="DM136">
        <v>42618.6</v>
      </c>
      <c r="DN136">
        <v>1.474</v>
      </c>
      <c r="DO136">
        <v>2.0339</v>
      </c>
      <c r="DP136">
        <v>0.15509899999999999</v>
      </c>
      <c r="DQ136">
        <v>0.15585099999999999</v>
      </c>
      <c r="DR136">
        <v>24.4221</v>
      </c>
      <c r="DS136">
        <v>24.395399999999999</v>
      </c>
      <c r="DT136">
        <v>42.4</v>
      </c>
      <c r="DU136">
        <v>28.9</v>
      </c>
      <c r="DV136">
        <v>17.222799999999999</v>
      </c>
      <c r="DW136">
        <v>60.642200000000003</v>
      </c>
      <c r="DX136">
        <v>36.947099999999999</v>
      </c>
      <c r="DY136">
        <v>1</v>
      </c>
      <c r="DZ136">
        <v>-0.11805400000000001</v>
      </c>
      <c r="EA136">
        <v>-3.5239699999999999E-2</v>
      </c>
      <c r="EB136">
        <v>20.190300000000001</v>
      </c>
      <c r="EC136">
        <v>5.2415500000000002</v>
      </c>
      <c r="ED136">
        <v>12.039899999999999</v>
      </c>
      <c r="EE136">
        <v>5.01715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1.86921</v>
      </c>
      <c r="EN136">
        <v>1.8672299999999999</v>
      </c>
      <c r="EO136">
        <v>1.86337</v>
      </c>
      <c r="EP136">
        <v>1.8644700000000001</v>
      </c>
      <c r="EQ136">
        <v>1.87016</v>
      </c>
      <c r="ER136">
        <v>1.8693599999999999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0.378</v>
      </c>
      <c r="FG136">
        <v>0.19839999999999999</v>
      </c>
      <c r="FH136">
        <v>0.69281559908863044</v>
      </c>
      <c r="FI136">
        <v>-6.1462078757559423E-4</v>
      </c>
      <c r="FJ136">
        <v>-1.8861989874597051E-7</v>
      </c>
      <c r="FK136">
        <v>1.1980462299894961E-10</v>
      </c>
      <c r="FL136">
        <v>0.19840465858211129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30.6</v>
      </c>
      <c r="FU136">
        <v>30.6</v>
      </c>
      <c r="FV136">
        <v>1.7687999999999999</v>
      </c>
      <c r="FW136">
        <v>2.5793499999999998</v>
      </c>
      <c r="FX136">
        <v>1.5490699999999999</v>
      </c>
      <c r="FY136">
        <v>2.3327599999999999</v>
      </c>
      <c r="FZ136">
        <v>1.50146</v>
      </c>
      <c r="GA136">
        <v>2.34985</v>
      </c>
      <c r="GB136">
        <v>33.602899999999998</v>
      </c>
      <c r="GC136">
        <v>23.991199999999999</v>
      </c>
      <c r="GD136">
        <v>19</v>
      </c>
      <c r="GE136">
        <v>280.72000000000003</v>
      </c>
      <c r="GF136">
        <v>577.94899999999996</v>
      </c>
      <c r="GG136">
        <v>23.918199999999999</v>
      </c>
      <c r="GH136">
        <v>25.918900000000001</v>
      </c>
      <c r="GI136">
        <v>29.9999</v>
      </c>
      <c r="GJ136">
        <v>26.0732</v>
      </c>
      <c r="GK136">
        <v>26.056799999999999</v>
      </c>
      <c r="GL136">
        <v>35.3581</v>
      </c>
      <c r="GM136">
        <v>84.208399999999997</v>
      </c>
      <c r="GN136">
        <v>50.050699999999999</v>
      </c>
      <c r="GO136">
        <v>23.952200000000001</v>
      </c>
      <c r="GP136">
        <v>800</v>
      </c>
      <c r="GQ136">
        <v>1.9307399999999999</v>
      </c>
      <c r="GR136">
        <v>99.820400000000006</v>
      </c>
      <c r="GS136">
        <v>99.695999999999998</v>
      </c>
    </row>
    <row r="137" spans="1:201" x14ac:dyDescent="0.25">
      <c r="A137">
        <v>121</v>
      </c>
      <c r="B137">
        <v>1690389485.5999999</v>
      </c>
      <c r="C137">
        <v>1227.099999904633</v>
      </c>
      <c r="D137" t="s">
        <v>575</v>
      </c>
      <c r="E137" t="s">
        <v>576</v>
      </c>
      <c r="F137" t="s">
        <v>330</v>
      </c>
      <c r="H137">
        <v>1690389485.5999999</v>
      </c>
      <c r="I137">
        <f t="shared" si="30"/>
        <v>2.0671395558247443E-3</v>
      </c>
      <c r="J137">
        <f t="shared" si="31"/>
        <v>2.0671395558247441</v>
      </c>
      <c r="K137">
        <f t="shared" si="32"/>
        <v>30.915268974034539</v>
      </c>
      <c r="L137">
        <f t="shared" si="33"/>
        <v>462.45800000000003</v>
      </c>
      <c r="M137">
        <f t="shared" si="34"/>
        <v>128.67286315325049</v>
      </c>
      <c r="N137">
        <f t="shared" si="35"/>
        <v>12.678824821403175</v>
      </c>
      <c r="O137">
        <f t="shared" si="36"/>
        <v>45.568458069306203</v>
      </c>
      <c r="P137">
        <f t="shared" si="37"/>
        <v>0.15632431919319445</v>
      </c>
      <c r="Q137">
        <f t="shared" si="38"/>
        <v>2.1539829200739078</v>
      </c>
      <c r="R137">
        <f t="shared" si="39"/>
        <v>0.15028392701900764</v>
      </c>
      <c r="S137">
        <f t="shared" si="40"/>
        <v>9.4450712415800608E-2</v>
      </c>
      <c r="T137">
        <f t="shared" si="41"/>
        <v>276.11650938600002</v>
      </c>
      <c r="U137">
        <f t="shared" si="42"/>
        <v>27.149384767219782</v>
      </c>
      <c r="V137">
        <f t="shared" si="43"/>
        <v>27.149384767219782</v>
      </c>
      <c r="W137">
        <f t="shared" si="44"/>
        <v>3.6106828116758227</v>
      </c>
      <c r="X137">
        <f t="shared" si="45"/>
        <v>69.263535101176416</v>
      </c>
      <c r="Y137">
        <f t="shared" si="46"/>
        <v>2.2959621946795101</v>
      </c>
      <c r="Z137">
        <f t="shared" si="47"/>
        <v>3.3148209823909407</v>
      </c>
      <c r="AA137">
        <f t="shared" si="48"/>
        <v>1.3147206169963126</v>
      </c>
      <c r="AB137">
        <f t="shared" si="49"/>
        <v>-91.160854411871227</v>
      </c>
      <c r="AC137">
        <f t="shared" si="50"/>
        <v>-168.31057019024013</v>
      </c>
      <c r="AD137">
        <f t="shared" si="51"/>
        <v>-16.766627814054473</v>
      </c>
      <c r="AE137">
        <f t="shared" si="52"/>
        <v>-0.12154303016581025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52226.239162170903</v>
      </c>
      <c r="AK137">
        <f t="shared" si="56"/>
        <v>1800</v>
      </c>
      <c r="AL137">
        <f t="shared" si="57"/>
        <v>1499.1116075999998</v>
      </c>
      <c r="AM137">
        <f t="shared" si="58"/>
        <v>0.83283978199999986</v>
      </c>
      <c r="AN137">
        <f t="shared" si="59"/>
        <v>0.15339806077000001</v>
      </c>
      <c r="AO137">
        <v>31.8</v>
      </c>
      <c r="AP137">
        <v>0.5</v>
      </c>
      <c r="AQ137" t="s">
        <v>331</v>
      </c>
      <c r="AR137">
        <v>2</v>
      </c>
      <c r="AS137">
        <v>1690389485.5999999</v>
      </c>
      <c r="AT137">
        <v>462.45800000000003</v>
      </c>
      <c r="AU137">
        <v>800.14</v>
      </c>
      <c r="AV137">
        <v>23.300899999999999</v>
      </c>
      <c r="AW137">
        <v>1.9094800000000001</v>
      </c>
      <c r="AX137">
        <v>462.07799999999997</v>
      </c>
      <c r="AY137">
        <v>23.102499999999999</v>
      </c>
      <c r="AZ137">
        <v>300.13600000000002</v>
      </c>
      <c r="BA137">
        <v>98.435400000000001</v>
      </c>
      <c r="BB137">
        <v>9.9943900000000002E-2</v>
      </c>
      <c r="BC137">
        <v>25.7</v>
      </c>
      <c r="BD137">
        <v>26.9269</v>
      </c>
      <c r="BE137">
        <v>26.9755</v>
      </c>
      <c r="BF137">
        <v>0</v>
      </c>
      <c r="BG137">
        <v>0</v>
      </c>
      <c r="BH137">
        <v>9990</v>
      </c>
      <c r="BI137">
        <v>1064.02</v>
      </c>
      <c r="BJ137">
        <v>1.3455900000000001</v>
      </c>
      <c r="BK137">
        <v>-337.68200000000002</v>
      </c>
      <c r="BL137">
        <v>473.49099999999999</v>
      </c>
      <c r="BM137">
        <v>801.67100000000005</v>
      </c>
      <c r="BN137">
        <v>21.391400000000001</v>
      </c>
      <c r="BO137">
        <v>800.14</v>
      </c>
      <c r="BP137">
        <v>1.9094800000000001</v>
      </c>
      <c r="BQ137">
        <v>2.2936299999999998</v>
      </c>
      <c r="BR137">
        <v>0.18795999999999999</v>
      </c>
      <c r="BS137">
        <v>19.631699999999999</v>
      </c>
      <c r="BT137">
        <v>-15.258900000000001</v>
      </c>
      <c r="BU137">
        <v>1800</v>
      </c>
      <c r="BV137">
        <v>0.90998400000000002</v>
      </c>
      <c r="BW137">
        <v>3.3996499999999999E-2</v>
      </c>
      <c r="BX137">
        <v>2.2008099999999999E-2</v>
      </c>
      <c r="BY137">
        <v>3.40115E-2</v>
      </c>
      <c r="BZ137">
        <v>25</v>
      </c>
      <c r="CA137">
        <v>33528.199999999997</v>
      </c>
      <c r="CB137">
        <v>1690387638</v>
      </c>
      <c r="CC137" t="s">
        <v>332</v>
      </c>
      <c r="CD137">
        <v>1690387638</v>
      </c>
      <c r="CE137">
        <v>1690387638</v>
      </c>
      <c r="CF137">
        <v>6</v>
      </c>
      <c r="CG137">
        <v>0.43</v>
      </c>
      <c r="CH137">
        <v>-8.1000000000000003E-2</v>
      </c>
      <c r="CI137">
        <v>0.14199999999999999</v>
      </c>
      <c r="CJ137">
        <v>-2.7E-2</v>
      </c>
      <c r="CK137">
        <v>800</v>
      </c>
      <c r="CL137">
        <v>0</v>
      </c>
      <c r="CM137">
        <v>0.01</v>
      </c>
      <c r="CN137">
        <v>0.01</v>
      </c>
      <c r="CO137">
        <v>-334.65224999999998</v>
      </c>
      <c r="CP137">
        <v>-16.138716697935969</v>
      </c>
      <c r="CQ137">
        <v>1.55527852409142</v>
      </c>
      <c r="CR137">
        <v>-1</v>
      </c>
      <c r="CS137">
        <v>21.080365</v>
      </c>
      <c r="CT137">
        <v>1.6248697936210581</v>
      </c>
      <c r="CU137">
        <v>0.15632055135202169</v>
      </c>
      <c r="CV137">
        <v>-1</v>
      </c>
      <c r="CW137">
        <v>0</v>
      </c>
      <c r="CX137">
        <v>0</v>
      </c>
      <c r="CY137" t="s">
        <v>333</v>
      </c>
      <c r="CZ137">
        <v>2.3647900000000002</v>
      </c>
      <c r="DA137">
        <v>2.71373</v>
      </c>
      <c r="DB137">
        <v>9.9173700000000004E-2</v>
      </c>
      <c r="DC137">
        <v>0.14519099999999999</v>
      </c>
      <c r="DD137">
        <v>0.110876</v>
      </c>
      <c r="DE137">
        <v>1.4554299999999999E-2</v>
      </c>
      <c r="DF137">
        <v>32919</v>
      </c>
      <c r="DG137">
        <v>27582.7</v>
      </c>
      <c r="DH137">
        <v>31195.8</v>
      </c>
      <c r="DI137">
        <v>28116.2</v>
      </c>
      <c r="DJ137">
        <v>37656.6</v>
      </c>
      <c r="DK137">
        <v>39408.300000000003</v>
      </c>
      <c r="DL137">
        <v>44399.3</v>
      </c>
      <c r="DM137">
        <v>42618</v>
      </c>
      <c r="DN137">
        <v>1.4740500000000001</v>
      </c>
      <c r="DO137">
        <v>2.03363</v>
      </c>
      <c r="DP137">
        <v>0.15268499999999999</v>
      </c>
      <c r="DQ137">
        <v>0.157304</v>
      </c>
      <c r="DR137">
        <v>24.424399999999999</v>
      </c>
      <c r="DS137">
        <v>24.397400000000001</v>
      </c>
      <c r="DT137">
        <v>41.9</v>
      </c>
      <c r="DU137">
        <v>28.9</v>
      </c>
      <c r="DV137">
        <v>17.019200000000001</v>
      </c>
      <c r="DW137">
        <v>60.752200000000002</v>
      </c>
      <c r="DX137">
        <v>37.832500000000003</v>
      </c>
      <c r="DY137">
        <v>1</v>
      </c>
      <c r="DZ137">
        <v>-0.117919</v>
      </c>
      <c r="EA137">
        <v>-0.110207</v>
      </c>
      <c r="EB137">
        <v>20.190200000000001</v>
      </c>
      <c r="EC137">
        <v>5.242</v>
      </c>
      <c r="ED137">
        <v>12.039899999999999</v>
      </c>
      <c r="EE137">
        <v>5.01715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1.8646199999999999</v>
      </c>
      <c r="EM137">
        <v>1.8692</v>
      </c>
      <c r="EN137">
        <v>1.8672299999999999</v>
      </c>
      <c r="EO137">
        <v>1.86338</v>
      </c>
      <c r="EP137">
        <v>1.8644700000000001</v>
      </c>
      <c r="EQ137">
        <v>1.87015</v>
      </c>
      <c r="ER137">
        <v>1.86937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0.38</v>
      </c>
      <c r="FG137">
        <v>0.19839999999999999</v>
      </c>
      <c r="FH137">
        <v>0.69281559908863044</v>
      </c>
      <c r="FI137">
        <v>-6.1462078757559423E-4</v>
      </c>
      <c r="FJ137">
        <v>-1.8861989874597051E-7</v>
      </c>
      <c r="FK137">
        <v>1.1980462299894961E-10</v>
      </c>
      <c r="FL137">
        <v>0.19840465858211129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30.8</v>
      </c>
      <c r="FU137">
        <v>30.8</v>
      </c>
      <c r="FV137">
        <v>1.7687999999999999</v>
      </c>
      <c r="FW137">
        <v>2.5866699999999998</v>
      </c>
      <c r="FX137">
        <v>1.5490699999999999</v>
      </c>
      <c r="FY137">
        <v>2.3327599999999999</v>
      </c>
      <c r="FZ137">
        <v>1.50146</v>
      </c>
      <c r="GA137">
        <v>2.2912599999999999</v>
      </c>
      <c r="GB137">
        <v>33.580399999999997</v>
      </c>
      <c r="GC137">
        <v>23.982399999999998</v>
      </c>
      <c r="GD137">
        <v>19</v>
      </c>
      <c r="GE137">
        <v>280.73200000000003</v>
      </c>
      <c r="GF137">
        <v>577.70000000000005</v>
      </c>
      <c r="GG137">
        <v>23.995999999999999</v>
      </c>
      <c r="GH137">
        <v>25.918900000000001</v>
      </c>
      <c r="GI137">
        <v>29.9999</v>
      </c>
      <c r="GJ137">
        <v>26.071000000000002</v>
      </c>
      <c r="GK137">
        <v>26.054600000000001</v>
      </c>
      <c r="GL137">
        <v>35.3506</v>
      </c>
      <c r="GM137">
        <v>86.330600000000004</v>
      </c>
      <c r="GN137">
        <v>49.254199999999997</v>
      </c>
      <c r="GO137">
        <v>24.040299999999998</v>
      </c>
      <c r="GP137">
        <v>800</v>
      </c>
      <c r="GQ137">
        <v>1.65083</v>
      </c>
      <c r="GR137">
        <v>99.819599999999994</v>
      </c>
      <c r="GS137">
        <v>99.694999999999993</v>
      </c>
    </row>
    <row r="138" spans="1:201" x14ac:dyDescent="0.25">
      <c r="A138">
        <v>122</v>
      </c>
      <c r="B138">
        <v>1690389495.5999999</v>
      </c>
      <c r="C138">
        <v>1237.099999904633</v>
      </c>
      <c r="D138" t="s">
        <v>577</v>
      </c>
      <c r="E138" t="s">
        <v>578</v>
      </c>
      <c r="F138" t="s">
        <v>330</v>
      </c>
      <c r="H138">
        <v>1690389495.5999999</v>
      </c>
      <c r="I138">
        <f t="shared" si="30"/>
        <v>2.0935290089599138E-3</v>
      </c>
      <c r="J138">
        <f t="shared" si="31"/>
        <v>2.0935290089599139</v>
      </c>
      <c r="K138">
        <f t="shared" si="32"/>
        <v>31.155789971352291</v>
      </c>
      <c r="L138">
        <f t="shared" si="33"/>
        <v>459.73899999999998</v>
      </c>
      <c r="M138">
        <f t="shared" si="34"/>
        <v>128.07784720599335</v>
      </c>
      <c r="N138">
        <f t="shared" si="35"/>
        <v>12.6203068013383</v>
      </c>
      <c r="O138">
        <f t="shared" si="36"/>
        <v>45.300942786840999</v>
      </c>
      <c r="P138">
        <f t="shared" si="37"/>
        <v>0.15861267932680703</v>
      </c>
      <c r="Q138">
        <f t="shared" si="38"/>
        <v>2.1587053133298131</v>
      </c>
      <c r="R138">
        <f t="shared" si="39"/>
        <v>0.15241095216429421</v>
      </c>
      <c r="S138">
        <f t="shared" si="40"/>
        <v>9.5793841137239683E-2</v>
      </c>
      <c r="T138">
        <f t="shared" si="41"/>
        <v>276.11484789410071</v>
      </c>
      <c r="U138">
        <f t="shared" si="42"/>
        <v>27.148170229958783</v>
      </c>
      <c r="V138">
        <f t="shared" si="43"/>
        <v>27.148170229958783</v>
      </c>
      <c r="W138">
        <f t="shared" si="44"/>
        <v>3.6104255465577317</v>
      </c>
      <c r="X138">
        <f t="shared" si="45"/>
        <v>69.265550497367585</v>
      </c>
      <c r="Y138">
        <f t="shared" si="46"/>
        <v>2.2975000430697001</v>
      </c>
      <c r="Z138">
        <f t="shared" si="47"/>
        <v>3.3169447533041927</v>
      </c>
      <c r="AA138">
        <f t="shared" si="48"/>
        <v>1.3129255034880316</v>
      </c>
      <c r="AB138">
        <f t="shared" si="49"/>
        <v>-92.324629295132198</v>
      </c>
      <c r="AC138">
        <f t="shared" si="50"/>
        <v>-167.2813210720108</v>
      </c>
      <c r="AD138">
        <f t="shared" si="51"/>
        <v>-16.628439297454801</v>
      </c>
      <c r="AE138">
        <f t="shared" si="52"/>
        <v>-0.11954177049707937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52422.317599216127</v>
      </c>
      <c r="AK138">
        <f t="shared" si="56"/>
        <v>1799.99</v>
      </c>
      <c r="AL138">
        <f t="shared" si="57"/>
        <v>1499.1037129997699</v>
      </c>
      <c r="AM138">
        <f t="shared" si="58"/>
        <v>0.83284002299999993</v>
      </c>
      <c r="AN138">
        <f t="shared" si="59"/>
        <v>0.15339798993000001</v>
      </c>
      <c r="AO138">
        <v>31.8</v>
      </c>
      <c r="AP138">
        <v>0.5</v>
      </c>
      <c r="AQ138" t="s">
        <v>331</v>
      </c>
      <c r="AR138">
        <v>2</v>
      </c>
      <c r="AS138">
        <v>1690389495.5999999</v>
      </c>
      <c r="AT138">
        <v>459.73899999999998</v>
      </c>
      <c r="AU138">
        <v>800.10299999999995</v>
      </c>
      <c r="AV138">
        <v>23.316299999999998</v>
      </c>
      <c r="AW138">
        <v>1.64802</v>
      </c>
      <c r="AX138">
        <v>459.35700000000003</v>
      </c>
      <c r="AY138">
        <v>23.117899999999999</v>
      </c>
      <c r="AZ138">
        <v>300.07900000000001</v>
      </c>
      <c r="BA138">
        <v>98.436300000000003</v>
      </c>
      <c r="BB138">
        <v>9.9918999999999994E-2</v>
      </c>
      <c r="BC138">
        <v>25.710799999999999</v>
      </c>
      <c r="BD138">
        <v>26.938500000000001</v>
      </c>
      <c r="BE138">
        <v>26.923100000000002</v>
      </c>
      <c r="BF138">
        <v>0</v>
      </c>
      <c r="BG138">
        <v>0</v>
      </c>
      <c r="BH138">
        <v>10029.4</v>
      </c>
      <c r="BI138">
        <v>1064.17</v>
      </c>
      <c r="BJ138">
        <v>1.3455900000000001</v>
      </c>
      <c r="BK138">
        <v>-340.36399999999998</v>
      </c>
      <c r="BL138">
        <v>470.71499999999997</v>
      </c>
      <c r="BM138">
        <v>801.42399999999998</v>
      </c>
      <c r="BN138">
        <v>21.668299999999999</v>
      </c>
      <c r="BO138">
        <v>800.10299999999995</v>
      </c>
      <c r="BP138">
        <v>1.64802</v>
      </c>
      <c r="BQ138">
        <v>2.2951700000000002</v>
      </c>
      <c r="BR138">
        <v>0.16222500000000001</v>
      </c>
      <c r="BS138">
        <v>19.642499999999998</v>
      </c>
      <c r="BT138">
        <v>-17.023599999999998</v>
      </c>
      <c r="BU138">
        <v>1799.99</v>
      </c>
      <c r="BV138">
        <v>0.90998699999999999</v>
      </c>
      <c r="BW138">
        <v>3.3995400000000002E-2</v>
      </c>
      <c r="BX138">
        <v>2.20074E-2</v>
      </c>
      <c r="BY138">
        <v>3.40103E-2</v>
      </c>
      <c r="BZ138">
        <v>25</v>
      </c>
      <c r="CA138">
        <v>33528.199999999997</v>
      </c>
      <c r="CB138">
        <v>1690387638</v>
      </c>
      <c r="CC138" t="s">
        <v>332</v>
      </c>
      <c r="CD138">
        <v>1690387638</v>
      </c>
      <c r="CE138">
        <v>1690387638</v>
      </c>
      <c r="CF138">
        <v>6</v>
      </c>
      <c r="CG138">
        <v>0.43</v>
      </c>
      <c r="CH138">
        <v>-8.1000000000000003E-2</v>
      </c>
      <c r="CI138">
        <v>0.14199999999999999</v>
      </c>
      <c r="CJ138">
        <v>-2.7E-2</v>
      </c>
      <c r="CK138">
        <v>800</v>
      </c>
      <c r="CL138">
        <v>0</v>
      </c>
      <c r="CM138">
        <v>0.01</v>
      </c>
      <c r="CN138">
        <v>0.01</v>
      </c>
      <c r="CO138">
        <v>-337.34356097560982</v>
      </c>
      <c r="CP138">
        <v>-15.91342160278659</v>
      </c>
      <c r="CQ138">
        <v>1.5709425949174221</v>
      </c>
      <c r="CR138">
        <v>-1</v>
      </c>
      <c r="CS138">
        <v>21.363399999999999</v>
      </c>
      <c r="CT138">
        <v>1.687595121951226</v>
      </c>
      <c r="CU138">
        <v>0.16641776552678139</v>
      </c>
      <c r="CV138">
        <v>-1</v>
      </c>
      <c r="CW138">
        <v>0</v>
      </c>
      <c r="CX138">
        <v>0</v>
      </c>
      <c r="CY138" t="s">
        <v>333</v>
      </c>
      <c r="CZ138">
        <v>2.3646199999999999</v>
      </c>
      <c r="DA138">
        <v>2.71374</v>
      </c>
      <c r="DB138">
        <v>9.8741099999999998E-2</v>
      </c>
      <c r="DC138">
        <v>0.14518300000000001</v>
      </c>
      <c r="DD138">
        <v>0.11093</v>
      </c>
      <c r="DE138">
        <v>1.27195E-2</v>
      </c>
      <c r="DF138">
        <v>32935.300000000003</v>
      </c>
      <c r="DG138">
        <v>27583</v>
      </c>
      <c r="DH138">
        <v>31196.3</v>
      </c>
      <c r="DI138">
        <v>28116.2</v>
      </c>
      <c r="DJ138">
        <v>37655</v>
      </c>
      <c r="DK138">
        <v>39482</v>
      </c>
      <c r="DL138">
        <v>44400.2</v>
      </c>
      <c r="DM138">
        <v>42618.2</v>
      </c>
      <c r="DN138">
        <v>1.4738500000000001</v>
      </c>
      <c r="DO138">
        <v>2.0331999999999999</v>
      </c>
      <c r="DP138">
        <v>0.15316199999999999</v>
      </c>
      <c r="DQ138">
        <v>0.153974</v>
      </c>
      <c r="DR138">
        <v>24.4283</v>
      </c>
      <c r="DS138">
        <v>24.3995</v>
      </c>
      <c r="DT138">
        <v>41.5</v>
      </c>
      <c r="DU138">
        <v>28.9</v>
      </c>
      <c r="DV138">
        <v>16.8583</v>
      </c>
      <c r="DW138">
        <v>60.772199999999998</v>
      </c>
      <c r="DX138">
        <v>37.740400000000001</v>
      </c>
      <c r="DY138">
        <v>1</v>
      </c>
      <c r="DZ138">
        <v>-0.11818099999999999</v>
      </c>
      <c r="EA138">
        <v>-0.18312899999999999</v>
      </c>
      <c r="EB138">
        <v>20.190300000000001</v>
      </c>
      <c r="EC138">
        <v>5.2415500000000002</v>
      </c>
      <c r="ED138">
        <v>12.039899999999999</v>
      </c>
      <c r="EE138">
        <v>5.0172499999999998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1.8646100000000001</v>
      </c>
      <c r="EM138">
        <v>1.8692</v>
      </c>
      <c r="EN138">
        <v>1.8672200000000001</v>
      </c>
      <c r="EO138">
        <v>1.8633900000000001</v>
      </c>
      <c r="EP138">
        <v>1.8644700000000001</v>
      </c>
      <c r="EQ138">
        <v>1.8701399999999999</v>
      </c>
      <c r="ER138">
        <v>1.8693599999999999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0.38200000000000001</v>
      </c>
      <c r="FG138">
        <v>0.19839999999999999</v>
      </c>
      <c r="FH138">
        <v>0.69281559908863044</v>
      </c>
      <c r="FI138">
        <v>-6.1462078757559423E-4</v>
      </c>
      <c r="FJ138">
        <v>-1.8861989874597051E-7</v>
      </c>
      <c r="FK138">
        <v>1.1980462299894961E-10</v>
      </c>
      <c r="FL138">
        <v>0.19840465858211129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31</v>
      </c>
      <c r="FU138">
        <v>31</v>
      </c>
      <c r="FV138">
        <v>1.7675799999999999</v>
      </c>
      <c r="FW138">
        <v>2.5854499999999998</v>
      </c>
      <c r="FX138">
        <v>1.5490699999999999</v>
      </c>
      <c r="FY138">
        <v>2.3327599999999999</v>
      </c>
      <c r="FZ138">
        <v>1.50146</v>
      </c>
      <c r="GA138">
        <v>2.2912599999999999</v>
      </c>
      <c r="GB138">
        <v>33.602899999999998</v>
      </c>
      <c r="GC138">
        <v>23.991199999999999</v>
      </c>
      <c r="GD138">
        <v>19</v>
      </c>
      <c r="GE138">
        <v>280.63799999999998</v>
      </c>
      <c r="GF138">
        <v>577.327</v>
      </c>
      <c r="GG138">
        <v>24.099699999999999</v>
      </c>
      <c r="GH138">
        <v>25.917899999999999</v>
      </c>
      <c r="GI138">
        <v>30</v>
      </c>
      <c r="GJ138">
        <v>26.0688</v>
      </c>
      <c r="GK138">
        <v>26.052399999999999</v>
      </c>
      <c r="GL138">
        <v>35.342700000000001</v>
      </c>
      <c r="GM138">
        <v>88.596800000000002</v>
      </c>
      <c r="GN138">
        <v>48.059800000000003</v>
      </c>
      <c r="GO138">
        <v>24.131</v>
      </c>
      <c r="GP138">
        <v>800</v>
      </c>
      <c r="GQ138">
        <v>1.3696299999999999</v>
      </c>
      <c r="GR138">
        <v>99.821399999999997</v>
      </c>
      <c r="GS138">
        <v>99.695300000000003</v>
      </c>
    </row>
    <row r="139" spans="1:201" x14ac:dyDescent="0.25">
      <c r="A139">
        <v>123</v>
      </c>
      <c r="B139">
        <v>1690389505.5999999</v>
      </c>
      <c r="C139">
        <v>1247.099999904633</v>
      </c>
      <c r="D139" t="s">
        <v>579</v>
      </c>
      <c r="E139" t="s">
        <v>580</v>
      </c>
      <c r="F139" t="s">
        <v>330</v>
      </c>
      <c r="H139">
        <v>1690389505.5999999</v>
      </c>
      <c r="I139">
        <f t="shared" si="30"/>
        <v>2.1208772385315103E-3</v>
      </c>
      <c r="J139">
        <f t="shared" si="31"/>
        <v>2.1208772385315102</v>
      </c>
      <c r="K139">
        <f t="shared" si="32"/>
        <v>31.384114272108231</v>
      </c>
      <c r="L139">
        <f t="shared" si="33"/>
        <v>457.19</v>
      </c>
      <c r="M139">
        <f t="shared" si="34"/>
        <v>127.25816042205695</v>
      </c>
      <c r="N139">
        <f t="shared" si="35"/>
        <v>12.539614701555671</v>
      </c>
      <c r="O139">
        <f t="shared" si="36"/>
        <v>45.05004965018</v>
      </c>
      <c r="P139">
        <f t="shared" si="37"/>
        <v>0.16068840065768772</v>
      </c>
      <c r="Q139">
        <f t="shared" si="38"/>
        <v>2.1565370759542839</v>
      </c>
      <c r="R139">
        <f t="shared" si="39"/>
        <v>0.15432066800120411</v>
      </c>
      <c r="S139">
        <f t="shared" si="40"/>
        <v>9.7001507078912946E-2</v>
      </c>
      <c r="T139">
        <f t="shared" si="41"/>
        <v>276.11614718999999</v>
      </c>
      <c r="U139">
        <f t="shared" si="42"/>
        <v>27.159130134493541</v>
      </c>
      <c r="V139">
        <f t="shared" si="43"/>
        <v>27.159130134493541</v>
      </c>
      <c r="W139">
        <f t="shared" si="44"/>
        <v>3.6127476694574665</v>
      </c>
      <c r="X139">
        <f t="shared" si="45"/>
        <v>69.236827399897905</v>
      </c>
      <c r="Y139">
        <f t="shared" si="46"/>
        <v>2.2991498140437998</v>
      </c>
      <c r="Z139">
        <f t="shared" si="47"/>
        <v>3.320703591405735</v>
      </c>
      <c r="AA139">
        <f t="shared" si="48"/>
        <v>1.3135978554136667</v>
      </c>
      <c r="AB139">
        <f t="shared" si="49"/>
        <v>-93.530686219239598</v>
      </c>
      <c r="AC139">
        <f t="shared" si="50"/>
        <v>-166.16690733153882</v>
      </c>
      <c r="AD139">
        <f t="shared" si="51"/>
        <v>-16.536758214317533</v>
      </c>
      <c r="AE139">
        <f t="shared" si="52"/>
        <v>-0.11820457509600146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52328.039725556111</v>
      </c>
      <c r="AK139">
        <f t="shared" si="56"/>
        <v>1800</v>
      </c>
      <c r="AL139">
        <f t="shared" si="57"/>
        <v>1499.111361</v>
      </c>
      <c r="AM139">
        <f t="shared" si="58"/>
        <v>0.83283964499999996</v>
      </c>
      <c r="AN139">
        <f t="shared" si="59"/>
        <v>0.15339785954999999</v>
      </c>
      <c r="AO139">
        <v>31.8</v>
      </c>
      <c r="AP139">
        <v>0.5</v>
      </c>
      <c r="AQ139" t="s">
        <v>331</v>
      </c>
      <c r="AR139">
        <v>2</v>
      </c>
      <c r="AS139">
        <v>1690389505.5999999</v>
      </c>
      <c r="AT139">
        <v>457.19</v>
      </c>
      <c r="AU139">
        <v>799.99699999999996</v>
      </c>
      <c r="AV139">
        <v>23.332899999999999</v>
      </c>
      <c r="AW139">
        <v>1.3853</v>
      </c>
      <c r="AX139">
        <v>456.80599999999998</v>
      </c>
      <c r="AY139">
        <v>23.134499999999999</v>
      </c>
      <c r="AZ139">
        <v>300.125</v>
      </c>
      <c r="BA139">
        <v>98.436800000000005</v>
      </c>
      <c r="BB139">
        <v>0.100022</v>
      </c>
      <c r="BC139">
        <v>25.729900000000001</v>
      </c>
      <c r="BD139">
        <v>26.965699999999998</v>
      </c>
      <c r="BE139">
        <v>26.944900000000001</v>
      </c>
      <c r="BF139">
        <v>0</v>
      </c>
      <c r="BG139">
        <v>0</v>
      </c>
      <c r="BH139">
        <v>10011.200000000001</v>
      </c>
      <c r="BI139">
        <v>1064.24</v>
      </c>
      <c r="BJ139">
        <v>1.3455900000000001</v>
      </c>
      <c r="BK139">
        <v>-342.80700000000002</v>
      </c>
      <c r="BL139">
        <v>468.11200000000002</v>
      </c>
      <c r="BM139">
        <v>801.10699999999997</v>
      </c>
      <c r="BN139">
        <v>21.947600000000001</v>
      </c>
      <c r="BO139">
        <v>799.99699999999996</v>
      </c>
      <c r="BP139">
        <v>1.3853</v>
      </c>
      <c r="BQ139">
        <v>2.2968199999999999</v>
      </c>
      <c r="BR139">
        <v>0.13636400000000001</v>
      </c>
      <c r="BS139">
        <v>19.6541</v>
      </c>
      <c r="BT139">
        <v>-19.069800000000001</v>
      </c>
      <c r="BU139">
        <v>1800</v>
      </c>
      <c r="BV139">
        <v>0.90998800000000002</v>
      </c>
      <c r="BW139">
        <v>3.3994799999999999E-2</v>
      </c>
      <c r="BX139">
        <v>2.2006999999999999E-2</v>
      </c>
      <c r="BY139">
        <v>3.4009699999999997E-2</v>
      </c>
      <c r="BZ139">
        <v>25</v>
      </c>
      <c r="CA139">
        <v>33528.199999999997</v>
      </c>
      <c r="CB139">
        <v>1690387638</v>
      </c>
      <c r="CC139" t="s">
        <v>332</v>
      </c>
      <c r="CD139">
        <v>1690387638</v>
      </c>
      <c r="CE139">
        <v>1690387638</v>
      </c>
      <c r="CF139">
        <v>6</v>
      </c>
      <c r="CG139">
        <v>0.43</v>
      </c>
      <c r="CH139">
        <v>-8.1000000000000003E-2</v>
      </c>
      <c r="CI139">
        <v>0.14199999999999999</v>
      </c>
      <c r="CJ139">
        <v>-2.7E-2</v>
      </c>
      <c r="CK139">
        <v>800</v>
      </c>
      <c r="CL139">
        <v>0</v>
      </c>
      <c r="CM139">
        <v>0.01</v>
      </c>
      <c r="CN139">
        <v>0.01</v>
      </c>
      <c r="CO139">
        <v>-339.94900000000001</v>
      </c>
      <c r="CP139">
        <v>-16.1397523452153</v>
      </c>
      <c r="CQ139">
        <v>1.554136705698697</v>
      </c>
      <c r="CR139">
        <v>-1</v>
      </c>
      <c r="CS139">
        <v>21.6357225</v>
      </c>
      <c r="CT139">
        <v>1.660105440900502</v>
      </c>
      <c r="CU139">
        <v>0.15970963416071671</v>
      </c>
      <c r="CV139">
        <v>-1</v>
      </c>
      <c r="CW139">
        <v>0</v>
      </c>
      <c r="CX139">
        <v>0</v>
      </c>
      <c r="CY139" t="s">
        <v>333</v>
      </c>
      <c r="CZ139">
        <v>2.36476</v>
      </c>
      <c r="DA139">
        <v>2.7138200000000001</v>
      </c>
      <c r="DB139">
        <v>9.8333699999999996E-2</v>
      </c>
      <c r="DC139">
        <v>0.14516599999999999</v>
      </c>
      <c r="DD139">
        <v>0.110987</v>
      </c>
      <c r="DE139">
        <v>1.0831800000000001E-2</v>
      </c>
      <c r="DF139">
        <v>32950</v>
      </c>
      <c r="DG139">
        <v>27583.3</v>
      </c>
      <c r="DH139">
        <v>31196.1</v>
      </c>
      <c r="DI139">
        <v>28116.1</v>
      </c>
      <c r="DJ139">
        <v>37652.300000000003</v>
      </c>
      <c r="DK139">
        <v>39557.5</v>
      </c>
      <c r="DL139">
        <v>44399.9</v>
      </c>
      <c r="DM139">
        <v>42617.9</v>
      </c>
      <c r="DN139">
        <v>1.4741</v>
      </c>
      <c r="DO139">
        <v>2.0329000000000002</v>
      </c>
      <c r="DP139">
        <v>0.154525</v>
      </c>
      <c r="DQ139">
        <v>0.15518100000000001</v>
      </c>
      <c r="DR139">
        <v>24.433199999999999</v>
      </c>
      <c r="DS139">
        <v>24.401599999999998</v>
      </c>
      <c r="DT139">
        <v>41.1</v>
      </c>
      <c r="DU139">
        <v>28.9</v>
      </c>
      <c r="DV139">
        <v>16.696300000000001</v>
      </c>
      <c r="DW139">
        <v>61.152200000000001</v>
      </c>
      <c r="DX139">
        <v>36.947099999999999</v>
      </c>
      <c r="DY139">
        <v>1</v>
      </c>
      <c r="DZ139">
        <v>-0.117922</v>
      </c>
      <c r="EA139">
        <v>-0.19303899999999999</v>
      </c>
      <c r="EB139">
        <v>20.190100000000001</v>
      </c>
      <c r="EC139">
        <v>5.24125</v>
      </c>
      <c r="ED139">
        <v>12.039899999999999</v>
      </c>
      <c r="EE139">
        <v>5.0170500000000002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</v>
      </c>
      <c r="EM139">
        <v>1.8692</v>
      </c>
      <c r="EN139">
        <v>1.8672299999999999</v>
      </c>
      <c r="EO139">
        <v>1.86337</v>
      </c>
      <c r="EP139">
        <v>1.8644700000000001</v>
      </c>
      <c r="EQ139">
        <v>1.8701399999999999</v>
      </c>
      <c r="ER139">
        <v>1.8693500000000001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0.38400000000000001</v>
      </c>
      <c r="FG139">
        <v>0.19839999999999999</v>
      </c>
      <c r="FH139">
        <v>0.69281559908863044</v>
      </c>
      <c r="FI139">
        <v>-6.1462078757559423E-4</v>
      </c>
      <c r="FJ139">
        <v>-1.8861989874597051E-7</v>
      </c>
      <c r="FK139">
        <v>1.1980462299894961E-10</v>
      </c>
      <c r="FL139">
        <v>0.19840465858211129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31.1</v>
      </c>
      <c r="FU139">
        <v>31.1</v>
      </c>
      <c r="FV139">
        <v>1.7675799999999999</v>
      </c>
      <c r="FW139">
        <v>2.5842299999999998</v>
      </c>
      <c r="FX139">
        <v>1.5490699999999999</v>
      </c>
      <c r="FY139">
        <v>2.3327599999999999</v>
      </c>
      <c r="FZ139">
        <v>1.50146</v>
      </c>
      <c r="GA139">
        <v>2.3010299999999999</v>
      </c>
      <c r="GB139">
        <v>33.580399999999997</v>
      </c>
      <c r="GC139">
        <v>23.982399999999998</v>
      </c>
      <c r="GD139">
        <v>19</v>
      </c>
      <c r="GE139">
        <v>280.74</v>
      </c>
      <c r="GF139">
        <v>577.05799999999999</v>
      </c>
      <c r="GG139">
        <v>24.1874</v>
      </c>
      <c r="GH139">
        <v>25.916699999999999</v>
      </c>
      <c r="GI139">
        <v>30.0001</v>
      </c>
      <c r="GJ139">
        <v>26.067900000000002</v>
      </c>
      <c r="GK139">
        <v>26.0502</v>
      </c>
      <c r="GL139">
        <v>35.338099999999997</v>
      </c>
      <c r="GM139">
        <v>90.818399999999997</v>
      </c>
      <c r="GN139">
        <v>47.258200000000002</v>
      </c>
      <c r="GO139">
        <v>24.2059</v>
      </c>
      <c r="GP139">
        <v>800</v>
      </c>
      <c r="GQ139">
        <v>1.08775</v>
      </c>
      <c r="GR139">
        <v>99.820700000000002</v>
      </c>
      <c r="GS139">
        <v>99.694599999999994</v>
      </c>
    </row>
    <row r="140" spans="1:201" x14ac:dyDescent="0.25">
      <c r="A140">
        <v>124</v>
      </c>
      <c r="B140">
        <v>1690389515.5999999</v>
      </c>
      <c r="C140">
        <v>1257.099999904633</v>
      </c>
      <c r="D140" t="s">
        <v>581</v>
      </c>
      <c r="E140" t="s">
        <v>582</v>
      </c>
      <c r="F140" t="s">
        <v>330</v>
      </c>
      <c r="H140">
        <v>1690389515.5999999</v>
      </c>
      <c r="I140">
        <f t="shared" si="30"/>
        <v>2.1422214393944758E-3</v>
      </c>
      <c r="J140">
        <f t="shared" si="31"/>
        <v>2.1422214393944756</v>
      </c>
      <c r="K140">
        <f t="shared" si="32"/>
        <v>31.640136880679297</v>
      </c>
      <c r="L140">
        <f t="shared" si="33"/>
        <v>454.52600000000001</v>
      </c>
      <c r="M140">
        <f t="shared" si="34"/>
        <v>125.20800116990829</v>
      </c>
      <c r="N140">
        <f t="shared" si="35"/>
        <v>12.337237073797267</v>
      </c>
      <c r="O140">
        <f t="shared" si="36"/>
        <v>44.786235430715209</v>
      </c>
      <c r="P140">
        <f t="shared" si="37"/>
        <v>0.16234338547082558</v>
      </c>
      <c r="Q140">
        <f t="shared" si="38"/>
        <v>2.1547143677550022</v>
      </c>
      <c r="R140">
        <f t="shared" si="39"/>
        <v>0.15584140299083826</v>
      </c>
      <c r="S140">
        <f t="shared" si="40"/>
        <v>9.7963355475599562E-2</v>
      </c>
      <c r="T140">
        <f t="shared" si="41"/>
        <v>276.11470801687778</v>
      </c>
      <c r="U140">
        <f t="shared" si="42"/>
        <v>27.16742653864085</v>
      </c>
      <c r="V140">
        <f t="shared" si="43"/>
        <v>27.16742653864085</v>
      </c>
      <c r="W140">
        <f t="shared" si="44"/>
        <v>3.614506331680917</v>
      </c>
      <c r="X140">
        <f t="shared" si="45"/>
        <v>69.22351393627298</v>
      </c>
      <c r="Y140">
        <f t="shared" si="46"/>
        <v>2.3006984131653598</v>
      </c>
      <c r="Z140">
        <f t="shared" si="47"/>
        <v>3.3235793480281544</v>
      </c>
      <c r="AA140">
        <f t="shared" si="48"/>
        <v>1.3138079185155571</v>
      </c>
      <c r="AB140">
        <f t="shared" si="49"/>
        <v>-94.471965477296379</v>
      </c>
      <c r="AC140">
        <f t="shared" si="50"/>
        <v>-165.29420585912206</v>
      </c>
      <c r="AD140">
        <f t="shared" si="51"/>
        <v>-16.46571066379812</v>
      </c>
      <c r="AE140">
        <f t="shared" si="52"/>
        <v>-0.11717398333877327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52249.055527784454</v>
      </c>
      <c r="AK140">
        <f t="shared" si="56"/>
        <v>1799.99</v>
      </c>
      <c r="AL140">
        <f t="shared" si="57"/>
        <v>1499.1041251974798</v>
      </c>
      <c r="AM140">
        <f t="shared" si="58"/>
        <v>0.83284025199999989</v>
      </c>
      <c r="AN140">
        <f t="shared" si="59"/>
        <v>0.15339791221999999</v>
      </c>
      <c r="AO140">
        <v>31.8</v>
      </c>
      <c r="AP140">
        <v>0.5</v>
      </c>
      <c r="AQ140" t="s">
        <v>331</v>
      </c>
      <c r="AR140">
        <v>2</v>
      </c>
      <c r="AS140">
        <v>1690389515.5999999</v>
      </c>
      <c r="AT140">
        <v>454.52600000000001</v>
      </c>
      <c r="AU140">
        <v>800.09900000000005</v>
      </c>
      <c r="AV140">
        <v>23.349299999999999</v>
      </c>
      <c r="AW140">
        <v>1.1805300000000001</v>
      </c>
      <c r="AX140">
        <v>454.14</v>
      </c>
      <c r="AY140">
        <v>23.1509</v>
      </c>
      <c r="AZ140">
        <v>300.11599999999999</v>
      </c>
      <c r="BA140">
        <v>98.433999999999997</v>
      </c>
      <c r="BB140">
        <v>9.9935200000000002E-2</v>
      </c>
      <c r="BC140">
        <v>25.744499999999999</v>
      </c>
      <c r="BD140">
        <v>26.9756</v>
      </c>
      <c r="BE140">
        <v>26.986000000000001</v>
      </c>
      <c r="BF140">
        <v>0</v>
      </c>
      <c r="BG140">
        <v>0</v>
      </c>
      <c r="BH140">
        <v>9996.25</v>
      </c>
      <c r="BI140">
        <v>1064.3599999999999</v>
      </c>
      <c r="BJ140">
        <v>1.3455900000000001</v>
      </c>
      <c r="BK140">
        <v>-345.57299999999998</v>
      </c>
      <c r="BL140">
        <v>465.392</v>
      </c>
      <c r="BM140">
        <v>801.04499999999996</v>
      </c>
      <c r="BN140">
        <v>22.168800000000001</v>
      </c>
      <c r="BO140">
        <v>800.09900000000005</v>
      </c>
      <c r="BP140">
        <v>1.1805300000000001</v>
      </c>
      <c r="BQ140">
        <v>2.2983699999999998</v>
      </c>
      <c r="BR140">
        <v>0.116204</v>
      </c>
      <c r="BS140">
        <v>19.664999999999999</v>
      </c>
      <c r="BT140">
        <v>-20.922000000000001</v>
      </c>
      <c r="BU140">
        <v>1799.99</v>
      </c>
      <c r="BV140">
        <v>0.90998999999999997</v>
      </c>
      <c r="BW140">
        <v>3.3994299999999998E-2</v>
      </c>
      <c r="BX140">
        <v>2.2006600000000001E-2</v>
      </c>
      <c r="BY140">
        <v>3.4009200000000003E-2</v>
      </c>
      <c r="BZ140">
        <v>25</v>
      </c>
      <c r="CA140">
        <v>33528.199999999997</v>
      </c>
      <c r="CB140">
        <v>1690387638</v>
      </c>
      <c r="CC140" t="s">
        <v>332</v>
      </c>
      <c r="CD140">
        <v>1690387638</v>
      </c>
      <c r="CE140">
        <v>1690387638</v>
      </c>
      <c r="CF140">
        <v>6</v>
      </c>
      <c r="CG140">
        <v>0.43</v>
      </c>
      <c r="CH140">
        <v>-8.1000000000000003E-2</v>
      </c>
      <c r="CI140">
        <v>0.14199999999999999</v>
      </c>
      <c r="CJ140">
        <v>-2.7E-2</v>
      </c>
      <c r="CK140">
        <v>800</v>
      </c>
      <c r="CL140">
        <v>0</v>
      </c>
      <c r="CM140">
        <v>0.01</v>
      </c>
      <c r="CN140">
        <v>0.01</v>
      </c>
      <c r="CO140">
        <v>-342.62995121951218</v>
      </c>
      <c r="CP140">
        <v>-15.17412543554043</v>
      </c>
      <c r="CQ140">
        <v>1.497559281797723</v>
      </c>
      <c r="CR140">
        <v>-1</v>
      </c>
      <c r="CS140">
        <v>21.911258536585368</v>
      </c>
      <c r="CT140">
        <v>1.556412543554027</v>
      </c>
      <c r="CU140">
        <v>0.15379083510961289</v>
      </c>
      <c r="CV140">
        <v>-1</v>
      </c>
      <c r="CW140">
        <v>0</v>
      </c>
      <c r="CX140">
        <v>0</v>
      </c>
      <c r="CY140" t="s">
        <v>333</v>
      </c>
      <c r="CZ140">
        <v>2.36476</v>
      </c>
      <c r="DA140">
        <v>2.7137199999999999</v>
      </c>
      <c r="DB140">
        <v>9.7903699999999996E-2</v>
      </c>
      <c r="DC140">
        <v>0.14517099999999999</v>
      </c>
      <c r="DD140">
        <v>0.111039</v>
      </c>
      <c r="DE140">
        <v>9.3279599999999997E-3</v>
      </c>
      <c r="DF140">
        <v>32966.400000000001</v>
      </c>
      <c r="DG140">
        <v>27583.3</v>
      </c>
      <c r="DH140">
        <v>31196.799999999999</v>
      </c>
      <c r="DI140">
        <v>28116.2</v>
      </c>
      <c r="DJ140">
        <v>37650.699999999997</v>
      </c>
      <c r="DK140">
        <v>39617.800000000003</v>
      </c>
      <c r="DL140">
        <v>44400.7</v>
      </c>
      <c r="DM140">
        <v>42617.9</v>
      </c>
      <c r="DN140">
        <v>1.47417</v>
      </c>
      <c r="DO140">
        <v>2.0327500000000001</v>
      </c>
      <c r="DP140">
        <v>0.15480099999999999</v>
      </c>
      <c r="DQ140">
        <v>0.15745300000000001</v>
      </c>
      <c r="DR140">
        <v>24.438600000000001</v>
      </c>
      <c r="DS140">
        <v>24.4055</v>
      </c>
      <c r="DT140">
        <v>40.6</v>
      </c>
      <c r="DU140">
        <v>28.9</v>
      </c>
      <c r="DV140">
        <v>16.490100000000002</v>
      </c>
      <c r="DW140">
        <v>61.202199999999998</v>
      </c>
      <c r="DX140">
        <v>37.339700000000001</v>
      </c>
      <c r="DY140">
        <v>1</v>
      </c>
      <c r="DZ140">
        <v>-0.11765200000000001</v>
      </c>
      <c r="EA140">
        <v>-0.11222500000000001</v>
      </c>
      <c r="EB140">
        <v>20.189900000000002</v>
      </c>
      <c r="EC140">
        <v>5.2416999999999998</v>
      </c>
      <c r="ED140">
        <v>12.039899999999999</v>
      </c>
      <c r="EE140">
        <v>5.0172999999999996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1.8646199999999999</v>
      </c>
      <c r="EM140">
        <v>1.8692</v>
      </c>
      <c r="EN140">
        <v>1.86724</v>
      </c>
      <c r="EO140">
        <v>1.86338</v>
      </c>
      <c r="EP140">
        <v>1.8644700000000001</v>
      </c>
      <c r="EQ140">
        <v>1.87015</v>
      </c>
      <c r="ER140">
        <v>1.8693599999999999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0.38600000000000001</v>
      </c>
      <c r="FG140">
        <v>0.19839999999999999</v>
      </c>
      <c r="FH140">
        <v>0.69281559908863044</v>
      </c>
      <c r="FI140">
        <v>-6.1462078757559423E-4</v>
      </c>
      <c r="FJ140">
        <v>-1.8861989874597051E-7</v>
      </c>
      <c r="FK140">
        <v>1.1980462299894961E-10</v>
      </c>
      <c r="FL140">
        <v>0.19840465858211129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31.3</v>
      </c>
      <c r="FU140">
        <v>31.3</v>
      </c>
      <c r="FV140">
        <v>1.7675799999999999</v>
      </c>
      <c r="FW140">
        <v>2.5866699999999998</v>
      </c>
      <c r="FX140">
        <v>1.5490699999999999</v>
      </c>
      <c r="FY140">
        <v>2.3339799999999999</v>
      </c>
      <c r="FZ140">
        <v>1.50146</v>
      </c>
      <c r="GA140">
        <v>2.3645</v>
      </c>
      <c r="GB140">
        <v>33.580399999999997</v>
      </c>
      <c r="GC140">
        <v>23.982399999999998</v>
      </c>
      <c r="GD140">
        <v>19</v>
      </c>
      <c r="GE140">
        <v>280.76499999999999</v>
      </c>
      <c r="GF140">
        <v>576.91099999999994</v>
      </c>
      <c r="GG140">
        <v>24.238700000000001</v>
      </c>
      <c r="GH140">
        <v>25.915700000000001</v>
      </c>
      <c r="GI140">
        <v>30.0002</v>
      </c>
      <c r="GJ140">
        <v>26.066700000000001</v>
      </c>
      <c r="GK140">
        <v>26.048100000000002</v>
      </c>
      <c r="GL140">
        <v>35.332099999999997</v>
      </c>
      <c r="GM140">
        <v>93.235200000000006</v>
      </c>
      <c r="GN140">
        <v>46.059600000000003</v>
      </c>
      <c r="GO140">
        <v>24.231300000000001</v>
      </c>
      <c r="GP140">
        <v>800</v>
      </c>
      <c r="GQ140">
        <v>0.89267700000000005</v>
      </c>
      <c r="GR140">
        <v>99.822599999999994</v>
      </c>
      <c r="GS140">
        <v>99.694900000000004</v>
      </c>
    </row>
    <row r="141" spans="1:201" x14ac:dyDescent="0.25">
      <c r="A141">
        <v>125</v>
      </c>
      <c r="B141">
        <v>1690389525.5999999</v>
      </c>
      <c r="C141">
        <v>1267.099999904633</v>
      </c>
      <c r="D141" t="s">
        <v>583</v>
      </c>
      <c r="E141" t="s">
        <v>584</v>
      </c>
      <c r="F141" t="s">
        <v>330</v>
      </c>
      <c r="H141">
        <v>1690389525.5999999</v>
      </c>
      <c r="I141">
        <f t="shared" si="30"/>
        <v>2.1636160972072264E-3</v>
      </c>
      <c r="J141">
        <f t="shared" si="31"/>
        <v>2.1636160972072265</v>
      </c>
      <c r="K141">
        <f t="shared" si="32"/>
        <v>31.892057659608742</v>
      </c>
      <c r="L141">
        <f t="shared" si="33"/>
        <v>451.923</v>
      </c>
      <c r="M141">
        <f t="shared" si="34"/>
        <v>123.64932721057689</v>
      </c>
      <c r="N141">
        <f t="shared" si="35"/>
        <v>12.184157528325152</v>
      </c>
      <c r="O141">
        <f t="shared" si="36"/>
        <v>44.531589025922997</v>
      </c>
      <c r="P141">
        <f t="shared" si="37"/>
        <v>0.16421304544064796</v>
      </c>
      <c r="Q141">
        <f t="shared" si="38"/>
        <v>2.151765422098967</v>
      </c>
      <c r="R141">
        <f t="shared" si="39"/>
        <v>0.1575550205521484</v>
      </c>
      <c r="S141">
        <f t="shared" si="40"/>
        <v>9.9047590869694224E-2</v>
      </c>
      <c r="T141">
        <f t="shared" si="41"/>
        <v>276.11446309223845</v>
      </c>
      <c r="U141">
        <f t="shared" si="42"/>
        <v>27.175281352125296</v>
      </c>
      <c r="V141">
        <f t="shared" si="43"/>
        <v>27.175281352125296</v>
      </c>
      <c r="W141">
        <f t="shared" si="44"/>
        <v>3.6161720746205206</v>
      </c>
      <c r="X141">
        <f t="shared" si="45"/>
        <v>69.256899383558562</v>
      </c>
      <c r="Y141">
        <f t="shared" si="46"/>
        <v>2.3036509487782997</v>
      </c>
      <c r="Z141">
        <f t="shared" si="47"/>
        <v>3.3262403735694543</v>
      </c>
      <c r="AA141">
        <f t="shared" si="48"/>
        <v>1.3125211258422209</v>
      </c>
      <c r="AB141">
        <f t="shared" si="49"/>
        <v>-95.415469886838679</v>
      </c>
      <c r="AC141">
        <f t="shared" si="50"/>
        <v>-164.41310855539353</v>
      </c>
      <c r="AD141">
        <f t="shared" si="51"/>
        <v>-16.402139773636002</v>
      </c>
      <c r="AE141">
        <f t="shared" si="52"/>
        <v>-0.1162551236297702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52123.3769896503</v>
      </c>
      <c r="AK141">
        <f t="shared" si="56"/>
        <v>1799.99</v>
      </c>
      <c r="AL141">
        <f t="shared" si="57"/>
        <v>1499.1037345996499</v>
      </c>
      <c r="AM141">
        <f t="shared" si="58"/>
        <v>0.83284003499999992</v>
      </c>
      <c r="AN141">
        <f t="shared" si="59"/>
        <v>0.15339777614999997</v>
      </c>
      <c r="AO141">
        <v>31.8</v>
      </c>
      <c r="AP141">
        <v>0.5</v>
      </c>
      <c r="AQ141" t="s">
        <v>331</v>
      </c>
      <c r="AR141">
        <v>2</v>
      </c>
      <c r="AS141">
        <v>1690389525.5999999</v>
      </c>
      <c r="AT141">
        <v>451.923</v>
      </c>
      <c r="AU141">
        <v>800.09500000000003</v>
      </c>
      <c r="AV141">
        <v>23.378299999999999</v>
      </c>
      <c r="AW141">
        <v>0.99610100000000001</v>
      </c>
      <c r="AX141">
        <v>451.536</v>
      </c>
      <c r="AY141">
        <v>23.1799</v>
      </c>
      <c r="AZ141">
        <v>300.214</v>
      </c>
      <c r="BA141">
        <v>98.437899999999999</v>
      </c>
      <c r="BB141">
        <v>0.100101</v>
      </c>
      <c r="BC141">
        <v>25.757999999999999</v>
      </c>
      <c r="BD141">
        <v>26.9587</v>
      </c>
      <c r="BE141">
        <v>26.9787</v>
      </c>
      <c r="BF141">
        <v>0</v>
      </c>
      <c r="BG141">
        <v>0</v>
      </c>
      <c r="BH141">
        <v>9971.25</v>
      </c>
      <c r="BI141">
        <v>1064.48</v>
      </c>
      <c r="BJ141">
        <v>1.39605</v>
      </c>
      <c r="BK141">
        <v>-348.17099999999999</v>
      </c>
      <c r="BL141">
        <v>462.74200000000002</v>
      </c>
      <c r="BM141">
        <v>800.89300000000003</v>
      </c>
      <c r="BN141">
        <v>22.382200000000001</v>
      </c>
      <c r="BO141">
        <v>800.09500000000003</v>
      </c>
      <c r="BP141">
        <v>0.99610100000000001</v>
      </c>
      <c r="BQ141">
        <v>2.30132</v>
      </c>
      <c r="BR141">
        <v>9.8054100000000005E-2</v>
      </c>
      <c r="BS141">
        <v>19.685600000000001</v>
      </c>
      <c r="BT141">
        <v>-22.854700000000001</v>
      </c>
      <c r="BU141">
        <v>1799.99</v>
      </c>
      <c r="BV141">
        <v>0.90999200000000002</v>
      </c>
      <c r="BW141">
        <v>3.3993299999999997E-2</v>
      </c>
      <c r="BX141">
        <v>2.2006000000000001E-2</v>
      </c>
      <c r="BY141">
        <v>3.4008299999999998E-2</v>
      </c>
      <c r="BZ141">
        <v>25</v>
      </c>
      <c r="CA141">
        <v>33528.199999999997</v>
      </c>
      <c r="CB141">
        <v>1690387638</v>
      </c>
      <c r="CC141" t="s">
        <v>332</v>
      </c>
      <c r="CD141">
        <v>1690387638</v>
      </c>
      <c r="CE141">
        <v>1690387638</v>
      </c>
      <c r="CF141">
        <v>6</v>
      </c>
      <c r="CG141">
        <v>0.43</v>
      </c>
      <c r="CH141">
        <v>-8.1000000000000003E-2</v>
      </c>
      <c r="CI141">
        <v>0.14199999999999999</v>
      </c>
      <c r="CJ141">
        <v>-2.7E-2</v>
      </c>
      <c r="CK141">
        <v>800</v>
      </c>
      <c r="CL141">
        <v>0</v>
      </c>
      <c r="CM141">
        <v>0.01</v>
      </c>
      <c r="CN141">
        <v>0.01</v>
      </c>
      <c r="CO141">
        <v>-345.20870731707322</v>
      </c>
      <c r="CP141">
        <v>-15.85774912891995</v>
      </c>
      <c r="CQ141">
        <v>1.5652121689563041</v>
      </c>
      <c r="CR141">
        <v>-1</v>
      </c>
      <c r="CS141">
        <v>22.148907317073171</v>
      </c>
      <c r="CT141">
        <v>1.284926132404169</v>
      </c>
      <c r="CU141">
        <v>0.12679028852216409</v>
      </c>
      <c r="CV141">
        <v>-1</v>
      </c>
      <c r="CW141">
        <v>0</v>
      </c>
      <c r="CX141">
        <v>0</v>
      </c>
      <c r="CY141" t="s">
        <v>333</v>
      </c>
      <c r="CZ141">
        <v>2.3651</v>
      </c>
      <c r="DA141">
        <v>2.71387</v>
      </c>
      <c r="DB141">
        <v>9.7489400000000004E-2</v>
      </c>
      <c r="DC141">
        <v>0.145173</v>
      </c>
      <c r="DD141">
        <v>0.111142</v>
      </c>
      <c r="DE141">
        <v>7.94803E-3</v>
      </c>
      <c r="DF141">
        <v>32981</v>
      </c>
      <c r="DG141">
        <v>27583.599999999999</v>
      </c>
      <c r="DH141">
        <v>31196.3</v>
      </c>
      <c r="DI141">
        <v>28116.6</v>
      </c>
      <c r="DJ141">
        <v>37645.9</v>
      </c>
      <c r="DK141">
        <v>39673.800000000003</v>
      </c>
      <c r="DL141">
        <v>44400.4</v>
      </c>
      <c r="DM141">
        <v>42618.6</v>
      </c>
      <c r="DN141">
        <v>1.47515</v>
      </c>
      <c r="DO141">
        <v>2.0321500000000001</v>
      </c>
      <c r="DP141">
        <v>0.15329599999999999</v>
      </c>
      <c r="DQ141">
        <v>0.15653700000000001</v>
      </c>
      <c r="DR141">
        <v>24.446400000000001</v>
      </c>
      <c r="DS141">
        <v>24.4132</v>
      </c>
      <c r="DT141">
        <v>40.200000000000003</v>
      </c>
      <c r="DU141">
        <v>28.9</v>
      </c>
      <c r="DV141">
        <v>16.327999999999999</v>
      </c>
      <c r="DW141">
        <v>61.282200000000003</v>
      </c>
      <c r="DX141">
        <v>37.652200000000001</v>
      </c>
      <c r="DY141">
        <v>1</v>
      </c>
      <c r="DZ141">
        <v>-0.11820600000000001</v>
      </c>
      <c r="EA141">
        <v>-0.16667999999999999</v>
      </c>
      <c r="EB141">
        <v>20.190100000000001</v>
      </c>
      <c r="EC141">
        <v>5.2423000000000002</v>
      </c>
      <c r="ED141">
        <v>12.039899999999999</v>
      </c>
      <c r="EE141">
        <v>5.0174500000000002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1.8646199999999999</v>
      </c>
      <c r="EM141">
        <v>1.86921</v>
      </c>
      <c r="EN141">
        <v>1.8672299999999999</v>
      </c>
      <c r="EO141">
        <v>1.86338</v>
      </c>
      <c r="EP141">
        <v>1.8644700000000001</v>
      </c>
      <c r="EQ141">
        <v>1.87015</v>
      </c>
      <c r="ER141">
        <v>1.8693500000000001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0.38700000000000001</v>
      </c>
      <c r="FG141">
        <v>0.19839999999999999</v>
      </c>
      <c r="FH141">
        <v>0.69281559908863044</v>
      </c>
      <c r="FI141">
        <v>-6.1462078757559423E-4</v>
      </c>
      <c r="FJ141">
        <v>-1.8861989874597051E-7</v>
      </c>
      <c r="FK141">
        <v>1.1980462299894961E-10</v>
      </c>
      <c r="FL141">
        <v>0.19840465858211129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31.5</v>
      </c>
      <c r="FU141">
        <v>31.5</v>
      </c>
      <c r="FV141">
        <v>1.7675799999999999</v>
      </c>
      <c r="FW141">
        <v>2.5830099999999998</v>
      </c>
      <c r="FX141">
        <v>1.5490699999999999</v>
      </c>
      <c r="FY141">
        <v>2.3339799999999999</v>
      </c>
      <c r="FZ141">
        <v>1.50146</v>
      </c>
      <c r="GA141">
        <v>2.2936999999999999</v>
      </c>
      <c r="GB141">
        <v>33.602899999999998</v>
      </c>
      <c r="GC141">
        <v>23.982399999999998</v>
      </c>
      <c r="GD141">
        <v>19</v>
      </c>
      <c r="GE141">
        <v>281.16899999999998</v>
      </c>
      <c r="GF141">
        <v>576.41700000000003</v>
      </c>
      <c r="GG141">
        <v>24.261199999999999</v>
      </c>
      <c r="GH141">
        <v>25.9145</v>
      </c>
      <c r="GI141">
        <v>29.9999</v>
      </c>
      <c r="GJ141">
        <v>26.064499999999999</v>
      </c>
      <c r="GK141">
        <v>26.047699999999999</v>
      </c>
      <c r="GL141">
        <v>35.3279</v>
      </c>
      <c r="GM141">
        <v>96.600999999999999</v>
      </c>
      <c r="GN141">
        <v>45.242899999999999</v>
      </c>
      <c r="GO141">
        <v>24.292400000000001</v>
      </c>
      <c r="GP141">
        <v>800</v>
      </c>
      <c r="GQ141">
        <v>0.61711000000000005</v>
      </c>
      <c r="GR141">
        <v>99.8215</v>
      </c>
      <c r="GS141">
        <v>99.6965</v>
      </c>
    </row>
    <row r="142" spans="1:201" x14ac:dyDescent="0.25">
      <c r="A142">
        <v>126</v>
      </c>
      <c r="B142">
        <v>1690389535.5999999</v>
      </c>
      <c r="C142">
        <v>1277.099999904633</v>
      </c>
      <c r="D142" t="s">
        <v>585</v>
      </c>
      <c r="E142" t="s">
        <v>586</v>
      </c>
      <c r="F142" t="s">
        <v>330</v>
      </c>
      <c r="H142">
        <v>1690389535.5999999</v>
      </c>
      <c r="I142">
        <f t="shared" si="30"/>
        <v>2.1912851263671674E-3</v>
      </c>
      <c r="J142">
        <f t="shared" si="31"/>
        <v>2.1912851263671675</v>
      </c>
      <c r="K142">
        <f t="shared" si="32"/>
        <v>32.151036900138934</v>
      </c>
      <c r="L142">
        <f t="shared" si="33"/>
        <v>449.43400000000003</v>
      </c>
      <c r="M142">
        <f t="shared" si="34"/>
        <v>123.58729528741098</v>
      </c>
      <c r="N142">
        <f t="shared" si="35"/>
        <v>12.178275554000098</v>
      </c>
      <c r="O142">
        <f t="shared" si="36"/>
        <v>44.287166270674199</v>
      </c>
      <c r="P142">
        <f t="shared" si="37"/>
        <v>0.1668563784641344</v>
      </c>
      <c r="Q142">
        <f t="shared" si="38"/>
        <v>2.1580804468250268</v>
      </c>
      <c r="R142">
        <f t="shared" si="39"/>
        <v>0.1600063148210048</v>
      </c>
      <c r="S142">
        <f t="shared" si="40"/>
        <v>0.10059596413527885</v>
      </c>
      <c r="T142">
        <f t="shared" si="41"/>
        <v>276.11590815000005</v>
      </c>
      <c r="U142">
        <f t="shared" si="42"/>
        <v>27.173458615338511</v>
      </c>
      <c r="V142">
        <f t="shared" si="43"/>
        <v>27.173458615338511</v>
      </c>
      <c r="W142">
        <f t="shared" si="44"/>
        <v>3.6157854734877608</v>
      </c>
      <c r="X142">
        <f t="shared" si="45"/>
        <v>69.305452590955625</v>
      </c>
      <c r="Y142">
        <f t="shared" si="46"/>
        <v>2.3068379780562598</v>
      </c>
      <c r="Z142">
        <f t="shared" si="47"/>
        <v>3.3285086408299458</v>
      </c>
      <c r="AA142">
        <f t="shared" si="48"/>
        <v>1.308947495431501</v>
      </c>
      <c r="AB142">
        <f t="shared" si="49"/>
        <v>-96.635674072792085</v>
      </c>
      <c r="AC142">
        <f t="shared" si="50"/>
        <v>-163.34557704337283</v>
      </c>
      <c r="AD142">
        <f t="shared" si="51"/>
        <v>-16.248742165840756</v>
      </c>
      <c r="AE142">
        <f t="shared" si="52"/>
        <v>-0.1140851320056413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52385.883656774349</v>
      </c>
      <c r="AK142">
        <f t="shared" si="56"/>
        <v>1800</v>
      </c>
      <c r="AL142">
        <f t="shared" si="57"/>
        <v>1499.1123419999999</v>
      </c>
      <c r="AM142">
        <f t="shared" si="58"/>
        <v>0.83284018999999998</v>
      </c>
      <c r="AN142">
        <f t="shared" si="59"/>
        <v>0.15339772675000002</v>
      </c>
      <c r="AO142">
        <v>31.8</v>
      </c>
      <c r="AP142">
        <v>0.5</v>
      </c>
      <c r="AQ142" t="s">
        <v>331</v>
      </c>
      <c r="AR142">
        <v>2</v>
      </c>
      <c r="AS142">
        <v>1690389535.5999999</v>
      </c>
      <c r="AT142">
        <v>449.43400000000003</v>
      </c>
      <c r="AU142">
        <v>800.39</v>
      </c>
      <c r="AV142">
        <v>23.4102</v>
      </c>
      <c r="AW142">
        <v>0.74470000000000003</v>
      </c>
      <c r="AX142">
        <v>449.04399999999998</v>
      </c>
      <c r="AY142">
        <v>23.2118</v>
      </c>
      <c r="AZ142">
        <v>300.24299999999999</v>
      </c>
      <c r="BA142">
        <v>98.439899999999994</v>
      </c>
      <c r="BB142">
        <v>9.9966299999999994E-2</v>
      </c>
      <c r="BC142">
        <v>25.769500000000001</v>
      </c>
      <c r="BD142">
        <v>26.966100000000001</v>
      </c>
      <c r="BE142">
        <v>26.980599999999999</v>
      </c>
      <c r="BF142">
        <v>0</v>
      </c>
      <c r="BG142">
        <v>0</v>
      </c>
      <c r="BH142">
        <v>10023.799999999999</v>
      </c>
      <c r="BI142">
        <v>1064.69</v>
      </c>
      <c r="BJ142">
        <v>1.4016500000000001</v>
      </c>
      <c r="BK142">
        <v>-350.95600000000002</v>
      </c>
      <c r="BL142">
        <v>460.20699999999999</v>
      </c>
      <c r="BM142">
        <v>800.98699999999997</v>
      </c>
      <c r="BN142">
        <v>22.665500000000002</v>
      </c>
      <c r="BO142">
        <v>800.39</v>
      </c>
      <c r="BP142">
        <v>0.74470000000000003</v>
      </c>
      <c r="BQ142">
        <v>2.3045</v>
      </c>
      <c r="BR142">
        <v>7.3308200000000004E-2</v>
      </c>
      <c r="BS142">
        <v>19.707899999999999</v>
      </c>
      <c r="BT142">
        <v>-26.0869</v>
      </c>
      <c r="BU142">
        <v>1800</v>
      </c>
      <c r="BV142">
        <v>0.90999399999999997</v>
      </c>
      <c r="BW142">
        <v>3.3992599999999998E-2</v>
      </c>
      <c r="BX142">
        <v>2.2005500000000001E-2</v>
      </c>
      <c r="BY142">
        <v>3.4007500000000003E-2</v>
      </c>
      <c r="BZ142">
        <v>25</v>
      </c>
      <c r="CA142">
        <v>33528.300000000003</v>
      </c>
      <c r="CB142">
        <v>1690387638</v>
      </c>
      <c r="CC142" t="s">
        <v>332</v>
      </c>
      <c r="CD142">
        <v>1690387638</v>
      </c>
      <c r="CE142">
        <v>1690387638</v>
      </c>
      <c r="CF142">
        <v>6</v>
      </c>
      <c r="CG142">
        <v>0.43</v>
      </c>
      <c r="CH142">
        <v>-8.1000000000000003E-2</v>
      </c>
      <c r="CI142">
        <v>0.14199999999999999</v>
      </c>
      <c r="CJ142">
        <v>-2.7E-2</v>
      </c>
      <c r="CK142">
        <v>800</v>
      </c>
      <c r="CL142">
        <v>0</v>
      </c>
      <c r="CM142">
        <v>0.01</v>
      </c>
      <c r="CN142">
        <v>0.01</v>
      </c>
      <c r="CO142">
        <v>-347.78374999999988</v>
      </c>
      <c r="CP142">
        <v>-15.829035647278859</v>
      </c>
      <c r="CQ142">
        <v>1.5252778230538859</v>
      </c>
      <c r="CR142">
        <v>-1</v>
      </c>
      <c r="CS142">
        <v>22.349425</v>
      </c>
      <c r="CT142">
        <v>1.190170356472749</v>
      </c>
      <c r="CU142">
        <v>0.1146420619798857</v>
      </c>
      <c r="CV142">
        <v>-1</v>
      </c>
      <c r="CW142">
        <v>0</v>
      </c>
      <c r="CX142">
        <v>0</v>
      </c>
      <c r="CY142" t="s">
        <v>333</v>
      </c>
      <c r="CZ142">
        <v>2.3652199999999999</v>
      </c>
      <c r="DA142">
        <v>2.7137799999999999</v>
      </c>
      <c r="DB142">
        <v>9.7090099999999999E-2</v>
      </c>
      <c r="DC142">
        <v>0.145207</v>
      </c>
      <c r="DD142">
        <v>0.111252</v>
      </c>
      <c r="DE142">
        <v>6.0191699999999999E-3</v>
      </c>
      <c r="DF142">
        <v>32996</v>
      </c>
      <c r="DG142">
        <v>27582.7</v>
      </c>
      <c r="DH142">
        <v>31196.7</v>
      </c>
      <c r="DI142">
        <v>28116.799999999999</v>
      </c>
      <c r="DJ142">
        <v>37641.300000000003</v>
      </c>
      <c r="DK142">
        <v>39751.199999999997</v>
      </c>
      <c r="DL142">
        <v>44400.4</v>
      </c>
      <c r="DM142">
        <v>42618.7</v>
      </c>
      <c r="DN142">
        <v>1.47475</v>
      </c>
      <c r="DO142">
        <v>2.0317500000000002</v>
      </c>
      <c r="DP142">
        <v>0.15323600000000001</v>
      </c>
      <c r="DQ142">
        <v>0.15607499999999999</v>
      </c>
      <c r="DR142">
        <v>24.454799999999999</v>
      </c>
      <c r="DS142">
        <v>24.422699999999999</v>
      </c>
      <c r="DT142">
        <v>39.799999999999997</v>
      </c>
      <c r="DU142">
        <v>28.9</v>
      </c>
      <c r="DV142">
        <v>16.167000000000002</v>
      </c>
      <c r="DW142">
        <v>61.062199999999997</v>
      </c>
      <c r="DX142">
        <v>36.838900000000002</v>
      </c>
      <c r="DY142">
        <v>1</v>
      </c>
      <c r="DZ142">
        <v>-0.118425</v>
      </c>
      <c r="EA142">
        <v>-0.20143800000000001</v>
      </c>
      <c r="EB142">
        <v>20.190000000000001</v>
      </c>
      <c r="EC142">
        <v>5.2411000000000003</v>
      </c>
      <c r="ED142">
        <v>12.039899999999999</v>
      </c>
      <c r="EE142">
        <v>5.0172499999999998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1.8692</v>
      </c>
      <c r="EN142">
        <v>1.8672299999999999</v>
      </c>
      <c r="EO142">
        <v>1.8633900000000001</v>
      </c>
      <c r="EP142">
        <v>1.86446</v>
      </c>
      <c r="EQ142">
        <v>1.8701300000000001</v>
      </c>
      <c r="ER142">
        <v>1.86937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0.39</v>
      </c>
      <c r="FG142">
        <v>0.19839999999999999</v>
      </c>
      <c r="FH142">
        <v>0.69281559908863044</v>
      </c>
      <c r="FI142">
        <v>-6.1462078757559423E-4</v>
      </c>
      <c r="FJ142">
        <v>-1.8861989874597051E-7</v>
      </c>
      <c r="FK142">
        <v>1.1980462299894961E-10</v>
      </c>
      <c r="FL142">
        <v>0.19840465858211129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31.6</v>
      </c>
      <c r="FU142">
        <v>31.6</v>
      </c>
      <c r="FV142">
        <v>1.7663599999999999</v>
      </c>
      <c r="FW142">
        <v>2.5866699999999998</v>
      </c>
      <c r="FX142">
        <v>1.5490699999999999</v>
      </c>
      <c r="FY142">
        <v>2.3339799999999999</v>
      </c>
      <c r="FZ142">
        <v>1.50146</v>
      </c>
      <c r="GA142">
        <v>2.3083499999999999</v>
      </c>
      <c r="GB142">
        <v>33.580399999999997</v>
      </c>
      <c r="GC142">
        <v>23.982399999999998</v>
      </c>
      <c r="GD142">
        <v>19</v>
      </c>
      <c r="GE142">
        <v>280.99299999999999</v>
      </c>
      <c r="GF142">
        <v>576.05999999999995</v>
      </c>
      <c r="GG142">
        <v>24.323</v>
      </c>
      <c r="GH142">
        <v>25.912800000000001</v>
      </c>
      <c r="GI142">
        <v>29.9998</v>
      </c>
      <c r="GJ142">
        <v>26.062999999999999</v>
      </c>
      <c r="GK142">
        <v>26.045000000000002</v>
      </c>
      <c r="GL142">
        <v>35.313200000000002</v>
      </c>
      <c r="GM142">
        <v>100</v>
      </c>
      <c r="GN142">
        <v>44.010300000000001</v>
      </c>
      <c r="GO142">
        <v>24.342400000000001</v>
      </c>
      <c r="GP142">
        <v>800</v>
      </c>
      <c r="GQ142">
        <v>0.33110699999999998</v>
      </c>
      <c r="GR142">
        <v>99.822100000000006</v>
      </c>
      <c r="GS142">
        <v>99.696799999999996</v>
      </c>
    </row>
    <row r="143" spans="1:201" x14ac:dyDescent="0.25">
      <c r="A143">
        <v>127</v>
      </c>
      <c r="B143">
        <v>1690389545.5999999</v>
      </c>
      <c r="C143">
        <v>1287.099999904633</v>
      </c>
      <c r="D143" t="s">
        <v>587</v>
      </c>
      <c r="E143" t="s">
        <v>588</v>
      </c>
      <c r="F143" t="s">
        <v>330</v>
      </c>
      <c r="H143">
        <v>1690389545.5999999</v>
      </c>
      <c r="I143">
        <f t="shared" si="30"/>
        <v>2.2259265171414616E-3</v>
      </c>
      <c r="J143">
        <f t="shared" si="31"/>
        <v>2.2259265171414615</v>
      </c>
      <c r="K143">
        <f t="shared" si="32"/>
        <v>32.326900260123466</v>
      </c>
      <c r="L143">
        <f t="shared" si="33"/>
        <v>446.98599999999999</v>
      </c>
      <c r="M143">
        <f t="shared" si="34"/>
        <v>124.46124676753627</v>
      </c>
      <c r="N143">
        <f t="shared" si="35"/>
        <v>12.26392431429117</v>
      </c>
      <c r="O143">
        <f t="shared" si="36"/>
        <v>44.044251651973603</v>
      </c>
      <c r="P143">
        <f t="shared" si="37"/>
        <v>0.1696272081083447</v>
      </c>
      <c r="Q143">
        <f t="shared" si="38"/>
        <v>2.1557870633513319</v>
      </c>
      <c r="R143">
        <f t="shared" si="39"/>
        <v>0.16254574779427711</v>
      </c>
      <c r="S143">
        <f t="shared" si="40"/>
        <v>0.10220269830337243</v>
      </c>
      <c r="T143">
        <f t="shared" si="41"/>
        <v>276.11603342999996</v>
      </c>
      <c r="U143">
        <f t="shared" si="42"/>
        <v>27.178936827813839</v>
      </c>
      <c r="V143">
        <f t="shared" si="43"/>
        <v>27.178936827813839</v>
      </c>
      <c r="W143">
        <f t="shared" si="44"/>
        <v>3.6169475070621306</v>
      </c>
      <c r="X143">
        <f t="shared" si="45"/>
        <v>69.278689362245345</v>
      </c>
      <c r="Y143">
        <f t="shared" si="46"/>
        <v>2.3081487303774399</v>
      </c>
      <c r="Z143">
        <f t="shared" si="47"/>
        <v>3.3316864848706373</v>
      </c>
      <c r="AA143">
        <f t="shared" si="48"/>
        <v>1.3087987766846907</v>
      </c>
      <c r="AB143">
        <f t="shared" si="49"/>
        <v>-98.163359405938465</v>
      </c>
      <c r="AC143">
        <f t="shared" si="50"/>
        <v>-161.93749654704149</v>
      </c>
      <c r="AD143">
        <f t="shared" si="51"/>
        <v>-16.127552324775898</v>
      </c>
      <c r="AE143">
        <f t="shared" si="52"/>
        <v>-0.11237484775588769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52286.842033588895</v>
      </c>
      <c r="AK143">
        <f t="shared" si="56"/>
        <v>1800</v>
      </c>
      <c r="AL143">
        <f t="shared" si="57"/>
        <v>1499.113881</v>
      </c>
      <c r="AM143">
        <f t="shared" si="58"/>
        <v>0.832841045</v>
      </c>
      <c r="AN143">
        <f t="shared" si="59"/>
        <v>0.15339779634999998</v>
      </c>
      <c r="AO143">
        <v>31.8</v>
      </c>
      <c r="AP143">
        <v>0.5</v>
      </c>
      <c r="AQ143" t="s">
        <v>331</v>
      </c>
      <c r="AR143">
        <v>2</v>
      </c>
      <c r="AS143">
        <v>1690389545.5999999</v>
      </c>
      <c r="AT143">
        <v>446.98599999999999</v>
      </c>
      <c r="AU143">
        <v>800.04</v>
      </c>
      <c r="AV143">
        <v>23.424399999999999</v>
      </c>
      <c r="AW143">
        <v>0.39256099999999999</v>
      </c>
      <c r="AX143">
        <v>446.59500000000003</v>
      </c>
      <c r="AY143">
        <v>23.225999999999999</v>
      </c>
      <c r="AZ143">
        <v>300.13400000000001</v>
      </c>
      <c r="BA143">
        <v>98.436099999999996</v>
      </c>
      <c r="BB143">
        <v>9.9987599999999996E-2</v>
      </c>
      <c r="BC143">
        <v>25.785599999999999</v>
      </c>
      <c r="BD143">
        <v>26.9862</v>
      </c>
      <c r="BE143">
        <v>26.994299999999999</v>
      </c>
      <c r="BF143">
        <v>0</v>
      </c>
      <c r="BG143">
        <v>0</v>
      </c>
      <c r="BH143">
        <v>10005</v>
      </c>
      <c r="BI143">
        <v>1064.79</v>
      </c>
      <c r="BJ143">
        <v>1.4016500000000001</v>
      </c>
      <c r="BK143">
        <v>-353.05399999999997</v>
      </c>
      <c r="BL143">
        <v>457.70800000000003</v>
      </c>
      <c r="BM143">
        <v>800.35400000000004</v>
      </c>
      <c r="BN143">
        <v>23.0319</v>
      </c>
      <c r="BO143">
        <v>800.04</v>
      </c>
      <c r="BP143">
        <v>0.39256099999999999</v>
      </c>
      <c r="BQ143">
        <v>2.3058100000000001</v>
      </c>
      <c r="BR143">
        <v>3.8642200000000002E-2</v>
      </c>
      <c r="BS143">
        <v>19.717099999999999</v>
      </c>
      <c r="BT143">
        <v>-32.875999999999998</v>
      </c>
      <c r="BU143">
        <v>1800</v>
      </c>
      <c r="BV143">
        <v>0.90999699999999994</v>
      </c>
      <c r="BW143">
        <v>3.39917E-2</v>
      </c>
      <c r="BX143">
        <v>2.2005E-2</v>
      </c>
      <c r="BY143">
        <v>3.4006700000000001E-2</v>
      </c>
      <c r="BZ143">
        <v>25</v>
      </c>
      <c r="CA143">
        <v>33528.300000000003</v>
      </c>
      <c r="CB143">
        <v>1690387638</v>
      </c>
      <c r="CC143" t="s">
        <v>332</v>
      </c>
      <c r="CD143">
        <v>1690387638</v>
      </c>
      <c r="CE143">
        <v>1690387638</v>
      </c>
      <c r="CF143">
        <v>6</v>
      </c>
      <c r="CG143">
        <v>0.43</v>
      </c>
      <c r="CH143">
        <v>-8.1000000000000003E-2</v>
      </c>
      <c r="CI143">
        <v>0.14199999999999999</v>
      </c>
      <c r="CJ143">
        <v>-2.7E-2</v>
      </c>
      <c r="CK143">
        <v>800</v>
      </c>
      <c r="CL143">
        <v>0</v>
      </c>
      <c r="CM143">
        <v>0.01</v>
      </c>
      <c r="CN143">
        <v>0.01</v>
      </c>
      <c r="CO143">
        <v>-350.3532195121951</v>
      </c>
      <c r="CP143">
        <v>-14.292041811847231</v>
      </c>
      <c r="CQ143">
        <v>1.421111734372249</v>
      </c>
      <c r="CR143">
        <v>-1</v>
      </c>
      <c r="CS143">
        <v>22.67231219512195</v>
      </c>
      <c r="CT143">
        <v>2.381354006968615</v>
      </c>
      <c r="CU143">
        <v>0.24179403470129851</v>
      </c>
      <c r="CV143">
        <v>-1</v>
      </c>
      <c r="CW143">
        <v>0</v>
      </c>
      <c r="CX143">
        <v>0</v>
      </c>
      <c r="CY143" t="s">
        <v>333</v>
      </c>
      <c r="CZ143">
        <v>2.3648699999999998</v>
      </c>
      <c r="DA143">
        <v>2.7137799999999999</v>
      </c>
      <c r="DB143">
        <v>9.6690700000000004E-2</v>
      </c>
      <c r="DC143">
        <v>0.145153</v>
      </c>
      <c r="DD143">
        <v>0.11129600000000001</v>
      </c>
      <c r="DE143">
        <v>3.2406399999999999E-3</v>
      </c>
      <c r="DF143">
        <v>33010.300000000003</v>
      </c>
      <c r="DG143">
        <v>27584.2</v>
      </c>
      <c r="DH143">
        <v>31196.3</v>
      </c>
      <c r="DI143">
        <v>28116.7</v>
      </c>
      <c r="DJ143">
        <v>37639.1</v>
      </c>
      <c r="DK143">
        <v>39862.300000000003</v>
      </c>
      <c r="DL143">
        <v>44400.2</v>
      </c>
      <c r="DM143">
        <v>42618.3</v>
      </c>
      <c r="DN143">
        <v>1.4747300000000001</v>
      </c>
      <c r="DO143">
        <v>2.0320499999999999</v>
      </c>
      <c r="DP143">
        <v>0.15418200000000001</v>
      </c>
      <c r="DQ143">
        <v>0.15634999999999999</v>
      </c>
      <c r="DR143">
        <v>24.459399999999999</v>
      </c>
      <c r="DS143">
        <v>24.431999999999999</v>
      </c>
      <c r="DT143">
        <v>39.299999999999997</v>
      </c>
      <c r="DU143">
        <v>28.9</v>
      </c>
      <c r="DV143">
        <v>15.963900000000001</v>
      </c>
      <c r="DW143">
        <v>60.542200000000001</v>
      </c>
      <c r="DX143">
        <v>37.840499999999999</v>
      </c>
      <c r="DY143">
        <v>1</v>
      </c>
      <c r="DZ143">
        <v>-0.118011</v>
      </c>
      <c r="EA143">
        <v>-0.194853</v>
      </c>
      <c r="EB143">
        <v>20.190000000000001</v>
      </c>
      <c r="EC143">
        <v>5.24125</v>
      </c>
      <c r="ED143">
        <v>12.039899999999999</v>
      </c>
      <c r="EE143">
        <v>5.0172999999999996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1.8692</v>
      </c>
      <c r="EN143">
        <v>1.8672500000000001</v>
      </c>
      <c r="EO143">
        <v>1.86338</v>
      </c>
      <c r="EP143">
        <v>1.86446</v>
      </c>
      <c r="EQ143">
        <v>1.8701700000000001</v>
      </c>
      <c r="ER143">
        <v>1.86938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0.39100000000000001</v>
      </c>
      <c r="FG143">
        <v>0.19839999999999999</v>
      </c>
      <c r="FH143">
        <v>0.69281559908863044</v>
      </c>
      <c r="FI143">
        <v>-6.1462078757559423E-4</v>
      </c>
      <c r="FJ143">
        <v>-1.8861989874597051E-7</v>
      </c>
      <c r="FK143">
        <v>1.1980462299894961E-10</v>
      </c>
      <c r="FL143">
        <v>0.19840465858211129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31.8</v>
      </c>
      <c r="FU143">
        <v>31.8</v>
      </c>
      <c r="FV143">
        <v>1.7663599999999999</v>
      </c>
      <c r="FW143">
        <v>2.5854499999999998</v>
      </c>
      <c r="FX143">
        <v>1.5490699999999999</v>
      </c>
      <c r="FY143">
        <v>2.3339799999999999</v>
      </c>
      <c r="FZ143">
        <v>1.50146</v>
      </c>
      <c r="GA143">
        <v>2.31812</v>
      </c>
      <c r="GB143">
        <v>33.602899999999998</v>
      </c>
      <c r="GC143">
        <v>23.982399999999998</v>
      </c>
      <c r="GD143">
        <v>19</v>
      </c>
      <c r="GE143">
        <v>280.97899999999998</v>
      </c>
      <c r="GF143">
        <v>576.26599999999996</v>
      </c>
      <c r="GG143">
        <v>24.372</v>
      </c>
      <c r="GH143">
        <v>25.912299999999998</v>
      </c>
      <c r="GI143">
        <v>30.0001</v>
      </c>
      <c r="GJ143">
        <v>26.0623</v>
      </c>
      <c r="GK143">
        <v>26.041499999999999</v>
      </c>
      <c r="GL143">
        <v>35.318899999999999</v>
      </c>
      <c r="GM143">
        <v>100</v>
      </c>
      <c r="GN143">
        <v>43.190100000000001</v>
      </c>
      <c r="GO143">
        <v>24.377199999999998</v>
      </c>
      <c r="GP143">
        <v>800</v>
      </c>
      <c r="GQ143">
        <v>5.5315900000000001E-2</v>
      </c>
      <c r="GR143">
        <v>99.821399999999997</v>
      </c>
      <c r="GS143">
        <v>99.695999999999998</v>
      </c>
    </row>
    <row r="144" spans="1:201" x14ac:dyDescent="0.25">
      <c r="A144">
        <v>128</v>
      </c>
      <c r="B144">
        <v>1690389555.5999999</v>
      </c>
      <c r="C144">
        <v>1297.099999904633</v>
      </c>
      <c r="D144" t="s">
        <v>589</v>
      </c>
      <c r="E144" t="s">
        <v>590</v>
      </c>
      <c r="F144" t="s">
        <v>330</v>
      </c>
      <c r="H144">
        <v>1690389555.5999999</v>
      </c>
      <c r="I144">
        <f t="shared" si="30"/>
        <v>2.2316167158650353E-3</v>
      </c>
      <c r="J144">
        <f t="shared" si="31"/>
        <v>2.2316167158650351</v>
      </c>
      <c r="K144">
        <f t="shared" si="32"/>
        <v>32.554267454703641</v>
      </c>
      <c r="L144">
        <f t="shared" si="33"/>
        <v>444.5</v>
      </c>
      <c r="M144">
        <f t="shared" si="34"/>
        <v>120.2012050593473</v>
      </c>
      <c r="N144">
        <f t="shared" si="35"/>
        <v>11.845068245574266</v>
      </c>
      <c r="O144">
        <f t="shared" si="36"/>
        <v>43.802662648500004</v>
      </c>
      <c r="P144">
        <f t="shared" si="37"/>
        <v>0.16985464336737671</v>
      </c>
      <c r="Q144">
        <f t="shared" si="38"/>
        <v>2.1509344955116076</v>
      </c>
      <c r="R144">
        <f t="shared" si="39"/>
        <v>0.16273931162638378</v>
      </c>
      <c r="S144">
        <f t="shared" si="40"/>
        <v>0.10232651584510583</v>
      </c>
      <c r="T144">
        <f t="shared" si="41"/>
        <v>276.11570069999999</v>
      </c>
      <c r="U144">
        <f t="shared" si="42"/>
        <v>27.194007389517633</v>
      </c>
      <c r="V144">
        <f t="shared" si="43"/>
        <v>27.194007389517633</v>
      </c>
      <c r="W144">
        <f t="shared" si="44"/>
        <v>3.6201459432230725</v>
      </c>
      <c r="X144">
        <f t="shared" si="45"/>
        <v>69.260612212240275</v>
      </c>
      <c r="Y144">
        <f t="shared" si="46"/>
        <v>2.3094892291625997</v>
      </c>
      <c r="Z144">
        <f t="shared" si="47"/>
        <v>3.3344915030283961</v>
      </c>
      <c r="AA144">
        <f t="shared" si="48"/>
        <v>1.3106567140604728</v>
      </c>
      <c r="AB144">
        <f t="shared" si="49"/>
        <v>-98.414297169648052</v>
      </c>
      <c r="AC144">
        <f t="shared" si="50"/>
        <v>-161.67393478099089</v>
      </c>
      <c r="AD144">
        <f t="shared" si="51"/>
        <v>-16.139994962157466</v>
      </c>
      <c r="AE144">
        <f t="shared" si="52"/>
        <v>-0.11252621279641062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52081.472006045711</v>
      </c>
      <c r="AK144">
        <f t="shared" si="56"/>
        <v>1800</v>
      </c>
      <c r="AL144">
        <f t="shared" si="57"/>
        <v>1499.112783</v>
      </c>
      <c r="AM144">
        <f t="shared" si="58"/>
        <v>0.83284043500000005</v>
      </c>
      <c r="AN144">
        <f t="shared" si="59"/>
        <v>0.1533976115</v>
      </c>
      <c r="AO144">
        <v>31.8</v>
      </c>
      <c r="AP144">
        <v>0.5</v>
      </c>
      <c r="AQ144" t="s">
        <v>331</v>
      </c>
      <c r="AR144">
        <v>2</v>
      </c>
      <c r="AS144">
        <v>1690389555.5999999</v>
      </c>
      <c r="AT144">
        <v>444.5</v>
      </c>
      <c r="AU144">
        <v>799.93</v>
      </c>
      <c r="AV144">
        <v>23.436199999999999</v>
      </c>
      <c r="AW144">
        <v>0.34583999999999998</v>
      </c>
      <c r="AX144">
        <v>444.10700000000003</v>
      </c>
      <c r="AY144">
        <v>23.2378</v>
      </c>
      <c r="AZ144">
        <v>300.13499999999999</v>
      </c>
      <c r="BA144">
        <v>98.443600000000004</v>
      </c>
      <c r="BB144">
        <v>0.100073</v>
      </c>
      <c r="BC144">
        <v>25.799800000000001</v>
      </c>
      <c r="BD144">
        <v>26.985099999999999</v>
      </c>
      <c r="BE144">
        <v>27.006799999999998</v>
      </c>
      <c r="BF144">
        <v>0</v>
      </c>
      <c r="BG144">
        <v>0</v>
      </c>
      <c r="BH144">
        <v>9963.75</v>
      </c>
      <c r="BI144">
        <v>1064.93</v>
      </c>
      <c r="BJ144">
        <v>1.4016500000000001</v>
      </c>
      <c r="BK144">
        <v>-355.43</v>
      </c>
      <c r="BL144">
        <v>455.16800000000001</v>
      </c>
      <c r="BM144">
        <v>800.20699999999999</v>
      </c>
      <c r="BN144">
        <v>23.090399999999999</v>
      </c>
      <c r="BO144">
        <v>799.93</v>
      </c>
      <c r="BP144">
        <v>0.34583999999999998</v>
      </c>
      <c r="BQ144">
        <v>2.30715</v>
      </c>
      <c r="BR144">
        <v>3.4045800000000001E-2</v>
      </c>
      <c r="BS144">
        <v>19.726400000000002</v>
      </c>
      <c r="BT144">
        <v>-34.168199999999999</v>
      </c>
      <c r="BU144">
        <v>1800</v>
      </c>
      <c r="BV144">
        <v>0.90999799999999997</v>
      </c>
      <c r="BW144">
        <v>3.3991E-2</v>
      </c>
      <c r="BX144">
        <v>2.20045E-2</v>
      </c>
      <c r="BY144">
        <v>3.4006000000000002E-2</v>
      </c>
      <c r="BZ144">
        <v>25</v>
      </c>
      <c r="CA144">
        <v>33528.300000000003</v>
      </c>
      <c r="CB144">
        <v>1690387638</v>
      </c>
      <c r="CC144" t="s">
        <v>332</v>
      </c>
      <c r="CD144">
        <v>1690387638</v>
      </c>
      <c r="CE144">
        <v>1690387638</v>
      </c>
      <c r="CF144">
        <v>6</v>
      </c>
      <c r="CG144">
        <v>0.43</v>
      </c>
      <c r="CH144">
        <v>-8.1000000000000003E-2</v>
      </c>
      <c r="CI144">
        <v>0.14199999999999999</v>
      </c>
      <c r="CJ144">
        <v>-2.7E-2</v>
      </c>
      <c r="CK144">
        <v>800</v>
      </c>
      <c r="CL144">
        <v>0</v>
      </c>
      <c r="CM144">
        <v>0.01</v>
      </c>
      <c r="CN144">
        <v>0.01</v>
      </c>
      <c r="CO144">
        <v>-352.78019512195118</v>
      </c>
      <c r="CP144">
        <v>-14.420738675957949</v>
      </c>
      <c r="CQ144">
        <v>1.4309947455974159</v>
      </c>
      <c r="CR144">
        <v>-1</v>
      </c>
      <c r="CS144">
        <v>22.967739024390241</v>
      </c>
      <c r="CT144">
        <v>1.1218285714286069</v>
      </c>
      <c r="CU144">
        <v>0.12989401097376671</v>
      </c>
      <c r="CV144">
        <v>-1</v>
      </c>
      <c r="CW144">
        <v>0</v>
      </c>
      <c r="CX144">
        <v>0</v>
      </c>
      <c r="CY144" t="s">
        <v>333</v>
      </c>
      <c r="CZ144">
        <v>2.3648799999999999</v>
      </c>
      <c r="DA144">
        <v>2.7138300000000002</v>
      </c>
      <c r="DB144">
        <v>9.6295199999999997E-2</v>
      </c>
      <c r="DC144">
        <v>0.14515</v>
      </c>
      <c r="DD144">
        <v>0.111344</v>
      </c>
      <c r="DE144">
        <v>2.8631400000000001E-3</v>
      </c>
      <c r="DF144">
        <v>33025.199999999997</v>
      </c>
      <c r="DG144">
        <v>27584.1</v>
      </c>
      <c r="DH144">
        <v>31196.799999999999</v>
      </c>
      <c r="DI144">
        <v>28116.400000000001</v>
      </c>
      <c r="DJ144">
        <v>37637.5</v>
      </c>
      <c r="DK144">
        <v>39877.1</v>
      </c>
      <c r="DL144">
        <v>44400.800000000003</v>
      </c>
      <c r="DM144">
        <v>42617.9</v>
      </c>
      <c r="DN144">
        <v>1.4749699999999999</v>
      </c>
      <c r="DO144">
        <v>2.0318499999999999</v>
      </c>
      <c r="DP144">
        <v>0.15380199999999999</v>
      </c>
      <c r="DQ144">
        <v>0.156611</v>
      </c>
      <c r="DR144">
        <v>24.464600000000001</v>
      </c>
      <c r="DS144">
        <v>24.440200000000001</v>
      </c>
      <c r="DT144">
        <v>38.700000000000003</v>
      </c>
      <c r="DU144">
        <v>28.9</v>
      </c>
      <c r="DV144">
        <v>15.718400000000001</v>
      </c>
      <c r="DW144">
        <v>60.982199999999999</v>
      </c>
      <c r="DX144">
        <v>36.806899999999999</v>
      </c>
      <c r="DY144">
        <v>1</v>
      </c>
      <c r="DZ144">
        <v>-0.118061</v>
      </c>
      <c r="EA144">
        <v>-0.172789</v>
      </c>
      <c r="EB144">
        <v>20.190000000000001</v>
      </c>
      <c r="EC144">
        <v>5.2411000000000003</v>
      </c>
      <c r="ED144">
        <v>12.039899999999999</v>
      </c>
      <c r="EE144">
        <v>5.0174000000000003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1.8692</v>
      </c>
      <c r="EN144">
        <v>1.8672299999999999</v>
      </c>
      <c r="EO144">
        <v>1.86337</v>
      </c>
      <c r="EP144">
        <v>1.86446</v>
      </c>
      <c r="EQ144">
        <v>1.8701399999999999</v>
      </c>
      <c r="ER144">
        <v>1.8693599999999999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0.39300000000000002</v>
      </c>
      <c r="FG144">
        <v>0.19839999999999999</v>
      </c>
      <c r="FH144">
        <v>0.69281559908863044</v>
      </c>
      <c r="FI144">
        <v>-6.1462078757559423E-4</v>
      </c>
      <c r="FJ144">
        <v>-1.8861989874597051E-7</v>
      </c>
      <c r="FK144">
        <v>1.1980462299894961E-10</v>
      </c>
      <c r="FL144">
        <v>0.19840465858211129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32</v>
      </c>
      <c r="FU144">
        <v>32</v>
      </c>
      <c r="FV144">
        <v>1.7663599999999999</v>
      </c>
      <c r="FW144">
        <v>2.5817899999999998</v>
      </c>
      <c r="FX144">
        <v>1.5490699999999999</v>
      </c>
      <c r="FY144">
        <v>2.3339799999999999</v>
      </c>
      <c r="FZ144">
        <v>1.50146</v>
      </c>
      <c r="GA144">
        <v>2.3950200000000001</v>
      </c>
      <c r="GB144">
        <v>33.580399999999997</v>
      </c>
      <c r="GC144">
        <v>23.991199999999999</v>
      </c>
      <c r="GD144">
        <v>19</v>
      </c>
      <c r="GE144">
        <v>281.07600000000002</v>
      </c>
      <c r="GF144">
        <v>576.10199999999998</v>
      </c>
      <c r="GG144">
        <v>24.393999999999998</v>
      </c>
      <c r="GH144">
        <v>25.911300000000001</v>
      </c>
      <c r="GI144">
        <v>30.0001</v>
      </c>
      <c r="GJ144">
        <v>26.060099999999998</v>
      </c>
      <c r="GK144">
        <v>26.041499999999999</v>
      </c>
      <c r="GL144">
        <v>35.319299999999998</v>
      </c>
      <c r="GM144">
        <v>100</v>
      </c>
      <c r="GN144">
        <v>42.002400000000002</v>
      </c>
      <c r="GO144">
        <v>24.404900000000001</v>
      </c>
      <c r="GP144">
        <v>800</v>
      </c>
      <c r="GQ144">
        <v>0</v>
      </c>
      <c r="GR144">
        <v>99.822800000000001</v>
      </c>
      <c r="GS144">
        <v>99.694999999999993</v>
      </c>
    </row>
    <row r="145" spans="1:201" x14ac:dyDescent="0.25">
      <c r="A145">
        <v>129</v>
      </c>
      <c r="B145">
        <v>1690389565.5999999</v>
      </c>
      <c r="C145">
        <v>1307.099999904633</v>
      </c>
      <c r="D145" t="s">
        <v>591</v>
      </c>
      <c r="E145" t="s">
        <v>592</v>
      </c>
      <c r="F145" t="s">
        <v>330</v>
      </c>
      <c r="H145">
        <v>1690389565.5999999</v>
      </c>
      <c r="I145">
        <f t="shared" ref="I145:I208" si="60">(J145)/1000</f>
        <v>2.2385620357836199E-3</v>
      </c>
      <c r="J145">
        <f t="shared" ref="J145:J208" si="61">1000*AZ145*AH145*(AV145-AW145)/(100*AO145*(1000-AH145*AV145))</f>
        <v>2.23856203578362</v>
      </c>
      <c r="K145">
        <f t="shared" ref="K145:K208" si="62">AZ145*AH145*(AU145-AT145*(1000-AH145*AW145)/(1000-AH145*AV145))/(100*AO145)</f>
        <v>32.792150351232785</v>
      </c>
      <c r="L145">
        <f t="shared" ref="L145:L208" si="63">AT145 - IF(AH145&gt;1, K145*AO145*100/(AJ145*BH145), 0)</f>
        <v>442.08300000000003</v>
      </c>
      <c r="M145">
        <f t="shared" ref="M145:M208" si="64">((S145-I145/2)*L145-K145)/(S145+I145/2)</f>
        <v>117.43811495393965</v>
      </c>
      <c r="N145">
        <f t="shared" ref="N145:N208" si="65">M145*(BA145+BB145)/1000</f>
        <v>11.572914564032827</v>
      </c>
      <c r="O145">
        <f t="shared" ref="O145:O208" si="66">(AT145 - IF(AH145&gt;1, K145*AO145*100/(AJ145*BH145), 0))*(BA145+BB145)/1000</f>
        <v>43.564977104902802</v>
      </c>
      <c r="P145">
        <f t="shared" ref="P145:P208" si="67">2/((1/R145-1/Q145)+SIGN(R145)*SQRT((1/R145-1/Q145)*(1/R145-1/Q145) + 4*AP145/((AP145+1)*(AP145+1))*(2*1/R145*1/Q145-1/Q145*1/Q145)))</f>
        <v>0.17087906824228113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2.1608126648093826</v>
      </c>
      <c r="R145">
        <f t="shared" ref="R145:R208" si="69">I145*(1000-(1000*0.61365*EXP(17.502*V145/(240.97+V145))/(BA145+BB145)+AV145)/2)/(1000*0.61365*EXP(17.502*V145/(240.97+V145))/(BA145+BB145)-AV145)</f>
        <v>0.16371103358936195</v>
      </c>
      <c r="S145">
        <f t="shared" ref="S145:S208" si="70">1/((AP145+1)/(P145/1.6)+1/(Q145/1.37)) + AP145/((AP145+1)/(P145/1.6) + AP145/(Q145/1.37))</f>
        <v>0.102938358968967</v>
      </c>
      <c r="T145">
        <f t="shared" ref="T145:T208" si="71">(AK145*AN145)</f>
        <v>276.11589000600003</v>
      </c>
      <c r="U145">
        <f t="shared" ref="U145:U208" si="72">(BC145+(T145+2*0.95*0.0000000567*(((BC145+$B$7)+273)^4-(BC145+273)^4)-44100*I145)/(1.84*29.3*Q145+8*0.95*0.0000000567*(BC145+273)^3))</f>
        <v>27.198798381361236</v>
      </c>
      <c r="V145">
        <f t="shared" ref="V145:V208" si="73">($C$7*BD145+$D$7*BE145+$E$7*U145)</f>
        <v>27.198798381361236</v>
      </c>
      <c r="W145">
        <f t="shared" ref="W145:W208" si="74">0.61365*EXP(17.502*V145/(240.97+V145))</f>
        <v>3.6211632558829727</v>
      </c>
      <c r="X145">
        <f t="shared" ref="X145:X208" si="75">(Y145/Z145*100)</f>
        <v>69.350103312531246</v>
      </c>
      <c r="Y145">
        <f t="shared" ref="Y145:Y208" si="76">AV145*(BA145+BB145)/1000</f>
        <v>2.3142554493718799</v>
      </c>
      <c r="Z145">
        <f t="shared" ref="Z145:Z208" si="77">0.61365*EXP(17.502*BC145/(240.97+BC145))</f>
        <v>3.3370612858967497</v>
      </c>
      <c r="AA145">
        <f t="shared" ref="AA145:AA208" si="78">(W145-AV145*(BA145+BB145)/1000)</f>
        <v>1.3069078065110928</v>
      </c>
      <c r="AB145">
        <f t="shared" ref="AB145:AB208" si="79">(-I145*44100)</f>
        <v>-98.720585778057639</v>
      </c>
      <c r="AC145">
        <f t="shared" ref="AC145:AC208" si="80">2*29.3*Q145*0.92*(BC145-V145)</f>
        <v>-161.46012452462105</v>
      </c>
      <c r="AD145">
        <f t="shared" ref="AD145:AD208" si="81">2*0.95*0.0000000567*(((BC145+$B$7)+273)^4-(V145+273)^4)</f>
        <v>-16.046392348575868</v>
      </c>
      <c r="AE145">
        <f t="shared" ref="AE145:AE208" si="82">T145+AD145+AB145+AC145</f>
        <v>-0.11121264525451124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52493.066442523261</v>
      </c>
      <c r="AK145">
        <f t="shared" ref="AK145:AK208" si="86">$B$11*BI145+$C$11*BJ145+$D$11*BU145</f>
        <v>1800</v>
      </c>
      <c r="AL145">
        <f t="shared" ref="AL145:AL208" si="87">AK145*AM145</f>
        <v>1499.1136056</v>
      </c>
      <c r="AM145">
        <f t="shared" ref="AM145:AM208" si="88">($B$11*$D$9+$C$11*$D$9+$D$11*(BV145*$E$9+BW145*$F$9+BX145*$G$9+BY145*$H$9))/($B$11+$C$11+$D$11)</f>
        <v>0.832840892</v>
      </c>
      <c r="AN145">
        <f t="shared" ref="AN145:AN208" si="89">($B$11*$K$9+$C$11*$K$9+$D$11*(BV145*$L$9+BW145*$M$9+BX145*$N$9+BY145*$O$9))/($B$11+$C$11+$D$11)</f>
        <v>0.15339771667000002</v>
      </c>
      <c r="AO145">
        <v>31.8</v>
      </c>
      <c r="AP145">
        <v>0.5</v>
      </c>
      <c r="AQ145" t="s">
        <v>331</v>
      </c>
      <c r="AR145">
        <v>2</v>
      </c>
      <c r="AS145">
        <v>1690389565.5999999</v>
      </c>
      <c r="AT145">
        <v>442.08300000000003</v>
      </c>
      <c r="AU145">
        <v>800.01</v>
      </c>
      <c r="AV145">
        <v>23.484300000000001</v>
      </c>
      <c r="AW145">
        <v>0.32314100000000001</v>
      </c>
      <c r="AX145">
        <v>441.68799999999999</v>
      </c>
      <c r="AY145">
        <v>23.285900000000002</v>
      </c>
      <c r="AZ145">
        <v>300.13400000000001</v>
      </c>
      <c r="BA145">
        <v>98.444800000000001</v>
      </c>
      <c r="BB145">
        <v>9.99916E-2</v>
      </c>
      <c r="BC145">
        <v>25.812799999999999</v>
      </c>
      <c r="BD145">
        <v>27.000499999999999</v>
      </c>
      <c r="BE145">
        <v>27.000599999999999</v>
      </c>
      <c r="BF145">
        <v>0</v>
      </c>
      <c r="BG145">
        <v>0</v>
      </c>
      <c r="BH145">
        <v>10046.200000000001</v>
      </c>
      <c r="BI145">
        <v>1065.06</v>
      </c>
      <c r="BJ145">
        <v>1.4016500000000001</v>
      </c>
      <c r="BK145">
        <v>-357.92700000000002</v>
      </c>
      <c r="BL145">
        <v>452.714</v>
      </c>
      <c r="BM145">
        <v>800.26800000000003</v>
      </c>
      <c r="BN145">
        <v>23.161200000000001</v>
      </c>
      <c r="BO145">
        <v>800.01</v>
      </c>
      <c r="BP145">
        <v>0.32314100000000001</v>
      </c>
      <c r="BQ145">
        <v>2.3119100000000001</v>
      </c>
      <c r="BR145">
        <v>3.1811499999999999E-2</v>
      </c>
      <c r="BS145">
        <v>19.759599999999999</v>
      </c>
      <c r="BT145">
        <v>-34.854300000000002</v>
      </c>
      <c r="BU145">
        <v>1800</v>
      </c>
      <c r="BV145">
        <v>0.90999799999999997</v>
      </c>
      <c r="BW145">
        <v>3.39929E-2</v>
      </c>
      <c r="BX145">
        <v>2.2004099999999999E-2</v>
      </c>
      <c r="BY145">
        <v>3.4005300000000002E-2</v>
      </c>
      <c r="BZ145">
        <v>25</v>
      </c>
      <c r="CA145">
        <v>33528.400000000001</v>
      </c>
      <c r="CB145">
        <v>1690387638</v>
      </c>
      <c r="CC145" t="s">
        <v>332</v>
      </c>
      <c r="CD145">
        <v>1690387638</v>
      </c>
      <c r="CE145">
        <v>1690387638</v>
      </c>
      <c r="CF145">
        <v>6</v>
      </c>
      <c r="CG145">
        <v>0.43</v>
      </c>
      <c r="CH145">
        <v>-8.1000000000000003E-2</v>
      </c>
      <c r="CI145">
        <v>0.14199999999999999</v>
      </c>
      <c r="CJ145">
        <v>-2.7E-2</v>
      </c>
      <c r="CK145">
        <v>800</v>
      </c>
      <c r="CL145">
        <v>0</v>
      </c>
      <c r="CM145">
        <v>0.01</v>
      </c>
      <c r="CN145">
        <v>0.01</v>
      </c>
      <c r="CO145">
        <v>-355.26114634146347</v>
      </c>
      <c r="CP145">
        <v>-15.030898954703661</v>
      </c>
      <c r="CQ145">
        <v>1.48295996954305</v>
      </c>
      <c r="CR145">
        <v>-1</v>
      </c>
      <c r="CS145">
        <v>23.08601707317073</v>
      </c>
      <c r="CT145">
        <v>0.39229128919859457</v>
      </c>
      <c r="CU145">
        <v>3.8810294727037682E-2</v>
      </c>
      <c r="CV145">
        <v>-1</v>
      </c>
      <c r="CW145">
        <v>0</v>
      </c>
      <c r="CX145">
        <v>0</v>
      </c>
      <c r="CY145" t="s">
        <v>333</v>
      </c>
      <c r="CZ145">
        <v>2.3648799999999999</v>
      </c>
      <c r="DA145">
        <v>2.7138200000000001</v>
      </c>
      <c r="DB145">
        <v>9.5903699999999995E-2</v>
      </c>
      <c r="DC145">
        <v>0.14516100000000001</v>
      </c>
      <c r="DD145">
        <v>0.111508</v>
      </c>
      <c r="DE145">
        <v>2.6788900000000002E-3</v>
      </c>
      <c r="DF145">
        <v>33039.699999999997</v>
      </c>
      <c r="DG145">
        <v>27584.2</v>
      </c>
      <c r="DH145">
        <v>31197</v>
      </c>
      <c r="DI145">
        <v>28116.9</v>
      </c>
      <c r="DJ145">
        <v>37630.800000000003</v>
      </c>
      <c r="DK145">
        <v>39885</v>
      </c>
      <c r="DL145">
        <v>44401.2</v>
      </c>
      <c r="DM145">
        <v>42618.400000000001</v>
      </c>
      <c r="DN145">
        <v>1.47525</v>
      </c>
      <c r="DO145">
        <v>2.03172</v>
      </c>
      <c r="DP145">
        <v>0.15422</v>
      </c>
      <c r="DQ145">
        <v>0.15554599999999999</v>
      </c>
      <c r="DR145">
        <v>24.473099999999999</v>
      </c>
      <c r="DS145">
        <v>24.451499999999999</v>
      </c>
      <c r="DT145">
        <v>38.299999999999997</v>
      </c>
      <c r="DU145">
        <v>28.9</v>
      </c>
      <c r="DV145">
        <v>15.5571</v>
      </c>
      <c r="DW145">
        <v>60.702199999999998</v>
      </c>
      <c r="DX145">
        <v>37.732399999999998</v>
      </c>
      <c r="DY145">
        <v>1</v>
      </c>
      <c r="DZ145">
        <v>-0.118648</v>
      </c>
      <c r="EA145">
        <v>0.41134300000000001</v>
      </c>
      <c r="EB145">
        <v>20.187200000000001</v>
      </c>
      <c r="EC145">
        <v>5.2411000000000003</v>
      </c>
      <c r="ED145">
        <v>12.039899999999999</v>
      </c>
      <c r="EE145">
        <v>5.0172499999999998</v>
      </c>
      <c r="EF145">
        <v>3.2879700000000001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1.8646199999999999</v>
      </c>
      <c r="EM145">
        <v>1.8692</v>
      </c>
      <c r="EN145">
        <v>1.8672299999999999</v>
      </c>
      <c r="EO145">
        <v>1.86337</v>
      </c>
      <c r="EP145">
        <v>1.86446</v>
      </c>
      <c r="EQ145">
        <v>1.87015</v>
      </c>
      <c r="ER145">
        <v>1.8693599999999999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0.39500000000000002</v>
      </c>
      <c r="FG145">
        <v>0.19839999999999999</v>
      </c>
      <c r="FH145">
        <v>0.69281559908863044</v>
      </c>
      <c r="FI145">
        <v>-6.1462078757559423E-4</v>
      </c>
      <c r="FJ145">
        <v>-1.8861989874597051E-7</v>
      </c>
      <c r="FK145">
        <v>1.1980462299894961E-10</v>
      </c>
      <c r="FL145">
        <v>0.19840465858211129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32.1</v>
      </c>
      <c r="FU145">
        <v>32.1</v>
      </c>
      <c r="FV145">
        <v>1.7663599999999999</v>
      </c>
      <c r="FW145">
        <v>2.5781200000000002</v>
      </c>
      <c r="FX145">
        <v>1.5490699999999999</v>
      </c>
      <c r="FY145">
        <v>2.3339799999999999</v>
      </c>
      <c r="FZ145">
        <v>1.50146</v>
      </c>
      <c r="GA145">
        <v>2.4011200000000001</v>
      </c>
      <c r="GB145">
        <v>33.602899999999998</v>
      </c>
      <c r="GC145">
        <v>23.982399999999998</v>
      </c>
      <c r="GD145">
        <v>19</v>
      </c>
      <c r="GE145">
        <v>281.18799999999999</v>
      </c>
      <c r="GF145">
        <v>576</v>
      </c>
      <c r="GG145">
        <v>24.406300000000002</v>
      </c>
      <c r="GH145">
        <v>25.9101</v>
      </c>
      <c r="GI145">
        <v>29.999700000000001</v>
      </c>
      <c r="GJ145">
        <v>26.059100000000001</v>
      </c>
      <c r="GK145">
        <v>26.041499999999999</v>
      </c>
      <c r="GL145">
        <v>35.317300000000003</v>
      </c>
      <c r="GM145">
        <v>100</v>
      </c>
      <c r="GN145">
        <v>41.243699999999997</v>
      </c>
      <c r="GO145">
        <v>24.118099999999998</v>
      </c>
      <c r="GP145">
        <v>800</v>
      </c>
      <c r="GQ145">
        <v>0</v>
      </c>
      <c r="GR145">
        <v>99.823599999999999</v>
      </c>
      <c r="GS145">
        <v>99.6965</v>
      </c>
    </row>
    <row r="146" spans="1:201" x14ac:dyDescent="0.25">
      <c r="A146">
        <v>130</v>
      </c>
      <c r="B146">
        <v>1690389575.5999999</v>
      </c>
      <c r="C146">
        <v>1317.099999904633</v>
      </c>
      <c r="D146" t="s">
        <v>593</v>
      </c>
      <c r="E146" t="s">
        <v>594</v>
      </c>
      <c r="F146" t="s">
        <v>330</v>
      </c>
      <c r="H146">
        <v>1690389575.5999999</v>
      </c>
      <c r="I146">
        <f t="shared" si="60"/>
        <v>2.2432310851813789E-3</v>
      </c>
      <c r="J146">
        <f t="shared" si="61"/>
        <v>2.243231085181379</v>
      </c>
      <c r="K146">
        <f t="shared" si="62"/>
        <v>33.014381845839431</v>
      </c>
      <c r="L146">
        <f t="shared" si="63"/>
        <v>439.86700000000002</v>
      </c>
      <c r="M146">
        <f t="shared" si="64"/>
        <v>115.15980544705262</v>
      </c>
      <c r="N146">
        <f t="shared" si="65"/>
        <v>11.348501255835641</v>
      </c>
      <c r="O146">
        <f t="shared" si="66"/>
        <v>43.3469923166531</v>
      </c>
      <c r="P146">
        <f t="shared" si="67"/>
        <v>0.17202045088609511</v>
      </c>
      <c r="Q146">
        <f t="shared" si="68"/>
        <v>2.1553773070168218</v>
      </c>
      <c r="R146">
        <f t="shared" si="69"/>
        <v>0.16474104693301303</v>
      </c>
      <c r="S146">
        <f t="shared" si="70"/>
        <v>0.10359150983301789</v>
      </c>
      <c r="T146">
        <f t="shared" si="71"/>
        <v>276.11426727132641</v>
      </c>
      <c r="U146">
        <f t="shared" si="72"/>
        <v>27.186171522780981</v>
      </c>
      <c r="V146">
        <f t="shared" si="73"/>
        <v>27.186171522780981</v>
      </c>
      <c r="W146">
        <f t="shared" si="74"/>
        <v>3.6184826236270111</v>
      </c>
      <c r="X146">
        <f t="shared" si="75"/>
        <v>69.491570142455899</v>
      </c>
      <c r="Y146">
        <f t="shared" si="76"/>
        <v>2.3170257208374601</v>
      </c>
      <c r="Z146">
        <f t="shared" si="77"/>
        <v>3.3342543794702268</v>
      </c>
      <c r="AA146">
        <f t="shared" si="78"/>
        <v>1.3014569027895511</v>
      </c>
      <c r="AB146">
        <f t="shared" si="79"/>
        <v>-98.926490856498816</v>
      </c>
      <c r="AC146">
        <f t="shared" si="80"/>
        <v>-161.23678415636292</v>
      </c>
      <c r="AD146">
        <f t="shared" si="81"/>
        <v>-16.062447318578592</v>
      </c>
      <c r="AE146">
        <f t="shared" si="82"/>
        <v>-0.11145506011393991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52267.611526420107</v>
      </c>
      <c r="AK146">
        <f t="shared" si="86"/>
        <v>1799.99</v>
      </c>
      <c r="AL146">
        <f t="shared" si="87"/>
        <v>1499.1032504023401</v>
      </c>
      <c r="AM146">
        <f t="shared" si="88"/>
        <v>0.83283976600000009</v>
      </c>
      <c r="AN146">
        <f t="shared" si="89"/>
        <v>0.15339766736000002</v>
      </c>
      <c r="AO146">
        <v>31.8</v>
      </c>
      <c r="AP146">
        <v>0.5</v>
      </c>
      <c r="AQ146" t="s">
        <v>331</v>
      </c>
      <c r="AR146">
        <v>2</v>
      </c>
      <c r="AS146">
        <v>1690389575.5999999</v>
      </c>
      <c r="AT146">
        <v>439.86700000000002</v>
      </c>
      <c r="AU146">
        <v>800.04100000000005</v>
      </c>
      <c r="AV146">
        <v>23.5122</v>
      </c>
      <c r="AW146">
        <v>0.30834400000000001</v>
      </c>
      <c r="AX146">
        <v>439.47</v>
      </c>
      <c r="AY146">
        <v>23.313800000000001</v>
      </c>
      <c r="AZ146">
        <v>300.19799999999998</v>
      </c>
      <c r="BA146">
        <v>98.445700000000002</v>
      </c>
      <c r="BB146">
        <v>9.9979299999999993E-2</v>
      </c>
      <c r="BC146">
        <v>25.7986</v>
      </c>
      <c r="BD146">
        <v>26.991099999999999</v>
      </c>
      <c r="BE146">
        <v>27.005299999999998</v>
      </c>
      <c r="BF146">
        <v>0</v>
      </c>
      <c r="BG146">
        <v>0</v>
      </c>
      <c r="BH146">
        <v>10000.6</v>
      </c>
      <c r="BI146">
        <v>1065.3499999999999</v>
      </c>
      <c r="BJ146">
        <v>1.4016500000000001</v>
      </c>
      <c r="BK146">
        <v>-360.17399999999998</v>
      </c>
      <c r="BL146">
        <v>450.45800000000003</v>
      </c>
      <c r="BM146">
        <v>800.28800000000001</v>
      </c>
      <c r="BN146">
        <v>23.203900000000001</v>
      </c>
      <c r="BO146">
        <v>800.04100000000005</v>
      </c>
      <c r="BP146">
        <v>0.30834400000000001</v>
      </c>
      <c r="BQ146">
        <v>2.3146800000000001</v>
      </c>
      <c r="BR146">
        <v>3.0355199999999999E-2</v>
      </c>
      <c r="BS146">
        <v>19.7789</v>
      </c>
      <c r="BT146">
        <v>-35.325200000000002</v>
      </c>
      <c r="BU146">
        <v>1799.99</v>
      </c>
      <c r="BV146">
        <v>0.90999300000000005</v>
      </c>
      <c r="BW146">
        <v>3.3998199999999999E-2</v>
      </c>
      <c r="BX146">
        <v>2.20038E-2</v>
      </c>
      <c r="BY146">
        <v>3.4004800000000002E-2</v>
      </c>
      <c r="BZ146">
        <v>25</v>
      </c>
      <c r="CA146">
        <v>33528.199999999997</v>
      </c>
      <c r="CB146">
        <v>1690387638</v>
      </c>
      <c r="CC146" t="s">
        <v>332</v>
      </c>
      <c r="CD146">
        <v>1690387638</v>
      </c>
      <c r="CE146">
        <v>1690387638</v>
      </c>
      <c r="CF146">
        <v>6</v>
      </c>
      <c r="CG146">
        <v>0.43</v>
      </c>
      <c r="CH146">
        <v>-8.1000000000000003E-2</v>
      </c>
      <c r="CI146">
        <v>0.14199999999999999</v>
      </c>
      <c r="CJ146">
        <v>-2.7E-2</v>
      </c>
      <c r="CK146">
        <v>800</v>
      </c>
      <c r="CL146">
        <v>0</v>
      </c>
      <c r="CM146">
        <v>0.01</v>
      </c>
      <c r="CN146">
        <v>0.01</v>
      </c>
      <c r="CO146">
        <v>-357.58814999999998</v>
      </c>
      <c r="CP146">
        <v>-13.89908442776664</v>
      </c>
      <c r="CQ146">
        <v>1.339902786585655</v>
      </c>
      <c r="CR146">
        <v>-1</v>
      </c>
      <c r="CS146">
        <v>23.1486725</v>
      </c>
      <c r="CT146">
        <v>0.37387204502807131</v>
      </c>
      <c r="CU146">
        <v>3.6242033521175297E-2</v>
      </c>
      <c r="CV146">
        <v>-1</v>
      </c>
      <c r="CW146">
        <v>0</v>
      </c>
      <c r="CX146">
        <v>0</v>
      </c>
      <c r="CY146" t="s">
        <v>333</v>
      </c>
      <c r="CZ146">
        <v>2.3650899999999999</v>
      </c>
      <c r="DA146">
        <v>2.7137699999999998</v>
      </c>
      <c r="DB146">
        <v>9.5543799999999998E-2</v>
      </c>
      <c r="DC146">
        <v>0.14516599999999999</v>
      </c>
      <c r="DD146">
        <v>0.11160299999999999</v>
      </c>
      <c r="DE146">
        <v>2.5585400000000002E-3</v>
      </c>
      <c r="DF146">
        <v>33052.9</v>
      </c>
      <c r="DG146">
        <v>27584.5</v>
      </c>
      <c r="DH146">
        <v>31197</v>
      </c>
      <c r="DI146">
        <v>28117.4</v>
      </c>
      <c r="DJ146">
        <v>37626.6</v>
      </c>
      <c r="DK146">
        <v>39890.400000000001</v>
      </c>
      <c r="DL146">
        <v>44401.1</v>
      </c>
      <c r="DM146">
        <v>42619</v>
      </c>
      <c r="DN146">
        <v>1.47492</v>
      </c>
      <c r="DO146">
        <v>2.0315699999999999</v>
      </c>
      <c r="DP146">
        <v>0.15301999999999999</v>
      </c>
      <c r="DQ146">
        <v>0.155114</v>
      </c>
      <c r="DR146">
        <v>24.4834</v>
      </c>
      <c r="DS146">
        <v>24.4633</v>
      </c>
      <c r="DT146">
        <v>37.799999999999997</v>
      </c>
      <c r="DU146">
        <v>28.9</v>
      </c>
      <c r="DV146">
        <v>15.352600000000001</v>
      </c>
      <c r="DW146">
        <v>60.6922</v>
      </c>
      <c r="DX146">
        <v>37.035299999999999</v>
      </c>
      <c r="DY146">
        <v>1</v>
      </c>
      <c r="DZ146">
        <v>-0.11792900000000001</v>
      </c>
      <c r="EA146">
        <v>0.349937</v>
      </c>
      <c r="EB146">
        <v>20.1892</v>
      </c>
      <c r="EC146">
        <v>5.24125</v>
      </c>
      <c r="ED146">
        <v>12.039899999999999</v>
      </c>
      <c r="EE146">
        <v>5.0170500000000002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1.8646199999999999</v>
      </c>
      <c r="EM146">
        <v>1.8692</v>
      </c>
      <c r="EN146">
        <v>1.8672299999999999</v>
      </c>
      <c r="EO146">
        <v>1.8633599999999999</v>
      </c>
      <c r="EP146">
        <v>1.86446</v>
      </c>
      <c r="EQ146">
        <v>1.8701300000000001</v>
      </c>
      <c r="ER146">
        <v>1.86937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0.39700000000000002</v>
      </c>
      <c r="FG146">
        <v>0.19839999999999999</v>
      </c>
      <c r="FH146">
        <v>0.69281559908863044</v>
      </c>
      <c r="FI146">
        <v>-6.1462078757559423E-4</v>
      </c>
      <c r="FJ146">
        <v>-1.8861989874597051E-7</v>
      </c>
      <c r="FK146">
        <v>1.1980462299894961E-10</v>
      </c>
      <c r="FL146">
        <v>0.19840465858211129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32.299999999999997</v>
      </c>
      <c r="FU146">
        <v>32.299999999999997</v>
      </c>
      <c r="FV146">
        <v>1.7663599999999999</v>
      </c>
      <c r="FW146">
        <v>2.5817899999999998</v>
      </c>
      <c r="FX146">
        <v>1.5490699999999999</v>
      </c>
      <c r="FY146">
        <v>2.3339799999999999</v>
      </c>
      <c r="FZ146">
        <v>1.50146</v>
      </c>
      <c r="GA146">
        <v>2.3645</v>
      </c>
      <c r="GB146">
        <v>33.580399999999997</v>
      </c>
      <c r="GC146">
        <v>23.991199999999999</v>
      </c>
      <c r="GD146">
        <v>19</v>
      </c>
      <c r="GE146">
        <v>281.04399999999998</v>
      </c>
      <c r="GF146">
        <v>575.85299999999995</v>
      </c>
      <c r="GG146">
        <v>24.085000000000001</v>
      </c>
      <c r="GH146">
        <v>25.909700000000001</v>
      </c>
      <c r="GI146">
        <v>30.0002</v>
      </c>
      <c r="GJ146">
        <v>26.058</v>
      </c>
      <c r="GK146">
        <v>26.039300000000001</v>
      </c>
      <c r="GL146">
        <v>35.314700000000002</v>
      </c>
      <c r="GM146">
        <v>100</v>
      </c>
      <c r="GN146">
        <v>40.107599999999998</v>
      </c>
      <c r="GO146">
        <v>24.1067</v>
      </c>
      <c r="GP146">
        <v>800</v>
      </c>
      <c r="GQ146">
        <v>0</v>
      </c>
      <c r="GR146">
        <v>99.823400000000007</v>
      </c>
      <c r="GS146">
        <v>99.698099999999997</v>
      </c>
    </row>
    <row r="147" spans="1:201" x14ac:dyDescent="0.25">
      <c r="A147">
        <v>131</v>
      </c>
      <c r="B147">
        <v>1690389585.5999999</v>
      </c>
      <c r="C147">
        <v>1327.099999904633</v>
      </c>
      <c r="D147" t="s">
        <v>595</v>
      </c>
      <c r="E147" t="s">
        <v>596</v>
      </c>
      <c r="F147" t="s">
        <v>330</v>
      </c>
      <c r="H147">
        <v>1690389585.5999999</v>
      </c>
      <c r="I147">
        <f t="shared" si="60"/>
        <v>2.2494101570070214E-3</v>
      </c>
      <c r="J147">
        <f t="shared" si="61"/>
        <v>2.2494101570070213</v>
      </c>
      <c r="K147">
        <f t="shared" si="62"/>
        <v>33.218164753750791</v>
      </c>
      <c r="L147">
        <f t="shared" si="63"/>
        <v>437.66199999999998</v>
      </c>
      <c r="M147">
        <f t="shared" si="64"/>
        <v>114.19037812515643</v>
      </c>
      <c r="N147">
        <f t="shared" si="65"/>
        <v>11.253353854326837</v>
      </c>
      <c r="O147">
        <f t="shared" si="66"/>
        <v>43.131176509409997</v>
      </c>
      <c r="P147">
        <f t="shared" si="67"/>
        <v>0.17377215322275483</v>
      </c>
      <c r="Q147">
        <f t="shared" si="68"/>
        <v>2.1575101718086294</v>
      </c>
      <c r="R147">
        <f t="shared" si="69"/>
        <v>0.16635418371225297</v>
      </c>
      <c r="S147">
        <f t="shared" si="70"/>
        <v>0.10461145163177621</v>
      </c>
      <c r="T147">
        <f t="shared" si="71"/>
        <v>276.11447153419158</v>
      </c>
      <c r="U147">
        <f t="shared" si="72"/>
        <v>27.169309623070408</v>
      </c>
      <c r="V147">
        <f t="shared" si="73"/>
        <v>27.169309623070408</v>
      </c>
      <c r="W147">
        <f t="shared" si="74"/>
        <v>3.6149056097915455</v>
      </c>
      <c r="X147">
        <f t="shared" si="75"/>
        <v>69.711081944173387</v>
      </c>
      <c r="Y147">
        <f t="shared" si="76"/>
        <v>2.3224858693739998</v>
      </c>
      <c r="Z147">
        <f t="shared" si="77"/>
        <v>3.331587754202284</v>
      </c>
      <c r="AA147">
        <f t="shared" si="78"/>
        <v>1.2924197404175457</v>
      </c>
      <c r="AB147">
        <f t="shared" si="79"/>
        <v>-99.198987924009643</v>
      </c>
      <c r="AC147">
        <f t="shared" si="80"/>
        <v>-161.0052951731802</v>
      </c>
      <c r="AD147">
        <f t="shared" si="81"/>
        <v>-16.021093231960801</v>
      </c>
      <c r="AE147">
        <f t="shared" si="82"/>
        <v>-0.1109047949590547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52359.432953744574</v>
      </c>
      <c r="AK147">
        <f t="shared" si="86"/>
        <v>1799.99</v>
      </c>
      <c r="AL147">
        <f t="shared" si="87"/>
        <v>1499.1018428101597</v>
      </c>
      <c r="AM147">
        <f t="shared" si="88"/>
        <v>0.83283898399999989</v>
      </c>
      <c r="AN147">
        <f t="shared" si="89"/>
        <v>0.15339778084</v>
      </c>
      <c r="AO147">
        <v>31.8</v>
      </c>
      <c r="AP147">
        <v>0.5</v>
      </c>
      <c r="AQ147" t="s">
        <v>331</v>
      </c>
      <c r="AR147">
        <v>2</v>
      </c>
      <c r="AS147">
        <v>1690389585.5999999</v>
      </c>
      <c r="AT147">
        <v>437.66199999999998</v>
      </c>
      <c r="AU147">
        <v>800.01800000000003</v>
      </c>
      <c r="AV147">
        <v>23.566800000000001</v>
      </c>
      <c r="AW147">
        <v>0.29730600000000001</v>
      </c>
      <c r="AX147">
        <v>437.26400000000001</v>
      </c>
      <c r="AY147">
        <v>23.368400000000001</v>
      </c>
      <c r="AZ147">
        <v>300.15899999999999</v>
      </c>
      <c r="BA147">
        <v>98.448999999999998</v>
      </c>
      <c r="BB147">
        <v>0.10005500000000001</v>
      </c>
      <c r="BC147">
        <v>25.7851</v>
      </c>
      <c r="BD147">
        <v>26.945699999999999</v>
      </c>
      <c r="BE147">
        <v>27.002800000000001</v>
      </c>
      <c r="BF147">
        <v>0</v>
      </c>
      <c r="BG147">
        <v>0</v>
      </c>
      <c r="BH147">
        <v>10018.1</v>
      </c>
      <c r="BI147">
        <v>1065.55</v>
      </c>
      <c r="BJ147">
        <v>1.4016500000000001</v>
      </c>
      <c r="BK147">
        <v>-362.35500000000002</v>
      </c>
      <c r="BL147">
        <v>448.226</v>
      </c>
      <c r="BM147">
        <v>800.25599999999997</v>
      </c>
      <c r="BN147">
        <v>23.269500000000001</v>
      </c>
      <c r="BO147">
        <v>800.01800000000003</v>
      </c>
      <c r="BP147">
        <v>0.29730600000000001</v>
      </c>
      <c r="BQ147">
        <v>2.3201200000000002</v>
      </c>
      <c r="BR147">
        <v>2.9269400000000001E-2</v>
      </c>
      <c r="BS147">
        <v>19.816800000000001</v>
      </c>
      <c r="BT147">
        <v>-35.689799999999998</v>
      </c>
      <c r="BU147">
        <v>1799.99</v>
      </c>
      <c r="BV147">
        <v>0.90998599999999996</v>
      </c>
      <c r="BW147">
        <v>3.4007299999999997E-2</v>
      </c>
      <c r="BX147">
        <v>2.2003200000000001E-2</v>
      </c>
      <c r="BY147">
        <v>3.4003800000000001E-2</v>
      </c>
      <c r="BZ147">
        <v>25</v>
      </c>
      <c r="CA147">
        <v>33528.1</v>
      </c>
      <c r="CB147">
        <v>1690387638</v>
      </c>
      <c r="CC147" t="s">
        <v>332</v>
      </c>
      <c r="CD147">
        <v>1690387638</v>
      </c>
      <c r="CE147">
        <v>1690387638</v>
      </c>
      <c r="CF147">
        <v>6</v>
      </c>
      <c r="CG147">
        <v>0.43</v>
      </c>
      <c r="CH147">
        <v>-8.1000000000000003E-2</v>
      </c>
      <c r="CI147">
        <v>0.14199999999999999</v>
      </c>
      <c r="CJ147">
        <v>-2.7E-2</v>
      </c>
      <c r="CK147">
        <v>800</v>
      </c>
      <c r="CL147">
        <v>0</v>
      </c>
      <c r="CM147">
        <v>0.01</v>
      </c>
      <c r="CN147">
        <v>0.01</v>
      </c>
      <c r="CO147">
        <v>-359.84845000000001</v>
      </c>
      <c r="CP147">
        <v>-13.41795872420192</v>
      </c>
      <c r="CQ147">
        <v>1.292065980319884</v>
      </c>
      <c r="CR147">
        <v>-1</v>
      </c>
      <c r="CS147">
        <v>23.201677499999999</v>
      </c>
      <c r="CT147">
        <v>0.27017448405252908</v>
      </c>
      <c r="CU147">
        <v>2.6291999614901831E-2</v>
      </c>
      <c r="CV147">
        <v>-1</v>
      </c>
      <c r="CW147">
        <v>0</v>
      </c>
      <c r="CX147">
        <v>0</v>
      </c>
      <c r="CY147" t="s">
        <v>333</v>
      </c>
      <c r="CZ147">
        <v>2.36496</v>
      </c>
      <c r="DA147">
        <v>2.7138599999999999</v>
      </c>
      <c r="DB147">
        <v>9.5187499999999994E-2</v>
      </c>
      <c r="DC147">
        <v>0.14516799999999999</v>
      </c>
      <c r="DD147">
        <v>0.11179</v>
      </c>
      <c r="DE147">
        <v>2.4686700000000001E-3</v>
      </c>
      <c r="DF147">
        <v>33065.599999999999</v>
      </c>
      <c r="DG147">
        <v>27583.8</v>
      </c>
      <c r="DH147">
        <v>31196.7</v>
      </c>
      <c r="DI147">
        <v>28116.7</v>
      </c>
      <c r="DJ147">
        <v>37618.1</v>
      </c>
      <c r="DK147">
        <v>39893.300000000003</v>
      </c>
      <c r="DL147">
        <v>44400.6</v>
      </c>
      <c r="DM147">
        <v>42618.2</v>
      </c>
      <c r="DN147">
        <v>1.4750799999999999</v>
      </c>
      <c r="DO147">
        <v>2.0316000000000001</v>
      </c>
      <c r="DP147">
        <v>0.14955599999999999</v>
      </c>
      <c r="DQ147">
        <v>0.154331</v>
      </c>
      <c r="DR147">
        <v>24.494700000000002</v>
      </c>
      <c r="DS147">
        <v>24.473600000000001</v>
      </c>
      <c r="DT147">
        <v>37.299999999999997</v>
      </c>
      <c r="DU147">
        <v>28.9</v>
      </c>
      <c r="DV147">
        <v>15.149699999999999</v>
      </c>
      <c r="DW147">
        <v>60.712200000000003</v>
      </c>
      <c r="DX147">
        <v>37.255600000000001</v>
      </c>
      <c r="DY147">
        <v>1</v>
      </c>
      <c r="DZ147">
        <v>-0.11867900000000001</v>
      </c>
      <c r="EA147">
        <v>-1.0983100000000001E-2</v>
      </c>
      <c r="EB147">
        <v>20.190100000000001</v>
      </c>
      <c r="EC147">
        <v>5.2411000000000003</v>
      </c>
      <c r="ED147">
        <v>12.039899999999999</v>
      </c>
      <c r="EE147">
        <v>5.0173500000000004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1.8692</v>
      </c>
      <c r="EN147">
        <v>1.8672299999999999</v>
      </c>
      <c r="EO147">
        <v>1.86338</v>
      </c>
      <c r="EP147">
        <v>1.8644499999999999</v>
      </c>
      <c r="EQ147">
        <v>1.87015</v>
      </c>
      <c r="ER147">
        <v>1.8693599999999999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0.39800000000000002</v>
      </c>
      <c r="FG147">
        <v>0.19839999999999999</v>
      </c>
      <c r="FH147">
        <v>0.69281559908863044</v>
      </c>
      <c r="FI147">
        <v>-6.1462078757559423E-4</v>
      </c>
      <c r="FJ147">
        <v>-1.8861989874597051E-7</v>
      </c>
      <c r="FK147">
        <v>1.1980462299894961E-10</v>
      </c>
      <c r="FL147">
        <v>0.19840465858211129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32.5</v>
      </c>
      <c r="FU147">
        <v>32.5</v>
      </c>
      <c r="FV147">
        <v>1.7663599999999999</v>
      </c>
      <c r="FW147">
        <v>2.5842299999999998</v>
      </c>
      <c r="FX147">
        <v>1.5490699999999999</v>
      </c>
      <c r="FY147">
        <v>2.3339799999999999</v>
      </c>
      <c r="FZ147">
        <v>1.50146</v>
      </c>
      <c r="GA147">
        <v>2.3278799999999999</v>
      </c>
      <c r="GB147">
        <v>33.602899999999998</v>
      </c>
      <c r="GC147">
        <v>23.982399999999998</v>
      </c>
      <c r="GD147">
        <v>19</v>
      </c>
      <c r="GE147">
        <v>281.101</v>
      </c>
      <c r="GF147">
        <v>575.87300000000005</v>
      </c>
      <c r="GG147">
        <v>24.095600000000001</v>
      </c>
      <c r="GH147">
        <v>25.907900000000001</v>
      </c>
      <c r="GI147">
        <v>29.999700000000001</v>
      </c>
      <c r="GJ147">
        <v>26.0564</v>
      </c>
      <c r="GK147">
        <v>26.039300000000001</v>
      </c>
      <c r="GL147">
        <v>35.313400000000001</v>
      </c>
      <c r="GM147">
        <v>100</v>
      </c>
      <c r="GN147">
        <v>39.319499999999998</v>
      </c>
      <c r="GO147">
        <v>24.145099999999999</v>
      </c>
      <c r="GP147">
        <v>800</v>
      </c>
      <c r="GQ147">
        <v>0</v>
      </c>
      <c r="GR147">
        <v>99.822400000000002</v>
      </c>
      <c r="GS147">
        <v>99.696100000000001</v>
      </c>
    </row>
    <row r="148" spans="1:201" x14ac:dyDescent="0.25">
      <c r="A148">
        <v>132</v>
      </c>
      <c r="B148">
        <v>1690389595.5999999</v>
      </c>
      <c r="C148">
        <v>1337.099999904633</v>
      </c>
      <c r="D148" t="s">
        <v>597</v>
      </c>
      <c r="E148" t="s">
        <v>598</v>
      </c>
      <c r="F148" t="s">
        <v>330</v>
      </c>
      <c r="H148">
        <v>1690389595.5999999</v>
      </c>
      <c r="I148">
        <f t="shared" si="60"/>
        <v>2.2581766628753143E-3</v>
      </c>
      <c r="J148">
        <f t="shared" si="61"/>
        <v>2.2581766628753144</v>
      </c>
      <c r="K148">
        <f t="shared" si="62"/>
        <v>33.423003352592239</v>
      </c>
      <c r="L148">
        <f t="shared" si="63"/>
        <v>435.56</v>
      </c>
      <c r="M148">
        <f t="shared" si="64"/>
        <v>113.29057399961103</v>
      </c>
      <c r="N148">
        <f t="shared" si="65"/>
        <v>11.165393871591174</v>
      </c>
      <c r="O148">
        <f t="shared" si="66"/>
        <v>42.926774779399992</v>
      </c>
      <c r="P148">
        <f t="shared" si="67"/>
        <v>0.17554759185437896</v>
      </c>
      <c r="Q148">
        <f t="shared" si="68"/>
        <v>2.1539995979092561</v>
      </c>
      <c r="R148">
        <f t="shared" si="69"/>
        <v>0.1679690564613667</v>
      </c>
      <c r="S148">
        <f t="shared" si="70"/>
        <v>0.10563429660050025</v>
      </c>
      <c r="T148">
        <f t="shared" si="71"/>
        <v>276.11574751800003</v>
      </c>
      <c r="U148">
        <f t="shared" si="72"/>
        <v>27.172338093192522</v>
      </c>
      <c r="V148">
        <f t="shared" si="73"/>
        <v>27.172338093192522</v>
      </c>
      <c r="W148">
        <f t="shared" si="74"/>
        <v>3.6155478294699814</v>
      </c>
      <c r="X148">
        <f t="shared" si="75"/>
        <v>69.936212103382488</v>
      </c>
      <c r="Y148">
        <f t="shared" si="76"/>
        <v>2.330538716155</v>
      </c>
      <c r="Z148">
        <f t="shared" si="77"/>
        <v>3.3323776711125062</v>
      </c>
      <c r="AA148">
        <f t="shared" si="78"/>
        <v>1.2850091133149815</v>
      </c>
      <c r="AB148">
        <f t="shared" si="79"/>
        <v>-99.585590832801358</v>
      </c>
      <c r="AC148">
        <f t="shared" si="80"/>
        <v>-160.63049651557427</v>
      </c>
      <c r="AD148">
        <f t="shared" si="81"/>
        <v>-16.01041205944578</v>
      </c>
      <c r="AE148">
        <f t="shared" si="82"/>
        <v>-0.11075188982138684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52211.791804002569</v>
      </c>
      <c r="AK148">
        <f t="shared" si="86"/>
        <v>1800</v>
      </c>
      <c r="AL148">
        <f t="shared" si="87"/>
        <v>1499.1087438</v>
      </c>
      <c r="AM148">
        <f t="shared" si="88"/>
        <v>0.83283819100000001</v>
      </c>
      <c r="AN148">
        <f t="shared" si="89"/>
        <v>0.15339763751000002</v>
      </c>
      <c r="AO148">
        <v>31.8</v>
      </c>
      <c r="AP148">
        <v>0.5</v>
      </c>
      <c r="AQ148" t="s">
        <v>331</v>
      </c>
      <c r="AR148">
        <v>2</v>
      </c>
      <c r="AS148">
        <v>1690389595.5999999</v>
      </c>
      <c r="AT148">
        <v>435.56</v>
      </c>
      <c r="AU148">
        <v>800.08500000000004</v>
      </c>
      <c r="AV148">
        <v>23.646999999999998</v>
      </c>
      <c r="AW148">
        <v>0.28819299999999998</v>
      </c>
      <c r="AX148">
        <v>435.16</v>
      </c>
      <c r="AY148">
        <v>23.448599999999999</v>
      </c>
      <c r="AZ148">
        <v>300.15199999999999</v>
      </c>
      <c r="BA148">
        <v>98.455299999999994</v>
      </c>
      <c r="BB148">
        <v>0.100065</v>
      </c>
      <c r="BC148">
        <v>25.789100000000001</v>
      </c>
      <c r="BD148">
        <v>26.973600000000001</v>
      </c>
      <c r="BE148">
        <v>26.977799999999998</v>
      </c>
      <c r="BF148">
        <v>0</v>
      </c>
      <c r="BG148">
        <v>0</v>
      </c>
      <c r="BH148">
        <v>9988.1200000000008</v>
      </c>
      <c r="BI148">
        <v>1065.6400000000001</v>
      </c>
      <c r="BJ148">
        <v>1.4016500000000001</v>
      </c>
      <c r="BK148">
        <v>-364.52600000000001</v>
      </c>
      <c r="BL148">
        <v>446.10899999999998</v>
      </c>
      <c r="BM148">
        <v>800.31600000000003</v>
      </c>
      <c r="BN148">
        <v>23.358799999999999</v>
      </c>
      <c r="BO148">
        <v>800.08500000000004</v>
      </c>
      <c r="BP148">
        <v>0.28819299999999998</v>
      </c>
      <c r="BQ148">
        <v>2.3281700000000001</v>
      </c>
      <c r="BR148">
        <v>2.8374099999999999E-2</v>
      </c>
      <c r="BS148">
        <v>19.872599999999998</v>
      </c>
      <c r="BT148">
        <v>-35.9998</v>
      </c>
      <c r="BU148">
        <v>1800</v>
      </c>
      <c r="BV148">
        <v>0.90998500000000004</v>
      </c>
      <c r="BW148">
        <v>3.4008400000000001E-2</v>
      </c>
      <c r="BX148">
        <v>2.2002799999999999E-2</v>
      </c>
      <c r="BY148">
        <v>3.40033E-2</v>
      </c>
      <c r="BZ148">
        <v>25</v>
      </c>
      <c r="CA148">
        <v>33528.300000000003</v>
      </c>
      <c r="CB148">
        <v>1690387638</v>
      </c>
      <c r="CC148" t="s">
        <v>332</v>
      </c>
      <c r="CD148">
        <v>1690387638</v>
      </c>
      <c r="CE148">
        <v>1690387638</v>
      </c>
      <c r="CF148">
        <v>6</v>
      </c>
      <c r="CG148">
        <v>0.43</v>
      </c>
      <c r="CH148">
        <v>-8.1000000000000003E-2</v>
      </c>
      <c r="CI148">
        <v>0.14199999999999999</v>
      </c>
      <c r="CJ148">
        <v>-2.7E-2</v>
      </c>
      <c r="CK148">
        <v>800</v>
      </c>
      <c r="CL148">
        <v>0</v>
      </c>
      <c r="CM148">
        <v>0.01</v>
      </c>
      <c r="CN148">
        <v>0.01</v>
      </c>
      <c r="CO148">
        <v>-362.05360000000002</v>
      </c>
      <c r="CP148">
        <v>-13.18315947467093</v>
      </c>
      <c r="CQ148">
        <v>1.270042081979962</v>
      </c>
      <c r="CR148">
        <v>-1</v>
      </c>
      <c r="CS148">
        <v>23.2616975</v>
      </c>
      <c r="CT148">
        <v>0.45572870544084521</v>
      </c>
      <c r="CU148">
        <v>4.4104503667425847E-2</v>
      </c>
      <c r="CV148">
        <v>-1</v>
      </c>
      <c r="CW148">
        <v>0</v>
      </c>
      <c r="CX148">
        <v>0</v>
      </c>
      <c r="CY148" t="s">
        <v>333</v>
      </c>
      <c r="CZ148">
        <v>2.3649300000000002</v>
      </c>
      <c r="DA148">
        <v>2.7138499999999999</v>
      </c>
      <c r="DB148">
        <v>9.4849900000000001E-2</v>
      </c>
      <c r="DC148">
        <v>0.14518600000000001</v>
      </c>
      <c r="DD148">
        <v>0.112067</v>
      </c>
      <c r="DE148">
        <v>2.39448E-3</v>
      </c>
      <c r="DF148">
        <v>33078.1</v>
      </c>
      <c r="DG148">
        <v>27583.3</v>
      </c>
      <c r="DH148">
        <v>31196.9</v>
      </c>
      <c r="DI148">
        <v>28116.799999999999</v>
      </c>
      <c r="DJ148">
        <v>37606.6</v>
      </c>
      <c r="DK148">
        <v>39896.1</v>
      </c>
      <c r="DL148">
        <v>44401</v>
      </c>
      <c r="DM148">
        <v>42618.1</v>
      </c>
      <c r="DN148">
        <v>1.4751799999999999</v>
      </c>
      <c r="DO148">
        <v>2.0313699999999999</v>
      </c>
      <c r="DP148">
        <v>0.15079200000000001</v>
      </c>
      <c r="DQ148">
        <v>0.15243100000000001</v>
      </c>
      <c r="DR148">
        <v>24.502500000000001</v>
      </c>
      <c r="DS148">
        <v>24.479700000000001</v>
      </c>
      <c r="DT148">
        <v>36.9</v>
      </c>
      <c r="DU148">
        <v>28.9</v>
      </c>
      <c r="DV148">
        <v>14.984299999999999</v>
      </c>
      <c r="DW148">
        <v>61.002200000000002</v>
      </c>
      <c r="DX148">
        <v>37.363799999999998</v>
      </c>
      <c r="DY148">
        <v>1</v>
      </c>
      <c r="DZ148">
        <v>-0.11891500000000001</v>
      </c>
      <c r="EA148">
        <v>-9.8286999999999999E-2</v>
      </c>
      <c r="EB148">
        <v>20.190300000000001</v>
      </c>
      <c r="EC148">
        <v>5.2411000000000003</v>
      </c>
      <c r="ED148">
        <v>12.039899999999999</v>
      </c>
      <c r="EE148">
        <v>5.0174500000000002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1.8692</v>
      </c>
      <c r="EN148">
        <v>1.8672200000000001</v>
      </c>
      <c r="EO148">
        <v>1.8633200000000001</v>
      </c>
      <c r="EP148">
        <v>1.8644499999999999</v>
      </c>
      <c r="EQ148">
        <v>1.8701399999999999</v>
      </c>
      <c r="ER148">
        <v>1.8693599999999999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0.4</v>
      </c>
      <c r="FG148">
        <v>0.19839999999999999</v>
      </c>
      <c r="FH148">
        <v>0.69281559908863044</v>
      </c>
      <c r="FI148">
        <v>-6.1462078757559423E-4</v>
      </c>
      <c r="FJ148">
        <v>-1.8861989874597051E-7</v>
      </c>
      <c r="FK148">
        <v>1.1980462299894961E-10</v>
      </c>
      <c r="FL148">
        <v>0.19840465858211129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32.6</v>
      </c>
      <c r="FU148">
        <v>32.6</v>
      </c>
      <c r="FV148">
        <v>1.7663599999999999</v>
      </c>
      <c r="FW148">
        <v>2.5866699999999998</v>
      </c>
      <c r="FX148">
        <v>1.5490699999999999</v>
      </c>
      <c r="FY148">
        <v>2.3339799999999999</v>
      </c>
      <c r="FZ148">
        <v>1.50146</v>
      </c>
      <c r="GA148">
        <v>2.34985</v>
      </c>
      <c r="GB148">
        <v>33.580399999999997</v>
      </c>
      <c r="GC148">
        <v>23.982399999999998</v>
      </c>
      <c r="GD148">
        <v>19</v>
      </c>
      <c r="GE148">
        <v>281.14</v>
      </c>
      <c r="GF148">
        <v>575.66899999999998</v>
      </c>
      <c r="GG148">
        <v>24.1737</v>
      </c>
      <c r="GH148">
        <v>25.907900000000001</v>
      </c>
      <c r="GI148">
        <v>29.9999</v>
      </c>
      <c r="GJ148">
        <v>26.055800000000001</v>
      </c>
      <c r="GK148">
        <v>26.037400000000002</v>
      </c>
      <c r="GL148">
        <v>35.309199999999997</v>
      </c>
      <c r="GM148">
        <v>100</v>
      </c>
      <c r="GN148">
        <v>38.533000000000001</v>
      </c>
      <c r="GO148">
        <v>24.188400000000001</v>
      </c>
      <c r="GP148">
        <v>800</v>
      </c>
      <c r="GQ148">
        <v>0</v>
      </c>
      <c r="GR148">
        <v>99.823099999999997</v>
      </c>
      <c r="GS148">
        <v>99.695999999999998</v>
      </c>
    </row>
    <row r="149" spans="1:201" x14ac:dyDescent="0.25">
      <c r="A149">
        <v>133</v>
      </c>
      <c r="B149">
        <v>1690389605.5999999</v>
      </c>
      <c r="C149">
        <v>1347.099999904633</v>
      </c>
      <c r="D149" t="s">
        <v>599</v>
      </c>
      <c r="E149" t="s">
        <v>600</v>
      </c>
      <c r="F149" t="s">
        <v>330</v>
      </c>
      <c r="H149">
        <v>1690389605.5999999</v>
      </c>
      <c r="I149">
        <f t="shared" si="60"/>
        <v>2.266112000495707E-3</v>
      </c>
      <c r="J149">
        <f t="shared" si="61"/>
        <v>2.2661120004957072</v>
      </c>
      <c r="K149">
        <f t="shared" si="62"/>
        <v>33.578789551616765</v>
      </c>
      <c r="L149">
        <f t="shared" si="63"/>
        <v>433.69400000000002</v>
      </c>
      <c r="M149">
        <f t="shared" si="64"/>
        <v>112.67704724280088</v>
      </c>
      <c r="N149">
        <f t="shared" si="65"/>
        <v>11.104879810674682</v>
      </c>
      <c r="O149">
        <f t="shared" si="66"/>
        <v>42.742686842270402</v>
      </c>
      <c r="P149">
        <f t="shared" si="67"/>
        <v>0.17709021663476054</v>
      </c>
      <c r="Q149">
        <f t="shared" si="68"/>
        <v>2.1550450880617547</v>
      </c>
      <c r="R149">
        <f t="shared" si="69"/>
        <v>0.16938461224155704</v>
      </c>
      <c r="S149">
        <f t="shared" si="70"/>
        <v>0.1065297587910332</v>
      </c>
      <c r="T149">
        <f t="shared" si="71"/>
        <v>276.11440639255352</v>
      </c>
      <c r="U149">
        <f t="shared" si="72"/>
        <v>27.18026196794662</v>
      </c>
      <c r="V149">
        <f t="shared" si="73"/>
        <v>27.18026196794662</v>
      </c>
      <c r="W149">
        <f t="shared" si="74"/>
        <v>3.6172286435680423</v>
      </c>
      <c r="X149">
        <f t="shared" si="75"/>
        <v>70.129671144103369</v>
      </c>
      <c r="Y149">
        <f t="shared" si="76"/>
        <v>2.3385510762614401</v>
      </c>
      <c r="Z149">
        <f t="shared" si="77"/>
        <v>3.3346100703312223</v>
      </c>
      <c r="AA149">
        <f t="shared" si="78"/>
        <v>1.2786775673066022</v>
      </c>
      <c r="AB149">
        <f t="shared" si="79"/>
        <v>-99.93553922186068</v>
      </c>
      <c r="AC149">
        <f t="shared" si="80"/>
        <v>-160.316214337688</v>
      </c>
      <c r="AD149">
        <f t="shared" si="81"/>
        <v>-15.972872243330217</v>
      </c>
      <c r="AE149">
        <f t="shared" si="82"/>
        <v>-0.11021941032538507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52253.584162670079</v>
      </c>
      <c r="AK149">
        <f t="shared" si="86"/>
        <v>1799.99</v>
      </c>
      <c r="AL149">
        <f t="shared" si="87"/>
        <v>1499.1019256096999</v>
      </c>
      <c r="AM149">
        <f t="shared" si="88"/>
        <v>0.83283902999999992</v>
      </c>
      <c r="AN149">
        <f t="shared" si="89"/>
        <v>0.15339774465</v>
      </c>
      <c r="AO149">
        <v>31.8</v>
      </c>
      <c r="AP149">
        <v>0.5</v>
      </c>
      <c r="AQ149" t="s">
        <v>331</v>
      </c>
      <c r="AR149">
        <v>2</v>
      </c>
      <c r="AS149">
        <v>1690389605.5999999</v>
      </c>
      <c r="AT149">
        <v>433.69400000000002</v>
      </c>
      <c r="AU149">
        <v>799.99800000000005</v>
      </c>
      <c r="AV149">
        <v>23.728400000000001</v>
      </c>
      <c r="AW149">
        <v>0.28071400000000002</v>
      </c>
      <c r="AX149">
        <v>433.29300000000001</v>
      </c>
      <c r="AY149">
        <v>23.53</v>
      </c>
      <c r="AZ149">
        <v>300.04000000000002</v>
      </c>
      <c r="BA149">
        <v>98.454999999999998</v>
      </c>
      <c r="BB149">
        <v>9.9941600000000005E-2</v>
      </c>
      <c r="BC149">
        <v>25.8004</v>
      </c>
      <c r="BD149">
        <v>26.973800000000001</v>
      </c>
      <c r="BE149">
        <v>26.9724</v>
      </c>
      <c r="BF149">
        <v>0</v>
      </c>
      <c r="BG149">
        <v>0</v>
      </c>
      <c r="BH149">
        <v>9996.8799999999992</v>
      </c>
      <c r="BI149">
        <v>1065.82</v>
      </c>
      <c r="BJ149">
        <v>1.4016500000000001</v>
      </c>
      <c r="BK149">
        <v>-366.30500000000001</v>
      </c>
      <c r="BL149">
        <v>444.23500000000001</v>
      </c>
      <c r="BM149">
        <v>800.22299999999996</v>
      </c>
      <c r="BN149">
        <v>23.447700000000001</v>
      </c>
      <c r="BO149">
        <v>799.99800000000005</v>
      </c>
      <c r="BP149">
        <v>0.28071400000000002</v>
      </c>
      <c r="BQ149">
        <v>2.3361800000000001</v>
      </c>
      <c r="BR149">
        <v>2.7637700000000001E-2</v>
      </c>
      <c r="BS149">
        <v>19.928100000000001</v>
      </c>
      <c r="BT149">
        <v>-36.261400000000002</v>
      </c>
      <c r="BU149">
        <v>1799.99</v>
      </c>
      <c r="BV149">
        <v>0.90998699999999999</v>
      </c>
      <c r="BW149">
        <v>3.4007999999999997E-2</v>
      </c>
      <c r="BX149">
        <v>2.2002500000000001E-2</v>
      </c>
      <c r="BY149">
        <v>3.4002900000000003E-2</v>
      </c>
      <c r="BZ149">
        <v>25</v>
      </c>
      <c r="CA149">
        <v>33528.199999999997</v>
      </c>
      <c r="CB149">
        <v>1690387638</v>
      </c>
      <c r="CC149" t="s">
        <v>332</v>
      </c>
      <c r="CD149">
        <v>1690387638</v>
      </c>
      <c r="CE149">
        <v>1690387638</v>
      </c>
      <c r="CF149">
        <v>6</v>
      </c>
      <c r="CG149">
        <v>0.43</v>
      </c>
      <c r="CH149">
        <v>-8.1000000000000003E-2</v>
      </c>
      <c r="CI149">
        <v>0.14199999999999999</v>
      </c>
      <c r="CJ149">
        <v>-2.7E-2</v>
      </c>
      <c r="CK149">
        <v>800</v>
      </c>
      <c r="CL149">
        <v>0</v>
      </c>
      <c r="CM149">
        <v>0.01</v>
      </c>
      <c r="CN149">
        <v>0.01</v>
      </c>
      <c r="CO149">
        <v>-364.24021951219521</v>
      </c>
      <c r="CP149">
        <v>-12.612982578397061</v>
      </c>
      <c r="CQ149">
        <v>1.2455174164744649</v>
      </c>
      <c r="CR149">
        <v>-1</v>
      </c>
      <c r="CS149">
        <v>23.349480487804879</v>
      </c>
      <c r="CT149">
        <v>0.55541184668992549</v>
      </c>
      <c r="CU149">
        <v>5.4804798701734728E-2</v>
      </c>
      <c r="CV149">
        <v>-1</v>
      </c>
      <c r="CW149">
        <v>0</v>
      </c>
      <c r="CX149">
        <v>0</v>
      </c>
      <c r="CY149" t="s">
        <v>333</v>
      </c>
      <c r="CZ149">
        <v>2.3645700000000001</v>
      </c>
      <c r="DA149">
        <v>2.71373</v>
      </c>
      <c r="DB149">
        <v>9.4544100000000006E-2</v>
      </c>
      <c r="DC149">
        <v>0.145175</v>
      </c>
      <c r="DD149">
        <v>0.11233899999999999</v>
      </c>
      <c r="DE149">
        <v>2.3333899999999999E-3</v>
      </c>
      <c r="DF149">
        <v>33089.699999999997</v>
      </c>
      <c r="DG149">
        <v>27583.5</v>
      </c>
      <c r="DH149">
        <v>31197.3</v>
      </c>
      <c r="DI149">
        <v>28116.6</v>
      </c>
      <c r="DJ149">
        <v>37595.199999999997</v>
      </c>
      <c r="DK149">
        <v>39898.400000000001</v>
      </c>
      <c r="DL149">
        <v>44401.4</v>
      </c>
      <c r="DM149">
        <v>42617.9</v>
      </c>
      <c r="DN149">
        <v>1.4749699999999999</v>
      </c>
      <c r="DO149">
        <v>2.0314199999999998</v>
      </c>
      <c r="DP149">
        <v>0.15055399999999999</v>
      </c>
      <c r="DQ149">
        <v>0.151835</v>
      </c>
      <c r="DR149">
        <v>24.506499999999999</v>
      </c>
      <c r="DS149">
        <v>24.484100000000002</v>
      </c>
      <c r="DT149">
        <v>36.5</v>
      </c>
      <c r="DU149">
        <v>28.9</v>
      </c>
      <c r="DV149">
        <v>14.823499999999999</v>
      </c>
      <c r="DW149">
        <v>61.0822</v>
      </c>
      <c r="DX149">
        <v>36.955100000000002</v>
      </c>
      <c r="DY149">
        <v>1</v>
      </c>
      <c r="DZ149">
        <v>-0.119253</v>
      </c>
      <c r="EA149">
        <v>-7.2557200000000002E-2</v>
      </c>
      <c r="EB149">
        <v>20.190300000000001</v>
      </c>
      <c r="EC149">
        <v>5.24125</v>
      </c>
      <c r="ED149">
        <v>12.039899999999999</v>
      </c>
      <c r="EE149">
        <v>5.01715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1.8646199999999999</v>
      </c>
      <c r="EM149">
        <v>1.8692</v>
      </c>
      <c r="EN149">
        <v>1.8672299999999999</v>
      </c>
      <c r="EO149">
        <v>1.86338</v>
      </c>
      <c r="EP149">
        <v>1.8644700000000001</v>
      </c>
      <c r="EQ149">
        <v>1.87015</v>
      </c>
      <c r="ER149">
        <v>1.8693900000000001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0.40100000000000002</v>
      </c>
      <c r="FG149">
        <v>0.19839999999999999</v>
      </c>
      <c r="FH149">
        <v>0.69281559908863044</v>
      </c>
      <c r="FI149">
        <v>-6.1462078757559423E-4</v>
      </c>
      <c r="FJ149">
        <v>-1.8861989874597051E-7</v>
      </c>
      <c r="FK149">
        <v>1.1980462299894961E-10</v>
      </c>
      <c r="FL149">
        <v>0.19840465858211129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32.799999999999997</v>
      </c>
      <c r="FU149">
        <v>32.799999999999997</v>
      </c>
      <c r="FV149">
        <v>1.7663599999999999</v>
      </c>
      <c r="FW149">
        <v>2.5830099999999998</v>
      </c>
      <c r="FX149">
        <v>1.5490699999999999</v>
      </c>
      <c r="FY149">
        <v>2.3339799999999999</v>
      </c>
      <c r="FZ149">
        <v>1.50146</v>
      </c>
      <c r="GA149">
        <v>2.36694</v>
      </c>
      <c r="GB149">
        <v>33.602899999999998</v>
      </c>
      <c r="GC149">
        <v>23.982399999999998</v>
      </c>
      <c r="GD149">
        <v>19</v>
      </c>
      <c r="GE149">
        <v>281.05599999999998</v>
      </c>
      <c r="GF149">
        <v>575.70600000000002</v>
      </c>
      <c r="GG149">
        <v>24.2117</v>
      </c>
      <c r="GH149">
        <v>25.907900000000001</v>
      </c>
      <c r="GI149">
        <v>30.0001</v>
      </c>
      <c r="GJ149">
        <v>26.055800000000001</v>
      </c>
      <c r="GK149">
        <v>26.037199999999999</v>
      </c>
      <c r="GL149">
        <v>35.308599999999998</v>
      </c>
      <c r="GM149">
        <v>100</v>
      </c>
      <c r="GN149">
        <v>37.718800000000002</v>
      </c>
      <c r="GO149">
        <v>24.223600000000001</v>
      </c>
      <c r="GP149">
        <v>800</v>
      </c>
      <c r="GQ149">
        <v>0</v>
      </c>
      <c r="GR149">
        <v>99.824200000000005</v>
      </c>
      <c r="GS149">
        <v>99.695400000000006</v>
      </c>
    </row>
    <row r="150" spans="1:201" x14ac:dyDescent="0.25">
      <c r="A150">
        <v>134</v>
      </c>
      <c r="B150">
        <v>1690389615.5999999</v>
      </c>
      <c r="C150">
        <v>1357.099999904633</v>
      </c>
      <c r="D150" t="s">
        <v>601</v>
      </c>
      <c r="E150" t="s">
        <v>602</v>
      </c>
      <c r="F150" t="s">
        <v>330</v>
      </c>
      <c r="H150">
        <v>1690389615.5999999</v>
      </c>
      <c r="I150">
        <f t="shared" si="60"/>
        <v>2.2756690683095669E-3</v>
      </c>
      <c r="J150">
        <f t="shared" si="61"/>
        <v>2.2756690683095671</v>
      </c>
      <c r="K150">
        <f t="shared" si="62"/>
        <v>33.783345238645637</v>
      </c>
      <c r="L150">
        <f t="shared" si="63"/>
        <v>431.697</v>
      </c>
      <c r="M150">
        <f t="shared" si="64"/>
        <v>111.77320873656159</v>
      </c>
      <c r="N150">
        <f t="shared" si="65"/>
        <v>11.015987983031847</v>
      </c>
      <c r="O150">
        <f t="shared" si="66"/>
        <v>42.546590708684995</v>
      </c>
      <c r="P150">
        <f t="shared" si="67"/>
        <v>0.17882620960380929</v>
      </c>
      <c r="Q150">
        <f t="shared" si="68"/>
        <v>2.1531165191276203</v>
      </c>
      <c r="R150">
        <f t="shared" si="69"/>
        <v>0.17096568939763149</v>
      </c>
      <c r="S150">
        <f t="shared" si="70"/>
        <v>0.10753099753716849</v>
      </c>
      <c r="T150">
        <f t="shared" si="71"/>
        <v>276.11403507261645</v>
      </c>
      <c r="U150">
        <f t="shared" si="72"/>
        <v>27.187967614470004</v>
      </c>
      <c r="V150">
        <f t="shared" si="73"/>
        <v>27.187967614470004</v>
      </c>
      <c r="W150">
        <f t="shared" si="74"/>
        <v>3.6188638211103594</v>
      </c>
      <c r="X150">
        <f t="shared" si="75"/>
        <v>70.333118940920357</v>
      </c>
      <c r="Y150">
        <f t="shared" si="76"/>
        <v>2.3467116103339998</v>
      </c>
      <c r="Z150">
        <f t="shared" si="77"/>
        <v>3.3365669625787979</v>
      </c>
      <c r="AA150">
        <f t="shared" si="78"/>
        <v>1.2721522107763596</v>
      </c>
      <c r="AB150">
        <f t="shared" si="79"/>
        <v>-100.3570059124519</v>
      </c>
      <c r="AC150">
        <f t="shared" si="80"/>
        <v>-159.91802798037997</v>
      </c>
      <c r="AD150">
        <f t="shared" si="81"/>
        <v>-15.948877043429407</v>
      </c>
      <c r="AE150">
        <f t="shared" si="82"/>
        <v>-0.10987586364484514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52171.160677334548</v>
      </c>
      <c r="AK150">
        <f t="shared" si="86"/>
        <v>1799.99</v>
      </c>
      <c r="AL150">
        <f t="shared" si="87"/>
        <v>1499.1009824149401</v>
      </c>
      <c r="AM150">
        <f t="shared" si="88"/>
        <v>0.83283850599999998</v>
      </c>
      <c r="AN150">
        <f t="shared" si="89"/>
        <v>0.15339753836000003</v>
      </c>
      <c r="AO150">
        <v>31.8</v>
      </c>
      <c r="AP150">
        <v>0.5</v>
      </c>
      <c r="AQ150" t="s">
        <v>331</v>
      </c>
      <c r="AR150">
        <v>2</v>
      </c>
      <c r="AS150">
        <v>1690389615.5999999</v>
      </c>
      <c r="AT150">
        <v>431.697</v>
      </c>
      <c r="AU150">
        <v>800.04200000000003</v>
      </c>
      <c r="AV150">
        <v>23.8108</v>
      </c>
      <c r="AW150">
        <v>0.27405800000000002</v>
      </c>
      <c r="AX150">
        <v>431.29500000000002</v>
      </c>
      <c r="AY150">
        <v>23.612400000000001</v>
      </c>
      <c r="AZ150">
        <v>300.14</v>
      </c>
      <c r="BA150">
        <v>98.456599999999995</v>
      </c>
      <c r="BB150">
        <v>0.100005</v>
      </c>
      <c r="BC150">
        <v>25.810300000000002</v>
      </c>
      <c r="BD150">
        <v>26.980599999999999</v>
      </c>
      <c r="BE150">
        <v>26.977699999999999</v>
      </c>
      <c r="BF150">
        <v>0</v>
      </c>
      <c r="BG150">
        <v>0</v>
      </c>
      <c r="BH150">
        <v>9980.6200000000008</v>
      </c>
      <c r="BI150">
        <v>1065.94</v>
      </c>
      <c r="BJ150">
        <v>1.4016500000000001</v>
      </c>
      <c r="BK150">
        <v>-368.34500000000003</v>
      </c>
      <c r="BL150">
        <v>442.22699999999998</v>
      </c>
      <c r="BM150">
        <v>800.26099999999997</v>
      </c>
      <c r="BN150">
        <v>23.536799999999999</v>
      </c>
      <c r="BO150">
        <v>800.04200000000003</v>
      </c>
      <c r="BP150">
        <v>0.27405800000000002</v>
      </c>
      <c r="BQ150">
        <v>2.3443299999999998</v>
      </c>
      <c r="BR150">
        <v>2.6982800000000001E-2</v>
      </c>
      <c r="BS150">
        <v>19.984300000000001</v>
      </c>
      <c r="BT150">
        <v>-36.499400000000001</v>
      </c>
      <c r="BU150">
        <v>1799.99</v>
      </c>
      <c r="BV150">
        <v>0.90998900000000005</v>
      </c>
      <c r="BW150">
        <v>3.40069E-2</v>
      </c>
      <c r="BX150">
        <v>2.2001799999999998E-2</v>
      </c>
      <c r="BY150">
        <v>3.4001799999999999E-2</v>
      </c>
      <c r="BZ150">
        <v>25</v>
      </c>
      <c r="CA150">
        <v>33528.199999999997</v>
      </c>
      <c r="CB150">
        <v>1690387638</v>
      </c>
      <c r="CC150" t="s">
        <v>332</v>
      </c>
      <c r="CD150">
        <v>1690387638</v>
      </c>
      <c r="CE150">
        <v>1690387638</v>
      </c>
      <c r="CF150">
        <v>6</v>
      </c>
      <c r="CG150">
        <v>0.43</v>
      </c>
      <c r="CH150">
        <v>-8.1000000000000003E-2</v>
      </c>
      <c r="CI150">
        <v>0.14199999999999999</v>
      </c>
      <c r="CJ150">
        <v>-2.7E-2</v>
      </c>
      <c r="CK150">
        <v>800</v>
      </c>
      <c r="CL150">
        <v>0</v>
      </c>
      <c r="CM150">
        <v>0.01</v>
      </c>
      <c r="CN150">
        <v>0.01</v>
      </c>
      <c r="CO150">
        <v>-366.20312195121949</v>
      </c>
      <c r="CP150">
        <v>-11.33048780487751</v>
      </c>
      <c r="CQ150">
        <v>1.120208564969188</v>
      </c>
      <c r="CR150">
        <v>-1</v>
      </c>
      <c r="CS150">
        <v>23.437999999999999</v>
      </c>
      <c r="CT150">
        <v>0.51214703832755171</v>
      </c>
      <c r="CU150">
        <v>5.0576553904730107E-2</v>
      </c>
      <c r="CV150">
        <v>-1</v>
      </c>
      <c r="CW150">
        <v>0</v>
      </c>
      <c r="CX150">
        <v>0</v>
      </c>
      <c r="CY150" t="s">
        <v>333</v>
      </c>
      <c r="CZ150">
        <v>2.3649</v>
      </c>
      <c r="DA150">
        <v>2.7137799999999999</v>
      </c>
      <c r="DB150">
        <v>9.4218399999999994E-2</v>
      </c>
      <c r="DC150">
        <v>0.14518300000000001</v>
      </c>
      <c r="DD150">
        <v>0.11261699999999999</v>
      </c>
      <c r="DE150">
        <v>2.27903E-3</v>
      </c>
      <c r="DF150">
        <v>33101.800000000003</v>
      </c>
      <c r="DG150">
        <v>27583</v>
      </c>
      <c r="DH150">
        <v>31197.4</v>
      </c>
      <c r="DI150">
        <v>28116.3</v>
      </c>
      <c r="DJ150">
        <v>37583.300000000003</v>
      </c>
      <c r="DK150">
        <v>39900.199999999997</v>
      </c>
      <c r="DL150">
        <v>44401.5</v>
      </c>
      <c r="DM150">
        <v>42617.5</v>
      </c>
      <c r="DN150">
        <v>1.4751799999999999</v>
      </c>
      <c r="DO150">
        <v>2.0311499999999998</v>
      </c>
      <c r="DP150">
        <v>0.150673</v>
      </c>
      <c r="DQ150">
        <v>0.151813</v>
      </c>
      <c r="DR150">
        <v>24.511500000000002</v>
      </c>
      <c r="DS150">
        <v>24.489799999999999</v>
      </c>
      <c r="DT150">
        <v>36</v>
      </c>
      <c r="DU150">
        <v>28.9</v>
      </c>
      <c r="DV150">
        <v>14.6205</v>
      </c>
      <c r="DW150">
        <v>61.462200000000003</v>
      </c>
      <c r="DX150">
        <v>37.884599999999999</v>
      </c>
      <c r="DY150">
        <v>1</v>
      </c>
      <c r="DZ150">
        <v>-0.119169</v>
      </c>
      <c r="EA150">
        <v>-7.8031000000000003E-2</v>
      </c>
      <c r="EB150">
        <v>20.190100000000001</v>
      </c>
      <c r="EC150">
        <v>5.24125</v>
      </c>
      <c r="ED150">
        <v>12.039899999999999</v>
      </c>
      <c r="EE150">
        <v>5.0172999999999996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1.8646199999999999</v>
      </c>
      <c r="EM150">
        <v>1.8692200000000001</v>
      </c>
      <c r="EN150">
        <v>1.8672200000000001</v>
      </c>
      <c r="EO150">
        <v>1.8633599999999999</v>
      </c>
      <c r="EP150">
        <v>1.8644700000000001</v>
      </c>
      <c r="EQ150">
        <v>1.8701399999999999</v>
      </c>
      <c r="ER150">
        <v>1.86938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0.40200000000000002</v>
      </c>
      <c r="FG150">
        <v>0.19839999999999999</v>
      </c>
      <c r="FH150">
        <v>0.69281559908863044</v>
      </c>
      <c r="FI150">
        <v>-6.1462078757559423E-4</v>
      </c>
      <c r="FJ150">
        <v>-1.8861989874597051E-7</v>
      </c>
      <c r="FK150">
        <v>1.1980462299894961E-10</v>
      </c>
      <c r="FL150">
        <v>0.19840465858211129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33</v>
      </c>
      <c r="FU150">
        <v>33</v>
      </c>
      <c r="FV150">
        <v>1.7651399999999999</v>
      </c>
      <c r="FW150">
        <v>2.5866699999999998</v>
      </c>
      <c r="FX150">
        <v>1.5490699999999999</v>
      </c>
      <c r="FY150">
        <v>2.3339799999999999</v>
      </c>
      <c r="FZ150">
        <v>1.50146</v>
      </c>
      <c r="GA150">
        <v>2.2717299999999998</v>
      </c>
      <c r="GB150">
        <v>33.602899999999998</v>
      </c>
      <c r="GC150">
        <v>23.982399999999998</v>
      </c>
      <c r="GD150">
        <v>19</v>
      </c>
      <c r="GE150">
        <v>281.13099999999997</v>
      </c>
      <c r="GF150">
        <v>575.46699999999998</v>
      </c>
      <c r="GG150">
        <v>24.2453</v>
      </c>
      <c r="GH150">
        <v>25.9057</v>
      </c>
      <c r="GI150">
        <v>30.0002</v>
      </c>
      <c r="GJ150">
        <v>26.053599999999999</v>
      </c>
      <c r="GK150">
        <v>26.035799999999998</v>
      </c>
      <c r="GL150">
        <v>35.305999999999997</v>
      </c>
      <c r="GM150">
        <v>100</v>
      </c>
      <c r="GN150">
        <v>36.518300000000004</v>
      </c>
      <c r="GO150">
        <v>24.2516</v>
      </c>
      <c r="GP150">
        <v>800</v>
      </c>
      <c r="GQ150">
        <v>0</v>
      </c>
      <c r="GR150">
        <v>99.824399999999997</v>
      </c>
      <c r="GS150">
        <v>99.694500000000005</v>
      </c>
    </row>
    <row r="151" spans="1:201" x14ac:dyDescent="0.25">
      <c r="A151">
        <v>135</v>
      </c>
      <c r="B151">
        <v>1690389625.5999999</v>
      </c>
      <c r="C151">
        <v>1367.099999904633</v>
      </c>
      <c r="D151" t="s">
        <v>603</v>
      </c>
      <c r="E151" t="s">
        <v>604</v>
      </c>
      <c r="F151" t="s">
        <v>330</v>
      </c>
      <c r="H151">
        <v>1690389625.5999999</v>
      </c>
      <c r="I151">
        <f t="shared" si="60"/>
        <v>2.2824181649943381E-3</v>
      </c>
      <c r="J151">
        <f t="shared" si="61"/>
        <v>2.282418164994338</v>
      </c>
      <c r="K151">
        <f t="shared" si="62"/>
        <v>33.940575431800447</v>
      </c>
      <c r="L151">
        <f t="shared" si="63"/>
        <v>429.86700000000002</v>
      </c>
      <c r="M151">
        <f t="shared" si="64"/>
        <v>110.85684692660504</v>
      </c>
      <c r="N151">
        <f t="shared" si="65"/>
        <v>10.926264432058851</v>
      </c>
      <c r="O151">
        <f t="shared" si="66"/>
        <v>42.368519787735607</v>
      </c>
      <c r="P151">
        <f t="shared" si="67"/>
        <v>0.18018937321065165</v>
      </c>
      <c r="Q151">
        <f t="shared" si="68"/>
        <v>2.1574411771643192</v>
      </c>
      <c r="R151">
        <f t="shared" si="69"/>
        <v>0.1722266631189325</v>
      </c>
      <c r="S151">
        <f t="shared" si="70"/>
        <v>0.10832775717042832</v>
      </c>
      <c r="T151">
        <f t="shared" si="71"/>
        <v>276.11572330800004</v>
      </c>
      <c r="U151">
        <f t="shared" si="72"/>
        <v>27.195723288455849</v>
      </c>
      <c r="V151">
        <f t="shared" si="73"/>
        <v>27.195723288455849</v>
      </c>
      <c r="W151">
        <f t="shared" si="74"/>
        <v>3.6205102661825186</v>
      </c>
      <c r="X151">
        <f t="shared" si="75"/>
        <v>70.496360518801993</v>
      </c>
      <c r="Y151">
        <f t="shared" si="76"/>
        <v>2.3539150729936802</v>
      </c>
      <c r="Z151">
        <f t="shared" si="77"/>
        <v>3.3390590034302132</v>
      </c>
      <c r="AA151">
        <f t="shared" si="78"/>
        <v>1.2665951931888384</v>
      </c>
      <c r="AB151">
        <f t="shared" si="79"/>
        <v>-100.65464107625031</v>
      </c>
      <c r="AC151">
        <f t="shared" si="80"/>
        <v>-159.67577941692727</v>
      </c>
      <c r="AD151">
        <f t="shared" si="81"/>
        <v>-15.894415327696562</v>
      </c>
      <c r="AE151">
        <f t="shared" si="82"/>
        <v>-0.10911251287407708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52350.202331958448</v>
      </c>
      <c r="AK151">
        <f t="shared" si="86"/>
        <v>1800</v>
      </c>
      <c r="AL151">
        <f t="shared" si="87"/>
        <v>1499.1109757999998</v>
      </c>
      <c r="AM151">
        <f t="shared" si="88"/>
        <v>0.83283943099999991</v>
      </c>
      <c r="AN151">
        <f t="shared" si="89"/>
        <v>0.15339762406000002</v>
      </c>
      <c r="AO151">
        <v>31.8</v>
      </c>
      <c r="AP151">
        <v>0.5</v>
      </c>
      <c r="AQ151" t="s">
        <v>331</v>
      </c>
      <c r="AR151">
        <v>2</v>
      </c>
      <c r="AS151">
        <v>1690389625.5999999</v>
      </c>
      <c r="AT151">
        <v>429.86700000000002</v>
      </c>
      <c r="AU151">
        <v>800.01</v>
      </c>
      <c r="AV151">
        <v>23.8826</v>
      </c>
      <c r="AW151">
        <v>0.26850600000000002</v>
      </c>
      <c r="AX151">
        <v>429.464</v>
      </c>
      <c r="AY151">
        <v>23.684200000000001</v>
      </c>
      <c r="AZ151">
        <v>300.02199999999999</v>
      </c>
      <c r="BA151">
        <v>98.462000000000003</v>
      </c>
      <c r="BB151">
        <v>9.9926799999999996E-2</v>
      </c>
      <c r="BC151">
        <v>25.822900000000001</v>
      </c>
      <c r="BD151">
        <v>26.962</v>
      </c>
      <c r="BE151">
        <v>26.9941</v>
      </c>
      <c r="BF151">
        <v>0</v>
      </c>
      <c r="BG151">
        <v>0</v>
      </c>
      <c r="BH151">
        <v>10016.200000000001</v>
      </c>
      <c r="BI151">
        <v>1066.07</v>
      </c>
      <c r="BJ151">
        <v>1.4016500000000001</v>
      </c>
      <c r="BK151">
        <v>-370.14299999999997</v>
      </c>
      <c r="BL151">
        <v>440.38499999999999</v>
      </c>
      <c r="BM151">
        <v>800.22500000000002</v>
      </c>
      <c r="BN151">
        <v>23.614100000000001</v>
      </c>
      <c r="BO151">
        <v>800.01</v>
      </c>
      <c r="BP151">
        <v>0.26850600000000002</v>
      </c>
      <c r="BQ151">
        <v>2.3515299999999999</v>
      </c>
      <c r="BR151">
        <v>2.6437700000000001E-2</v>
      </c>
      <c r="BS151">
        <v>20.033799999999999</v>
      </c>
      <c r="BT151">
        <v>-36.701500000000003</v>
      </c>
      <c r="BU151">
        <v>1800</v>
      </c>
      <c r="BV151">
        <v>0.90999200000000002</v>
      </c>
      <c r="BW151">
        <v>3.4006099999999997E-2</v>
      </c>
      <c r="BX151">
        <v>2.2001300000000001E-2</v>
      </c>
      <c r="BY151">
        <v>3.4001000000000003E-2</v>
      </c>
      <c r="BZ151">
        <v>25</v>
      </c>
      <c r="CA151">
        <v>33528.199999999997</v>
      </c>
      <c r="CB151">
        <v>1690387638</v>
      </c>
      <c r="CC151" t="s">
        <v>332</v>
      </c>
      <c r="CD151">
        <v>1690387638</v>
      </c>
      <c r="CE151">
        <v>1690387638</v>
      </c>
      <c r="CF151">
        <v>6</v>
      </c>
      <c r="CG151">
        <v>0.43</v>
      </c>
      <c r="CH151">
        <v>-8.1000000000000003E-2</v>
      </c>
      <c r="CI151">
        <v>0.14199999999999999</v>
      </c>
      <c r="CJ151">
        <v>-2.7E-2</v>
      </c>
      <c r="CK151">
        <v>800</v>
      </c>
      <c r="CL151">
        <v>0</v>
      </c>
      <c r="CM151">
        <v>0.01</v>
      </c>
      <c r="CN151">
        <v>0.01</v>
      </c>
      <c r="CO151">
        <v>-367.97632499999997</v>
      </c>
      <c r="CP151">
        <v>-10.997031894933899</v>
      </c>
      <c r="CQ151">
        <v>1.062290270771129</v>
      </c>
      <c r="CR151">
        <v>-1</v>
      </c>
      <c r="CS151">
        <v>23.5208175</v>
      </c>
      <c r="CT151">
        <v>0.50826529080667038</v>
      </c>
      <c r="CU151">
        <v>4.9025380607905407E-2</v>
      </c>
      <c r="CV151">
        <v>-1</v>
      </c>
      <c r="CW151">
        <v>0</v>
      </c>
      <c r="CX151">
        <v>0</v>
      </c>
      <c r="CY151" t="s">
        <v>333</v>
      </c>
      <c r="CZ151">
        <v>2.3645100000000001</v>
      </c>
      <c r="DA151">
        <v>2.71373</v>
      </c>
      <c r="DB151">
        <v>9.3922400000000003E-2</v>
      </c>
      <c r="DC151">
        <v>0.14518700000000001</v>
      </c>
      <c r="DD151">
        <v>0.112863</v>
      </c>
      <c r="DE151">
        <v>2.2337400000000001E-3</v>
      </c>
      <c r="DF151">
        <v>33112.1</v>
      </c>
      <c r="DG151">
        <v>27583.3</v>
      </c>
      <c r="DH151">
        <v>31196.9</v>
      </c>
      <c r="DI151">
        <v>28116.799999999999</v>
      </c>
      <c r="DJ151">
        <v>37572.199999999997</v>
      </c>
      <c r="DK151">
        <v>39902.6</v>
      </c>
      <c r="DL151">
        <v>44400.800000000003</v>
      </c>
      <c r="DM151">
        <v>42618.2</v>
      </c>
      <c r="DN151">
        <v>1.47478</v>
      </c>
      <c r="DO151">
        <v>2.0312800000000002</v>
      </c>
      <c r="DP151">
        <v>0.14916099999999999</v>
      </c>
      <c r="DQ151">
        <v>0.15243899999999999</v>
      </c>
      <c r="DR151">
        <v>24.517600000000002</v>
      </c>
      <c r="DS151">
        <v>24.495999999999999</v>
      </c>
      <c r="DT151">
        <v>35.700000000000003</v>
      </c>
      <c r="DU151">
        <v>28.9</v>
      </c>
      <c r="DV151">
        <v>14.4994</v>
      </c>
      <c r="DW151">
        <v>60.372199999999999</v>
      </c>
      <c r="DX151">
        <v>36.818899999999999</v>
      </c>
      <c r="DY151">
        <v>1</v>
      </c>
      <c r="DZ151">
        <v>-0.119393</v>
      </c>
      <c r="EA151">
        <v>-8.4310999999999997E-2</v>
      </c>
      <c r="EB151">
        <v>20.190100000000001</v>
      </c>
      <c r="EC151">
        <v>5.24125</v>
      </c>
      <c r="ED151">
        <v>12.039899999999999</v>
      </c>
      <c r="EE151">
        <v>5.0170500000000002</v>
      </c>
      <c r="EF151">
        <v>3.2879700000000001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1.8646199999999999</v>
      </c>
      <c r="EM151">
        <v>1.8692</v>
      </c>
      <c r="EN151">
        <v>1.8672200000000001</v>
      </c>
      <c r="EO151">
        <v>1.86337</v>
      </c>
      <c r="EP151">
        <v>1.8644499999999999</v>
      </c>
      <c r="EQ151">
        <v>1.8701300000000001</v>
      </c>
      <c r="ER151">
        <v>1.86937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0.40300000000000002</v>
      </c>
      <c r="FG151">
        <v>0.19839999999999999</v>
      </c>
      <c r="FH151">
        <v>0.69281559908863044</v>
      </c>
      <c r="FI151">
        <v>-6.1462078757559423E-4</v>
      </c>
      <c r="FJ151">
        <v>-1.8861989874597051E-7</v>
      </c>
      <c r="FK151">
        <v>1.1980462299894961E-10</v>
      </c>
      <c r="FL151">
        <v>0.19840465858211129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33.1</v>
      </c>
      <c r="FU151">
        <v>33.1</v>
      </c>
      <c r="FV151">
        <v>1.7663599999999999</v>
      </c>
      <c r="FW151">
        <v>2.5805699999999998</v>
      </c>
      <c r="FX151">
        <v>1.5490699999999999</v>
      </c>
      <c r="FY151">
        <v>2.3339799999999999</v>
      </c>
      <c r="FZ151">
        <v>1.50146</v>
      </c>
      <c r="GA151">
        <v>2.3596200000000001</v>
      </c>
      <c r="GB151">
        <v>33.602899999999998</v>
      </c>
      <c r="GC151">
        <v>23.991199999999999</v>
      </c>
      <c r="GD151">
        <v>19</v>
      </c>
      <c r="GE151">
        <v>280.96199999999999</v>
      </c>
      <c r="GF151">
        <v>575.55899999999997</v>
      </c>
      <c r="GG151">
        <v>24.2714</v>
      </c>
      <c r="GH151">
        <v>25.9057</v>
      </c>
      <c r="GI151">
        <v>30</v>
      </c>
      <c r="GJ151">
        <v>26.053599999999999</v>
      </c>
      <c r="GK151">
        <v>26.035</v>
      </c>
      <c r="GL151">
        <v>35.305100000000003</v>
      </c>
      <c r="GM151">
        <v>100</v>
      </c>
      <c r="GN151">
        <v>35.732199999999999</v>
      </c>
      <c r="GO151">
        <v>24.283300000000001</v>
      </c>
      <c r="GP151">
        <v>800</v>
      </c>
      <c r="GQ151">
        <v>0</v>
      </c>
      <c r="GR151">
        <v>99.822999999999993</v>
      </c>
      <c r="GS151">
        <v>99.696100000000001</v>
      </c>
    </row>
    <row r="152" spans="1:201" x14ac:dyDescent="0.25">
      <c r="A152">
        <v>136</v>
      </c>
      <c r="B152">
        <v>1690389635.5999999</v>
      </c>
      <c r="C152">
        <v>1377.099999904633</v>
      </c>
      <c r="D152" t="s">
        <v>605</v>
      </c>
      <c r="E152" t="s">
        <v>606</v>
      </c>
      <c r="F152" t="s">
        <v>330</v>
      </c>
      <c r="H152">
        <v>1690389635.5999999</v>
      </c>
      <c r="I152">
        <f t="shared" si="60"/>
        <v>2.2922385193726584E-3</v>
      </c>
      <c r="J152">
        <f t="shared" si="61"/>
        <v>2.2922385193726584</v>
      </c>
      <c r="K152">
        <f t="shared" si="62"/>
        <v>34.116262864487169</v>
      </c>
      <c r="L152">
        <f t="shared" si="63"/>
        <v>428.077</v>
      </c>
      <c r="M152">
        <f t="shared" si="64"/>
        <v>110.33014628825119</v>
      </c>
      <c r="N152">
        <f t="shared" si="65"/>
        <v>10.874046871837594</v>
      </c>
      <c r="O152">
        <f t="shared" si="66"/>
        <v>42.190910819551007</v>
      </c>
      <c r="P152">
        <f t="shared" si="67"/>
        <v>0.18191909505257864</v>
      </c>
      <c r="Q152">
        <f t="shared" si="68"/>
        <v>2.1490200167512046</v>
      </c>
      <c r="R152">
        <f t="shared" si="69"/>
        <v>0.17377621414389791</v>
      </c>
      <c r="S152">
        <f t="shared" si="70"/>
        <v>0.10931136298806601</v>
      </c>
      <c r="T152">
        <f t="shared" si="71"/>
        <v>276.11564400000003</v>
      </c>
      <c r="U152">
        <f t="shared" si="72"/>
        <v>27.206104918417648</v>
      </c>
      <c r="V152">
        <f t="shared" si="73"/>
        <v>27.206104918417648</v>
      </c>
      <c r="W152">
        <f t="shared" si="74"/>
        <v>3.62271519641576</v>
      </c>
      <c r="X152">
        <f t="shared" si="75"/>
        <v>70.704737594387183</v>
      </c>
      <c r="Y152">
        <f t="shared" si="76"/>
        <v>2.3621181800395004</v>
      </c>
      <c r="Z152">
        <f t="shared" si="77"/>
        <v>3.3408202341267366</v>
      </c>
      <c r="AA152">
        <f t="shared" si="78"/>
        <v>1.2605970163762596</v>
      </c>
      <c r="AB152">
        <f t="shared" si="79"/>
        <v>-101.08771870433424</v>
      </c>
      <c r="AC152">
        <f t="shared" si="80"/>
        <v>-159.22417408261995</v>
      </c>
      <c r="AD152">
        <f t="shared" si="81"/>
        <v>-15.913106238890677</v>
      </c>
      <c r="AE152">
        <f t="shared" si="82"/>
        <v>-0.1093550258448488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51996.25205100634</v>
      </c>
      <c r="AK152">
        <f t="shared" si="86"/>
        <v>1800</v>
      </c>
      <c r="AL152">
        <f t="shared" si="87"/>
        <v>1499.1109740000002</v>
      </c>
      <c r="AM152">
        <f t="shared" si="88"/>
        <v>0.83283943000000005</v>
      </c>
      <c r="AN152">
        <f t="shared" si="89"/>
        <v>0.15339758000000001</v>
      </c>
      <c r="AO152">
        <v>31.8</v>
      </c>
      <c r="AP152">
        <v>0.5</v>
      </c>
      <c r="AQ152" t="s">
        <v>331</v>
      </c>
      <c r="AR152">
        <v>2</v>
      </c>
      <c r="AS152">
        <v>1690389635.5999999</v>
      </c>
      <c r="AT152">
        <v>428.077</v>
      </c>
      <c r="AU152">
        <v>799.92600000000004</v>
      </c>
      <c r="AV152">
        <v>23.9665</v>
      </c>
      <c r="AW152">
        <v>0.262876</v>
      </c>
      <c r="AX152">
        <v>427.67200000000003</v>
      </c>
      <c r="AY152">
        <v>23.7681</v>
      </c>
      <c r="AZ152">
        <v>300.149</v>
      </c>
      <c r="BA152">
        <v>98.459100000000007</v>
      </c>
      <c r="BB152">
        <v>0.100063</v>
      </c>
      <c r="BC152">
        <v>25.831800000000001</v>
      </c>
      <c r="BD152">
        <v>26.9971</v>
      </c>
      <c r="BE152">
        <v>27.021899999999999</v>
      </c>
      <c r="BF152">
        <v>0</v>
      </c>
      <c r="BG152">
        <v>0</v>
      </c>
      <c r="BH152">
        <v>9946.25</v>
      </c>
      <c r="BI152">
        <v>1066.0899999999999</v>
      </c>
      <c r="BJ152">
        <v>1.4016500000000001</v>
      </c>
      <c r="BK152">
        <v>-371.84899999999999</v>
      </c>
      <c r="BL152">
        <v>438.589</v>
      </c>
      <c r="BM152">
        <v>800.13699999999994</v>
      </c>
      <c r="BN152">
        <v>23.703600000000002</v>
      </c>
      <c r="BO152">
        <v>799.92600000000004</v>
      </c>
      <c r="BP152">
        <v>0.262876</v>
      </c>
      <c r="BQ152">
        <v>2.3597100000000002</v>
      </c>
      <c r="BR152">
        <v>2.5882599999999999E-2</v>
      </c>
      <c r="BS152">
        <v>20.0899</v>
      </c>
      <c r="BT152">
        <v>-36.911200000000001</v>
      </c>
      <c r="BU152">
        <v>1800</v>
      </c>
      <c r="BV152">
        <v>0.90999300000000005</v>
      </c>
      <c r="BW152">
        <v>3.40057E-2</v>
      </c>
      <c r="BX152">
        <v>2.2001E-2</v>
      </c>
      <c r="BY152">
        <v>3.4000599999999999E-2</v>
      </c>
      <c r="BZ152">
        <v>25</v>
      </c>
      <c r="CA152">
        <v>33528.300000000003</v>
      </c>
      <c r="CB152">
        <v>1690387638</v>
      </c>
      <c r="CC152" t="s">
        <v>332</v>
      </c>
      <c r="CD152">
        <v>1690387638</v>
      </c>
      <c r="CE152">
        <v>1690387638</v>
      </c>
      <c r="CF152">
        <v>6</v>
      </c>
      <c r="CG152">
        <v>0.43</v>
      </c>
      <c r="CH152">
        <v>-8.1000000000000003E-2</v>
      </c>
      <c r="CI152">
        <v>0.14199999999999999</v>
      </c>
      <c r="CJ152">
        <v>-2.7E-2</v>
      </c>
      <c r="CK152">
        <v>800</v>
      </c>
      <c r="CL152">
        <v>0</v>
      </c>
      <c r="CM152">
        <v>0.01</v>
      </c>
      <c r="CN152">
        <v>0.01</v>
      </c>
      <c r="CO152">
        <v>-369.91790243902437</v>
      </c>
      <c r="CP152">
        <v>-11.377170731707119</v>
      </c>
      <c r="CQ152">
        <v>1.1258236400656361</v>
      </c>
      <c r="CR152">
        <v>-1</v>
      </c>
      <c r="CS152">
        <v>23.60894390243902</v>
      </c>
      <c r="CT152">
        <v>0.50606550522647853</v>
      </c>
      <c r="CU152">
        <v>5.0006882691068677E-2</v>
      </c>
      <c r="CV152">
        <v>-1</v>
      </c>
      <c r="CW152">
        <v>0</v>
      </c>
      <c r="CX152">
        <v>0</v>
      </c>
      <c r="CY152" t="s">
        <v>333</v>
      </c>
      <c r="CZ152">
        <v>2.3649399999999998</v>
      </c>
      <c r="DA152">
        <v>2.7138100000000001</v>
      </c>
      <c r="DB152">
        <v>9.3625299999999995E-2</v>
      </c>
      <c r="DC152">
        <v>0.145173</v>
      </c>
      <c r="DD152">
        <v>0.11314100000000001</v>
      </c>
      <c r="DE152">
        <v>2.1876E-3</v>
      </c>
      <c r="DF152">
        <v>33122.9</v>
      </c>
      <c r="DG152">
        <v>27583.8</v>
      </c>
      <c r="DH152">
        <v>31196.799999999999</v>
      </c>
      <c r="DI152">
        <v>28116.9</v>
      </c>
      <c r="DJ152">
        <v>37560.300000000003</v>
      </c>
      <c r="DK152">
        <v>39904.5</v>
      </c>
      <c r="DL152">
        <v>44400.800000000003</v>
      </c>
      <c r="DM152">
        <v>42618.2</v>
      </c>
      <c r="DN152">
        <v>1.4752700000000001</v>
      </c>
      <c r="DO152">
        <v>2.0310000000000001</v>
      </c>
      <c r="DP152">
        <v>0.150926</v>
      </c>
      <c r="DQ152">
        <v>0.15382499999999999</v>
      </c>
      <c r="DR152">
        <v>24.523800000000001</v>
      </c>
      <c r="DS152">
        <v>24.501100000000001</v>
      </c>
      <c r="DT152">
        <v>35.200000000000003</v>
      </c>
      <c r="DU152">
        <v>28.9</v>
      </c>
      <c r="DV152">
        <v>14.293699999999999</v>
      </c>
      <c r="DW152">
        <v>61.202199999999998</v>
      </c>
      <c r="DX152">
        <v>37.804499999999997</v>
      </c>
      <c r="DY152">
        <v>1</v>
      </c>
      <c r="DZ152">
        <v>-0.11926100000000001</v>
      </c>
      <c r="EA152">
        <v>0.10499699999999999</v>
      </c>
      <c r="EB152">
        <v>20.189900000000002</v>
      </c>
      <c r="EC152">
        <v>5.2415500000000002</v>
      </c>
      <c r="ED152">
        <v>12.039899999999999</v>
      </c>
      <c r="EE152">
        <v>5.0175000000000001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1.8646100000000001</v>
      </c>
      <c r="EM152">
        <v>1.8692</v>
      </c>
      <c r="EN152">
        <v>1.8672200000000001</v>
      </c>
      <c r="EO152">
        <v>1.8633500000000001</v>
      </c>
      <c r="EP152">
        <v>1.8644499999999999</v>
      </c>
      <c r="EQ152">
        <v>1.87012</v>
      </c>
      <c r="ER152">
        <v>1.8693500000000001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0.40500000000000003</v>
      </c>
      <c r="FG152">
        <v>0.19839999999999999</v>
      </c>
      <c r="FH152">
        <v>0.69281559908863044</v>
      </c>
      <c r="FI152">
        <v>-6.1462078757559423E-4</v>
      </c>
      <c r="FJ152">
        <v>-1.8861989874597051E-7</v>
      </c>
      <c r="FK152">
        <v>1.1980462299894961E-10</v>
      </c>
      <c r="FL152">
        <v>0.19840465858211129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33.299999999999997</v>
      </c>
      <c r="FU152">
        <v>33.299999999999997</v>
      </c>
      <c r="FV152">
        <v>1.7663599999999999</v>
      </c>
      <c r="FW152">
        <v>2.5842299999999998</v>
      </c>
      <c r="FX152">
        <v>1.5490699999999999</v>
      </c>
      <c r="FY152">
        <v>2.3339799999999999</v>
      </c>
      <c r="FZ152">
        <v>1.50146</v>
      </c>
      <c r="GA152">
        <v>2.32666</v>
      </c>
      <c r="GB152">
        <v>33.602899999999998</v>
      </c>
      <c r="GC152">
        <v>23.982399999999998</v>
      </c>
      <c r="GD152">
        <v>19</v>
      </c>
      <c r="GE152">
        <v>281.16399999999999</v>
      </c>
      <c r="GF152">
        <v>575.31399999999996</v>
      </c>
      <c r="GG152">
        <v>24.302199999999999</v>
      </c>
      <c r="GH152">
        <v>25.9057</v>
      </c>
      <c r="GI152">
        <v>30.0001</v>
      </c>
      <c r="GJ152">
        <v>26.051500000000001</v>
      </c>
      <c r="GK152">
        <v>26.033100000000001</v>
      </c>
      <c r="GL152">
        <v>35.306199999999997</v>
      </c>
      <c r="GM152">
        <v>100</v>
      </c>
      <c r="GN152">
        <v>34.956099999999999</v>
      </c>
      <c r="GO152">
        <v>24.203600000000002</v>
      </c>
      <c r="GP152">
        <v>800</v>
      </c>
      <c r="GQ152">
        <v>0</v>
      </c>
      <c r="GR152">
        <v>99.822900000000004</v>
      </c>
      <c r="GS152">
        <v>99.696299999999994</v>
      </c>
    </row>
    <row r="153" spans="1:201" x14ac:dyDescent="0.25">
      <c r="A153">
        <v>137</v>
      </c>
      <c r="B153">
        <v>1690389645.5999999</v>
      </c>
      <c r="C153">
        <v>1387.099999904633</v>
      </c>
      <c r="D153" t="s">
        <v>607</v>
      </c>
      <c r="E153" t="s">
        <v>608</v>
      </c>
      <c r="F153" t="s">
        <v>330</v>
      </c>
      <c r="H153">
        <v>1690389645.5999999</v>
      </c>
      <c r="I153">
        <f t="shared" si="60"/>
        <v>2.2989657257258007E-3</v>
      </c>
      <c r="J153">
        <f t="shared" si="61"/>
        <v>2.2989657257258007</v>
      </c>
      <c r="K153">
        <f t="shared" si="62"/>
        <v>34.287049662053512</v>
      </c>
      <c r="L153">
        <f t="shared" si="63"/>
        <v>426.33100000000002</v>
      </c>
      <c r="M153">
        <f t="shared" si="64"/>
        <v>110.16829554582063</v>
      </c>
      <c r="N153">
        <f t="shared" si="65"/>
        <v>10.858387076317861</v>
      </c>
      <c r="O153">
        <f t="shared" si="66"/>
        <v>42.019956809700204</v>
      </c>
      <c r="P153">
        <f t="shared" si="67"/>
        <v>0.18376655417030638</v>
      </c>
      <c r="Q153">
        <f t="shared" si="68"/>
        <v>2.1589450093297935</v>
      </c>
      <c r="R153">
        <f t="shared" si="69"/>
        <v>0.17549783600972091</v>
      </c>
      <c r="S153">
        <f t="shared" si="70"/>
        <v>0.11039805111889772</v>
      </c>
      <c r="T153">
        <f t="shared" si="71"/>
        <v>276.115389462</v>
      </c>
      <c r="U153">
        <f t="shared" si="72"/>
        <v>27.196035901105386</v>
      </c>
      <c r="V153">
        <f t="shared" si="73"/>
        <v>27.196035901105386</v>
      </c>
      <c r="W153">
        <f t="shared" si="74"/>
        <v>3.6205766441470573</v>
      </c>
      <c r="X153">
        <f t="shared" si="75"/>
        <v>70.909461589835189</v>
      </c>
      <c r="Y153">
        <f t="shared" si="76"/>
        <v>2.3686769435800796</v>
      </c>
      <c r="Z153">
        <f t="shared" si="77"/>
        <v>3.340424381278376</v>
      </c>
      <c r="AA153">
        <f t="shared" si="78"/>
        <v>1.2518997005669776</v>
      </c>
      <c r="AB153">
        <f t="shared" si="79"/>
        <v>-101.38438850450781</v>
      </c>
      <c r="AC153">
        <f t="shared" si="80"/>
        <v>-159.02035445410539</v>
      </c>
      <c r="AD153">
        <f t="shared" si="81"/>
        <v>-15.818717788616338</v>
      </c>
      <c r="AE153">
        <f t="shared" si="82"/>
        <v>-0.10807128522949938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52412.064520699656</v>
      </c>
      <c r="AK153">
        <f t="shared" si="86"/>
        <v>1800</v>
      </c>
      <c r="AL153">
        <f t="shared" si="87"/>
        <v>1499.1108641999999</v>
      </c>
      <c r="AM153">
        <f t="shared" si="88"/>
        <v>0.832839369</v>
      </c>
      <c r="AN153">
        <f t="shared" si="89"/>
        <v>0.15339743858999999</v>
      </c>
      <c r="AO153">
        <v>31.8</v>
      </c>
      <c r="AP153">
        <v>0.5</v>
      </c>
      <c r="AQ153" t="s">
        <v>331</v>
      </c>
      <c r="AR153">
        <v>2</v>
      </c>
      <c r="AS153">
        <v>1690389645.5999999</v>
      </c>
      <c r="AT153">
        <v>426.33100000000002</v>
      </c>
      <c r="AU153">
        <v>800.02099999999996</v>
      </c>
      <c r="AV153">
        <v>24.032399999999999</v>
      </c>
      <c r="AW153">
        <v>0.258044</v>
      </c>
      <c r="AX153">
        <v>425.92500000000001</v>
      </c>
      <c r="AY153">
        <v>23.834</v>
      </c>
      <c r="AZ153">
        <v>300.11399999999998</v>
      </c>
      <c r="BA153">
        <v>98.4619</v>
      </c>
      <c r="BB153">
        <v>9.9914199999999995E-2</v>
      </c>
      <c r="BC153">
        <v>25.829799999999999</v>
      </c>
      <c r="BD153">
        <v>26.985399999999998</v>
      </c>
      <c r="BE153">
        <v>27.008400000000002</v>
      </c>
      <c r="BF153">
        <v>0</v>
      </c>
      <c r="BG153">
        <v>0</v>
      </c>
      <c r="BH153">
        <v>10028.799999999999</v>
      </c>
      <c r="BI153">
        <v>1066.21</v>
      </c>
      <c r="BJ153">
        <v>1.4016500000000001</v>
      </c>
      <c r="BK153">
        <v>-373.69</v>
      </c>
      <c r="BL153">
        <v>436.82900000000001</v>
      </c>
      <c r="BM153">
        <v>800.22799999999995</v>
      </c>
      <c r="BN153">
        <v>23.7744</v>
      </c>
      <c r="BO153">
        <v>800.02099999999996</v>
      </c>
      <c r="BP153">
        <v>0.258044</v>
      </c>
      <c r="BQ153">
        <v>2.3662800000000002</v>
      </c>
      <c r="BR153">
        <v>2.54075E-2</v>
      </c>
      <c r="BS153">
        <v>20.134799999999998</v>
      </c>
      <c r="BT153">
        <v>-37.094000000000001</v>
      </c>
      <c r="BU153">
        <v>1800</v>
      </c>
      <c r="BV153">
        <v>0.90999600000000003</v>
      </c>
      <c r="BW153">
        <v>3.4004399999999997E-2</v>
      </c>
      <c r="BX153">
        <v>2.2000200000000001E-2</v>
      </c>
      <c r="BY153">
        <v>3.3999300000000003E-2</v>
      </c>
      <c r="BZ153">
        <v>25</v>
      </c>
      <c r="CA153">
        <v>33528.300000000003</v>
      </c>
      <c r="CB153">
        <v>1690387638</v>
      </c>
      <c r="CC153" t="s">
        <v>332</v>
      </c>
      <c r="CD153">
        <v>1690387638</v>
      </c>
      <c r="CE153">
        <v>1690387638</v>
      </c>
      <c r="CF153">
        <v>6</v>
      </c>
      <c r="CG153">
        <v>0.43</v>
      </c>
      <c r="CH153">
        <v>-8.1000000000000003E-2</v>
      </c>
      <c r="CI153">
        <v>0.14199999999999999</v>
      </c>
      <c r="CJ153">
        <v>-2.7E-2</v>
      </c>
      <c r="CK153">
        <v>800</v>
      </c>
      <c r="CL153">
        <v>0</v>
      </c>
      <c r="CM153">
        <v>0.01</v>
      </c>
      <c r="CN153">
        <v>0.01</v>
      </c>
      <c r="CO153">
        <v>-371.79209756097561</v>
      </c>
      <c r="CP153">
        <v>-10.851804878049499</v>
      </c>
      <c r="CQ153">
        <v>1.0730649471144631</v>
      </c>
      <c r="CR153">
        <v>-1</v>
      </c>
      <c r="CS153">
        <v>23.693390243902439</v>
      </c>
      <c r="CT153">
        <v>0.50343972125435521</v>
      </c>
      <c r="CU153">
        <v>4.9711856586798039E-2</v>
      </c>
      <c r="CV153">
        <v>-1</v>
      </c>
      <c r="CW153">
        <v>0</v>
      </c>
      <c r="CX153">
        <v>0</v>
      </c>
      <c r="CY153" t="s">
        <v>333</v>
      </c>
      <c r="CZ153">
        <v>2.36483</v>
      </c>
      <c r="DA153">
        <v>2.71373</v>
      </c>
      <c r="DB153">
        <v>9.3339699999999998E-2</v>
      </c>
      <c r="DC153">
        <v>0.14518800000000001</v>
      </c>
      <c r="DD153">
        <v>0.11336400000000001</v>
      </c>
      <c r="DE153">
        <v>2.1480800000000001E-3</v>
      </c>
      <c r="DF153">
        <v>33132.800000000003</v>
      </c>
      <c r="DG153">
        <v>27582.9</v>
      </c>
      <c r="DH153">
        <v>31196.400000000001</v>
      </c>
      <c r="DI153">
        <v>28116.5</v>
      </c>
      <c r="DJ153">
        <v>37550.300000000003</v>
      </c>
      <c r="DK153">
        <v>39905.599999999999</v>
      </c>
      <c r="DL153">
        <v>44400.3</v>
      </c>
      <c r="DM153">
        <v>42617.599999999999</v>
      </c>
      <c r="DN153">
        <v>1.4751300000000001</v>
      </c>
      <c r="DO153">
        <v>2.0308299999999999</v>
      </c>
      <c r="DP153">
        <v>0.149898</v>
      </c>
      <c r="DQ153">
        <v>0.15271499999999999</v>
      </c>
      <c r="DR153">
        <v>24.529</v>
      </c>
      <c r="DS153">
        <v>24.505800000000001</v>
      </c>
      <c r="DT153">
        <v>34.700000000000003</v>
      </c>
      <c r="DU153">
        <v>29</v>
      </c>
      <c r="DV153">
        <v>14.1753</v>
      </c>
      <c r="DW153">
        <v>60.772199999999998</v>
      </c>
      <c r="DX153">
        <v>37.127400000000002</v>
      </c>
      <c r="DY153">
        <v>1</v>
      </c>
      <c r="DZ153">
        <v>-0.118897</v>
      </c>
      <c r="EA153">
        <v>3.70452E-2</v>
      </c>
      <c r="EB153">
        <v>20.1904</v>
      </c>
      <c r="EC153">
        <v>5.2415500000000002</v>
      </c>
      <c r="ED153">
        <v>12.039899999999999</v>
      </c>
      <c r="EE153">
        <v>5.0174500000000002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1.8692</v>
      </c>
      <c r="EN153">
        <v>1.8672200000000001</v>
      </c>
      <c r="EO153">
        <v>1.8633599999999999</v>
      </c>
      <c r="EP153">
        <v>1.8644499999999999</v>
      </c>
      <c r="EQ153">
        <v>1.8701399999999999</v>
      </c>
      <c r="ER153">
        <v>1.8693599999999999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0.40600000000000003</v>
      </c>
      <c r="FG153">
        <v>0.19839999999999999</v>
      </c>
      <c r="FH153">
        <v>0.69281559908863044</v>
      </c>
      <c r="FI153">
        <v>-6.1462078757559423E-4</v>
      </c>
      <c r="FJ153">
        <v>-1.8861989874597051E-7</v>
      </c>
      <c r="FK153">
        <v>1.1980462299894961E-10</v>
      </c>
      <c r="FL153">
        <v>0.19840465858211129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33.5</v>
      </c>
      <c r="FU153">
        <v>33.5</v>
      </c>
      <c r="FV153">
        <v>1.7663599999999999</v>
      </c>
      <c r="FW153">
        <v>2.5793499999999998</v>
      </c>
      <c r="FX153">
        <v>1.5490699999999999</v>
      </c>
      <c r="FY153">
        <v>2.3339799999999999</v>
      </c>
      <c r="FZ153">
        <v>1.50146</v>
      </c>
      <c r="GA153">
        <v>2.3754900000000001</v>
      </c>
      <c r="GB153">
        <v>33.602899999999998</v>
      </c>
      <c r="GC153">
        <v>23.991199999999999</v>
      </c>
      <c r="GD153">
        <v>19</v>
      </c>
      <c r="GE153">
        <v>281.10000000000002</v>
      </c>
      <c r="GF153">
        <v>575.16800000000001</v>
      </c>
      <c r="GG153">
        <v>24.214700000000001</v>
      </c>
      <c r="GH153">
        <v>25.9057</v>
      </c>
      <c r="GI153">
        <v>29.9999</v>
      </c>
      <c r="GJ153">
        <v>26.051400000000001</v>
      </c>
      <c r="GK153">
        <v>26.032800000000002</v>
      </c>
      <c r="GL153">
        <v>35.3035</v>
      </c>
      <c r="GM153">
        <v>100</v>
      </c>
      <c r="GN153">
        <v>34.174199999999999</v>
      </c>
      <c r="GO153">
        <v>24.234200000000001</v>
      </c>
      <c r="GP153">
        <v>800</v>
      </c>
      <c r="GQ153">
        <v>0</v>
      </c>
      <c r="GR153">
        <v>99.821600000000004</v>
      </c>
      <c r="GS153">
        <v>99.694800000000001</v>
      </c>
    </row>
    <row r="154" spans="1:201" x14ac:dyDescent="0.25">
      <c r="A154">
        <v>138</v>
      </c>
      <c r="B154">
        <v>1690389655.5999999</v>
      </c>
      <c r="C154">
        <v>1397.099999904633</v>
      </c>
      <c r="D154" t="s">
        <v>609</v>
      </c>
      <c r="E154" t="s">
        <v>610</v>
      </c>
      <c r="F154" t="s">
        <v>330</v>
      </c>
      <c r="H154">
        <v>1690389655.5999999</v>
      </c>
      <c r="I154">
        <f t="shared" si="60"/>
        <v>2.3064296825005153E-3</v>
      </c>
      <c r="J154">
        <f t="shared" si="61"/>
        <v>2.3064296825005153</v>
      </c>
      <c r="K154">
        <f t="shared" si="62"/>
        <v>34.456984109303306</v>
      </c>
      <c r="L154">
        <f t="shared" si="63"/>
        <v>424.58</v>
      </c>
      <c r="M154">
        <f t="shared" si="64"/>
        <v>109.38876728223768</v>
      </c>
      <c r="N154">
        <f t="shared" si="65"/>
        <v>10.78194071118833</v>
      </c>
      <c r="O154">
        <f t="shared" si="66"/>
        <v>41.848870783460001</v>
      </c>
      <c r="P154">
        <f t="shared" si="67"/>
        <v>0.18531104084350158</v>
      </c>
      <c r="Q154">
        <f t="shared" si="68"/>
        <v>2.1514226867483202</v>
      </c>
      <c r="R154">
        <f t="shared" si="69"/>
        <v>0.17687821422480871</v>
      </c>
      <c r="S154">
        <f t="shared" si="70"/>
        <v>0.11127455708104408</v>
      </c>
      <c r="T154">
        <f t="shared" si="71"/>
        <v>276.115506246</v>
      </c>
      <c r="U154">
        <f t="shared" si="72"/>
        <v>27.20049763689638</v>
      </c>
      <c r="V154">
        <f t="shared" si="73"/>
        <v>27.20049763689638</v>
      </c>
      <c r="W154">
        <f t="shared" si="74"/>
        <v>3.6215241334207575</v>
      </c>
      <c r="X154">
        <f t="shared" si="75"/>
        <v>71.098317284540542</v>
      </c>
      <c r="Y154">
        <f t="shared" si="76"/>
        <v>2.3753654824977999</v>
      </c>
      <c r="Z154">
        <f t="shared" si="77"/>
        <v>3.3409587923036459</v>
      </c>
      <c r="AA154">
        <f t="shared" si="78"/>
        <v>1.2461586509229576</v>
      </c>
      <c r="AB154">
        <f t="shared" si="79"/>
        <v>-101.71354899827273</v>
      </c>
      <c r="AC154">
        <f t="shared" si="80"/>
        <v>-158.67062575626954</v>
      </c>
      <c r="AD154">
        <f t="shared" si="81"/>
        <v>-15.839684048705857</v>
      </c>
      <c r="AE154">
        <f t="shared" si="82"/>
        <v>-0.10835255724813919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52096.636537002501</v>
      </c>
      <c r="AK154">
        <f t="shared" si="86"/>
        <v>1800</v>
      </c>
      <c r="AL154">
        <f t="shared" si="87"/>
        <v>1499.1116976000001</v>
      </c>
      <c r="AM154">
        <f t="shared" si="88"/>
        <v>0.832839832</v>
      </c>
      <c r="AN154">
        <f t="shared" si="89"/>
        <v>0.15339750347</v>
      </c>
      <c r="AO154">
        <v>31.8</v>
      </c>
      <c r="AP154">
        <v>0.5</v>
      </c>
      <c r="AQ154" t="s">
        <v>331</v>
      </c>
      <c r="AR154">
        <v>2</v>
      </c>
      <c r="AS154">
        <v>1690389655.5999999</v>
      </c>
      <c r="AT154">
        <v>424.58</v>
      </c>
      <c r="AU154">
        <v>799.99900000000002</v>
      </c>
      <c r="AV154">
        <v>24.099399999999999</v>
      </c>
      <c r="AW154">
        <v>0.253467</v>
      </c>
      <c r="AX154">
        <v>424.173</v>
      </c>
      <c r="AY154">
        <v>23.901</v>
      </c>
      <c r="AZ154">
        <v>300.16399999999999</v>
      </c>
      <c r="BA154">
        <v>98.465299999999999</v>
      </c>
      <c r="BB154">
        <v>0.100037</v>
      </c>
      <c r="BC154">
        <v>25.8325</v>
      </c>
      <c r="BD154">
        <v>27.018699999999999</v>
      </c>
      <c r="BE154">
        <v>27.003799999999998</v>
      </c>
      <c r="BF154">
        <v>0</v>
      </c>
      <c r="BG154">
        <v>0</v>
      </c>
      <c r="BH154">
        <v>9965.6200000000008</v>
      </c>
      <c r="BI154">
        <v>1066.33</v>
      </c>
      <c r="BJ154">
        <v>1.4016500000000001</v>
      </c>
      <c r="BK154">
        <v>-375.41899999999998</v>
      </c>
      <c r="BL154">
        <v>435.065</v>
      </c>
      <c r="BM154">
        <v>800.20100000000002</v>
      </c>
      <c r="BN154">
        <v>23.846</v>
      </c>
      <c r="BO154">
        <v>799.99900000000002</v>
      </c>
      <c r="BP154">
        <v>0.253467</v>
      </c>
      <c r="BQ154">
        <v>2.37296</v>
      </c>
      <c r="BR154">
        <v>2.4957699999999999E-2</v>
      </c>
      <c r="BS154">
        <v>20.180399999999999</v>
      </c>
      <c r="BT154">
        <v>-37.2699</v>
      </c>
      <c r="BU154">
        <v>1800</v>
      </c>
      <c r="BV154">
        <v>0.90999699999999994</v>
      </c>
      <c r="BW154">
        <v>3.4004199999999998E-2</v>
      </c>
      <c r="BX154">
        <v>2.2000100000000002E-2</v>
      </c>
      <c r="BY154">
        <v>3.3999099999999997E-2</v>
      </c>
      <c r="BZ154">
        <v>25</v>
      </c>
      <c r="CA154">
        <v>33528.300000000003</v>
      </c>
      <c r="CB154">
        <v>1690387638</v>
      </c>
      <c r="CC154" t="s">
        <v>332</v>
      </c>
      <c r="CD154">
        <v>1690387638</v>
      </c>
      <c r="CE154">
        <v>1690387638</v>
      </c>
      <c r="CF154">
        <v>6</v>
      </c>
      <c r="CG154">
        <v>0.43</v>
      </c>
      <c r="CH154">
        <v>-8.1000000000000003E-2</v>
      </c>
      <c r="CI154">
        <v>0.14199999999999999</v>
      </c>
      <c r="CJ154">
        <v>-2.7E-2</v>
      </c>
      <c r="CK154">
        <v>800</v>
      </c>
      <c r="CL154">
        <v>0</v>
      </c>
      <c r="CM154">
        <v>0.01</v>
      </c>
      <c r="CN154">
        <v>0.01</v>
      </c>
      <c r="CO154">
        <v>-373.47910000000002</v>
      </c>
      <c r="CP154">
        <v>-10.32472795497111</v>
      </c>
      <c r="CQ154">
        <v>0.99738327136562632</v>
      </c>
      <c r="CR154">
        <v>-1</v>
      </c>
      <c r="CS154">
        <v>23.766909999999999</v>
      </c>
      <c r="CT154">
        <v>0.41287429643526502</v>
      </c>
      <c r="CU154">
        <v>3.9828663045600649E-2</v>
      </c>
      <c r="CV154">
        <v>-1</v>
      </c>
      <c r="CW154">
        <v>0</v>
      </c>
      <c r="CX154">
        <v>0</v>
      </c>
      <c r="CY154" t="s">
        <v>333</v>
      </c>
      <c r="CZ154">
        <v>2.3649800000000001</v>
      </c>
      <c r="DA154">
        <v>2.7138</v>
      </c>
      <c r="DB154">
        <v>9.3052999999999997E-2</v>
      </c>
      <c r="DC154">
        <v>0.14519000000000001</v>
      </c>
      <c r="DD154">
        <v>0.113591</v>
      </c>
      <c r="DE154">
        <v>2.11064E-3</v>
      </c>
      <c r="DF154">
        <v>33143.4</v>
      </c>
      <c r="DG154">
        <v>27583.1</v>
      </c>
      <c r="DH154">
        <v>31196.5</v>
      </c>
      <c r="DI154">
        <v>28116.7</v>
      </c>
      <c r="DJ154">
        <v>37540.699999999997</v>
      </c>
      <c r="DK154">
        <v>39907.4</v>
      </c>
      <c r="DL154">
        <v>44400.5</v>
      </c>
      <c r="DM154">
        <v>42618</v>
      </c>
      <c r="DN154">
        <v>1.4756</v>
      </c>
      <c r="DO154">
        <v>2.03132</v>
      </c>
      <c r="DP154">
        <v>0.15179100000000001</v>
      </c>
      <c r="DQ154">
        <v>0.15226799999999999</v>
      </c>
      <c r="DR154">
        <v>24.531300000000002</v>
      </c>
      <c r="DS154">
        <v>24.508600000000001</v>
      </c>
      <c r="DT154">
        <v>34.299999999999997</v>
      </c>
      <c r="DU154">
        <v>29</v>
      </c>
      <c r="DV154">
        <v>14.010400000000001</v>
      </c>
      <c r="DW154">
        <v>61.362200000000001</v>
      </c>
      <c r="DX154">
        <v>37.427900000000001</v>
      </c>
      <c r="DY154">
        <v>1</v>
      </c>
      <c r="DZ154">
        <v>-0.11956799999999999</v>
      </c>
      <c r="EA154">
        <v>7.2984799999999996E-4</v>
      </c>
      <c r="EB154">
        <v>20.190100000000001</v>
      </c>
      <c r="EC154">
        <v>5.2404999999999999</v>
      </c>
      <c r="ED154">
        <v>12.039899999999999</v>
      </c>
      <c r="EE154">
        <v>5.0168999999999997</v>
      </c>
      <c r="EF154">
        <v>3.2879499999999999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1.8692</v>
      </c>
      <c r="EN154">
        <v>1.8672200000000001</v>
      </c>
      <c r="EO154">
        <v>1.8633599999999999</v>
      </c>
      <c r="EP154">
        <v>1.8644499999999999</v>
      </c>
      <c r="EQ154">
        <v>1.87015</v>
      </c>
      <c r="ER154">
        <v>1.8693500000000001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0.40699999999999997</v>
      </c>
      <c r="FG154">
        <v>0.19839999999999999</v>
      </c>
      <c r="FH154">
        <v>0.69281559908863044</v>
      </c>
      <c r="FI154">
        <v>-6.1462078757559423E-4</v>
      </c>
      <c r="FJ154">
        <v>-1.8861989874597051E-7</v>
      </c>
      <c r="FK154">
        <v>1.1980462299894961E-10</v>
      </c>
      <c r="FL154">
        <v>0.19840465858211129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33.6</v>
      </c>
      <c r="FU154">
        <v>33.6</v>
      </c>
      <c r="FV154">
        <v>1.7651399999999999</v>
      </c>
      <c r="FW154">
        <v>2.5756800000000002</v>
      </c>
      <c r="FX154">
        <v>1.5490699999999999</v>
      </c>
      <c r="FY154">
        <v>2.3339799999999999</v>
      </c>
      <c r="FZ154">
        <v>1.50146</v>
      </c>
      <c r="GA154">
        <v>2.3840300000000001</v>
      </c>
      <c r="GB154">
        <v>33.602899999999998</v>
      </c>
      <c r="GC154">
        <v>23.991199999999999</v>
      </c>
      <c r="GD154">
        <v>19</v>
      </c>
      <c r="GE154">
        <v>281.30099999999999</v>
      </c>
      <c r="GF154">
        <v>575.57299999999998</v>
      </c>
      <c r="GG154">
        <v>24.238199999999999</v>
      </c>
      <c r="GH154">
        <v>25.904199999999999</v>
      </c>
      <c r="GI154">
        <v>29.9999</v>
      </c>
      <c r="GJ154">
        <v>26.051400000000001</v>
      </c>
      <c r="GK154">
        <v>26.032499999999999</v>
      </c>
      <c r="GL154">
        <v>35.303400000000003</v>
      </c>
      <c r="GM154">
        <v>100</v>
      </c>
      <c r="GN154">
        <v>33.044899999999998</v>
      </c>
      <c r="GO154">
        <v>24.229800000000001</v>
      </c>
      <c r="GP154">
        <v>800</v>
      </c>
      <c r="GQ154">
        <v>0</v>
      </c>
      <c r="GR154">
        <v>99.822000000000003</v>
      </c>
      <c r="GS154">
        <v>99.695599999999999</v>
      </c>
    </row>
    <row r="155" spans="1:201" x14ac:dyDescent="0.25">
      <c r="A155">
        <v>139</v>
      </c>
      <c r="B155">
        <v>1690389665.5999999</v>
      </c>
      <c r="C155">
        <v>1407.099999904633</v>
      </c>
      <c r="D155" t="s">
        <v>611</v>
      </c>
      <c r="E155" t="s">
        <v>612</v>
      </c>
      <c r="F155" t="s">
        <v>330</v>
      </c>
      <c r="H155">
        <v>1690389665.5999999</v>
      </c>
      <c r="I155">
        <f t="shared" si="60"/>
        <v>2.3133759978553646E-3</v>
      </c>
      <c r="J155">
        <f t="shared" si="61"/>
        <v>2.3133759978553647</v>
      </c>
      <c r="K155">
        <f t="shared" si="62"/>
        <v>34.602900000751511</v>
      </c>
      <c r="L155">
        <f t="shared" si="63"/>
        <v>423.05200000000002</v>
      </c>
      <c r="M155">
        <f t="shared" si="64"/>
        <v>109.41415131149122</v>
      </c>
      <c r="N155">
        <f t="shared" si="65"/>
        <v>10.784623109580224</v>
      </c>
      <c r="O155">
        <f t="shared" si="66"/>
        <v>41.698960518966807</v>
      </c>
      <c r="P155">
        <f t="shared" si="67"/>
        <v>0.18704103483545301</v>
      </c>
      <c r="Q155">
        <f t="shared" si="68"/>
        <v>2.1606427834509225</v>
      </c>
      <c r="R155">
        <f t="shared" si="69"/>
        <v>0.17848878553431377</v>
      </c>
      <c r="S155">
        <f t="shared" si="70"/>
        <v>0.11229128549082248</v>
      </c>
      <c r="T155">
        <f t="shared" si="71"/>
        <v>276.11532889200004</v>
      </c>
      <c r="U155">
        <f t="shared" si="72"/>
        <v>27.19778346865278</v>
      </c>
      <c r="V155">
        <f t="shared" si="73"/>
        <v>27.19778346865278</v>
      </c>
      <c r="W155">
        <f t="shared" si="74"/>
        <v>3.6209477298775314</v>
      </c>
      <c r="X155">
        <f t="shared" si="75"/>
        <v>71.285789701029472</v>
      </c>
      <c r="Y155">
        <f t="shared" si="76"/>
        <v>2.3823344791072301</v>
      </c>
      <c r="Z155">
        <f t="shared" si="77"/>
        <v>3.3419486395516858</v>
      </c>
      <c r="AA155">
        <f t="shared" si="78"/>
        <v>1.2386132507703014</v>
      </c>
      <c r="AB155">
        <f t="shared" si="79"/>
        <v>-102.01988150542158</v>
      </c>
      <c r="AC155">
        <f t="shared" si="80"/>
        <v>-158.45204001350064</v>
      </c>
      <c r="AD155">
        <f t="shared" si="81"/>
        <v>-15.750543108265562</v>
      </c>
      <c r="AE155">
        <f t="shared" si="82"/>
        <v>-0.10713573518773956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52482.092461991473</v>
      </c>
      <c r="AK155">
        <f t="shared" si="86"/>
        <v>1800</v>
      </c>
      <c r="AL155">
        <f t="shared" si="87"/>
        <v>1499.1112781999998</v>
      </c>
      <c r="AM155">
        <f t="shared" si="88"/>
        <v>0.83283959899999993</v>
      </c>
      <c r="AN155">
        <f t="shared" si="89"/>
        <v>0.15339740494000001</v>
      </c>
      <c r="AO155">
        <v>31.8</v>
      </c>
      <c r="AP155">
        <v>0.5</v>
      </c>
      <c r="AQ155" t="s">
        <v>331</v>
      </c>
      <c r="AR155">
        <v>2</v>
      </c>
      <c r="AS155">
        <v>1690389665.5999999</v>
      </c>
      <c r="AT155">
        <v>423.05200000000002</v>
      </c>
      <c r="AU155">
        <v>800.08100000000002</v>
      </c>
      <c r="AV155">
        <v>24.169699999999999</v>
      </c>
      <c r="AW155">
        <v>0.24920999999999999</v>
      </c>
      <c r="AX155">
        <v>422.64400000000001</v>
      </c>
      <c r="AY155">
        <v>23.971299999999999</v>
      </c>
      <c r="AZ155">
        <v>300.108</v>
      </c>
      <c r="BA155">
        <v>98.467100000000002</v>
      </c>
      <c r="BB155">
        <v>9.98859E-2</v>
      </c>
      <c r="BC155">
        <v>25.837499999999999</v>
      </c>
      <c r="BD155">
        <v>26.9621</v>
      </c>
      <c r="BE155">
        <v>27.0031</v>
      </c>
      <c r="BF155">
        <v>0</v>
      </c>
      <c r="BG155">
        <v>0</v>
      </c>
      <c r="BH155">
        <v>10042.5</v>
      </c>
      <c r="BI155">
        <v>1066.4100000000001</v>
      </c>
      <c r="BJ155">
        <v>1.4016500000000001</v>
      </c>
      <c r="BK155">
        <v>-377.029</v>
      </c>
      <c r="BL155">
        <v>433.53100000000001</v>
      </c>
      <c r="BM155">
        <v>800.28099999999995</v>
      </c>
      <c r="BN155">
        <v>23.920500000000001</v>
      </c>
      <c r="BO155">
        <v>800.08100000000002</v>
      </c>
      <c r="BP155">
        <v>0.24920999999999999</v>
      </c>
      <c r="BQ155">
        <v>2.3799199999999998</v>
      </c>
      <c r="BR155">
        <v>2.4538999999999998E-2</v>
      </c>
      <c r="BS155">
        <v>20.227799999999998</v>
      </c>
      <c r="BT155">
        <v>-37.436199999999999</v>
      </c>
      <c r="BU155">
        <v>1800</v>
      </c>
      <c r="BV155">
        <v>0.90999799999999997</v>
      </c>
      <c r="BW155">
        <v>3.4003699999999998E-2</v>
      </c>
      <c r="BX155">
        <v>2.1999700000000001E-2</v>
      </c>
      <c r="BY155">
        <v>3.3998599999999997E-2</v>
      </c>
      <c r="BZ155">
        <v>25</v>
      </c>
      <c r="CA155">
        <v>33528.300000000003</v>
      </c>
      <c r="CB155">
        <v>1690387638</v>
      </c>
      <c r="CC155" t="s">
        <v>332</v>
      </c>
      <c r="CD155">
        <v>1690387638</v>
      </c>
      <c r="CE155">
        <v>1690387638</v>
      </c>
      <c r="CF155">
        <v>6</v>
      </c>
      <c r="CG155">
        <v>0.43</v>
      </c>
      <c r="CH155">
        <v>-8.1000000000000003E-2</v>
      </c>
      <c r="CI155">
        <v>0.14199999999999999</v>
      </c>
      <c r="CJ155">
        <v>-2.7E-2</v>
      </c>
      <c r="CK155">
        <v>800</v>
      </c>
      <c r="CL155">
        <v>0</v>
      </c>
      <c r="CM155">
        <v>0.01</v>
      </c>
      <c r="CN155">
        <v>0.01</v>
      </c>
      <c r="CO155">
        <v>-375.20963414634139</v>
      </c>
      <c r="CP155">
        <v>-10.13945644599297</v>
      </c>
      <c r="CQ155">
        <v>1.0001969502662149</v>
      </c>
      <c r="CR155">
        <v>-1</v>
      </c>
      <c r="CS155">
        <v>23.839012195121949</v>
      </c>
      <c r="CT155">
        <v>0.4417505226481464</v>
      </c>
      <c r="CU155">
        <v>4.3571372315149091E-2</v>
      </c>
      <c r="CV155">
        <v>-1</v>
      </c>
      <c r="CW155">
        <v>0</v>
      </c>
      <c r="CX155">
        <v>0</v>
      </c>
      <c r="CY155" t="s">
        <v>333</v>
      </c>
      <c r="CZ155">
        <v>2.36483</v>
      </c>
      <c r="DA155">
        <v>2.7137099999999998</v>
      </c>
      <c r="DB155">
        <v>9.2802099999999998E-2</v>
      </c>
      <c r="DC155">
        <v>0.145204</v>
      </c>
      <c r="DD155">
        <v>0.113827</v>
      </c>
      <c r="DE155">
        <v>2.0757800000000002E-3</v>
      </c>
      <c r="DF155">
        <v>33152.800000000003</v>
      </c>
      <c r="DG155">
        <v>27582.6</v>
      </c>
      <c r="DH155">
        <v>31196.6</v>
      </c>
      <c r="DI155">
        <v>28116.6</v>
      </c>
      <c r="DJ155">
        <v>37530.699999999997</v>
      </c>
      <c r="DK155">
        <v>39908.6</v>
      </c>
      <c r="DL155">
        <v>44400.6</v>
      </c>
      <c r="DM155">
        <v>42617.8</v>
      </c>
      <c r="DN155">
        <v>1.4752799999999999</v>
      </c>
      <c r="DO155">
        <v>2.03118</v>
      </c>
      <c r="DP155">
        <v>0.148095</v>
      </c>
      <c r="DQ155">
        <v>0.15209600000000001</v>
      </c>
      <c r="DR155">
        <v>24.5352</v>
      </c>
      <c r="DS155">
        <v>24.5107</v>
      </c>
      <c r="DT155">
        <v>33.799999999999997</v>
      </c>
      <c r="DU155">
        <v>29</v>
      </c>
      <c r="DV155">
        <v>13.807399999999999</v>
      </c>
      <c r="DW155">
        <v>60.632199999999997</v>
      </c>
      <c r="DX155">
        <v>37.488</v>
      </c>
      <c r="DY155">
        <v>1</v>
      </c>
      <c r="DZ155">
        <v>-0.119362</v>
      </c>
      <c r="EA155">
        <v>5.02342E-2</v>
      </c>
      <c r="EB155">
        <v>20.190100000000001</v>
      </c>
      <c r="EC155">
        <v>5.2404999999999999</v>
      </c>
      <c r="ED155">
        <v>12.039899999999999</v>
      </c>
      <c r="EE155">
        <v>5.0170500000000002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1.8692</v>
      </c>
      <c r="EN155">
        <v>1.8672200000000001</v>
      </c>
      <c r="EO155">
        <v>1.86334</v>
      </c>
      <c r="EP155">
        <v>1.86446</v>
      </c>
      <c r="EQ155">
        <v>1.8701300000000001</v>
      </c>
      <c r="ER155">
        <v>1.8693500000000001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0.40799999999999997</v>
      </c>
      <c r="FG155">
        <v>0.19839999999999999</v>
      </c>
      <c r="FH155">
        <v>0.69281559908863044</v>
      </c>
      <c r="FI155">
        <v>-6.1462078757559423E-4</v>
      </c>
      <c r="FJ155">
        <v>-1.8861989874597051E-7</v>
      </c>
      <c r="FK155">
        <v>1.1980462299894961E-10</v>
      </c>
      <c r="FL155">
        <v>0.19840465858211129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33.799999999999997</v>
      </c>
      <c r="FU155">
        <v>33.799999999999997</v>
      </c>
      <c r="FV155">
        <v>1.7651399999999999</v>
      </c>
      <c r="FW155">
        <v>2.5805699999999998</v>
      </c>
      <c r="FX155">
        <v>1.5490699999999999</v>
      </c>
      <c r="FY155">
        <v>2.3339799999999999</v>
      </c>
      <c r="FZ155">
        <v>1.50146</v>
      </c>
      <c r="GA155">
        <v>2.2961399999999998</v>
      </c>
      <c r="GB155">
        <v>33.602899999999998</v>
      </c>
      <c r="GC155">
        <v>23.991199999999999</v>
      </c>
      <c r="GD155">
        <v>19</v>
      </c>
      <c r="GE155">
        <v>281.15499999999997</v>
      </c>
      <c r="GF155">
        <v>575.42899999999997</v>
      </c>
      <c r="GG155">
        <v>24.214099999999998</v>
      </c>
      <c r="GH155">
        <v>25.903600000000001</v>
      </c>
      <c r="GI155">
        <v>30.0001</v>
      </c>
      <c r="GJ155">
        <v>26.049199999999999</v>
      </c>
      <c r="GK155">
        <v>26.0307</v>
      </c>
      <c r="GL155">
        <v>35.3001</v>
      </c>
      <c r="GM155">
        <v>100</v>
      </c>
      <c r="GN155">
        <v>32.2637</v>
      </c>
      <c r="GO155">
        <v>24.224299999999999</v>
      </c>
      <c r="GP155">
        <v>800</v>
      </c>
      <c r="GQ155">
        <v>0</v>
      </c>
      <c r="GR155">
        <v>99.822400000000002</v>
      </c>
      <c r="GS155">
        <v>99.695400000000006</v>
      </c>
    </row>
    <row r="156" spans="1:201" x14ac:dyDescent="0.25">
      <c r="A156">
        <v>140</v>
      </c>
      <c r="B156">
        <v>1690389675.5999999</v>
      </c>
      <c r="C156">
        <v>1417.099999904633</v>
      </c>
      <c r="D156" t="s">
        <v>613</v>
      </c>
      <c r="E156" t="s">
        <v>614</v>
      </c>
      <c r="F156" t="s">
        <v>330</v>
      </c>
      <c r="H156">
        <v>1690389675.5999999</v>
      </c>
      <c r="I156">
        <f t="shared" si="60"/>
        <v>2.3206218387365426E-3</v>
      </c>
      <c r="J156">
        <f t="shared" si="61"/>
        <v>2.3206218387365425</v>
      </c>
      <c r="K156">
        <f t="shared" si="62"/>
        <v>34.770204922910473</v>
      </c>
      <c r="L156">
        <f t="shared" si="63"/>
        <v>421.36</v>
      </c>
      <c r="M156">
        <f t="shared" si="64"/>
        <v>108.66614455146265</v>
      </c>
      <c r="N156">
        <f t="shared" si="65"/>
        <v>10.712188236461168</v>
      </c>
      <c r="O156">
        <f t="shared" si="66"/>
        <v>41.537202354479994</v>
      </c>
      <c r="P156">
        <f t="shared" si="67"/>
        <v>0.18856434512050577</v>
      </c>
      <c r="Q156">
        <f t="shared" si="68"/>
        <v>2.1572043429119909</v>
      </c>
      <c r="R156">
        <f t="shared" si="69"/>
        <v>0.17986254012446831</v>
      </c>
      <c r="S156">
        <f t="shared" si="70"/>
        <v>0.11316244124857081</v>
      </c>
      <c r="T156">
        <f t="shared" si="71"/>
        <v>276.11672622729031</v>
      </c>
      <c r="U156">
        <f t="shared" si="72"/>
        <v>27.203559419280602</v>
      </c>
      <c r="V156">
        <f t="shared" si="73"/>
        <v>27.203559419280602</v>
      </c>
      <c r="W156">
        <f t="shared" si="74"/>
        <v>3.622174455347241</v>
      </c>
      <c r="X156">
        <f t="shared" si="75"/>
        <v>71.460637617103501</v>
      </c>
      <c r="Y156">
        <f t="shared" si="76"/>
        <v>2.3890693297443</v>
      </c>
      <c r="Z156">
        <f t="shared" si="77"/>
        <v>3.3431962118016374</v>
      </c>
      <c r="AA156">
        <f t="shared" si="78"/>
        <v>1.2331051256029411</v>
      </c>
      <c r="AB156">
        <f t="shared" si="79"/>
        <v>-102.33942308828154</v>
      </c>
      <c r="AC156">
        <f t="shared" si="80"/>
        <v>-158.13893338236653</v>
      </c>
      <c r="AD156">
        <f t="shared" si="81"/>
        <v>-15.745427341488341</v>
      </c>
      <c r="AE156">
        <f t="shared" si="82"/>
        <v>-0.10705758484607486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52336.982717568622</v>
      </c>
      <c r="AK156">
        <f t="shared" si="86"/>
        <v>1800.01</v>
      </c>
      <c r="AL156">
        <f t="shared" si="87"/>
        <v>1499.1193437945299</v>
      </c>
      <c r="AM156">
        <f t="shared" si="88"/>
        <v>0.83283945299999995</v>
      </c>
      <c r="AN156">
        <f t="shared" si="89"/>
        <v>0.15339732903</v>
      </c>
      <c r="AO156">
        <v>31.8</v>
      </c>
      <c r="AP156">
        <v>0.5</v>
      </c>
      <c r="AQ156" t="s">
        <v>331</v>
      </c>
      <c r="AR156">
        <v>2</v>
      </c>
      <c r="AS156">
        <v>1690389675.5999999</v>
      </c>
      <c r="AT156">
        <v>421.36</v>
      </c>
      <c r="AU156">
        <v>800.08199999999999</v>
      </c>
      <c r="AV156">
        <v>24.235099999999999</v>
      </c>
      <c r="AW156">
        <v>0.24577199999999999</v>
      </c>
      <c r="AX156">
        <v>420.95</v>
      </c>
      <c r="AY156">
        <v>24.0367</v>
      </c>
      <c r="AZ156">
        <v>300.16399999999999</v>
      </c>
      <c r="BA156">
        <v>98.478899999999996</v>
      </c>
      <c r="BB156">
        <v>9.9992999999999999E-2</v>
      </c>
      <c r="BC156">
        <v>25.843800000000002</v>
      </c>
      <c r="BD156">
        <v>26.9831</v>
      </c>
      <c r="BE156">
        <v>27.019500000000001</v>
      </c>
      <c r="BF156">
        <v>0</v>
      </c>
      <c r="BG156">
        <v>0</v>
      </c>
      <c r="BH156">
        <v>10012.5</v>
      </c>
      <c r="BI156">
        <v>1066.6400000000001</v>
      </c>
      <c r="BJ156">
        <v>1.4016500000000001</v>
      </c>
      <c r="BK156">
        <v>-378.72199999999998</v>
      </c>
      <c r="BL156">
        <v>431.82499999999999</v>
      </c>
      <c r="BM156">
        <v>800.279</v>
      </c>
      <c r="BN156">
        <v>23.9893</v>
      </c>
      <c r="BO156">
        <v>800.08199999999999</v>
      </c>
      <c r="BP156">
        <v>0.24577199999999999</v>
      </c>
      <c r="BQ156">
        <v>2.3866399999999999</v>
      </c>
      <c r="BR156">
        <v>2.4203300000000001E-2</v>
      </c>
      <c r="BS156">
        <v>20.273399999999999</v>
      </c>
      <c r="BT156">
        <v>-37.571399999999997</v>
      </c>
      <c r="BU156">
        <v>1800.01</v>
      </c>
      <c r="BV156">
        <v>0.909999</v>
      </c>
      <c r="BW156">
        <v>3.4003199999999997E-2</v>
      </c>
      <c r="BX156">
        <v>2.1999399999999999E-2</v>
      </c>
      <c r="BY156">
        <v>3.3998100000000003E-2</v>
      </c>
      <c r="BZ156">
        <v>25</v>
      </c>
      <c r="CA156">
        <v>33528.5</v>
      </c>
      <c r="CB156">
        <v>1690387638</v>
      </c>
      <c r="CC156" t="s">
        <v>332</v>
      </c>
      <c r="CD156">
        <v>1690387638</v>
      </c>
      <c r="CE156">
        <v>1690387638</v>
      </c>
      <c r="CF156">
        <v>6</v>
      </c>
      <c r="CG156">
        <v>0.43</v>
      </c>
      <c r="CH156">
        <v>-8.1000000000000003E-2</v>
      </c>
      <c r="CI156">
        <v>0.14199999999999999</v>
      </c>
      <c r="CJ156">
        <v>-2.7E-2</v>
      </c>
      <c r="CK156">
        <v>800</v>
      </c>
      <c r="CL156">
        <v>0</v>
      </c>
      <c r="CM156">
        <v>0.01</v>
      </c>
      <c r="CN156">
        <v>0.01</v>
      </c>
      <c r="CO156">
        <v>-376.85114634146339</v>
      </c>
      <c r="CP156">
        <v>-9.5756445993032457</v>
      </c>
      <c r="CQ156">
        <v>0.94470840929049382</v>
      </c>
      <c r="CR156">
        <v>-1</v>
      </c>
      <c r="CS156">
        <v>23.911412195121951</v>
      </c>
      <c r="CT156">
        <v>0.42560278745646141</v>
      </c>
      <c r="CU156">
        <v>4.1983737822195867E-2</v>
      </c>
      <c r="CV156">
        <v>-1</v>
      </c>
      <c r="CW156">
        <v>0</v>
      </c>
      <c r="CX156">
        <v>0</v>
      </c>
      <c r="CY156" t="s">
        <v>333</v>
      </c>
      <c r="CZ156">
        <v>2.3649900000000001</v>
      </c>
      <c r="DA156">
        <v>2.7138</v>
      </c>
      <c r="DB156">
        <v>9.25319E-2</v>
      </c>
      <c r="DC156">
        <v>0.14522099999999999</v>
      </c>
      <c r="DD156">
        <v>0.11405800000000001</v>
      </c>
      <c r="DE156">
        <v>2.0478100000000002E-3</v>
      </c>
      <c r="DF156">
        <v>33162.9</v>
      </c>
      <c r="DG156">
        <v>27582.3</v>
      </c>
      <c r="DH156">
        <v>31196.799999999999</v>
      </c>
      <c r="DI156">
        <v>28116.9</v>
      </c>
      <c r="DJ156">
        <v>37520.9</v>
      </c>
      <c r="DK156">
        <v>39910.1</v>
      </c>
      <c r="DL156">
        <v>44400.800000000003</v>
      </c>
      <c r="DM156">
        <v>42618.2</v>
      </c>
      <c r="DN156">
        <v>1.4755</v>
      </c>
      <c r="DO156">
        <v>2.0310199999999998</v>
      </c>
      <c r="DP156">
        <v>0.149116</v>
      </c>
      <c r="DQ156">
        <v>0.152864</v>
      </c>
      <c r="DR156">
        <v>24.5396</v>
      </c>
      <c r="DS156">
        <v>24.514500000000002</v>
      </c>
      <c r="DT156">
        <v>33.4</v>
      </c>
      <c r="DU156">
        <v>29</v>
      </c>
      <c r="DV156">
        <v>13.6416</v>
      </c>
      <c r="DW156">
        <v>61.1922</v>
      </c>
      <c r="DX156">
        <v>36.9071</v>
      </c>
      <c r="DY156">
        <v>1</v>
      </c>
      <c r="DZ156">
        <v>-0.119482</v>
      </c>
      <c r="EA156">
        <v>-5.8243499999999997E-2</v>
      </c>
      <c r="EB156">
        <v>20.1904</v>
      </c>
      <c r="EC156">
        <v>5.2406499999999996</v>
      </c>
      <c r="ED156">
        <v>12.039899999999999</v>
      </c>
      <c r="EE156">
        <v>5.0172499999999998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1.8689100000000001</v>
      </c>
      <c r="EL156">
        <v>1.8646199999999999</v>
      </c>
      <c r="EM156">
        <v>1.8692</v>
      </c>
      <c r="EN156">
        <v>1.8672299999999999</v>
      </c>
      <c r="EO156">
        <v>1.8633599999999999</v>
      </c>
      <c r="EP156">
        <v>1.86446</v>
      </c>
      <c r="EQ156">
        <v>1.8701300000000001</v>
      </c>
      <c r="ER156">
        <v>1.8693500000000001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0.41</v>
      </c>
      <c r="FG156">
        <v>0.19839999999999999</v>
      </c>
      <c r="FH156">
        <v>0.69281559908863044</v>
      </c>
      <c r="FI156">
        <v>-6.1462078757559423E-4</v>
      </c>
      <c r="FJ156">
        <v>-1.8861989874597051E-7</v>
      </c>
      <c r="FK156">
        <v>1.1980462299894961E-10</v>
      </c>
      <c r="FL156">
        <v>0.19840465858211129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34</v>
      </c>
      <c r="FU156">
        <v>34</v>
      </c>
      <c r="FV156">
        <v>1.7651399999999999</v>
      </c>
      <c r="FW156">
        <v>2.5817899999999998</v>
      </c>
      <c r="FX156">
        <v>1.5490699999999999</v>
      </c>
      <c r="FY156">
        <v>2.3339799999999999</v>
      </c>
      <c r="FZ156">
        <v>1.50146</v>
      </c>
      <c r="GA156">
        <v>2.3852500000000001</v>
      </c>
      <c r="GB156">
        <v>33.602899999999998</v>
      </c>
      <c r="GC156">
        <v>23.991199999999999</v>
      </c>
      <c r="GD156">
        <v>19</v>
      </c>
      <c r="GE156">
        <v>281.24900000000002</v>
      </c>
      <c r="GF156">
        <v>575.30700000000002</v>
      </c>
      <c r="GG156">
        <v>24.242599999999999</v>
      </c>
      <c r="GH156">
        <v>25.903600000000001</v>
      </c>
      <c r="GI156">
        <v>30.0002</v>
      </c>
      <c r="GJ156">
        <v>26.049199999999999</v>
      </c>
      <c r="GK156">
        <v>26.0307</v>
      </c>
      <c r="GL156">
        <v>35.2986</v>
      </c>
      <c r="GM156">
        <v>100</v>
      </c>
      <c r="GN156">
        <v>31.493200000000002</v>
      </c>
      <c r="GO156">
        <v>24.253699999999998</v>
      </c>
      <c r="GP156">
        <v>800</v>
      </c>
      <c r="GQ156">
        <v>0</v>
      </c>
      <c r="GR156">
        <v>99.822800000000001</v>
      </c>
      <c r="GS156">
        <v>99.696299999999994</v>
      </c>
    </row>
    <row r="157" spans="1:201" x14ac:dyDescent="0.25">
      <c r="A157">
        <v>141</v>
      </c>
      <c r="B157">
        <v>1690389685.5999999</v>
      </c>
      <c r="C157">
        <v>1427.099999904633</v>
      </c>
      <c r="D157" t="s">
        <v>615</v>
      </c>
      <c r="E157" t="s">
        <v>616</v>
      </c>
      <c r="F157" t="s">
        <v>330</v>
      </c>
      <c r="H157">
        <v>1690389685.5999999</v>
      </c>
      <c r="I157">
        <f t="shared" si="60"/>
        <v>2.3278547029409223E-3</v>
      </c>
      <c r="J157">
        <f t="shared" si="61"/>
        <v>2.3278547029409222</v>
      </c>
      <c r="K157">
        <f t="shared" si="62"/>
        <v>34.904899294357918</v>
      </c>
      <c r="L157">
        <f t="shared" si="63"/>
        <v>419.77800000000002</v>
      </c>
      <c r="M157">
        <f t="shared" si="64"/>
        <v>108.91295843150708</v>
      </c>
      <c r="N157">
        <f t="shared" si="65"/>
        <v>10.736074565119063</v>
      </c>
      <c r="O157">
        <f t="shared" si="66"/>
        <v>41.379538061403011</v>
      </c>
      <c r="P157">
        <f t="shared" si="67"/>
        <v>0.19046111131033722</v>
      </c>
      <c r="Q157">
        <f t="shared" si="68"/>
        <v>2.1607376346392488</v>
      </c>
      <c r="R157">
        <f t="shared" si="69"/>
        <v>0.18160157422477172</v>
      </c>
      <c r="S157">
        <f t="shared" si="70"/>
        <v>0.11426262979629795</v>
      </c>
      <c r="T157">
        <f t="shared" si="71"/>
        <v>276.11382278179576</v>
      </c>
      <c r="U157">
        <f t="shared" si="72"/>
        <v>27.200519054155475</v>
      </c>
      <c r="V157">
        <f t="shared" si="73"/>
        <v>27.200519054155475</v>
      </c>
      <c r="W157">
        <f t="shared" si="74"/>
        <v>3.6215286820880661</v>
      </c>
      <c r="X157">
        <f t="shared" si="75"/>
        <v>71.677167237568867</v>
      </c>
      <c r="Y157">
        <f t="shared" si="76"/>
        <v>2.3965212933679498</v>
      </c>
      <c r="Z157">
        <f t="shared" si="77"/>
        <v>3.3434933127656272</v>
      </c>
      <c r="AA157">
        <f t="shared" si="78"/>
        <v>1.2250073887201163</v>
      </c>
      <c r="AB157">
        <f t="shared" si="79"/>
        <v>-102.65839239969468</v>
      </c>
      <c r="AC157">
        <f t="shared" si="80"/>
        <v>-157.86904392108514</v>
      </c>
      <c r="AD157">
        <f t="shared" si="81"/>
        <v>-15.692730278356663</v>
      </c>
      <c r="AE157">
        <f t="shared" si="82"/>
        <v>-0.10634381734067233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52484.879877630847</v>
      </c>
      <c r="AK157">
        <f t="shared" si="86"/>
        <v>1799.99</v>
      </c>
      <c r="AL157">
        <f t="shared" si="87"/>
        <v>1499.10406219783</v>
      </c>
      <c r="AM157">
        <f t="shared" si="88"/>
        <v>0.83284021699999999</v>
      </c>
      <c r="AN157">
        <f t="shared" si="89"/>
        <v>0.15339742041999999</v>
      </c>
      <c r="AO157">
        <v>31.8</v>
      </c>
      <c r="AP157">
        <v>0.5</v>
      </c>
      <c r="AQ157" t="s">
        <v>331</v>
      </c>
      <c r="AR157">
        <v>2</v>
      </c>
      <c r="AS157">
        <v>1690389685.5999999</v>
      </c>
      <c r="AT157">
        <v>419.77800000000002</v>
      </c>
      <c r="AU157">
        <v>800.03300000000002</v>
      </c>
      <c r="AV157">
        <v>24.311699999999998</v>
      </c>
      <c r="AW157">
        <v>0.24235499999999999</v>
      </c>
      <c r="AX157">
        <v>419.36700000000002</v>
      </c>
      <c r="AY157">
        <v>24.113299999999999</v>
      </c>
      <c r="AZ157">
        <v>300.07499999999999</v>
      </c>
      <c r="BA157">
        <v>98.474900000000005</v>
      </c>
      <c r="BB157">
        <v>9.9913500000000002E-2</v>
      </c>
      <c r="BC157">
        <v>25.845300000000002</v>
      </c>
      <c r="BD157">
        <v>27.012899999999998</v>
      </c>
      <c r="BE157">
        <v>27.007300000000001</v>
      </c>
      <c r="BF157">
        <v>0</v>
      </c>
      <c r="BG157">
        <v>0</v>
      </c>
      <c r="BH157">
        <v>10042.5</v>
      </c>
      <c r="BI157">
        <v>1066.69</v>
      </c>
      <c r="BJ157">
        <v>1.4016500000000001</v>
      </c>
      <c r="BK157">
        <v>-380.255</v>
      </c>
      <c r="BL157">
        <v>430.238</v>
      </c>
      <c r="BM157">
        <v>800.22699999999998</v>
      </c>
      <c r="BN157">
        <v>24.069299999999998</v>
      </c>
      <c r="BO157">
        <v>800.03300000000002</v>
      </c>
      <c r="BP157">
        <v>0.24235499999999999</v>
      </c>
      <c r="BQ157">
        <v>2.3940899999999998</v>
      </c>
      <c r="BR157">
        <v>2.3865899999999999E-2</v>
      </c>
      <c r="BS157">
        <v>20.323899999999998</v>
      </c>
      <c r="BT157">
        <v>-37.709000000000003</v>
      </c>
      <c r="BU157">
        <v>1799.99</v>
      </c>
      <c r="BV157">
        <v>0.91000099999999995</v>
      </c>
      <c r="BW157">
        <v>3.40028E-2</v>
      </c>
      <c r="BX157">
        <v>2.1999100000000001E-2</v>
      </c>
      <c r="BY157">
        <v>3.3997600000000003E-2</v>
      </c>
      <c r="BZ157">
        <v>25</v>
      </c>
      <c r="CA157">
        <v>33528.199999999997</v>
      </c>
      <c r="CB157">
        <v>1690387638</v>
      </c>
      <c r="CC157" t="s">
        <v>332</v>
      </c>
      <c r="CD157">
        <v>1690387638</v>
      </c>
      <c r="CE157">
        <v>1690387638</v>
      </c>
      <c r="CF157">
        <v>6</v>
      </c>
      <c r="CG157">
        <v>0.43</v>
      </c>
      <c r="CH157">
        <v>-8.1000000000000003E-2</v>
      </c>
      <c r="CI157">
        <v>0.14199999999999999</v>
      </c>
      <c r="CJ157">
        <v>-2.7E-2</v>
      </c>
      <c r="CK157">
        <v>800</v>
      </c>
      <c r="CL157">
        <v>0</v>
      </c>
      <c r="CM157">
        <v>0.01</v>
      </c>
      <c r="CN157">
        <v>0.01</v>
      </c>
      <c r="CO157">
        <v>-378.448125</v>
      </c>
      <c r="CP157">
        <v>-9.9073283302046615</v>
      </c>
      <c r="CQ157">
        <v>0.95443038477145914</v>
      </c>
      <c r="CR157">
        <v>-1</v>
      </c>
      <c r="CS157">
        <v>23.983072499999999</v>
      </c>
      <c r="CT157">
        <v>0.4499718574108531</v>
      </c>
      <c r="CU157">
        <v>4.3344365190298779E-2</v>
      </c>
      <c r="CV157">
        <v>-1</v>
      </c>
      <c r="CW157">
        <v>0</v>
      </c>
      <c r="CX157">
        <v>0</v>
      </c>
      <c r="CY157" t="s">
        <v>333</v>
      </c>
      <c r="CZ157">
        <v>2.3646799999999999</v>
      </c>
      <c r="DA157">
        <v>2.71374</v>
      </c>
      <c r="DB157">
        <v>9.2265200000000006E-2</v>
      </c>
      <c r="DC157">
        <v>0.14521000000000001</v>
      </c>
      <c r="DD157">
        <v>0.11430800000000001</v>
      </c>
      <c r="DE157">
        <v>2.0196900000000002E-3</v>
      </c>
      <c r="DF157">
        <v>33172.5</v>
      </c>
      <c r="DG157">
        <v>27582.400000000001</v>
      </c>
      <c r="DH157">
        <v>31196.7</v>
      </c>
      <c r="DI157">
        <v>28116.7</v>
      </c>
      <c r="DJ157">
        <v>37509.800000000003</v>
      </c>
      <c r="DK157">
        <v>39911</v>
      </c>
      <c r="DL157">
        <v>44400.4</v>
      </c>
      <c r="DM157">
        <v>42618</v>
      </c>
      <c r="DN157">
        <v>1.47532</v>
      </c>
      <c r="DO157">
        <v>2.03077</v>
      </c>
      <c r="DP157">
        <v>0.15068799999999999</v>
      </c>
      <c r="DQ157">
        <v>0.151835</v>
      </c>
      <c r="DR157">
        <v>24.543600000000001</v>
      </c>
      <c r="DS157">
        <v>24.519200000000001</v>
      </c>
      <c r="DT157">
        <v>33.1</v>
      </c>
      <c r="DU157">
        <v>29</v>
      </c>
      <c r="DV157">
        <v>13.5177</v>
      </c>
      <c r="DW157">
        <v>60.672199999999997</v>
      </c>
      <c r="DX157">
        <v>37.916699999999999</v>
      </c>
      <c r="DY157">
        <v>1</v>
      </c>
      <c r="DZ157">
        <v>-0.119675</v>
      </c>
      <c r="EA157">
        <v>-3.2821299999999998E-2</v>
      </c>
      <c r="EB157">
        <v>20.1904</v>
      </c>
      <c r="EC157">
        <v>5.2408000000000001</v>
      </c>
      <c r="ED157">
        <v>12.039899999999999</v>
      </c>
      <c r="EE157">
        <v>5.0165499999999996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1.8692</v>
      </c>
      <c r="EN157">
        <v>1.8672200000000001</v>
      </c>
      <c r="EO157">
        <v>1.86337</v>
      </c>
      <c r="EP157">
        <v>1.8644700000000001</v>
      </c>
      <c r="EQ157">
        <v>1.87012</v>
      </c>
      <c r="ER157">
        <v>1.8693500000000001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0.41099999999999998</v>
      </c>
      <c r="FG157">
        <v>0.19839999999999999</v>
      </c>
      <c r="FH157">
        <v>0.69281559908863044</v>
      </c>
      <c r="FI157">
        <v>-6.1462078757559423E-4</v>
      </c>
      <c r="FJ157">
        <v>-1.8861989874597051E-7</v>
      </c>
      <c r="FK157">
        <v>1.1980462299894961E-10</v>
      </c>
      <c r="FL157">
        <v>0.19840465858211129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34.1</v>
      </c>
      <c r="FU157">
        <v>34.1</v>
      </c>
      <c r="FV157">
        <v>1.7651399999999999</v>
      </c>
      <c r="FW157">
        <v>2.5830099999999998</v>
      </c>
      <c r="FX157">
        <v>1.5490699999999999</v>
      </c>
      <c r="FY157">
        <v>2.3339799999999999</v>
      </c>
      <c r="FZ157">
        <v>1.50146</v>
      </c>
      <c r="GA157">
        <v>2.3815900000000001</v>
      </c>
      <c r="GB157">
        <v>33.602899999999998</v>
      </c>
      <c r="GC157">
        <v>23.982399999999998</v>
      </c>
      <c r="GD157">
        <v>19</v>
      </c>
      <c r="GE157">
        <v>281.17500000000001</v>
      </c>
      <c r="GF157">
        <v>575.07799999999997</v>
      </c>
      <c r="GG157">
        <v>24.267199999999999</v>
      </c>
      <c r="GH157">
        <v>25.903600000000001</v>
      </c>
      <c r="GI157">
        <v>30.0001</v>
      </c>
      <c r="GJ157">
        <v>26.049199999999999</v>
      </c>
      <c r="GK157">
        <v>26.028500000000001</v>
      </c>
      <c r="GL157">
        <v>35.2971</v>
      </c>
      <c r="GM157">
        <v>100</v>
      </c>
      <c r="GN157">
        <v>30.694299999999998</v>
      </c>
      <c r="GO157">
        <v>24.265499999999999</v>
      </c>
      <c r="GP157">
        <v>800</v>
      </c>
      <c r="GQ157">
        <v>0</v>
      </c>
      <c r="GR157">
        <v>99.822199999999995</v>
      </c>
      <c r="GS157">
        <v>99.695599999999999</v>
      </c>
    </row>
    <row r="158" spans="1:201" x14ac:dyDescent="0.25">
      <c r="A158">
        <v>142</v>
      </c>
      <c r="B158">
        <v>1690389695.5999999</v>
      </c>
      <c r="C158">
        <v>1437.099999904633</v>
      </c>
      <c r="D158" t="s">
        <v>617</v>
      </c>
      <c r="E158" t="s">
        <v>618</v>
      </c>
      <c r="F158" t="s">
        <v>330</v>
      </c>
      <c r="H158">
        <v>1690389695.5999999</v>
      </c>
      <c r="I158">
        <f t="shared" si="60"/>
        <v>2.33543519082387E-3</v>
      </c>
      <c r="J158">
        <f t="shared" si="61"/>
        <v>2.33543519082387</v>
      </c>
      <c r="K158">
        <f t="shared" si="62"/>
        <v>35.061434437315178</v>
      </c>
      <c r="L158">
        <f t="shared" si="63"/>
        <v>418.26799999999997</v>
      </c>
      <c r="M158">
        <f t="shared" si="64"/>
        <v>108.285825726939</v>
      </c>
      <c r="N158">
        <f t="shared" si="65"/>
        <v>10.674403914593976</v>
      </c>
      <c r="O158">
        <f t="shared" si="66"/>
        <v>41.231265002383999</v>
      </c>
      <c r="P158">
        <f t="shared" si="67"/>
        <v>0.19192517595448524</v>
      </c>
      <c r="Q158">
        <f t="shared" si="68"/>
        <v>2.15417810342147</v>
      </c>
      <c r="R158">
        <f t="shared" si="69"/>
        <v>0.182906364678044</v>
      </c>
      <c r="S158">
        <f t="shared" si="70"/>
        <v>0.11509145868859225</v>
      </c>
      <c r="T158">
        <f t="shared" si="71"/>
        <v>276.11355911926063</v>
      </c>
      <c r="U158">
        <f t="shared" si="72"/>
        <v>27.207545444046072</v>
      </c>
      <c r="V158">
        <f t="shared" si="73"/>
        <v>27.207545444046072</v>
      </c>
      <c r="W158">
        <f t="shared" si="74"/>
        <v>3.6230212388818179</v>
      </c>
      <c r="X158">
        <f t="shared" si="75"/>
        <v>71.840564437860237</v>
      </c>
      <c r="Y158">
        <f t="shared" si="76"/>
        <v>2.4028241553564</v>
      </c>
      <c r="Z158">
        <f t="shared" si="77"/>
        <v>3.3446621336539817</v>
      </c>
      <c r="AA158">
        <f t="shared" si="78"/>
        <v>1.2201970835254179</v>
      </c>
      <c r="AB158">
        <f t="shared" si="79"/>
        <v>-102.99269191533267</v>
      </c>
      <c r="AC158">
        <f t="shared" si="80"/>
        <v>-157.52060218718518</v>
      </c>
      <c r="AD158">
        <f t="shared" si="81"/>
        <v>-15.706790149961311</v>
      </c>
      <c r="AE158">
        <f t="shared" si="82"/>
        <v>-0.10652513321852553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52208.861084817043</v>
      </c>
      <c r="AK158">
        <f t="shared" si="86"/>
        <v>1799.99</v>
      </c>
      <c r="AL158">
        <f t="shared" si="87"/>
        <v>1499.1032558023098</v>
      </c>
      <c r="AM158">
        <f t="shared" si="88"/>
        <v>0.8328397689999999</v>
      </c>
      <c r="AN158">
        <f t="shared" si="89"/>
        <v>0.15339727394000002</v>
      </c>
      <c r="AO158">
        <v>31.8</v>
      </c>
      <c r="AP158">
        <v>0.5</v>
      </c>
      <c r="AQ158" t="s">
        <v>331</v>
      </c>
      <c r="AR158">
        <v>2</v>
      </c>
      <c r="AS158">
        <v>1690389695.5999999</v>
      </c>
      <c r="AT158">
        <v>418.26799999999997</v>
      </c>
      <c r="AU158">
        <v>800.02300000000002</v>
      </c>
      <c r="AV158">
        <v>24.375299999999999</v>
      </c>
      <c r="AW158">
        <v>0.23896200000000001</v>
      </c>
      <c r="AX158">
        <v>417.85599999999999</v>
      </c>
      <c r="AY158">
        <v>24.1769</v>
      </c>
      <c r="AZ158">
        <v>300.197</v>
      </c>
      <c r="BA158">
        <v>98.476100000000002</v>
      </c>
      <c r="BB158">
        <v>0.100088</v>
      </c>
      <c r="BC158">
        <v>25.851199999999999</v>
      </c>
      <c r="BD158">
        <v>27.018699999999999</v>
      </c>
      <c r="BE158">
        <v>27.020700000000001</v>
      </c>
      <c r="BF158">
        <v>0</v>
      </c>
      <c r="BG158">
        <v>0</v>
      </c>
      <c r="BH158">
        <v>9987.5</v>
      </c>
      <c r="BI158">
        <v>1066.77</v>
      </c>
      <c r="BJ158">
        <v>1.4016500000000001</v>
      </c>
      <c r="BK158">
        <v>-381.75599999999997</v>
      </c>
      <c r="BL158">
        <v>428.71800000000002</v>
      </c>
      <c r="BM158">
        <v>800.21500000000003</v>
      </c>
      <c r="BN158">
        <v>24.136399999999998</v>
      </c>
      <c r="BO158">
        <v>800.02300000000002</v>
      </c>
      <c r="BP158">
        <v>0.23896200000000001</v>
      </c>
      <c r="BQ158">
        <v>2.4003899999999998</v>
      </c>
      <c r="BR158">
        <v>2.3532000000000001E-2</v>
      </c>
      <c r="BS158">
        <v>20.366399999999999</v>
      </c>
      <c r="BT158">
        <v>-37.846899999999998</v>
      </c>
      <c r="BU158">
        <v>1799.99</v>
      </c>
      <c r="BV158">
        <v>0.91000199999999998</v>
      </c>
      <c r="BW158">
        <v>3.40021E-2</v>
      </c>
      <c r="BX158">
        <v>2.19987E-2</v>
      </c>
      <c r="BY158">
        <v>3.3996999999999999E-2</v>
      </c>
      <c r="BZ158">
        <v>25</v>
      </c>
      <c r="CA158">
        <v>33528.199999999997</v>
      </c>
      <c r="CB158">
        <v>1690387638</v>
      </c>
      <c r="CC158" t="s">
        <v>332</v>
      </c>
      <c r="CD158">
        <v>1690387638</v>
      </c>
      <c r="CE158">
        <v>1690387638</v>
      </c>
      <c r="CF158">
        <v>6</v>
      </c>
      <c r="CG158">
        <v>0.43</v>
      </c>
      <c r="CH158">
        <v>-8.1000000000000003E-2</v>
      </c>
      <c r="CI158">
        <v>0.14199999999999999</v>
      </c>
      <c r="CJ158">
        <v>-2.7E-2</v>
      </c>
      <c r="CK158">
        <v>800</v>
      </c>
      <c r="CL158">
        <v>0</v>
      </c>
      <c r="CM158">
        <v>0.01</v>
      </c>
      <c r="CN158">
        <v>0.01</v>
      </c>
      <c r="CO158">
        <v>-380.05765853658528</v>
      </c>
      <c r="CP158">
        <v>-8.7739651567945334</v>
      </c>
      <c r="CQ158">
        <v>0.86662076015943834</v>
      </c>
      <c r="CR158">
        <v>-1</v>
      </c>
      <c r="CS158">
        <v>24.05892195121951</v>
      </c>
      <c r="CT158">
        <v>0.43316027874566998</v>
      </c>
      <c r="CU158">
        <v>4.2800652560532157E-2</v>
      </c>
      <c r="CV158">
        <v>-1</v>
      </c>
      <c r="CW158">
        <v>0</v>
      </c>
      <c r="CX158">
        <v>0</v>
      </c>
      <c r="CY158" t="s">
        <v>333</v>
      </c>
      <c r="CZ158">
        <v>2.3651200000000001</v>
      </c>
      <c r="DA158">
        <v>2.71387</v>
      </c>
      <c r="DB158">
        <v>9.2015299999999994E-2</v>
      </c>
      <c r="DC158">
        <v>0.14521000000000001</v>
      </c>
      <c r="DD158">
        <v>0.11452</v>
      </c>
      <c r="DE158">
        <v>1.9918499999999999E-3</v>
      </c>
      <c r="DF158">
        <v>33181.699999999997</v>
      </c>
      <c r="DG158">
        <v>27582.2</v>
      </c>
      <c r="DH158">
        <v>31196.799999999999</v>
      </c>
      <c r="DI158">
        <v>28116.5</v>
      </c>
      <c r="DJ158">
        <v>37500.9</v>
      </c>
      <c r="DK158">
        <v>39911.9</v>
      </c>
      <c r="DL158">
        <v>44400.6</v>
      </c>
      <c r="DM158">
        <v>42617.7</v>
      </c>
      <c r="DN158">
        <v>1.4759800000000001</v>
      </c>
      <c r="DO158">
        <v>2.0309300000000001</v>
      </c>
      <c r="DP158">
        <v>0.15076999999999999</v>
      </c>
      <c r="DQ158">
        <v>0.15237200000000001</v>
      </c>
      <c r="DR158">
        <v>24.548100000000002</v>
      </c>
      <c r="DS158">
        <v>24.523800000000001</v>
      </c>
      <c r="DT158">
        <v>32.700000000000003</v>
      </c>
      <c r="DU158">
        <v>29</v>
      </c>
      <c r="DV158">
        <v>13.3559</v>
      </c>
      <c r="DW158">
        <v>60.602200000000003</v>
      </c>
      <c r="DX158">
        <v>36.923099999999998</v>
      </c>
      <c r="DY158">
        <v>1</v>
      </c>
      <c r="DZ158">
        <v>-0.11953</v>
      </c>
      <c r="EA158">
        <v>0.10102700000000001</v>
      </c>
      <c r="EB158">
        <v>20.190300000000001</v>
      </c>
      <c r="EC158">
        <v>5.24125</v>
      </c>
      <c r="ED158">
        <v>12.039899999999999</v>
      </c>
      <c r="EE158">
        <v>5.0168499999999998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1.8689100000000001</v>
      </c>
      <c r="EL158">
        <v>1.8646199999999999</v>
      </c>
      <c r="EM158">
        <v>1.8692</v>
      </c>
      <c r="EN158">
        <v>1.8672299999999999</v>
      </c>
      <c r="EO158">
        <v>1.8633900000000001</v>
      </c>
      <c r="EP158">
        <v>1.8644700000000001</v>
      </c>
      <c r="EQ158">
        <v>1.8701300000000001</v>
      </c>
      <c r="ER158">
        <v>1.8693599999999999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0.41199999999999998</v>
      </c>
      <c r="FG158">
        <v>0.19839999999999999</v>
      </c>
      <c r="FH158">
        <v>0.69281559908863044</v>
      </c>
      <c r="FI158">
        <v>-6.1462078757559423E-4</v>
      </c>
      <c r="FJ158">
        <v>-1.8861989874597051E-7</v>
      </c>
      <c r="FK158">
        <v>1.1980462299894961E-10</v>
      </c>
      <c r="FL158">
        <v>0.19840465858211129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34.299999999999997</v>
      </c>
      <c r="FU158">
        <v>34.299999999999997</v>
      </c>
      <c r="FV158">
        <v>1.7651399999999999</v>
      </c>
      <c r="FW158">
        <v>2.5781200000000002</v>
      </c>
      <c r="FX158">
        <v>1.5490699999999999</v>
      </c>
      <c r="FY158">
        <v>2.3339799999999999</v>
      </c>
      <c r="FZ158">
        <v>1.50146</v>
      </c>
      <c r="GA158">
        <v>2.3864700000000001</v>
      </c>
      <c r="GB158">
        <v>33.602899999999998</v>
      </c>
      <c r="GC158">
        <v>23.991199999999999</v>
      </c>
      <c r="GD158">
        <v>19</v>
      </c>
      <c r="GE158">
        <v>281.44099999999997</v>
      </c>
      <c r="GF158">
        <v>575.20100000000002</v>
      </c>
      <c r="GG158">
        <v>24.251100000000001</v>
      </c>
      <c r="GH158">
        <v>25.903600000000001</v>
      </c>
      <c r="GI158">
        <v>30.0002</v>
      </c>
      <c r="GJ158">
        <v>26.047000000000001</v>
      </c>
      <c r="GK158">
        <v>26.028500000000001</v>
      </c>
      <c r="GL158">
        <v>35.293900000000001</v>
      </c>
      <c r="GM158">
        <v>100</v>
      </c>
      <c r="GN158">
        <v>29.908300000000001</v>
      </c>
      <c r="GO158">
        <v>24.2212</v>
      </c>
      <c r="GP158">
        <v>800</v>
      </c>
      <c r="GQ158">
        <v>0</v>
      </c>
      <c r="GR158">
        <v>99.822599999999994</v>
      </c>
      <c r="GS158">
        <v>99.694999999999993</v>
      </c>
    </row>
    <row r="159" spans="1:201" x14ac:dyDescent="0.25">
      <c r="A159">
        <v>143</v>
      </c>
      <c r="B159">
        <v>1690389705.5999999</v>
      </c>
      <c r="C159">
        <v>1447.099999904633</v>
      </c>
      <c r="D159" t="s">
        <v>619</v>
      </c>
      <c r="E159" t="s">
        <v>620</v>
      </c>
      <c r="F159" t="s">
        <v>330</v>
      </c>
      <c r="H159">
        <v>1690389705.5999999</v>
      </c>
      <c r="I159">
        <f t="shared" si="60"/>
        <v>2.3410546660915426E-3</v>
      </c>
      <c r="J159">
        <f t="shared" si="61"/>
        <v>2.3410546660915426</v>
      </c>
      <c r="K159">
        <f t="shared" si="62"/>
        <v>35.192229581568832</v>
      </c>
      <c r="L159">
        <f t="shared" si="63"/>
        <v>416.81599999999997</v>
      </c>
      <c r="M159">
        <f t="shared" si="64"/>
        <v>108.02004606166494</v>
      </c>
      <c r="N159">
        <f t="shared" si="65"/>
        <v>10.648241095159003</v>
      </c>
      <c r="O159">
        <f t="shared" si="66"/>
        <v>41.088274094847996</v>
      </c>
      <c r="P159">
        <f t="shared" si="67"/>
        <v>0.19342416962520625</v>
      </c>
      <c r="Q159">
        <f t="shared" si="68"/>
        <v>2.1549316352821584</v>
      </c>
      <c r="R159">
        <f t="shared" si="69"/>
        <v>0.18427057918519768</v>
      </c>
      <c r="S159">
        <f t="shared" si="70"/>
        <v>0.11595541995346891</v>
      </c>
      <c r="T159">
        <f t="shared" si="71"/>
        <v>276.11507323800004</v>
      </c>
      <c r="U159">
        <f t="shared" si="72"/>
        <v>27.205784047322194</v>
      </c>
      <c r="V159">
        <f t="shared" si="73"/>
        <v>27.205784047322194</v>
      </c>
      <c r="W159">
        <f t="shared" si="74"/>
        <v>3.6226470298015605</v>
      </c>
      <c r="X159">
        <f t="shared" si="75"/>
        <v>72.0106684939622</v>
      </c>
      <c r="Y159">
        <f t="shared" si="76"/>
        <v>2.4085991698463998</v>
      </c>
      <c r="Z159">
        <f t="shared" si="77"/>
        <v>3.3447810167855216</v>
      </c>
      <c r="AA159">
        <f t="shared" si="78"/>
        <v>1.2140478599551607</v>
      </c>
      <c r="AB159">
        <f t="shared" si="79"/>
        <v>-103.24051077463703</v>
      </c>
      <c r="AC159">
        <f t="shared" si="80"/>
        <v>-157.30136370202902</v>
      </c>
      <c r="AD159">
        <f t="shared" si="81"/>
        <v>-15.679353163871877</v>
      </c>
      <c r="AE159">
        <f t="shared" si="82"/>
        <v>-0.10615440253789643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52240.311387397349</v>
      </c>
      <c r="AK159">
        <f t="shared" si="86"/>
        <v>1800</v>
      </c>
      <c r="AL159">
        <f t="shared" si="87"/>
        <v>1499.1121547999999</v>
      </c>
      <c r="AM159">
        <f t="shared" si="88"/>
        <v>0.83284008599999992</v>
      </c>
      <c r="AN159">
        <f t="shared" si="89"/>
        <v>0.15339726291000003</v>
      </c>
      <c r="AO159">
        <v>31.8</v>
      </c>
      <c r="AP159">
        <v>0.5</v>
      </c>
      <c r="AQ159" t="s">
        <v>331</v>
      </c>
      <c r="AR159">
        <v>2</v>
      </c>
      <c r="AS159">
        <v>1690389705.5999999</v>
      </c>
      <c r="AT159">
        <v>416.81599999999997</v>
      </c>
      <c r="AU159">
        <v>800.02200000000005</v>
      </c>
      <c r="AV159">
        <v>24.433800000000002</v>
      </c>
      <c r="AW159">
        <v>0.23599999999999999</v>
      </c>
      <c r="AX159">
        <v>416.40300000000002</v>
      </c>
      <c r="AY159">
        <v>24.235399999999998</v>
      </c>
      <c r="AZ159">
        <v>300.137</v>
      </c>
      <c r="BA159">
        <v>98.476500000000001</v>
      </c>
      <c r="BB159">
        <v>0.10002800000000001</v>
      </c>
      <c r="BC159">
        <v>25.851800000000001</v>
      </c>
      <c r="BD159">
        <v>27.010899999999999</v>
      </c>
      <c r="BE159">
        <v>26.997800000000002</v>
      </c>
      <c r="BF159">
        <v>0</v>
      </c>
      <c r="BG159">
        <v>0</v>
      </c>
      <c r="BH159">
        <v>9993.75</v>
      </c>
      <c r="BI159">
        <v>1066.8499999999999</v>
      </c>
      <c r="BJ159">
        <v>1.4016500000000001</v>
      </c>
      <c r="BK159">
        <v>-383.20600000000002</v>
      </c>
      <c r="BL159">
        <v>427.25599999999997</v>
      </c>
      <c r="BM159">
        <v>800.21100000000001</v>
      </c>
      <c r="BN159">
        <v>24.197800000000001</v>
      </c>
      <c r="BO159">
        <v>800.02200000000005</v>
      </c>
      <c r="BP159">
        <v>0.23599999999999999</v>
      </c>
      <c r="BQ159">
        <v>2.4061599999999999</v>
      </c>
      <c r="BR159">
        <v>2.3240500000000001E-2</v>
      </c>
      <c r="BS159">
        <v>20.4053</v>
      </c>
      <c r="BT159">
        <v>-37.968800000000002</v>
      </c>
      <c r="BU159">
        <v>1800</v>
      </c>
      <c r="BV159">
        <v>0.91000400000000004</v>
      </c>
      <c r="BW159">
        <v>3.4001400000000001E-2</v>
      </c>
      <c r="BX159">
        <v>2.1998299999999998E-2</v>
      </c>
      <c r="BY159">
        <v>3.39963E-2</v>
      </c>
      <c r="BZ159">
        <v>25</v>
      </c>
      <c r="CA159">
        <v>33528.300000000003</v>
      </c>
      <c r="CB159">
        <v>1690387638</v>
      </c>
      <c r="CC159" t="s">
        <v>332</v>
      </c>
      <c r="CD159">
        <v>1690387638</v>
      </c>
      <c r="CE159">
        <v>1690387638</v>
      </c>
      <c r="CF159">
        <v>6</v>
      </c>
      <c r="CG159">
        <v>0.43</v>
      </c>
      <c r="CH159">
        <v>-8.1000000000000003E-2</v>
      </c>
      <c r="CI159">
        <v>0.14199999999999999</v>
      </c>
      <c r="CJ159">
        <v>-2.7E-2</v>
      </c>
      <c r="CK159">
        <v>800</v>
      </c>
      <c r="CL159">
        <v>0</v>
      </c>
      <c r="CM159">
        <v>0.01</v>
      </c>
      <c r="CN159">
        <v>0.01</v>
      </c>
      <c r="CO159">
        <v>-381.53770731707323</v>
      </c>
      <c r="CP159">
        <v>-8.9014076655053742</v>
      </c>
      <c r="CQ159">
        <v>0.87930211362172483</v>
      </c>
      <c r="CR159">
        <v>-1</v>
      </c>
      <c r="CS159">
        <v>24.128746341463419</v>
      </c>
      <c r="CT159">
        <v>0.39477073170732341</v>
      </c>
      <c r="CU159">
        <v>3.8970427171538639E-2</v>
      </c>
      <c r="CV159">
        <v>-1</v>
      </c>
      <c r="CW159">
        <v>0</v>
      </c>
      <c r="CX159">
        <v>0</v>
      </c>
      <c r="CY159" t="s">
        <v>333</v>
      </c>
      <c r="CZ159">
        <v>2.3648899999999999</v>
      </c>
      <c r="DA159">
        <v>2.7138100000000001</v>
      </c>
      <c r="DB159">
        <v>9.1773300000000002E-2</v>
      </c>
      <c r="DC159">
        <v>0.14521000000000001</v>
      </c>
      <c r="DD159">
        <v>0.114715</v>
      </c>
      <c r="DE159">
        <v>1.9675299999999999E-3</v>
      </c>
      <c r="DF159">
        <v>33190.800000000003</v>
      </c>
      <c r="DG159">
        <v>27582.3</v>
      </c>
      <c r="DH159">
        <v>31197</v>
      </c>
      <c r="DI159">
        <v>28116.5</v>
      </c>
      <c r="DJ159">
        <v>37492.800000000003</v>
      </c>
      <c r="DK159">
        <v>39912.800000000003</v>
      </c>
      <c r="DL159">
        <v>44401</v>
      </c>
      <c r="DM159">
        <v>42617.599999999999</v>
      </c>
      <c r="DN159">
        <v>1.47567</v>
      </c>
      <c r="DO159">
        <v>2.0310800000000002</v>
      </c>
      <c r="DP159">
        <v>0.15018899999999999</v>
      </c>
      <c r="DQ159">
        <v>0.15076999999999999</v>
      </c>
      <c r="DR159">
        <v>24.549800000000001</v>
      </c>
      <c r="DS159">
        <v>24.527100000000001</v>
      </c>
      <c r="DT159">
        <v>32.299999999999997</v>
      </c>
      <c r="DU159">
        <v>29</v>
      </c>
      <c r="DV159">
        <v>13.191700000000001</v>
      </c>
      <c r="DW159">
        <v>60.742199999999997</v>
      </c>
      <c r="DX159">
        <v>37.287700000000001</v>
      </c>
      <c r="DY159">
        <v>1</v>
      </c>
      <c r="DZ159">
        <v>-0.11876</v>
      </c>
      <c r="EA159">
        <v>0.122868</v>
      </c>
      <c r="EB159">
        <v>20.1904</v>
      </c>
      <c r="EC159">
        <v>5.2409499999999998</v>
      </c>
      <c r="ED159">
        <v>12.039899999999999</v>
      </c>
      <c r="EE159">
        <v>5.0164999999999997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1.8646100000000001</v>
      </c>
      <c r="EM159">
        <v>1.8692</v>
      </c>
      <c r="EN159">
        <v>1.8672200000000001</v>
      </c>
      <c r="EO159">
        <v>1.8633599999999999</v>
      </c>
      <c r="EP159">
        <v>1.8644700000000001</v>
      </c>
      <c r="EQ159">
        <v>1.87012</v>
      </c>
      <c r="ER159">
        <v>1.8693500000000001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0.41299999999999998</v>
      </c>
      <c r="FG159">
        <v>0.19839999999999999</v>
      </c>
      <c r="FH159">
        <v>0.69281559908863044</v>
      </c>
      <c r="FI159">
        <v>-6.1462078757559423E-4</v>
      </c>
      <c r="FJ159">
        <v>-1.8861989874597051E-7</v>
      </c>
      <c r="FK159">
        <v>1.1980462299894961E-10</v>
      </c>
      <c r="FL159">
        <v>0.19840465858211129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34.5</v>
      </c>
      <c r="FU159">
        <v>34.5</v>
      </c>
      <c r="FV159">
        <v>1.7651399999999999</v>
      </c>
      <c r="FW159">
        <v>2.5805699999999998</v>
      </c>
      <c r="FX159">
        <v>1.5490699999999999</v>
      </c>
      <c r="FY159">
        <v>2.3339799999999999</v>
      </c>
      <c r="FZ159">
        <v>1.50146</v>
      </c>
      <c r="GA159">
        <v>2.3852500000000001</v>
      </c>
      <c r="GB159">
        <v>33.602899999999998</v>
      </c>
      <c r="GC159">
        <v>23.982399999999998</v>
      </c>
      <c r="GD159">
        <v>19</v>
      </c>
      <c r="GE159">
        <v>281.31400000000002</v>
      </c>
      <c r="GF159">
        <v>575.32299999999998</v>
      </c>
      <c r="GG159">
        <v>24.2012</v>
      </c>
      <c r="GH159">
        <v>25.903600000000001</v>
      </c>
      <c r="GI159">
        <v>30.000499999999999</v>
      </c>
      <c r="GJ159">
        <v>26.047000000000001</v>
      </c>
      <c r="GK159">
        <v>26.028500000000001</v>
      </c>
      <c r="GL159">
        <v>35.292900000000003</v>
      </c>
      <c r="GM159">
        <v>100</v>
      </c>
      <c r="GN159">
        <v>29.134699999999999</v>
      </c>
      <c r="GO159">
        <v>24.198</v>
      </c>
      <c r="GP159">
        <v>800</v>
      </c>
      <c r="GQ159">
        <v>0</v>
      </c>
      <c r="GR159">
        <v>99.823300000000003</v>
      </c>
      <c r="GS159">
        <v>99.694900000000004</v>
      </c>
    </row>
    <row r="160" spans="1:201" x14ac:dyDescent="0.25">
      <c r="A160">
        <v>144</v>
      </c>
      <c r="B160">
        <v>1690389715.5999999</v>
      </c>
      <c r="C160">
        <v>1457.099999904633</v>
      </c>
      <c r="D160" t="s">
        <v>621</v>
      </c>
      <c r="E160" t="s">
        <v>622</v>
      </c>
      <c r="F160" t="s">
        <v>330</v>
      </c>
      <c r="H160">
        <v>1690389715.5999999</v>
      </c>
      <c r="I160">
        <f t="shared" si="60"/>
        <v>2.346415884782E-3</v>
      </c>
      <c r="J160">
        <f t="shared" si="61"/>
        <v>2.346415884782</v>
      </c>
      <c r="K160">
        <f t="shared" si="62"/>
        <v>35.327082520983254</v>
      </c>
      <c r="L160">
        <f t="shared" si="63"/>
        <v>415.28899999999999</v>
      </c>
      <c r="M160">
        <f t="shared" si="64"/>
        <v>107.74890842305936</v>
      </c>
      <c r="N160">
        <f t="shared" si="65"/>
        <v>10.621948485976269</v>
      </c>
      <c r="O160">
        <f t="shared" si="66"/>
        <v>40.939425088862997</v>
      </c>
      <c r="P160">
        <f t="shared" si="67"/>
        <v>0.19501564583993042</v>
      </c>
      <c r="Q160">
        <f t="shared" si="68"/>
        <v>2.1525830339110668</v>
      </c>
      <c r="R160">
        <f t="shared" si="69"/>
        <v>0.1857050700843399</v>
      </c>
      <c r="S160">
        <f t="shared" si="70"/>
        <v>0.1168651363958025</v>
      </c>
      <c r="T160">
        <f t="shared" si="71"/>
        <v>276.11511071400002</v>
      </c>
      <c r="U160">
        <f t="shared" si="72"/>
        <v>27.202278488234352</v>
      </c>
      <c r="V160">
        <f t="shared" si="73"/>
        <v>27.202278488234352</v>
      </c>
      <c r="W160">
        <f t="shared" si="74"/>
        <v>3.6219023734654847</v>
      </c>
      <c r="X160">
        <f t="shared" si="75"/>
        <v>72.198570965408919</v>
      </c>
      <c r="Y160">
        <f t="shared" si="76"/>
        <v>2.4144549630774002</v>
      </c>
      <c r="Z160">
        <f t="shared" si="77"/>
        <v>3.344186638034969</v>
      </c>
      <c r="AA160">
        <f t="shared" si="78"/>
        <v>1.2074474103880846</v>
      </c>
      <c r="AB160">
        <f t="shared" si="79"/>
        <v>-103.4769405188862</v>
      </c>
      <c r="AC160">
        <f t="shared" si="80"/>
        <v>-157.07125506390346</v>
      </c>
      <c r="AD160">
        <f t="shared" si="81"/>
        <v>-15.672988029382619</v>
      </c>
      <c r="AE160">
        <f t="shared" si="82"/>
        <v>-0.10607289817224341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52142.634770801225</v>
      </c>
      <c r="AK160">
        <f t="shared" si="86"/>
        <v>1800</v>
      </c>
      <c r="AL160">
        <f t="shared" si="87"/>
        <v>1499.1129864</v>
      </c>
      <c r="AM160">
        <f t="shared" si="88"/>
        <v>0.83284054799999996</v>
      </c>
      <c r="AN160">
        <f t="shared" si="89"/>
        <v>0.15339728373</v>
      </c>
      <c r="AO160">
        <v>31.8</v>
      </c>
      <c r="AP160">
        <v>0.5</v>
      </c>
      <c r="AQ160" t="s">
        <v>331</v>
      </c>
      <c r="AR160">
        <v>2</v>
      </c>
      <c r="AS160">
        <v>1690389715.5999999</v>
      </c>
      <c r="AT160">
        <v>415.28899999999999</v>
      </c>
      <c r="AU160">
        <v>800.03</v>
      </c>
      <c r="AV160">
        <v>24.4922</v>
      </c>
      <c r="AW160">
        <v>0.23283899999999999</v>
      </c>
      <c r="AX160">
        <v>414.875</v>
      </c>
      <c r="AY160">
        <v>24.293800000000001</v>
      </c>
      <c r="AZ160">
        <v>300.04300000000001</v>
      </c>
      <c r="BA160">
        <v>98.480500000000006</v>
      </c>
      <c r="BB160">
        <v>0.100067</v>
      </c>
      <c r="BC160">
        <v>25.848800000000001</v>
      </c>
      <c r="BD160">
        <v>27.024999999999999</v>
      </c>
      <c r="BE160">
        <v>27.013400000000001</v>
      </c>
      <c r="BF160">
        <v>0</v>
      </c>
      <c r="BG160">
        <v>0</v>
      </c>
      <c r="BH160">
        <v>9973.75</v>
      </c>
      <c r="BI160">
        <v>1066.9100000000001</v>
      </c>
      <c r="BJ160">
        <v>1.4016500000000001</v>
      </c>
      <c r="BK160">
        <v>-384.74099999999999</v>
      </c>
      <c r="BL160">
        <v>425.71499999999997</v>
      </c>
      <c r="BM160">
        <v>800.21600000000001</v>
      </c>
      <c r="BN160">
        <v>24.259399999999999</v>
      </c>
      <c r="BO160">
        <v>800.03</v>
      </c>
      <c r="BP160">
        <v>0.23283899999999999</v>
      </c>
      <c r="BQ160">
        <v>2.41201</v>
      </c>
      <c r="BR160">
        <v>2.2930099999999998E-2</v>
      </c>
      <c r="BS160">
        <v>20.444600000000001</v>
      </c>
      <c r="BT160">
        <v>-38.100099999999998</v>
      </c>
      <c r="BU160">
        <v>1800</v>
      </c>
      <c r="BV160">
        <v>0.91000599999999998</v>
      </c>
      <c r="BW160">
        <v>3.4000799999999998E-2</v>
      </c>
      <c r="BX160">
        <v>2.1997900000000001E-2</v>
      </c>
      <c r="BY160">
        <v>3.3995699999999997E-2</v>
      </c>
      <c r="BZ160">
        <v>25</v>
      </c>
      <c r="CA160">
        <v>33528.400000000001</v>
      </c>
      <c r="CB160">
        <v>1690387638</v>
      </c>
      <c r="CC160" t="s">
        <v>332</v>
      </c>
      <c r="CD160">
        <v>1690387638</v>
      </c>
      <c r="CE160">
        <v>1690387638</v>
      </c>
      <c r="CF160">
        <v>6</v>
      </c>
      <c r="CG160">
        <v>0.43</v>
      </c>
      <c r="CH160">
        <v>-8.1000000000000003E-2</v>
      </c>
      <c r="CI160">
        <v>0.14199999999999999</v>
      </c>
      <c r="CJ160">
        <v>-2.7E-2</v>
      </c>
      <c r="CK160">
        <v>800</v>
      </c>
      <c r="CL160">
        <v>0</v>
      </c>
      <c r="CM160">
        <v>0.01</v>
      </c>
      <c r="CN160">
        <v>0.01</v>
      </c>
      <c r="CO160">
        <v>-382.99647499999998</v>
      </c>
      <c r="CP160">
        <v>-8.8751482176356724</v>
      </c>
      <c r="CQ160">
        <v>0.85514960642860727</v>
      </c>
      <c r="CR160">
        <v>-1</v>
      </c>
      <c r="CS160">
        <v>24.190292500000002</v>
      </c>
      <c r="CT160">
        <v>0.35642589118194262</v>
      </c>
      <c r="CU160">
        <v>3.4315188965674912E-2</v>
      </c>
      <c r="CV160">
        <v>-1</v>
      </c>
      <c r="CW160">
        <v>0</v>
      </c>
      <c r="CX160">
        <v>0</v>
      </c>
      <c r="CY160" t="s">
        <v>333</v>
      </c>
      <c r="CZ160">
        <v>2.3646099999999999</v>
      </c>
      <c r="DA160">
        <v>2.7138300000000002</v>
      </c>
      <c r="DB160">
        <v>9.1521400000000003E-2</v>
      </c>
      <c r="DC160">
        <v>0.14521700000000001</v>
      </c>
      <c r="DD160">
        <v>0.114912</v>
      </c>
      <c r="DE160">
        <v>1.94163E-3</v>
      </c>
      <c r="DF160">
        <v>33199.9</v>
      </c>
      <c r="DG160">
        <v>27582.2</v>
      </c>
      <c r="DH160">
        <v>31197</v>
      </c>
      <c r="DI160">
        <v>28116.7</v>
      </c>
      <c r="DJ160">
        <v>37484.400000000001</v>
      </c>
      <c r="DK160">
        <v>39914</v>
      </c>
      <c r="DL160">
        <v>44401</v>
      </c>
      <c r="DM160">
        <v>42617.8</v>
      </c>
      <c r="DN160">
        <v>1.4753499999999999</v>
      </c>
      <c r="DO160">
        <v>2.0308999999999999</v>
      </c>
      <c r="DP160">
        <v>0.15090400000000001</v>
      </c>
      <c r="DQ160">
        <v>0.15159700000000001</v>
      </c>
      <c r="DR160">
        <v>24.552199999999999</v>
      </c>
      <c r="DS160">
        <v>24.529199999999999</v>
      </c>
      <c r="DT160">
        <v>31.9</v>
      </c>
      <c r="DU160">
        <v>29</v>
      </c>
      <c r="DV160">
        <v>13.0275</v>
      </c>
      <c r="DW160">
        <v>61.422199999999997</v>
      </c>
      <c r="DX160">
        <v>37.756399999999999</v>
      </c>
      <c r="DY160">
        <v>1</v>
      </c>
      <c r="DZ160">
        <v>-0.118925</v>
      </c>
      <c r="EA160">
        <v>0.146593</v>
      </c>
      <c r="EB160">
        <v>20.190100000000001</v>
      </c>
      <c r="EC160">
        <v>5.2409499999999998</v>
      </c>
      <c r="ED160">
        <v>12.039899999999999</v>
      </c>
      <c r="EE160">
        <v>5.0162500000000003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1.8691899999999999</v>
      </c>
      <c r="EN160">
        <v>1.8672200000000001</v>
      </c>
      <c r="EO160">
        <v>1.86334</v>
      </c>
      <c r="EP160">
        <v>1.8644700000000001</v>
      </c>
      <c r="EQ160">
        <v>1.8701300000000001</v>
      </c>
      <c r="ER160">
        <v>1.8693500000000001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0.41399999999999998</v>
      </c>
      <c r="FG160">
        <v>0.19839999999999999</v>
      </c>
      <c r="FH160">
        <v>0.69281559908863044</v>
      </c>
      <c r="FI160">
        <v>-6.1462078757559423E-4</v>
      </c>
      <c r="FJ160">
        <v>-1.8861989874597051E-7</v>
      </c>
      <c r="FK160">
        <v>1.1980462299894961E-10</v>
      </c>
      <c r="FL160">
        <v>0.19840465858211129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34.6</v>
      </c>
      <c r="FU160">
        <v>34.6</v>
      </c>
      <c r="FV160">
        <v>1.7651399999999999</v>
      </c>
      <c r="FW160">
        <v>2.5817899999999998</v>
      </c>
      <c r="FX160">
        <v>1.5490699999999999</v>
      </c>
      <c r="FY160">
        <v>2.3339799999999999</v>
      </c>
      <c r="FZ160">
        <v>1.50024</v>
      </c>
      <c r="GA160">
        <v>2.3571800000000001</v>
      </c>
      <c r="GB160">
        <v>33.602899999999998</v>
      </c>
      <c r="GC160">
        <v>23.991199999999999</v>
      </c>
      <c r="GD160">
        <v>19</v>
      </c>
      <c r="GE160">
        <v>281.17599999999999</v>
      </c>
      <c r="GF160">
        <v>575.15599999999995</v>
      </c>
      <c r="GG160">
        <v>24.176400000000001</v>
      </c>
      <c r="GH160">
        <v>25.903600000000001</v>
      </c>
      <c r="GI160">
        <v>29.9999</v>
      </c>
      <c r="GJ160">
        <v>26.047000000000001</v>
      </c>
      <c r="GK160">
        <v>26.026299999999999</v>
      </c>
      <c r="GL160">
        <v>35.291899999999998</v>
      </c>
      <c r="GM160">
        <v>100</v>
      </c>
      <c r="GN160">
        <v>28.366399999999999</v>
      </c>
      <c r="GO160">
        <v>24.1602</v>
      </c>
      <c r="GP160">
        <v>800</v>
      </c>
      <c r="GQ160">
        <v>0</v>
      </c>
      <c r="GR160">
        <v>99.823300000000003</v>
      </c>
      <c r="GS160">
        <v>99.695400000000006</v>
      </c>
    </row>
    <row r="161" spans="1:201" x14ac:dyDescent="0.25">
      <c r="A161">
        <v>145</v>
      </c>
      <c r="B161">
        <v>1690389725.5999999</v>
      </c>
      <c r="C161">
        <v>1467.099999904633</v>
      </c>
      <c r="D161" t="s">
        <v>623</v>
      </c>
      <c r="E161" t="s">
        <v>624</v>
      </c>
      <c r="F161" t="s">
        <v>330</v>
      </c>
      <c r="H161">
        <v>1690389725.5999999</v>
      </c>
      <c r="I161">
        <f t="shared" si="60"/>
        <v>2.3528770156311368E-3</v>
      </c>
      <c r="J161">
        <f t="shared" si="61"/>
        <v>2.3528770156311367</v>
      </c>
      <c r="K161">
        <f t="shared" si="62"/>
        <v>35.472823760690638</v>
      </c>
      <c r="L161">
        <f t="shared" si="63"/>
        <v>413.92200000000003</v>
      </c>
      <c r="M161">
        <f t="shared" si="64"/>
        <v>107.41363376453218</v>
      </c>
      <c r="N161">
        <f t="shared" si="65"/>
        <v>10.589086827342422</v>
      </c>
      <c r="O161">
        <f t="shared" si="66"/>
        <v>40.805397267869999</v>
      </c>
      <c r="P161">
        <f t="shared" si="67"/>
        <v>0.19652032362070554</v>
      </c>
      <c r="Q161">
        <f t="shared" si="68"/>
        <v>2.1541036604369062</v>
      </c>
      <c r="R161">
        <f t="shared" si="69"/>
        <v>0.18707558675225136</v>
      </c>
      <c r="S161">
        <f t="shared" si="70"/>
        <v>0.11773297909925676</v>
      </c>
      <c r="T161">
        <f t="shared" si="71"/>
        <v>276.11497407600001</v>
      </c>
      <c r="U161">
        <f t="shared" si="72"/>
        <v>27.201572681041082</v>
      </c>
      <c r="V161">
        <f t="shared" si="73"/>
        <v>27.201572681041082</v>
      </c>
      <c r="W161">
        <f t="shared" si="74"/>
        <v>3.6217524609579717</v>
      </c>
      <c r="X161">
        <f t="shared" si="75"/>
        <v>72.349942912390588</v>
      </c>
      <c r="Y161">
        <f t="shared" si="76"/>
        <v>2.4198611443110005</v>
      </c>
      <c r="Z161">
        <f t="shared" si="77"/>
        <v>3.3446621336539817</v>
      </c>
      <c r="AA161">
        <f t="shared" si="78"/>
        <v>1.2018913166469711</v>
      </c>
      <c r="AB161">
        <f t="shared" si="79"/>
        <v>-103.76187638933312</v>
      </c>
      <c r="AC161">
        <f t="shared" si="80"/>
        <v>-156.82152953927195</v>
      </c>
      <c r="AD161">
        <f t="shared" si="81"/>
        <v>-15.637155758608809</v>
      </c>
      <c r="AE161">
        <f t="shared" si="82"/>
        <v>-0.10558761121384919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52205.878446285569</v>
      </c>
      <c r="AK161">
        <f t="shared" si="86"/>
        <v>1800</v>
      </c>
      <c r="AL161">
        <f t="shared" si="87"/>
        <v>1499.1127236</v>
      </c>
      <c r="AM161">
        <f t="shared" si="88"/>
        <v>0.83284040199999998</v>
      </c>
      <c r="AN161">
        <f t="shared" si="89"/>
        <v>0.15339720782000002</v>
      </c>
      <c r="AO161">
        <v>31.8</v>
      </c>
      <c r="AP161">
        <v>0.5</v>
      </c>
      <c r="AQ161" t="s">
        <v>331</v>
      </c>
      <c r="AR161">
        <v>2</v>
      </c>
      <c r="AS161">
        <v>1690389725.5999999</v>
      </c>
      <c r="AT161">
        <v>413.92200000000003</v>
      </c>
      <c r="AU161">
        <v>800.072</v>
      </c>
      <c r="AV161">
        <v>24.546600000000002</v>
      </c>
      <c r="AW161">
        <v>0.22997999999999999</v>
      </c>
      <c r="AX161">
        <v>413.50700000000001</v>
      </c>
      <c r="AY161">
        <v>24.348199999999999</v>
      </c>
      <c r="AZ161">
        <v>300.14400000000001</v>
      </c>
      <c r="BA161">
        <v>98.482299999999995</v>
      </c>
      <c r="BB161">
        <v>0.100035</v>
      </c>
      <c r="BC161">
        <v>25.851199999999999</v>
      </c>
      <c r="BD161">
        <v>26.990600000000001</v>
      </c>
      <c r="BE161">
        <v>27</v>
      </c>
      <c r="BF161">
        <v>0</v>
      </c>
      <c r="BG161">
        <v>0</v>
      </c>
      <c r="BH161">
        <v>9986.25</v>
      </c>
      <c r="BI161">
        <v>1066.98</v>
      </c>
      <c r="BJ161">
        <v>1.4016500000000001</v>
      </c>
      <c r="BK161">
        <v>-386.15</v>
      </c>
      <c r="BL161">
        <v>424.33800000000002</v>
      </c>
      <c r="BM161">
        <v>800.25599999999997</v>
      </c>
      <c r="BN161">
        <v>24.316700000000001</v>
      </c>
      <c r="BO161">
        <v>800.072</v>
      </c>
      <c r="BP161">
        <v>0.22997999999999999</v>
      </c>
      <c r="BQ161">
        <v>2.4174099999999998</v>
      </c>
      <c r="BR161">
        <v>2.26489E-2</v>
      </c>
      <c r="BS161">
        <v>20.480899999999998</v>
      </c>
      <c r="BT161">
        <v>-38.220399999999998</v>
      </c>
      <c r="BU161">
        <v>1800</v>
      </c>
      <c r="BV161">
        <v>0.91000700000000001</v>
      </c>
      <c r="BW161">
        <v>3.4000299999999997E-2</v>
      </c>
      <c r="BX161">
        <v>2.1997599999999999E-2</v>
      </c>
      <c r="BY161">
        <v>3.3995200000000003E-2</v>
      </c>
      <c r="BZ161">
        <v>25</v>
      </c>
      <c r="CA161">
        <v>33528.400000000001</v>
      </c>
      <c r="CB161">
        <v>1690387638</v>
      </c>
      <c r="CC161" t="s">
        <v>332</v>
      </c>
      <c r="CD161">
        <v>1690387638</v>
      </c>
      <c r="CE161">
        <v>1690387638</v>
      </c>
      <c r="CF161">
        <v>6</v>
      </c>
      <c r="CG161">
        <v>0.43</v>
      </c>
      <c r="CH161">
        <v>-8.1000000000000003E-2</v>
      </c>
      <c r="CI161">
        <v>0.14199999999999999</v>
      </c>
      <c r="CJ161">
        <v>-2.7E-2</v>
      </c>
      <c r="CK161">
        <v>800</v>
      </c>
      <c r="CL161">
        <v>0</v>
      </c>
      <c r="CM161">
        <v>0.01</v>
      </c>
      <c r="CN161">
        <v>0.01</v>
      </c>
      <c r="CO161">
        <v>-384.50251219512199</v>
      </c>
      <c r="CP161">
        <v>-8.7062508710808597</v>
      </c>
      <c r="CQ161">
        <v>0.86028396111616057</v>
      </c>
      <c r="CR161">
        <v>-1</v>
      </c>
      <c r="CS161">
        <v>24.2521243902439</v>
      </c>
      <c r="CT161">
        <v>0.36515331010450808</v>
      </c>
      <c r="CU161">
        <v>3.6023060232726528E-2</v>
      </c>
      <c r="CV161">
        <v>-1</v>
      </c>
      <c r="CW161">
        <v>0</v>
      </c>
      <c r="CX161">
        <v>0</v>
      </c>
      <c r="CY161" t="s">
        <v>333</v>
      </c>
      <c r="CZ161">
        <v>2.3649399999999998</v>
      </c>
      <c r="DA161">
        <v>2.7138100000000001</v>
      </c>
      <c r="DB161">
        <v>9.1294899999999998E-2</v>
      </c>
      <c r="DC161">
        <v>0.14522499999999999</v>
      </c>
      <c r="DD161">
        <v>0.115095</v>
      </c>
      <c r="DE161">
        <v>1.9181599999999999E-3</v>
      </c>
      <c r="DF161">
        <v>33208.5</v>
      </c>
      <c r="DG161">
        <v>27582.6</v>
      </c>
      <c r="DH161">
        <v>31197.3</v>
      </c>
      <c r="DI161">
        <v>28117.3</v>
      </c>
      <c r="DJ161">
        <v>37476.800000000003</v>
      </c>
      <c r="DK161">
        <v>39915.800000000003</v>
      </c>
      <c r="DL161">
        <v>44401.3</v>
      </c>
      <c r="DM161">
        <v>42618.7</v>
      </c>
      <c r="DN161">
        <v>1.47583</v>
      </c>
      <c r="DO161">
        <v>2.0309699999999999</v>
      </c>
      <c r="DP161">
        <v>0.148565</v>
      </c>
      <c r="DQ161">
        <v>0.15053900000000001</v>
      </c>
      <c r="DR161">
        <v>24.556100000000001</v>
      </c>
      <c r="DS161">
        <v>24.533100000000001</v>
      </c>
      <c r="DT161">
        <v>31.5</v>
      </c>
      <c r="DU161">
        <v>29</v>
      </c>
      <c r="DV161">
        <v>12.863300000000001</v>
      </c>
      <c r="DW161">
        <v>60.542200000000001</v>
      </c>
      <c r="DX161">
        <v>36.871000000000002</v>
      </c>
      <c r="DY161">
        <v>1</v>
      </c>
      <c r="DZ161">
        <v>-0.119436</v>
      </c>
      <c r="EA161">
        <v>0.17937600000000001</v>
      </c>
      <c r="EB161">
        <v>20.190200000000001</v>
      </c>
      <c r="EC161">
        <v>5.2406499999999996</v>
      </c>
      <c r="ED161">
        <v>12.039899999999999</v>
      </c>
      <c r="EE161">
        <v>5.0161499999999997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1.8672299999999999</v>
      </c>
      <c r="EO161">
        <v>1.86338</v>
      </c>
      <c r="EP161">
        <v>1.8644700000000001</v>
      </c>
      <c r="EQ161">
        <v>1.8701300000000001</v>
      </c>
      <c r="ER161">
        <v>1.8693500000000001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0.41499999999999998</v>
      </c>
      <c r="FG161">
        <v>0.19839999999999999</v>
      </c>
      <c r="FH161">
        <v>0.69281559908863044</v>
      </c>
      <c r="FI161">
        <v>-6.1462078757559423E-4</v>
      </c>
      <c r="FJ161">
        <v>-1.8861989874597051E-7</v>
      </c>
      <c r="FK161">
        <v>1.1980462299894961E-10</v>
      </c>
      <c r="FL161">
        <v>0.19840465858211129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34.799999999999997</v>
      </c>
      <c r="FU161">
        <v>34.799999999999997</v>
      </c>
      <c r="FV161">
        <v>1.7651399999999999</v>
      </c>
      <c r="FW161">
        <v>2.5769000000000002</v>
      </c>
      <c r="FX161">
        <v>1.5490699999999999</v>
      </c>
      <c r="FY161">
        <v>2.3339799999999999</v>
      </c>
      <c r="FZ161">
        <v>1.50146</v>
      </c>
      <c r="GA161">
        <v>2.3803700000000001</v>
      </c>
      <c r="GB161">
        <v>33.602899999999998</v>
      </c>
      <c r="GC161">
        <v>23.991199999999999</v>
      </c>
      <c r="GD161">
        <v>19</v>
      </c>
      <c r="GE161">
        <v>281.36900000000003</v>
      </c>
      <c r="GF161">
        <v>575.21799999999996</v>
      </c>
      <c r="GG161">
        <v>24.136299999999999</v>
      </c>
      <c r="GH161">
        <v>25.903600000000001</v>
      </c>
      <c r="GI161">
        <v>29.9999</v>
      </c>
      <c r="GJ161">
        <v>26.044899999999998</v>
      </c>
      <c r="GK161">
        <v>26.026299999999999</v>
      </c>
      <c r="GL161">
        <v>35.290100000000002</v>
      </c>
      <c r="GM161">
        <v>100</v>
      </c>
      <c r="GN161">
        <v>27.615200000000002</v>
      </c>
      <c r="GO161">
        <v>24.1264</v>
      </c>
      <c r="GP161">
        <v>800</v>
      </c>
      <c r="GQ161">
        <v>0</v>
      </c>
      <c r="GR161">
        <v>99.824100000000001</v>
      </c>
      <c r="GS161">
        <v>99.697599999999994</v>
      </c>
    </row>
    <row r="162" spans="1:201" x14ac:dyDescent="0.25">
      <c r="A162">
        <v>146</v>
      </c>
      <c r="B162">
        <v>1690389735.5999999</v>
      </c>
      <c r="C162">
        <v>1477.099999904633</v>
      </c>
      <c r="D162" t="s">
        <v>625</v>
      </c>
      <c r="E162" t="s">
        <v>626</v>
      </c>
      <c r="F162" t="s">
        <v>330</v>
      </c>
      <c r="H162">
        <v>1690389735.5999999</v>
      </c>
      <c r="I162">
        <f t="shared" si="60"/>
        <v>2.3591211855307158E-3</v>
      </c>
      <c r="J162">
        <f t="shared" si="61"/>
        <v>2.3591211855307157</v>
      </c>
      <c r="K162">
        <f t="shared" si="62"/>
        <v>35.607490341283906</v>
      </c>
      <c r="L162">
        <f t="shared" si="63"/>
        <v>412.42500000000001</v>
      </c>
      <c r="M162">
        <f t="shared" si="64"/>
        <v>107.38709440293678</v>
      </c>
      <c r="N162">
        <f t="shared" si="65"/>
        <v>10.586807281034986</v>
      </c>
      <c r="O162">
        <f t="shared" si="66"/>
        <v>40.659112877174998</v>
      </c>
      <c r="P162">
        <f t="shared" si="67"/>
        <v>0.19827910150521447</v>
      </c>
      <c r="Q162">
        <f t="shared" si="68"/>
        <v>2.1535432374871055</v>
      </c>
      <c r="R162">
        <f t="shared" si="69"/>
        <v>0.18866662552795133</v>
      </c>
      <c r="S162">
        <f t="shared" si="70"/>
        <v>0.11874144012557485</v>
      </c>
      <c r="T162">
        <f t="shared" si="71"/>
        <v>276.114894768</v>
      </c>
      <c r="U162">
        <f t="shared" si="72"/>
        <v>27.197037094452238</v>
      </c>
      <c r="V162">
        <f t="shared" si="73"/>
        <v>27.197037094452238</v>
      </c>
      <c r="W162">
        <f t="shared" si="74"/>
        <v>3.6207892376275073</v>
      </c>
      <c r="X162">
        <f t="shared" si="75"/>
        <v>72.540993819211792</v>
      </c>
      <c r="Y162">
        <f t="shared" si="76"/>
        <v>2.4258631092556997</v>
      </c>
      <c r="Z162">
        <f t="shared" si="77"/>
        <v>3.3441272052344466</v>
      </c>
      <c r="AA162">
        <f t="shared" si="78"/>
        <v>1.1949261283718076</v>
      </c>
      <c r="AB162">
        <f t="shared" si="79"/>
        <v>-104.03724428190456</v>
      </c>
      <c r="AC162">
        <f t="shared" si="80"/>
        <v>-156.56761507519602</v>
      </c>
      <c r="AD162">
        <f t="shared" si="81"/>
        <v>-15.615333832143753</v>
      </c>
      <c r="AE162">
        <f t="shared" si="82"/>
        <v>-0.10529842124432776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52182.964411820409</v>
      </c>
      <c r="AK162">
        <f t="shared" si="86"/>
        <v>1800</v>
      </c>
      <c r="AL162">
        <f t="shared" si="87"/>
        <v>1499.1127217999999</v>
      </c>
      <c r="AM162">
        <f t="shared" si="88"/>
        <v>0.83284040100000001</v>
      </c>
      <c r="AN162">
        <f t="shared" si="89"/>
        <v>0.15339716376000001</v>
      </c>
      <c r="AO162">
        <v>31.8</v>
      </c>
      <c r="AP162">
        <v>0.5</v>
      </c>
      <c r="AQ162" t="s">
        <v>331</v>
      </c>
      <c r="AR162">
        <v>2</v>
      </c>
      <c r="AS162">
        <v>1690389735.5999999</v>
      </c>
      <c r="AT162">
        <v>412.42500000000001</v>
      </c>
      <c r="AU162">
        <v>799.98400000000004</v>
      </c>
      <c r="AV162">
        <v>24.6067</v>
      </c>
      <c r="AW162">
        <v>0.22753699999999999</v>
      </c>
      <c r="AX162">
        <v>412.00900000000001</v>
      </c>
      <c r="AY162">
        <v>24.408300000000001</v>
      </c>
      <c r="AZ162">
        <v>300.14999999999998</v>
      </c>
      <c r="BA162">
        <v>98.485500000000002</v>
      </c>
      <c r="BB162">
        <v>9.9971000000000004E-2</v>
      </c>
      <c r="BC162">
        <v>25.848500000000001</v>
      </c>
      <c r="BD162">
        <v>27.0182</v>
      </c>
      <c r="BE162">
        <v>26.992699999999999</v>
      </c>
      <c r="BF162">
        <v>0</v>
      </c>
      <c r="BG162">
        <v>0</v>
      </c>
      <c r="BH162">
        <v>9981.25</v>
      </c>
      <c r="BI162">
        <v>1067.04</v>
      </c>
      <c r="BJ162">
        <v>1.4016500000000001</v>
      </c>
      <c r="BK162">
        <v>-387.56</v>
      </c>
      <c r="BL162">
        <v>422.82900000000001</v>
      </c>
      <c r="BM162">
        <v>800.16700000000003</v>
      </c>
      <c r="BN162">
        <v>24.379100000000001</v>
      </c>
      <c r="BO162">
        <v>799.98400000000004</v>
      </c>
      <c r="BP162">
        <v>0.22753699999999999</v>
      </c>
      <c r="BQ162">
        <v>2.4234</v>
      </c>
      <c r="BR162">
        <v>2.2409100000000001E-2</v>
      </c>
      <c r="BS162">
        <v>20.521000000000001</v>
      </c>
      <c r="BT162">
        <v>-38.324100000000001</v>
      </c>
      <c r="BU162">
        <v>1800</v>
      </c>
      <c r="BV162">
        <v>0.91000800000000004</v>
      </c>
      <c r="BW162">
        <v>3.39999E-2</v>
      </c>
      <c r="BX162">
        <v>2.1997300000000001E-2</v>
      </c>
      <c r="BY162">
        <v>3.3994799999999999E-2</v>
      </c>
      <c r="BZ162">
        <v>25</v>
      </c>
      <c r="CA162">
        <v>33528.400000000001</v>
      </c>
      <c r="CB162">
        <v>1690387638</v>
      </c>
      <c r="CC162" t="s">
        <v>332</v>
      </c>
      <c r="CD162">
        <v>1690387638</v>
      </c>
      <c r="CE162">
        <v>1690387638</v>
      </c>
      <c r="CF162">
        <v>6</v>
      </c>
      <c r="CG162">
        <v>0.43</v>
      </c>
      <c r="CH162">
        <v>-8.1000000000000003E-2</v>
      </c>
      <c r="CI162">
        <v>0.14199999999999999</v>
      </c>
      <c r="CJ162">
        <v>-2.7E-2</v>
      </c>
      <c r="CK162">
        <v>800</v>
      </c>
      <c r="CL162">
        <v>0</v>
      </c>
      <c r="CM162">
        <v>0.01</v>
      </c>
      <c r="CN162">
        <v>0.01</v>
      </c>
      <c r="CO162">
        <v>-385.94709756097558</v>
      </c>
      <c r="CP162">
        <v>-8.38149825783956</v>
      </c>
      <c r="CQ162">
        <v>0.82751758672278986</v>
      </c>
      <c r="CR162">
        <v>-1</v>
      </c>
      <c r="CS162">
        <v>24.31235365853659</v>
      </c>
      <c r="CT162">
        <v>0.35361742160279269</v>
      </c>
      <c r="CU162">
        <v>3.4879444624976982E-2</v>
      </c>
      <c r="CV162">
        <v>-1</v>
      </c>
      <c r="CW162">
        <v>0</v>
      </c>
      <c r="CX162">
        <v>0</v>
      </c>
      <c r="CY162" t="s">
        <v>333</v>
      </c>
      <c r="CZ162">
        <v>2.3649399999999998</v>
      </c>
      <c r="DA162">
        <v>2.7137500000000001</v>
      </c>
      <c r="DB162">
        <v>9.1046799999999997E-2</v>
      </c>
      <c r="DC162">
        <v>0.14521899999999999</v>
      </c>
      <c r="DD162">
        <v>0.115297</v>
      </c>
      <c r="DE162">
        <v>1.89814E-3</v>
      </c>
      <c r="DF162">
        <v>33216.800000000003</v>
      </c>
      <c r="DG162">
        <v>27582.6</v>
      </c>
      <c r="DH162">
        <v>31196.5</v>
      </c>
      <c r="DI162">
        <v>28117.1</v>
      </c>
      <c r="DJ162">
        <v>37467.300000000003</v>
      </c>
      <c r="DK162">
        <v>39916.400000000001</v>
      </c>
      <c r="DL162">
        <v>44400.3</v>
      </c>
      <c r="DM162">
        <v>42618.5</v>
      </c>
      <c r="DN162">
        <v>1.4759500000000001</v>
      </c>
      <c r="DO162">
        <v>2.0308999999999999</v>
      </c>
      <c r="DP162">
        <v>0.15004700000000001</v>
      </c>
      <c r="DQ162">
        <v>0.14995</v>
      </c>
      <c r="DR162">
        <v>24.5595</v>
      </c>
      <c r="DS162">
        <v>24.535399999999999</v>
      </c>
      <c r="DT162">
        <v>31.2</v>
      </c>
      <c r="DU162">
        <v>29</v>
      </c>
      <c r="DV162">
        <v>12.741199999999999</v>
      </c>
      <c r="DW162">
        <v>61.162199999999999</v>
      </c>
      <c r="DX162">
        <v>37.656199999999998</v>
      </c>
      <c r="DY162">
        <v>1</v>
      </c>
      <c r="DZ162">
        <v>-0.119449</v>
      </c>
      <c r="EA162">
        <v>-2.3434099999999999E-2</v>
      </c>
      <c r="EB162">
        <v>20.190100000000001</v>
      </c>
      <c r="EC162">
        <v>5.2408000000000001</v>
      </c>
      <c r="ED162">
        <v>12.039899999999999</v>
      </c>
      <c r="EE162">
        <v>5.0164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1.8691899999999999</v>
      </c>
      <c r="EN162">
        <v>1.8672200000000001</v>
      </c>
      <c r="EO162">
        <v>1.86334</v>
      </c>
      <c r="EP162">
        <v>1.8644700000000001</v>
      </c>
      <c r="EQ162">
        <v>1.8701300000000001</v>
      </c>
      <c r="ER162">
        <v>1.8693500000000001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0.41599999999999998</v>
      </c>
      <c r="FG162">
        <v>0.19839999999999999</v>
      </c>
      <c r="FH162">
        <v>0.69281559908863044</v>
      </c>
      <c r="FI162">
        <v>-6.1462078757559423E-4</v>
      </c>
      <c r="FJ162">
        <v>-1.8861989874597051E-7</v>
      </c>
      <c r="FK162">
        <v>1.1980462299894961E-10</v>
      </c>
      <c r="FL162">
        <v>0.19840465858211129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35</v>
      </c>
      <c r="FU162">
        <v>35</v>
      </c>
      <c r="FV162">
        <v>1.7651399999999999</v>
      </c>
      <c r="FW162">
        <v>2.5842299999999998</v>
      </c>
      <c r="FX162">
        <v>1.5490699999999999</v>
      </c>
      <c r="FY162">
        <v>2.3339799999999999</v>
      </c>
      <c r="FZ162">
        <v>1.50146</v>
      </c>
      <c r="GA162">
        <v>2.34009</v>
      </c>
      <c r="GB162">
        <v>33.602899999999998</v>
      </c>
      <c r="GC162">
        <v>23.982399999999998</v>
      </c>
      <c r="GD162">
        <v>19</v>
      </c>
      <c r="GE162">
        <v>281.42</v>
      </c>
      <c r="GF162">
        <v>575.15599999999995</v>
      </c>
      <c r="GG162">
        <v>24.1724</v>
      </c>
      <c r="GH162">
        <v>25.902999999999999</v>
      </c>
      <c r="GI162">
        <v>30</v>
      </c>
      <c r="GJ162">
        <v>26.044799999999999</v>
      </c>
      <c r="GK162">
        <v>26.026299999999999</v>
      </c>
      <c r="GL162">
        <v>35.293500000000002</v>
      </c>
      <c r="GM162">
        <v>100</v>
      </c>
      <c r="GN162">
        <v>26.802099999999999</v>
      </c>
      <c r="GO162">
        <v>24.171600000000002</v>
      </c>
      <c r="GP162">
        <v>800</v>
      </c>
      <c r="GQ162">
        <v>0</v>
      </c>
      <c r="GR162">
        <v>99.821799999999996</v>
      </c>
      <c r="GS162">
        <v>99.697000000000003</v>
      </c>
    </row>
    <row r="163" spans="1:201" x14ac:dyDescent="0.25">
      <c r="A163">
        <v>147</v>
      </c>
      <c r="B163">
        <v>1690389745.5999999</v>
      </c>
      <c r="C163">
        <v>1487.099999904633</v>
      </c>
      <c r="D163" t="s">
        <v>627</v>
      </c>
      <c r="E163" t="s">
        <v>628</v>
      </c>
      <c r="F163" t="s">
        <v>330</v>
      </c>
      <c r="H163">
        <v>1690389745.5999999</v>
      </c>
      <c r="I163">
        <f t="shared" si="60"/>
        <v>2.365947487217438E-3</v>
      </c>
      <c r="J163">
        <f t="shared" si="61"/>
        <v>2.3659474872174382</v>
      </c>
      <c r="K163">
        <f t="shared" si="62"/>
        <v>35.72071715318512</v>
      </c>
      <c r="L163">
        <f t="shared" si="63"/>
        <v>411.202</v>
      </c>
      <c r="M163">
        <f t="shared" si="64"/>
        <v>107.61514230870975</v>
      </c>
      <c r="N163">
        <f t="shared" si="65"/>
        <v>10.609195597024515</v>
      </c>
      <c r="O163">
        <f t="shared" si="66"/>
        <v>40.538184072397002</v>
      </c>
      <c r="P163">
        <f t="shared" si="67"/>
        <v>0.19992684156850771</v>
      </c>
      <c r="Q163">
        <f t="shared" si="68"/>
        <v>2.1523328964454218</v>
      </c>
      <c r="R163">
        <f t="shared" si="69"/>
        <v>0.19015296201707066</v>
      </c>
      <c r="S163">
        <f t="shared" si="70"/>
        <v>0.11968391677619333</v>
      </c>
      <c r="T163">
        <f t="shared" si="71"/>
        <v>276.11465047200005</v>
      </c>
      <c r="U163">
        <f t="shared" si="72"/>
        <v>27.200957904654729</v>
      </c>
      <c r="V163">
        <f t="shared" si="73"/>
        <v>27.200957904654729</v>
      </c>
      <c r="W163">
        <f t="shared" si="74"/>
        <v>3.6216218876857456</v>
      </c>
      <c r="X163">
        <f t="shared" si="75"/>
        <v>72.720224654863046</v>
      </c>
      <c r="Y163">
        <f t="shared" si="76"/>
        <v>2.4326636941261501</v>
      </c>
      <c r="Z163">
        <f t="shared" si="77"/>
        <v>3.3452367696494316</v>
      </c>
      <c r="AA163">
        <f t="shared" si="78"/>
        <v>1.1889581935595954</v>
      </c>
      <c r="AB163">
        <f t="shared" si="79"/>
        <v>-104.33828418628902</v>
      </c>
      <c r="AC163">
        <f t="shared" si="80"/>
        <v>-156.28477303279774</v>
      </c>
      <c r="AD163">
        <f t="shared" si="81"/>
        <v>-15.596633140996707</v>
      </c>
      <c r="AE163">
        <f t="shared" si="82"/>
        <v>-0.10503988808338249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52131.336053501371</v>
      </c>
      <c r="AK163">
        <f t="shared" si="86"/>
        <v>1800</v>
      </c>
      <c r="AL163">
        <f t="shared" si="87"/>
        <v>1499.1123221999999</v>
      </c>
      <c r="AM163">
        <f t="shared" si="88"/>
        <v>0.83284017899999996</v>
      </c>
      <c r="AN163">
        <f t="shared" si="89"/>
        <v>0.15339702804000002</v>
      </c>
      <c r="AO163">
        <v>31.8</v>
      </c>
      <c r="AP163">
        <v>0.5</v>
      </c>
      <c r="AQ163" t="s">
        <v>331</v>
      </c>
      <c r="AR163">
        <v>2</v>
      </c>
      <c r="AS163">
        <v>1690389745.5999999</v>
      </c>
      <c r="AT163">
        <v>411.202</v>
      </c>
      <c r="AU163">
        <v>800.00900000000001</v>
      </c>
      <c r="AV163">
        <v>24.675899999999999</v>
      </c>
      <c r="AW163">
        <v>0.22483300000000001</v>
      </c>
      <c r="AX163">
        <v>410.78500000000003</v>
      </c>
      <c r="AY163">
        <v>24.477499999999999</v>
      </c>
      <c r="AZ163">
        <v>300.11200000000002</v>
      </c>
      <c r="BA163">
        <v>98.4846</v>
      </c>
      <c r="BB163">
        <v>9.9998500000000004E-2</v>
      </c>
      <c r="BC163">
        <v>25.854099999999999</v>
      </c>
      <c r="BD163">
        <v>26.996300000000002</v>
      </c>
      <c r="BE163">
        <v>26.994700000000002</v>
      </c>
      <c r="BF163">
        <v>0</v>
      </c>
      <c r="BG163">
        <v>0</v>
      </c>
      <c r="BH163">
        <v>9971.25</v>
      </c>
      <c r="BI163">
        <v>1067.18</v>
      </c>
      <c r="BJ163">
        <v>1.4016500000000001</v>
      </c>
      <c r="BK163">
        <v>-388.80700000000002</v>
      </c>
      <c r="BL163">
        <v>421.60500000000002</v>
      </c>
      <c r="BM163">
        <v>800.18899999999996</v>
      </c>
      <c r="BN163">
        <v>24.451000000000001</v>
      </c>
      <c r="BO163">
        <v>800.00900000000001</v>
      </c>
      <c r="BP163">
        <v>0.22483300000000001</v>
      </c>
      <c r="BQ163">
        <v>2.4302000000000001</v>
      </c>
      <c r="BR163">
        <v>2.2142599999999998E-2</v>
      </c>
      <c r="BS163">
        <v>20.566400000000002</v>
      </c>
      <c r="BT163">
        <v>-38.440600000000003</v>
      </c>
      <c r="BU163">
        <v>1800</v>
      </c>
      <c r="BV163">
        <v>0.91000999999999999</v>
      </c>
      <c r="BW163">
        <v>3.3999000000000001E-2</v>
      </c>
      <c r="BX163">
        <v>2.1996700000000001E-2</v>
      </c>
      <c r="BY163">
        <v>3.3993799999999998E-2</v>
      </c>
      <c r="BZ163">
        <v>25</v>
      </c>
      <c r="CA163">
        <v>33528.400000000001</v>
      </c>
      <c r="CB163">
        <v>1690387638</v>
      </c>
      <c r="CC163" t="s">
        <v>332</v>
      </c>
      <c r="CD163">
        <v>1690387638</v>
      </c>
      <c r="CE163">
        <v>1690387638</v>
      </c>
      <c r="CF163">
        <v>6</v>
      </c>
      <c r="CG163">
        <v>0.43</v>
      </c>
      <c r="CH163">
        <v>-8.1000000000000003E-2</v>
      </c>
      <c r="CI163">
        <v>0.14199999999999999</v>
      </c>
      <c r="CJ163">
        <v>-2.7E-2</v>
      </c>
      <c r="CK163">
        <v>800</v>
      </c>
      <c r="CL163">
        <v>0</v>
      </c>
      <c r="CM163">
        <v>0.01</v>
      </c>
      <c r="CN163">
        <v>0.01</v>
      </c>
      <c r="CO163">
        <v>-387.30817500000001</v>
      </c>
      <c r="CP163">
        <v>-8.017407129454968</v>
      </c>
      <c r="CQ163">
        <v>0.77270508240531344</v>
      </c>
      <c r="CR163">
        <v>-1</v>
      </c>
      <c r="CS163">
        <v>24.373169999999998</v>
      </c>
      <c r="CT163">
        <v>0.39494183864907623</v>
      </c>
      <c r="CU163">
        <v>3.8022409181954743E-2</v>
      </c>
      <c r="CV163">
        <v>-1</v>
      </c>
      <c r="CW163">
        <v>0</v>
      </c>
      <c r="CX163">
        <v>0</v>
      </c>
      <c r="CY163" t="s">
        <v>333</v>
      </c>
      <c r="CZ163">
        <v>2.3648199999999999</v>
      </c>
      <c r="DA163">
        <v>2.7137600000000002</v>
      </c>
      <c r="DB163">
        <v>9.0840699999999996E-2</v>
      </c>
      <c r="DC163">
        <v>0.14522099999999999</v>
      </c>
      <c r="DD163">
        <v>0.115524</v>
      </c>
      <c r="DE163">
        <v>1.87587E-3</v>
      </c>
      <c r="DF163">
        <v>33223.9</v>
      </c>
      <c r="DG163">
        <v>27582.3</v>
      </c>
      <c r="DH163">
        <v>31196.1</v>
      </c>
      <c r="DI163">
        <v>28116.9</v>
      </c>
      <c r="DJ163">
        <v>37457.1</v>
      </c>
      <c r="DK163">
        <v>39917</v>
      </c>
      <c r="DL163">
        <v>44399.8</v>
      </c>
      <c r="DM163">
        <v>42618.2</v>
      </c>
      <c r="DN163">
        <v>1.4754799999999999</v>
      </c>
      <c r="DO163">
        <v>2.03112</v>
      </c>
      <c r="DP163">
        <v>0.148535</v>
      </c>
      <c r="DQ163">
        <v>0.14977199999999999</v>
      </c>
      <c r="DR163">
        <v>24.5623</v>
      </c>
      <c r="DS163">
        <v>24.540400000000002</v>
      </c>
      <c r="DT163">
        <v>30.8</v>
      </c>
      <c r="DU163">
        <v>29</v>
      </c>
      <c r="DV163">
        <v>12.577299999999999</v>
      </c>
      <c r="DW163">
        <v>61.362200000000001</v>
      </c>
      <c r="DX163">
        <v>37.319699999999997</v>
      </c>
      <c r="DY163">
        <v>1</v>
      </c>
      <c r="DZ163">
        <v>-0.119726</v>
      </c>
      <c r="EA163">
        <v>7.7557200000000007E-2</v>
      </c>
      <c r="EB163">
        <v>20.190000000000001</v>
      </c>
      <c r="EC163">
        <v>5.2406499999999996</v>
      </c>
      <c r="ED163">
        <v>12.039899999999999</v>
      </c>
      <c r="EE163">
        <v>5.016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1.8692</v>
      </c>
      <c r="EN163">
        <v>1.8672200000000001</v>
      </c>
      <c r="EO163">
        <v>1.8633299999999999</v>
      </c>
      <c r="EP163">
        <v>1.8644499999999999</v>
      </c>
      <c r="EQ163">
        <v>1.87012</v>
      </c>
      <c r="ER163">
        <v>1.8693500000000001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0.41699999999999998</v>
      </c>
      <c r="FG163">
        <v>0.19839999999999999</v>
      </c>
      <c r="FH163">
        <v>0.69281559908863044</v>
      </c>
      <c r="FI163">
        <v>-6.1462078757559423E-4</v>
      </c>
      <c r="FJ163">
        <v>-1.8861989874597051E-7</v>
      </c>
      <c r="FK163">
        <v>1.1980462299894961E-10</v>
      </c>
      <c r="FL163">
        <v>0.19840465858211129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35.1</v>
      </c>
      <c r="FU163">
        <v>35.1</v>
      </c>
      <c r="FV163">
        <v>1.7651399999999999</v>
      </c>
      <c r="FW163">
        <v>2.5878899999999998</v>
      </c>
      <c r="FX163">
        <v>1.5490699999999999</v>
      </c>
      <c r="FY163">
        <v>2.3339799999999999</v>
      </c>
      <c r="FZ163">
        <v>1.50146</v>
      </c>
      <c r="GA163">
        <v>2.2863799999999999</v>
      </c>
      <c r="GB163">
        <v>33.602899999999998</v>
      </c>
      <c r="GC163">
        <v>23.982399999999998</v>
      </c>
      <c r="GD163">
        <v>19</v>
      </c>
      <c r="GE163">
        <v>281.22000000000003</v>
      </c>
      <c r="GF163">
        <v>575.34</v>
      </c>
      <c r="GG163">
        <v>24.166499999999999</v>
      </c>
      <c r="GH163">
        <v>25.902899999999999</v>
      </c>
      <c r="GI163">
        <v>30</v>
      </c>
      <c r="GJ163">
        <v>26.044799999999999</v>
      </c>
      <c r="GK163">
        <v>26.026299999999999</v>
      </c>
      <c r="GL163">
        <v>35.290199999999999</v>
      </c>
      <c r="GM163">
        <v>100</v>
      </c>
      <c r="GN163">
        <v>26.400099999999998</v>
      </c>
      <c r="GO163">
        <v>24.170400000000001</v>
      </c>
      <c r="GP163">
        <v>800</v>
      </c>
      <c r="GQ163">
        <v>0</v>
      </c>
      <c r="GR163">
        <v>99.820599999999999</v>
      </c>
      <c r="GS163">
        <v>99.696299999999994</v>
      </c>
    </row>
    <row r="164" spans="1:201" x14ac:dyDescent="0.25">
      <c r="A164">
        <v>148</v>
      </c>
      <c r="B164">
        <v>1690389755.5999999</v>
      </c>
      <c r="C164">
        <v>1497.099999904633</v>
      </c>
      <c r="D164" t="s">
        <v>629</v>
      </c>
      <c r="E164" t="s">
        <v>630</v>
      </c>
      <c r="F164" t="s">
        <v>330</v>
      </c>
      <c r="H164">
        <v>1690389755.5999999</v>
      </c>
      <c r="I164">
        <f t="shared" si="60"/>
        <v>2.3713725873784628E-3</v>
      </c>
      <c r="J164">
        <f t="shared" si="61"/>
        <v>2.3713725873784628</v>
      </c>
      <c r="K164">
        <f t="shared" si="62"/>
        <v>35.841478710335757</v>
      </c>
      <c r="L164">
        <f t="shared" si="63"/>
        <v>409.923</v>
      </c>
      <c r="M164">
        <f t="shared" si="64"/>
        <v>107.34172185216663</v>
      </c>
      <c r="N164">
        <f t="shared" si="65"/>
        <v>10.582586459793191</v>
      </c>
      <c r="O164">
        <f t="shared" si="66"/>
        <v>40.413415347782994</v>
      </c>
      <c r="P164">
        <f t="shared" si="67"/>
        <v>0.20129960069427502</v>
      </c>
      <c r="Q164">
        <f t="shared" si="68"/>
        <v>2.1558890381930809</v>
      </c>
      <c r="R164">
        <f t="shared" si="69"/>
        <v>0.19141008744078616</v>
      </c>
      <c r="S164">
        <f t="shared" si="70"/>
        <v>0.12047933905360125</v>
      </c>
      <c r="T164">
        <f t="shared" si="71"/>
        <v>276.11479560600003</v>
      </c>
      <c r="U164">
        <f t="shared" si="72"/>
        <v>27.201259292884753</v>
      </c>
      <c r="V164">
        <f t="shared" si="73"/>
        <v>27.201259292884753</v>
      </c>
      <c r="W164">
        <f t="shared" si="74"/>
        <v>3.6216858994673315</v>
      </c>
      <c r="X164">
        <f t="shared" si="75"/>
        <v>72.85624931271181</v>
      </c>
      <c r="Y164">
        <f t="shared" si="76"/>
        <v>2.4378204849953997</v>
      </c>
      <c r="Z164">
        <f t="shared" si="77"/>
        <v>3.3460691539744878</v>
      </c>
      <c r="AA164">
        <f t="shared" si="78"/>
        <v>1.1838654144719318</v>
      </c>
      <c r="AB164">
        <f t="shared" si="79"/>
        <v>-104.57753110339021</v>
      </c>
      <c r="AC164">
        <f t="shared" si="80"/>
        <v>-156.08986191935989</v>
      </c>
      <c r="AD164">
        <f t="shared" si="81"/>
        <v>-15.55183727838152</v>
      </c>
      <c r="AE164">
        <f t="shared" si="82"/>
        <v>-0.10443469513160153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52279.518154619946</v>
      </c>
      <c r="AK164">
        <f t="shared" si="86"/>
        <v>1800</v>
      </c>
      <c r="AL164">
        <f t="shared" si="87"/>
        <v>1499.1132906</v>
      </c>
      <c r="AM164">
        <f t="shared" si="88"/>
        <v>0.83284071700000006</v>
      </c>
      <c r="AN164">
        <f t="shared" si="89"/>
        <v>0.15339710867</v>
      </c>
      <c r="AO164">
        <v>31.8</v>
      </c>
      <c r="AP164">
        <v>0.5</v>
      </c>
      <c r="AQ164" t="s">
        <v>331</v>
      </c>
      <c r="AR164">
        <v>2</v>
      </c>
      <c r="AS164">
        <v>1690389755.5999999</v>
      </c>
      <c r="AT164">
        <v>409.923</v>
      </c>
      <c r="AU164">
        <v>799.97900000000004</v>
      </c>
      <c r="AV164">
        <v>24.727399999999999</v>
      </c>
      <c r="AW164">
        <v>0.22294900000000001</v>
      </c>
      <c r="AX164">
        <v>409.505</v>
      </c>
      <c r="AY164">
        <v>24.529</v>
      </c>
      <c r="AZ164">
        <v>300.12900000000002</v>
      </c>
      <c r="BA164">
        <v>98.487799999999993</v>
      </c>
      <c r="BB164">
        <v>0.100021</v>
      </c>
      <c r="BC164">
        <v>25.8583</v>
      </c>
      <c r="BD164">
        <v>27.008299999999998</v>
      </c>
      <c r="BE164">
        <v>27.013400000000001</v>
      </c>
      <c r="BF164">
        <v>0</v>
      </c>
      <c r="BG164">
        <v>0</v>
      </c>
      <c r="BH164">
        <v>10000.6</v>
      </c>
      <c r="BI164">
        <v>1067.29</v>
      </c>
      <c r="BJ164">
        <v>1.4016500000000001</v>
      </c>
      <c r="BK164">
        <v>-390.05599999999998</v>
      </c>
      <c r="BL164">
        <v>420.31700000000001</v>
      </c>
      <c r="BM164">
        <v>800.15800000000002</v>
      </c>
      <c r="BN164">
        <v>24.5045</v>
      </c>
      <c r="BO164">
        <v>799.97900000000004</v>
      </c>
      <c r="BP164">
        <v>0.22294900000000001</v>
      </c>
      <c r="BQ164">
        <v>2.4353500000000001</v>
      </c>
      <c r="BR164">
        <v>2.19577E-2</v>
      </c>
      <c r="BS164">
        <v>20.6008</v>
      </c>
      <c r="BT164">
        <v>-38.522100000000002</v>
      </c>
      <c r="BU164">
        <v>1800</v>
      </c>
      <c r="BV164">
        <v>0.91001100000000001</v>
      </c>
      <c r="BW164">
        <v>3.3998800000000003E-2</v>
      </c>
      <c r="BX164">
        <v>2.1996600000000002E-2</v>
      </c>
      <c r="BY164">
        <v>3.3993700000000002E-2</v>
      </c>
      <c r="BZ164">
        <v>25</v>
      </c>
      <c r="CA164">
        <v>33528.5</v>
      </c>
      <c r="CB164">
        <v>1690387638</v>
      </c>
      <c r="CC164" t="s">
        <v>332</v>
      </c>
      <c r="CD164">
        <v>1690387638</v>
      </c>
      <c r="CE164">
        <v>1690387638</v>
      </c>
      <c r="CF164">
        <v>6</v>
      </c>
      <c r="CG164">
        <v>0.43</v>
      </c>
      <c r="CH164">
        <v>-8.1000000000000003E-2</v>
      </c>
      <c r="CI164">
        <v>0.14199999999999999</v>
      </c>
      <c r="CJ164">
        <v>-2.7E-2</v>
      </c>
      <c r="CK164">
        <v>800</v>
      </c>
      <c r="CL164">
        <v>0</v>
      </c>
      <c r="CM164">
        <v>0.01</v>
      </c>
      <c r="CN164">
        <v>0.01</v>
      </c>
      <c r="CO164">
        <v>-388.64557500000001</v>
      </c>
      <c r="CP164">
        <v>-7.8444540337699333</v>
      </c>
      <c r="CQ164">
        <v>0.75584468932115745</v>
      </c>
      <c r="CR164">
        <v>-1</v>
      </c>
      <c r="CS164">
        <v>24.4392125</v>
      </c>
      <c r="CT164">
        <v>0.39242363977482092</v>
      </c>
      <c r="CU164">
        <v>3.7824312204585868E-2</v>
      </c>
      <c r="CV164">
        <v>-1</v>
      </c>
      <c r="CW164">
        <v>0</v>
      </c>
      <c r="CX164">
        <v>0</v>
      </c>
      <c r="CY164" t="s">
        <v>333</v>
      </c>
      <c r="CZ164">
        <v>2.3648899999999999</v>
      </c>
      <c r="DA164">
        <v>2.7138100000000001</v>
      </c>
      <c r="DB164">
        <v>9.0628500000000001E-2</v>
      </c>
      <c r="DC164">
        <v>0.14522299999999999</v>
      </c>
      <c r="DD164">
        <v>0.11569699999999999</v>
      </c>
      <c r="DE164">
        <v>1.8604299999999999E-3</v>
      </c>
      <c r="DF164">
        <v>33231.5</v>
      </c>
      <c r="DG164">
        <v>27582.3</v>
      </c>
      <c r="DH164">
        <v>31196</v>
      </c>
      <c r="DI164">
        <v>28117</v>
      </c>
      <c r="DJ164">
        <v>37449.5</v>
      </c>
      <c r="DK164">
        <v>39917.800000000003</v>
      </c>
      <c r="DL164">
        <v>44399.6</v>
      </c>
      <c r="DM164">
        <v>42618.400000000001</v>
      </c>
      <c r="DN164">
        <v>1.4757</v>
      </c>
      <c r="DO164">
        <v>2.0310999999999999</v>
      </c>
      <c r="DP164">
        <v>0.149034</v>
      </c>
      <c r="DQ164">
        <v>0.15063599999999999</v>
      </c>
      <c r="DR164">
        <v>24.566199999999998</v>
      </c>
      <c r="DS164">
        <v>24.545000000000002</v>
      </c>
      <c r="DT164">
        <v>30.5</v>
      </c>
      <c r="DU164">
        <v>29</v>
      </c>
      <c r="DV164">
        <v>12.454700000000001</v>
      </c>
      <c r="DW164">
        <v>61.052199999999999</v>
      </c>
      <c r="DX164">
        <v>36.887</v>
      </c>
      <c r="DY164">
        <v>1</v>
      </c>
      <c r="DZ164">
        <v>-0.119766</v>
      </c>
      <c r="EA164">
        <v>6.7118700000000003E-2</v>
      </c>
      <c r="EB164">
        <v>20.190100000000001</v>
      </c>
      <c r="EC164">
        <v>5.2409499999999998</v>
      </c>
      <c r="ED164">
        <v>12.039899999999999</v>
      </c>
      <c r="EE164">
        <v>5.016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</v>
      </c>
      <c r="EM164">
        <v>1.8692</v>
      </c>
      <c r="EN164">
        <v>1.8672200000000001</v>
      </c>
      <c r="EO164">
        <v>1.8633599999999999</v>
      </c>
      <c r="EP164">
        <v>1.86446</v>
      </c>
      <c r="EQ164">
        <v>1.8701399999999999</v>
      </c>
      <c r="ER164">
        <v>1.8693500000000001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0.41799999999999998</v>
      </c>
      <c r="FG164">
        <v>0.19839999999999999</v>
      </c>
      <c r="FH164">
        <v>0.69281559908863044</v>
      </c>
      <c r="FI164">
        <v>-6.1462078757559423E-4</v>
      </c>
      <c r="FJ164">
        <v>-1.8861989874597051E-7</v>
      </c>
      <c r="FK164">
        <v>1.1980462299894961E-10</v>
      </c>
      <c r="FL164">
        <v>0.19840465858211129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35.299999999999997</v>
      </c>
      <c r="FU164">
        <v>35.299999999999997</v>
      </c>
      <c r="FV164">
        <v>1.7651399999999999</v>
      </c>
      <c r="FW164">
        <v>2.5830099999999998</v>
      </c>
      <c r="FX164">
        <v>1.5490699999999999</v>
      </c>
      <c r="FY164">
        <v>2.3339799999999999</v>
      </c>
      <c r="FZ164">
        <v>1.50146</v>
      </c>
      <c r="GA164">
        <v>2.36572</v>
      </c>
      <c r="GB164">
        <v>33.602899999999998</v>
      </c>
      <c r="GC164">
        <v>23.991199999999999</v>
      </c>
      <c r="GD164">
        <v>19</v>
      </c>
      <c r="GE164">
        <v>281.315</v>
      </c>
      <c r="GF164">
        <v>575.29499999999996</v>
      </c>
      <c r="GG164">
        <v>24.174499999999998</v>
      </c>
      <c r="GH164">
        <v>25.903600000000001</v>
      </c>
      <c r="GI164">
        <v>29.9999</v>
      </c>
      <c r="GJ164">
        <v>26.044799999999999</v>
      </c>
      <c r="GK164">
        <v>26.024100000000001</v>
      </c>
      <c r="GL164">
        <v>35.291200000000003</v>
      </c>
      <c r="GM164">
        <v>100</v>
      </c>
      <c r="GN164">
        <v>25.601500000000001</v>
      </c>
      <c r="GO164">
        <v>24.1721</v>
      </c>
      <c r="GP164">
        <v>800</v>
      </c>
      <c r="GQ164">
        <v>0</v>
      </c>
      <c r="GR164">
        <v>99.8202</v>
      </c>
      <c r="GS164">
        <v>99.696600000000004</v>
      </c>
    </row>
    <row r="165" spans="1:201" x14ac:dyDescent="0.25">
      <c r="A165">
        <v>149</v>
      </c>
      <c r="B165">
        <v>1690389765.5999999</v>
      </c>
      <c r="C165">
        <v>1507.099999904633</v>
      </c>
      <c r="D165" t="s">
        <v>631</v>
      </c>
      <c r="E165" t="s">
        <v>632</v>
      </c>
      <c r="F165" t="s">
        <v>330</v>
      </c>
      <c r="H165">
        <v>1690389765.5999999</v>
      </c>
      <c r="I165">
        <f t="shared" si="60"/>
        <v>2.3774513150843514E-3</v>
      </c>
      <c r="J165">
        <f t="shared" si="61"/>
        <v>2.3774513150843513</v>
      </c>
      <c r="K165">
        <f t="shared" si="62"/>
        <v>35.968400446610083</v>
      </c>
      <c r="L165">
        <f t="shared" si="63"/>
        <v>408.61500000000001</v>
      </c>
      <c r="M165">
        <f t="shared" si="64"/>
        <v>107.18028577962305</v>
      </c>
      <c r="N165">
        <f t="shared" si="65"/>
        <v>10.567208981385221</v>
      </c>
      <c r="O165">
        <f t="shared" si="66"/>
        <v>40.286514133830003</v>
      </c>
      <c r="P165">
        <f t="shared" si="67"/>
        <v>0.20284441742661141</v>
      </c>
      <c r="Q165">
        <f t="shared" si="68"/>
        <v>2.1531822742590085</v>
      </c>
      <c r="R165">
        <f t="shared" si="69"/>
        <v>0.19279465204570326</v>
      </c>
      <c r="S165">
        <f t="shared" si="70"/>
        <v>0.12135808455727862</v>
      </c>
      <c r="T165">
        <f t="shared" si="71"/>
        <v>276.113163589458</v>
      </c>
      <c r="U165">
        <f t="shared" si="72"/>
        <v>27.201979825221105</v>
      </c>
      <c r="V165">
        <f t="shared" si="73"/>
        <v>27.201979825221105</v>
      </c>
      <c r="W165">
        <f t="shared" si="74"/>
        <v>3.6218389371783708</v>
      </c>
      <c r="X165">
        <f t="shared" si="75"/>
        <v>73.018458274295057</v>
      </c>
      <c r="Y165">
        <f t="shared" si="76"/>
        <v>2.4434362625702</v>
      </c>
      <c r="Z165">
        <f t="shared" si="77"/>
        <v>3.3463268334033986</v>
      </c>
      <c r="AA165">
        <f t="shared" si="78"/>
        <v>1.1784026746081708</v>
      </c>
      <c r="AB165">
        <f t="shared" si="79"/>
        <v>-104.84560299521989</v>
      </c>
      <c r="AC165">
        <f t="shared" si="80"/>
        <v>-155.82662184624638</v>
      </c>
      <c r="AD165">
        <f t="shared" si="81"/>
        <v>-15.545284110062159</v>
      </c>
      <c r="AE165">
        <f t="shared" si="82"/>
        <v>-0.10434536207043266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52166.079433470193</v>
      </c>
      <c r="AK165">
        <f t="shared" si="86"/>
        <v>1799.99</v>
      </c>
      <c r="AL165">
        <f t="shared" si="87"/>
        <v>1499.1045445951502</v>
      </c>
      <c r="AM165">
        <f t="shared" si="88"/>
        <v>0.83284048500000007</v>
      </c>
      <c r="AN165">
        <f t="shared" si="89"/>
        <v>0.15339705419999999</v>
      </c>
      <c r="AO165">
        <v>31.8</v>
      </c>
      <c r="AP165">
        <v>0.5</v>
      </c>
      <c r="AQ165" t="s">
        <v>331</v>
      </c>
      <c r="AR165">
        <v>2</v>
      </c>
      <c r="AS165">
        <v>1690389765.5999999</v>
      </c>
      <c r="AT165">
        <v>408.61500000000001</v>
      </c>
      <c r="AU165">
        <v>799.96100000000001</v>
      </c>
      <c r="AV165">
        <v>24.783100000000001</v>
      </c>
      <c r="AW165">
        <v>0.22026599999999999</v>
      </c>
      <c r="AX165">
        <v>408.197</v>
      </c>
      <c r="AY165">
        <v>24.584700000000002</v>
      </c>
      <c r="AZ165">
        <v>300.166</v>
      </c>
      <c r="BA165">
        <v>98.492800000000003</v>
      </c>
      <c r="BB165">
        <v>0.10004200000000001</v>
      </c>
      <c r="BC165">
        <v>25.8596</v>
      </c>
      <c r="BD165">
        <v>27.0061</v>
      </c>
      <c r="BE165">
        <v>27.019100000000002</v>
      </c>
      <c r="BF165">
        <v>0</v>
      </c>
      <c r="BG165">
        <v>0</v>
      </c>
      <c r="BH165">
        <v>9977.5</v>
      </c>
      <c r="BI165">
        <v>1067.45</v>
      </c>
      <c r="BJ165">
        <v>1.4016500000000001</v>
      </c>
      <c r="BK165">
        <v>-391.34500000000003</v>
      </c>
      <c r="BL165">
        <v>419</v>
      </c>
      <c r="BM165">
        <v>800.13699999999994</v>
      </c>
      <c r="BN165">
        <v>24.562799999999999</v>
      </c>
      <c r="BO165">
        <v>799.96100000000001</v>
      </c>
      <c r="BP165">
        <v>0.22026599999999999</v>
      </c>
      <c r="BQ165">
        <v>2.44096</v>
      </c>
      <c r="BR165">
        <v>2.1694600000000001E-2</v>
      </c>
      <c r="BS165">
        <v>20.638100000000001</v>
      </c>
      <c r="BT165">
        <v>-38.639200000000002</v>
      </c>
      <c r="BU165">
        <v>1799.99</v>
      </c>
      <c r="BV165">
        <v>0.91001100000000001</v>
      </c>
      <c r="BW165">
        <v>3.39987E-2</v>
      </c>
      <c r="BX165">
        <v>2.1996499999999999E-2</v>
      </c>
      <c r="BY165">
        <v>3.3993599999999999E-2</v>
      </c>
      <c r="BZ165">
        <v>25</v>
      </c>
      <c r="CA165">
        <v>33528.300000000003</v>
      </c>
      <c r="CB165">
        <v>1690387638</v>
      </c>
      <c r="CC165" t="s">
        <v>332</v>
      </c>
      <c r="CD165">
        <v>1690387638</v>
      </c>
      <c r="CE165">
        <v>1690387638</v>
      </c>
      <c r="CF165">
        <v>6</v>
      </c>
      <c r="CG165">
        <v>0.43</v>
      </c>
      <c r="CH165">
        <v>-8.1000000000000003E-2</v>
      </c>
      <c r="CI165">
        <v>0.14199999999999999</v>
      </c>
      <c r="CJ165">
        <v>-2.7E-2</v>
      </c>
      <c r="CK165">
        <v>800</v>
      </c>
      <c r="CL165">
        <v>0</v>
      </c>
      <c r="CM165">
        <v>0.01</v>
      </c>
      <c r="CN165">
        <v>0.01</v>
      </c>
      <c r="CO165">
        <v>-389.99117073170731</v>
      </c>
      <c r="CP165">
        <v>-7.9221324041801369</v>
      </c>
      <c r="CQ165">
        <v>0.78167899039274069</v>
      </c>
      <c r="CR165">
        <v>-1</v>
      </c>
      <c r="CS165">
        <v>24.500275609756098</v>
      </c>
      <c r="CT165">
        <v>0.32494912891988331</v>
      </c>
      <c r="CU165">
        <v>3.2066970930042897E-2</v>
      </c>
      <c r="CV165">
        <v>-1</v>
      </c>
      <c r="CW165">
        <v>0</v>
      </c>
      <c r="CX165">
        <v>0</v>
      </c>
      <c r="CY165" t="s">
        <v>333</v>
      </c>
      <c r="CZ165">
        <v>2.3649900000000001</v>
      </c>
      <c r="DA165">
        <v>2.7138100000000001</v>
      </c>
      <c r="DB165">
        <v>9.0412500000000007E-2</v>
      </c>
      <c r="DC165">
        <v>0.14522699999999999</v>
      </c>
      <c r="DD165">
        <v>0.115886</v>
      </c>
      <c r="DE165">
        <v>1.8384300000000001E-3</v>
      </c>
      <c r="DF165">
        <v>33239.300000000003</v>
      </c>
      <c r="DG165">
        <v>27582.1</v>
      </c>
      <c r="DH165">
        <v>31195.9</v>
      </c>
      <c r="DI165">
        <v>28116.9</v>
      </c>
      <c r="DJ165">
        <v>37441.199999999997</v>
      </c>
      <c r="DK165">
        <v>39918.6</v>
      </c>
      <c r="DL165">
        <v>44399.5</v>
      </c>
      <c r="DM165">
        <v>42618.3</v>
      </c>
      <c r="DN165">
        <v>1.4757800000000001</v>
      </c>
      <c r="DO165">
        <v>2.0312199999999998</v>
      </c>
      <c r="DP165">
        <v>0.148706</v>
      </c>
      <c r="DQ165">
        <v>0.15079200000000001</v>
      </c>
      <c r="DR165">
        <v>24.569299999999998</v>
      </c>
      <c r="DS165">
        <v>24.548100000000002</v>
      </c>
      <c r="DT165">
        <v>30.1</v>
      </c>
      <c r="DU165">
        <v>29</v>
      </c>
      <c r="DV165">
        <v>12.2919</v>
      </c>
      <c r="DW165">
        <v>61.1922</v>
      </c>
      <c r="DX165">
        <v>37.808500000000002</v>
      </c>
      <c r="DY165">
        <v>1</v>
      </c>
      <c r="DZ165">
        <v>-0.119378</v>
      </c>
      <c r="EA165">
        <v>8.5520200000000005E-2</v>
      </c>
      <c r="EB165">
        <v>20.190100000000001</v>
      </c>
      <c r="EC165">
        <v>5.2411000000000003</v>
      </c>
      <c r="ED165">
        <v>12.039899999999999</v>
      </c>
      <c r="EE165">
        <v>5.0160999999999998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1.8692</v>
      </c>
      <c r="EN165">
        <v>1.8672200000000001</v>
      </c>
      <c r="EO165">
        <v>1.86337</v>
      </c>
      <c r="EP165">
        <v>1.86446</v>
      </c>
      <c r="EQ165">
        <v>1.87012</v>
      </c>
      <c r="ER165">
        <v>1.8693599999999999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0.41799999999999998</v>
      </c>
      <c r="FG165">
        <v>0.19839999999999999</v>
      </c>
      <c r="FH165">
        <v>0.69281559908863044</v>
      </c>
      <c r="FI165">
        <v>-6.1462078757559423E-4</v>
      </c>
      <c r="FJ165">
        <v>-1.8861989874597051E-7</v>
      </c>
      <c r="FK165">
        <v>1.1980462299894961E-10</v>
      </c>
      <c r="FL165">
        <v>0.19840465858211129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35.5</v>
      </c>
      <c r="FU165">
        <v>35.5</v>
      </c>
      <c r="FV165">
        <v>1.7651399999999999</v>
      </c>
      <c r="FW165">
        <v>2.5878899999999998</v>
      </c>
      <c r="FX165">
        <v>1.5490699999999999</v>
      </c>
      <c r="FY165">
        <v>2.3339799999999999</v>
      </c>
      <c r="FZ165">
        <v>1.50146</v>
      </c>
      <c r="GA165">
        <v>2.3034699999999999</v>
      </c>
      <c r="GB165">
        <v>33.602899999999998</v>
      </c>
      <c r="GC165">
        <v>23.982399999999998</v>
      </c>
      <c r="GD165">
        <v>19</v>
      </c>
      <c r="GE165">
        <v>281.34500000000003</v>
      </c>
      <c r="GF165">
        <v>575.39700000000005</v>
      </c>
      <c r="GG165">
        <v>24.166799999999999</v>
      </c>
      <c r="GH165">
        <v>25.901900000000001</v>
      </c>
      <c r="GI165">
        <v>30.0001</v>
      </c>
      <c r="GJ165">
        <v>26.0444</v>
      </c>
      <c r="GK165">
        <v>26.024100000000001</v>
      </c>
      <c r="GL165">
        <v>35.291200000000003</v>
      </c>
      <c r="GM165">
        <v>100</v>
      </c>
      <c r="GN165">
        <v>24.829599999999999</v>
      </c>
      <c r="GO165">
        <v>24.170300000000001</v>
      </c>
      <c r="GP165">
        <v>800</v>
      </c>
      <c r="GQ165">
        <v>0</v>
      </c>
      <c r="GR165">
        <v>99.819800000000001</v>
      </c>
      <c r="GS165">
        <v>99.696399999999997</v>
      </c>
    </row>
    <row r="166" spans="1:201" x14ac:dyDescent="0.25">
      <c r="A166">
        <v>150</v>
      </c>
      <c r="B166">
        <v>1690389775.5999999</v>
      </c>
      <c r="C166">
        <v>1517.099999904633</v>
      </c>
      <c r="D166" t="s">
        <v>633</v>
      </c>
      <c r="E166" t="s">
        <v>634</v>
      </c>
      <c r="F166" t="s">
        <v>330</v>
      </c>
      <c r="H166">
        <v>1690389775.5999999</v>
      </c>
      <c r="I166">
        <f t="shared" si="60"/>
        <v>2.3814805777819161E-3</v>
      </c>
      <c r="J166">
        <f t="shared" si="61"/>
        <v>2.3814805777819159</v>
      </c>
      <c r="K166">
        <f t="shared" si="62"/>
        <v>36.079948572556169</v>
      </c>
      <c r="L166">
        <f t="shared" si="63"/>
        <v>407.38499999999999</v>
      </c>
      <c r="M166">
        <f t="shared" si="64"/>
        <v>106.87041255094545</v>
      </c>
      <c r="N166">
        <f t="shared" si="65"/>
        <v>10.536820526870745</v>
      </c>
      <c r="O166">
        <f t="shared" si="66"/>
        <v>40.165865629956002</v>
      </c>
      <c r="P166">
        <f t="shared" si="67"/>
        <v>0.20412285948152786</v>
      </c>
      <c r="Q166">
        <f t="shared" si="68"/>
        <v>2.1564957534411997</v>
      </c>
      <c r="R166">
        <f t="shared" si="69"/>
        <v>0.19396422465665722</v>
      </c>
      <c r="S166">
        <f t="shared" si="70"/>
        <v>0.12209821001544949</v>
      </c>
      <c r="T166">
        <f t="shared" si="71"/>
        <v>276.11455131000008</v>
      </c>
      <c r="U166">
        <f t="shared" si="72"/>
        <v>27.20052084813387</v>
      </c>
      <c r="V166">
        <f t="shared" si="73"/>
        <v>27.20052084813387</v>
      </c>
      <c r="W166">
        <f t="shared" si="74"/>
        <v>3.6215290630992727</v>
      </c>
      <c r="X166">
        <f t="shared" si="75"/>
        <v>73.154684029469593</v>
      </c>
      <c r="Y166">
        <f t="shared" si="76"/>
        <v>2.44825584883296</v>
      </c>
      <c r="Z166">
        <f t="shared" si="77"/>
        <v>3.3466836489194676</v>
      </c>
      <c r="AA166">
        <f t="shared" si="78"/>
        <v>1.1732732142663127</v>
      </c>
      <c r="AB166">
        <f t="shared" si="79"/>
        <v>-105.0232934801825</v>
      </c>
      <c r="AC166">
        <f t="shared" si="80"/>
        <v>-155.68752766547811</v>
      </c>
      <c r="AD166">
        <f t="shared" si="81"/>
        <v>-15.507569984900062</v>
      </c>
      <c r="AE166">
        <f t="shared" si="82"/>
        <v>-0.10383982056058016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52304.540235624947</v>
      </c>
      <c r="AK166">
        <f t="shared" si="86"/>
        <v>1800</v>
      </c>
      <c r="AL166">
        <f t="shared" si="87"/>
        <v>1499.112891</v>
      </c>
      <c r="AM166">
        <f t="shared" si="88"/>
        <v>0.83284049500000001</v>
      </c>
      <c r="AN166">
        <f t="shared" si="89"/>
        <v>0.15339697295000004</v>
      </c>
      <c r="AO166">
        <v>31.8</v>
      </c>
      <c r="AP166">
        <v>0.5</v>
      </c>
      <c r="AQ166" t="s">
        <v>331</v>
      </c>
      <c r="AR166">
        <v>2</v>
      </c>
      <c r="AS166">
        <v>1690389775.5999999</v>
      </c>
      <c r="AT166">
        <v>407.38499999999999</v>
      </c>
      <c r="AU166">
        <v>800.06399999999996</v>
      </c>
      <c r="AV166">
        <v>24.831600000000002</v>
      </c>
      <c r="AW166">
        <v>0.218029</v>
      </c>
      <c r="AX166">
        <v>406.96499999999997</v>
      </c>
      <c r="AY166">
        <v>24.633199999999999</v>
      </c>
      <c r="AZ166">
        <v>300.04000000000002</v>
      </c>
      <c r="BA166">
        <v>98.494399999999999</v>
      </c>
      <c r="BB166">
        <v>9.9965600000000002E-2</v>
      </c>
      <c r="BC166">
        <v>25.8614</v>
      </c>
      <c r="BD166">
        <v>27.024699999999999</v>
      </c>
      <c r="BE166">
        <v>27.0031</v>
      </c>
      <c r="BF166">
        <v>0</v>
      </c>
      <c r="BG166">
        <v>0</v>
      </c>
      <c r="BH166">
        <v>10005</v>
      </c>
      <c r="BI166">
        <v>1067.54</v>
      </c>
      <c r="BJ166">
        <v>1.4016500000000001</v>
      </c>
      <c r="BK166">
        <v>-392.68</v>
      </c>
      <c r="BL166">
        <v>417.75799999999998</v>
      </c>
      <c r="BM166">
        <v>800.23900000000003</v>
      </c>
      <c r="BN166">
        <v>24.613600000000002</v>
      </c>
      <c r="BO166">
        <v>800.06399999999996</v>
      </c>
      <c r="BP166">
        <v>0.218029</v>
      </c>
      <c r="BQ166">
        <v>2.4457800000000001</v>
      </c>
      <c r="BR166">
        <v>2.1474699999999999E-2</v>
      </c>
      <c r="BS166">
        <v>20.670100000000001</v>
      </c>
      <c r="BT166">
        <v>-38.738</v>
      </c>
      <c r="BU166">
        <v>1800</v>
      </c>
      <c r="BV166">
        <v>0.91001299999999996</v>
      </c>
      <c r="BW166">
        <v>3.3997899999999998E-2</v>
      </c>
      <c r="BX166">
        <v>2.1996000000000002E-2</v>
      </c>
      <c r="BY166">
        <v>3.3992700000000001E-2</v>
      </c>
      <c r="BZ166">
        <v>25</v>
      </c>
      <c r="CA166">
        <v>33528.400000000001</v>
      </c>
      <c r="CB166">
        <v>1690387638</v>
      </c>
      <c r="CC166" t="s">
        <v>332</v>
      </c>
      <c r="CD166">
        <v>1690387638</v>
      </c>
      <c r="CE166">
        <v>1690387638</v>
      </c>
      <c r="CF166">
        <v>6</v>
      </c>
      <c r="CG166">
        <v>0.43</v>
      </c>
      <c r="CH166">
        <v>-8.1000000000000003E-2</v>
      </c>
      <c r="CI166">
        <v>0.14199999999999999</v>
      </c>
      <c r="CJ166">
        <v>-2.7E-2</v>
      </c>
      <c r="CK166">
        <v>800</v>
      </c>
      <c r="CL166">
        <v>0</v>
      </c>
      <c r="CM166">
        <v>0.01</v>
      </c>
      <c r="CN166">
        <v>0.01</v>
      </c>
      <c r="CO166">
        <v>-391.22174999999999</v>
      </c>
      <c r="CP166">
        <v>-7.4264915572235797</v>
      </c>
      <c r="CQ166">
        <v>0.71570701931726688</v>
      </c>
      <c r="CR166">
        <v>-1</v>
      </c>
      <c r="CS166">
        <v>24.554002499999999</v>
      </c>
      <c r="CT166">
        <v>0.33921613508440668</v>
      </c>
      <c r="CU166">
        <v>3.2654015736965407E-2</v>
      </c>
      <c r="CV166">
        <v>-1</v>
      </c>
      <c r="CW166">
        <v>0</v>
      </c>
      <c r="CX166">
        <v>0</v>
      </c>
      <c r="CY166" t="s">
        <v>333</v>
      </c>
      <c r="CZ166">
        <v>2.3645800000000001</v>
      </c>
      <c r="DA166">
        <v>2.7137600000000002</v>
      </c>
      <c r="DB166">
        <v>9.0206900000000007E-2</v>
      </c>
      <c r="DC166">
        <v>0.14524200000000001</v>
      </c>
      <c r="DD166">
        <v>0.116049</v>
      </c>
      <c r="DE166">
        <v>1.8200499999999999E-3</v>
      </c>
      <c r="DF166">
        <v>33247.4</v>
      </c>
      <c r="DG166">
        <v>27582</v>
      </c>
      <c r="DH166">
        <v>31196.400000000001</v>
      </c>
      <c r="DI166">
        <v>28117.3</v>
      </c>
      <c r="DJ166">
        <v>37434.699999999997</v>
      </c>
      <c r="DK166">
        <v>39919.699999999997</v>
      </c>
      <c r="DL166">
        <v>44400</v>
      </c>
      <c r="DM166">
        <v>42618.7</v>
      </c>
      <c r="DN166">
        <v>1.47553</v>
      </c>
      <c r="DO166">
        <v>2.03112</v>
      </c>
      <c r="DP166">
        <v>0.149563</v>
      </c>
      <c r="DQ166">
        <v>0.149503</v>
      </c>
      <c r="DR166">
        <v>24.573899999999998</v>
      </c>
      <c r="DS166">
        <v>24.5533</v>
      </c>
      <c r="DT166">
        <v>29.8</v>
      </c>
      <c r="DU166">
        <v>29</v>
      </c>
      <c r="DV166">
        <v>12.1675</v>
      </c>
      <c r="DW166">
        <v>61.5122</v>
      </c>
      <c r="DX166">
        <v>37.135399999999997</v>
      </c>
      <c r="DY166">
        <v>1</v>
      </c>
      <c r="DZ166">
        <v>-0.119682</v>
      </c>
      <c r="EA166">
        <v>0.139518</v>
      </c>
      <c r="EB166">
        <v>20.190000000000001</v>
      </c>
      <c r="EC166">
        <v>5.2411000000000003</v>
      </c>
      <c r="ED166">
        <v>12.039899999999999</v>
      </c>
      <c r="EE166">
        <v>5.0160999999999998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1.8646199999999999</v>
      </c>
      <c r="EM166">
        <v>1.8692</v>
      </c>
      <c r="EN166">
        <v>1.8672299999999999</v>
      </c>
      <c r="EO166">
        <v>1.8633500000000001</v>
      </c>
      <c r="EP166">
        <v>1.8644700000000001</v>
      </c>
      <c r="EQ166">
        <v>1.8701399999999999</v>
      </c>
      <c r="ER166">
        <v>1.86937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0.42</v>
      </c>
      <c r="FG166">
        <v>0.19839999999999999</v>
      </c>
      <c r="FH166">
        <v>0.69281559908863044</v>
      </c>
      <c r="FI166">
        <v>-6.1462078757559423E-4</v>
      </c>
      <c r="FJ166">
        <v>-1.8861989874597051E-7</v>
      </c>
      <c r="FK166">
        <v>1.1980462299894961E-10</v>
      </c>
      <c r="FL166">
        <v>0.19840465858211129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35.6</v>
      </c>
      <c r="FU166">
        <v>35.6</v>
      </c>
      <c r="FV166">
        <v>1.7651399999999999</v>
      </c>
      <c r="FW166">
        <v>2.5842299999999998</v>
      </c>
      <c r="FX166">
        <v>1.5490699999999999</v>
      </c>
      <c r="FY166">
        <v>2.3339799999999999</v>
      </c>
      <c r="FZ166">
        <v>1.50146</v>
      </c>
      <c r="GA166">
        <v>2.2949199999999998</v>
      </c>
      <c r="GB166">
        <v>33.602899999999998</v>
      </c>
      <c r="GC166">
        <v>23.982399999999998</v>
      </c>
      <c r="GD166">
        <v>19</v>
      </c>
      <c r="GE166">
        <v>281.23099999999999</v>
      </c>
      <c r="GF166">
        <v>575.31500000000005</v>
      </c>
      <c r="GG166">
        <v>24.168099999999999</v>
      </c>
      <c r="GH166">
        <v>25.901399999999999</v>
      </c>
      <c r="GI166">
        <v>30</v>
      </c>
      <c r="GJ166">
        <v>26.0426</v>
      </c>
      <c r="GK166">
        <v>26.024100000000001</v>
      </c>
      <c r="GL166">
        <v>35.286499999999997</v>
      </c>
      <c r="GM166">
        <v>100</v>
      </c>
      <c r="GN166">
        <v>24.064499999999999</v>
      </c>
      <c r="GO166">
        <v>24.135300000000001</v>
      </c>
      <c r="GP166">
        <v>800</v>
      </c>
      <c r="GQ166">
        <v>0</v>
      </c>
      <c r="GR166">
        <v>99.821299999999994</v>
      </c>
      <c r="GS166">
        <v>99.697500000000005</v>
      </c>
    </row>
    <row r="167" spans="1:201" x14ac:dyDescent="0.25">
      <c r="A167">
        <v>151</v>
      </c>
      <c r="B167">
        <v>1690389785.5999999</v>
      </c>
      <c r="C167">
        <v>1527.099999904633</v>
      </c>
      <c r="D167" t="s">
        <v>635</v>
      </c>
      <c r="E167" t="s">
        <v>636</v>
      </c>
      <c r="F167" t="s">
        <v>330</v>
      </c>
      <c r="H167">
        <v>1690389785.5999999</v>
      </c>
      <c r="I167">
        <f t="shared" si="60"/>
        <v>2.3871803266095068E-3</v>
      </c>
      <c r="J167">
        <f t="shared" si="61"/>
        <v>2.3871803266095069</v>
      </c>
      <c r="K167">
        <f t="shared" si="62"/>
        <v>36.193178311552842</v>
      </c>
      <c r="L167">
        <f t="shared" si="63"/>
        <v>406.15499999999997</v>
      </c>
      <c r="M167">
        <f t="shared" si="64"/>
        <v>106.93760414253201</v>
      </c>
      <c r="N167">
        <f t="shared" si="65"/>
        <v>10.544030241380337</v>
      </c>
      <c r="O167">
        <f t="shared" si="66"/>
        <v>40.046816431195495</v>
      </c>
      <c r="P167">
        <f t="shared" si="67"/>
        <v>0.20570609659348643</v>
      </c>
      <c r="Q167">
        <f t="shared" si="68"/>
        <v>2.1572324021198201</v>
      </c>
      <c r="R167">
        <f t="shared" si="69"/>
        <v>0.19539687212841464</v>
      </c>
      <c r="S167">
        <f t="shared" si="70"/>
        <v>0.12300621924486674</v>
      </c>
      <c r="T167">
        <f t="shared" si="71"/>
        <v>276.11453782800004</v>
      </c>
      <c r="U167">
        <f t="shared" si="72"/>
        <v>27.198237738400319</v>
      </c>
      <c r="V167">
        <f t="shared" si="73"/>
        <v>27.198237738400319</v>
      </c>
      <c r="W167">
        <f t="shared" si="74"/>
        <v>3.6210441968331617</v>
      </c>
      <c r="X167">
        <f t="shared" si="75"/>
        <v>73.312394759177678</v>
      </c>
      <c r="Y167">
        <f t="shared" si="76"/>
        <v>2.4535484615287895</v>
      </c>
      <c r="Z167">
        <f t="shared" si="77"/>
        <v>3.3467034729780667</v>
      </c>
      <c r="AA167">
        <f t="shared" si="78"/>
        <v>1.1674957353043722</v>
      </c>
      <c r="AB167">
        <f t="shared" si="79"/>
        <v>-105.27465240347925</v>
      </c>
      <c r="AC167">
        <f t="shared" si="80"/>
        <v>-155.46355242163867</v>
      </c>
      <c r="AD167">
        <f t="shared" si="81"/>
        <v>-15.479803083527413</v>
      </c>
      <c r="AE167">
        <f t="shared" si="82"/>
        <v>-0.10347008064530883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52335.518516671917</v>
      </c>
      <c r="AK167">
        <f t="shared" si="86"/>
        <v>1800</v>
      </c>
      <c r="AL167">
        <f t="shared" si="87"/>
        <v>1499.1138558</v>
      </c>
      <c r="AM167">
        <f t="shared" si="88"/>
        <v>0.83284103100000006</v>
      </c>
      <c r="AN167">
        <f t="shared" si="89"/>
        <v>0.15339696546000003</v>
      </c>
      <c r="AO167">
        <v>31.8</v>
      </c>
      <c r="AP167">
        <v>0.5</v>
      </c>
      <c r="AQ167" t="s">
        <v>331</v>
      </c>
      <c r="AR167">
        <v>2</v>
      </c>
      <c r="AS167">
        <v>1690389785.5999999</v>
      </c>
      <c r="AT167">
        <v>406.15499999999997</v>
      </c>
      <c r="AU167">
        <v>799.97900000000004</v>
      </c>
      <c r="AV167">
        <v>24.883900000000001</v>
      </c>
      <c r="AW167">
        <v>0.215785</v>
      </c>
      <c r="AX167">
        <v>405.73500000000001</v>
      </c>
      <c r="AY167">
        <v>24.685500000000001</v>
      </c>
      <c r="AZ167">
        <v>300.077</v>
      </c>
      <c r="BA167">
        <v>98.499899999999997</v>
      </c>
      <c r="BB167">
        <v>9.99361E-2</v>
      </c>
      <c r="BC167">
        <v>25.861499999999999</v>
      </c>
      <c r="BD167">
        <v>27.012699999999999</v>
      </c>
      <c r="BE167">
        <v>27.0139</v>
      </c>
      <c r="BF167">
        <v>0</v>
      </c>
      <c r="BG167">
        <v>0</v>
      </c>
      <c r="BH167">
        <v>10010.6</v>
      </c>
      <c r="BI167">
        <v>1067.72</v>
      </c>
      <c r="BJ167">
        <v>1.4016500000000001</v>
      </c>
      <c r="BK167">
        <v>-393.82400000000001</v>
      </c>
      <c r="BL167">
        <v>416.52</v>
      </c>
      <c r="BM167">
        <v>800.15200000000004</v>
      </c>
      <c r="BN167">
        <v>24.668099999999999</v>
      </c>
      <c r="BO167">
        <v>799.97900000000004</v>
      </c>
      <c r="BP167">
        <v>0.215785</v>
      </c>
      <c r="BQ167">
        <v>2.45106</v>
      </c>
      <c r="BR167">
        <v>2.1254800000000001E-2</v>
      </c>
      <c r="BS167">
        <v>20.705100000000002</v>
      </c>
      <c r="BT167">
        <v>-38.837800000000001</v>
      </c>
      <c r="BU167">
        <v>1800</v>
      </c>
      <c r="BV167">
        <v>0.91001600000000005</v>
      </c>
      <c r="BW167">
        <v>3.3996899999999997E-2</v>
      </c>
      <c r="BX167">
        <v>2.1995299999999999E-2</v>
      </c>
      <c r="BY167">
        <v>3.3991800000000003E-2</v>
      </c>
      <c r="BZ167">
        <v>25</v>
      </c>
      <c r="CA167">
        <v>33528.5</v>
      </c>
      <c r="CB167">
        <v>1690387638</v>
      </c>
      <c r="CC167" t="s">
        <v>332</v>
      </c>
      <c r="CD167">
        <v>1690387638</v>
      </c>
      <c r="CE167">
        <v>1690387638</v>
      </c>
      <c r="CF167">
        <v>6</v>
      </c>
      <c r="CG167">
        <v>0.43</v>
      </c>
      <c r="CH167">
        <v>-8.1000000000000003E-2</v>
      </c>
      <c r="CI167">
        <v>0.14199999999999999</v>
      </c>
      <c r="CJ167">
        <v>-2.7E-2</v>
      </c>
      <c r="CK167">
        <v>800</v>
      </c>
      <c r="CL167">
        <v>0</v>
      </c>
      <c r="CM167">
        <v>0.01</v>
      </c>
      <c r="CN167">
        <v>0.01</v>
      </c>
      <c r="CO167">
        <v>-392.51534146341459</v>
      </c>
      <c r="CP167">
        <v>-7.5649128919864106</v>
      </c>
      <c r="CQ167">
        <v>0.74899433746128752</v>
      </c>
      <c r="CR167">
        <v>-1</v>
      </c>
      <c r="CS167">
        <v>24.611204878048781</v>
      </c>
      <c r="CT167">
        <v>0.3254529616725278</v>
      </c>
      <c r="CU167">
        <v>3.2143026032813229E-2</v>
      </c>
      <c r="CV167">
        <v>-1</v>
      </c>
      <c r="CW167">
        <v>0</v>
      </c>
      <c r="CX167">
        <v>0</v>
      </c>
      <c r="CY167" t="s">
        <v>333</v>
      </c>
      <c r="CZ167">
        <v>2.3647100000000001</v>
      </c>
      <c r="DA167">
        <v>2.71374</v>
      </c>
      <c r="DB167">
        <v>9.0004200000000006E-2</v>
      </c>
      <c r="DC167">
        <v>0.14524000000000001</v>
      </c>
      <c r="DD167">
        <v>0.116227</v>
      </c>
      <c r="DE167">
        <v>1.8016799999999999E-3</v>
      </c>
      <c r="DF167">
        <v>33254.699999999997</v>
      </c>
      <c r="DG167">
        <v>27581.7</v>
      </c>
      <c r="DH167">
        <v>31196.3</v>
      </c>
      <c r="DI167">
        <v>28116.9</v>
      </c>
      <c r="DJ167">
        <v>37427.199999999997</v>
      </c>
      <c r="DK167">
        <v>39920</v>
      </c>
      <c r="DL167">
        <v>44400.2</v>
      </c>
      <c r="DM167">
        <v>42618.2</v>
      </c>
      <c r="DN167">
        <v>1.4751799999999999</v>
      </c>
      <c r="DO167">
        <v>2.0308299999999999</v>
      </c>
      <c r="DP167">
        <v>0.14852699999999999</v>
      </c>
      <c r="DQ167">
        <v>0.14984600000000001</v>
      </c>
      <c r="DR167">
        <v>24.578900000000001</v>
      </c>
      <c r="DS167">
        <v>24.558399999999999</v>
      </c>
      <c r="DT167">
        <v>29.4</v>
      </c>
      <c r="DU167">
        <v>29</v>
      </c>
      <c r="DV167">
        <v>12.006</v>
      </c>
      <c r="DW167">
        <v>60.782200000000003</v>
      </c>
      <c r="DX167">
        <v>37.207500000000003</v>
      </c>
      <c r="DY167">
        <v>1</v>
      </c>
      <c r="DZ167">
        <v>-0.119047</v>
      </c>
      <c r="EA167">
        <v>0.20399</v>
      </c>
      <c r="EB167">
        <v>20.190000000000001</v>
      </c>
      <c r="EC167">
        <v>5.24125</v>
      </c>
      <c r="ED167">
        <v>12.039899999999999</v>
      </c>
      <c r="EE167">
        <v>5.0161499999999997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1.8646199999999999</v>
      </c>
      <c r="EM167">
        <v>1.8692</v>
      </c>
      <c r="EN167">
        <v>1.8672200000000001</v>
      </c>
      <c r="EO167">
        <v>1.86331</v>
      </c>
      <c r="EP167">
        <v>1.86446</v>
      </c>
      <c r="EQ167">
        <v>1.8701300000000001</v>
      </c>
      <c r="ER167">
        <v>1.8693500000000001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0.42</v>
      </c>
      <c r="FG167">
        <v>0.19839999999999999</v>
      </c>
      <c r="FH167">
        <v>0.69281559908863044</v>
      </c>
      <c r="FI167">
        <v>-6.1462078757559423E-4</v>
      </c>
      <c r="FJ167">
        <v>-1.8861989874597051E-7</v>
      </c>
      <c r="FK167">
        <v>1.1980462299894961E-10</v>
      </c>
      <c r="FL167">
        <v>0.19840465858211129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35.799999999999997</v>
      </c>
      <c r="FU167">
        <v>35.799999999999997</v>
      </c>
      <c r="FV167">
        <v>1.7651399999999999</v>
      </c>
      <c r="FW167">
        <v>2.5842299999999998</v>
      </c>
      <c r="FX167">
        <v>1.5490699999999999</v>
      </c>
      <c r="FY167">
        <v>2.3339799999999999</v>
      </c>
      <c r="FZ167">
        <v>1.50024</v>
      </c>
      <c r="GA167">
        <v>2.3596200000000001</v>
      </c>
      <c r="GB167">
        <v>33.602899999999998</v>
      </c>
      <c r="GC167">
        <v>23.982399999999998</v>
      </c>
      <c r="GD167">
        <v>19</v>
      </c>
      <c r="GE167">
        <v>281.08300000000003</v>
      </c>
      <c r="GF167">
        <v>575.04600000000005</v>
      </c>
      <c r="GG167">
        <v>24.113600000000002</v>
      </c>
      <c r="GH167">
        <v>25.901399999999999</v>
      </c>
      <c r="GI167">
        <v>30.000299999999999</v>
      </c>
      <c r="GJ167">
        <v>26.0426</v>
      </c>
      <c r="GK167">
        <v>26.021999999999998</v>
      </c>
      <c r="GL167">
        <v>35.286299999999997</v>
      </c>
      <c r="GM167">
        <v>100</v>
      </c>
      <c r="GN167">
        <v>23.307700000000001</v>
      </c>
      <c r="GO167">
        <v>24.104600000000001</v>
      </c>
      <c r="GP167">
        <v>800</v>
      </c>
      <c r="GQ167">
        <v>0</v>
      </c>
      <c r="GR167">
        <v>99.821299999999994</v>
      </c>
      <c r="GS167">
        <v>99.696399999999997</v>
      </c>
    </row>
    <row r="168" spans="1:201" x14ac:dyDescent="0.25">
      <c r="A168">
        <v>152</v>
      </c>
      <c r="B168">
        <v>1690389795.5999999</v>
      </c>
      <c r="C168">
        <v>1537.099999904633</v>
      </c>
      <c r="D168" t="s">
        <v>637</v>
      </c>
      <c r="E168" t="s">
        <v>638</v>
      </c>
      <c r="F168" t="s">
        <v>330</v>
      </c>
      <c r="H168">
        <v>1690389795.5999999</v>
      </c>
      <c r="I168">
        <f t="shared" si="60"/>
        <v>2.3930216350305433E-3</v>
      </c>
      <c r="J168">
        <f t="shared" si="61"/>
        <v>2.3930216350305433</v>
      </c>
      <c r="K168">
        <f t="shared" si="62"/>
        <v>36.321130018486592</v>
      </c>
      <c r="L168">
        <f t="shared" si="63"/>
        <v>404.96100000000001</v>
      </c>
      <c r="M168">
        <f t="shared" si="64"/>
        <v>106.89514617706496</v>
      </c>
      <c r="N168">
        <f t="shared" si="65"/>
        <v>10.540130788826971</v>
      </c>
      <c r="O168">
        <f t="shared" si="66"/>
        <v>39.930175101720003</v>
      </c>
      <c r="P168">
        <f t="shared" si="67"/>
        <v>0.20728634218349604</v>
      </c>
      <c r="Q168">
        <f t="shared" si="68"/>
        <v>2.1574899663953504</v>
      </c>
      <c r="R168">
        <f t="shared" si="69"/>
        <v>0.19682362624409344</v>
      </c>
      <c r="S168">
        <f t="shared" si="70"/>
        <v>0.12391077663105747</v>
      </c>
      <c r="T168">
        <f t="shared" si="71"/>
        <v>276.11447088599999</v>
      </c>
      <c r="U168">
        <f t="shared" si="72"/>
        <v>27.194977933516931</v>
      </c>
      <c r="V168">
        <f t="shared" si="73"/>
        <v>27.194977933516931</v>
      </c>
      <c r="W168">
        <f t="shared" si="74"/>
        <v>3.620352007058619</v>
      </c>
      <c r="X168">
        <f t="shared" si="75"/>
        <v>73.464427527387599</v>
      </c>
      <c r="Y168">
        <f t="shared" si="76"/>
        <v>2.4584763516640002</v>
      </c>
      <c r="Z168">
        <f t="shared" si="77"/>
        <v>3.3464854139746452</v>
      </c>
      <c r="AA168">
        <f t="shared" si="78"/>
        <v>1.1618756553946188</v>
      </c>
      <c r="AB168">
        <f t="shared" si="79"/>
        <v>-105.53225410484696</v>
      </c>
      <c r="AC168">
        <f t="shared" si="80"/>
        <v>-155.23089726243055</v>
      </c>
      <c r="AD168">
        <f t="shared" si="81"/>
        <v>-15.454454255826468</v>
      </c>
      <c r="AE168">
        <f t="shared" si="82"/>
        <v>-0.1031347371039999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52346.564164952746</v>
      </c>
      <c r="AK168">
        <f t="shared" si="86"/>
        <v>1800</v>
      </c>
      <c r="AL168">
        <f t="shared" si="87"/>
        <v>1499.1138755999998</v>
      </c>
      <c r="AM168">
        <f t="shared" si="88"/>
        <v>0.83284104199999986</v>
      </c>
      <c r="AN168">
        <f t="shared" si="89"/>
        <v>0.15339692827000001</v>
      </c>
      <c r="AO168">
        <v>31.8</v>
      </c>
      <c r="AP168">
        <v>0.5</v>
      </c>
      <c r="AQ168" t="s">
        <v>331</v>
      </c>
      <c r="AR168">
        <v>2</v>
      </c>
      <c r="AS168">
        <v>1690389795.5999999</v>
      </c>
      <c r="AT168">
        <v>404.96100000000001</v>
      </c>
      <c r="AU168">
        <v>800.01599999999996</v>
      </c>
      <c r="AV168">
        <v>24.933199999999999</v>
      </c>
      <c r="AW168">
        <v>0.21346999999999999</v>
      </c>
      <c r="AX168">
        <v>404.54</v>
      </c>
      <c r="AY168">
        <v>24.7348</v>
      </c>
      <c r="AZ168">
        <v>300.16800000000001</v>
      </c>
      <c r="BA168">
        <v>98.502399999999994</v>
      </c>
      <c r="BB168">
        <v>0.10012</v>
      </c>
      <c r="BC168">
        <v>25.860399999999998</v>
      </c>
      <c r="BD168">
        <v>26.984400000000001</v>
      </c>
      <c r="BE168">
        <v>27.011099999999999</v>
      </c>
      <c r="BF168">
        <v>0</v>
      </c>
      <c r="BG168">
        <v>0</v>
      </c>
      <c r="BH168">
        <v>10012.5</v>
      </c>
      <c r="BI168">
        <v>1067.6099999999999</v>
      </c>
      <c r="BJ168">
        <v>1.4016500000000001</v>
      </c>
      <c r="BK168">
        <v>-395.05399999999997</v>
      </c>
      <c r="BL168">
        <v>415.31599999999997</v>
      </c>
      <c r="BM168">
        <v>800.18600000000004</v>
      </c>
      <c r="BN168">
        <v>24.719799999999999</v>
      </c>
      <c r="BO168">
        <v>800.01599999999996</v>
      </c>
      <c r="BP168">
        <v>0.21346999999999999</v>
      </c>
      <c r="BQ168">
        <v>2.4559799999999998</v>
      </c>
      <c r="BR168">
        <v>2.1027299999999999E-2</v>
      </c>
      <c r="BS168">
        <v>20.7377</v>
      </c>
      <c r="BT168">
        <v>-38.942</v>
      </c>
      <c r="BU168">
        <v>1800</v>
      </c>
      <c r="BV168">
        <v>0.91001699999999996</v>
      </c>
      <c r="BW168">
        <v>3.3996499999999999E-2</v>
      </c>
      <c r="BX168">
        <v>2.19951E-2</v>
      </c>
      <c r="BY168">
        <v>3.3991300000000002E-2</v>
      </c>
      <c r="BZ168">
        <v>25</v>
      </c>
      <c r="CA168">
        <v>33528.5</v>
      </c>
      <c r="CB168">
        <v>1690387638</v>
      </c>
      <c r="CC168" t="s">
        <v>332</v>
      </c>
      <c r="CD168">
        <v>1690387638</v>
      </c>
      <c r="CE168">
        <v>1690387638</v>
      </c>
      <c r="CF168">
        <v>6</v>
      </c>
      <c r="CG168">
        <v>0.43</v>
      </c>
      <c r="CH168">
        <v>-8.1000000000000003E-2</v>
      </c>
      <c r="CI168">
        <v>0.14199999999999999</v>
      </c>
      <c r="CJ168">
        <v>-2.7E-2</v>
      </c>
      <c r="CK168">
        <v>800</v>
      </c>
      <c r="CL168">
        <v>0</v>
      </c>
      <c r="CM168">
        <v>0.01</v>
      </c>
      <c r="CN168">
        <v>0.01</v>
      </c>
      <c r="CO168">
        <v>-393.76587804878051</v>
      </c>
      <c r="CP168">
        <v>-7.1834425087117184</v>
      </c>
      <c r="CQ168">
        <v>0.71147442903921898</v>
      </c>
      <c r="CR168">
        <v>-1</v>
      </c>
      <c r="CS168">
        <v>24.663668292682932</v>
      </c>
      <c r="CT168">
        <v>0.30869059233461321</v>
      </c>
      <c r="CU168">
        <v>3.050766748104233E-2</v>
      </c>
      <c r="CV168">
        <v>-1</v>
      </c>
      <c r="CW168">
        <v>0</v>
      </c>
      <c r="CX168">
        <v>0</v>
      </c>
      <c r="CY168" t="s">
        <v>333</v>
      </c>
      <c r="CZ168">
        <v>2.3650000000000002</v>
      </c>
      <c r="DA168">
        <v>2.7139199999999999</v>
      </c>
      <c r="DB168">
        <v>8.9804099999999998E-2</v>
      </c>
      <c r="DC168">
        <v>0.14524799999999999</v>
      </c>
      <c r="DD168">
        <v>0.11639099999999999</v>
      </c>
      <c r="DE168">
        <v>1.7826299999999999E-3</v>
      </c>
      <c r="DF168">
        <v>33261.699999999997</v>
      </c>
      <c r="DG168">
        <v>27582</v>
      </c>
      <c r="DH168">
        <v>31196.1</v>
      </c>
      <c r="DI168">
        <v>28117.5</v>
      </c>
      <c r="DJ168">
        <v>37419.699999999997</v>
      </c>
      <c r="DK168">
        <v>39921.599999999999</v>
      </c>
      <c r="DL168">
        <v>44399.7</v>
      </c>
      <c r="DM168">
        <v>42619.1</v>
      </c>
      <c r="DN168">
        <v>1.47655</v>
      </c>
      <c r="DO168">
        <v>2.0309699999999999</v>
      </c>
      <c r="DP168">
        <v>0.14655299999999999</v>
      </c>
      <c r="DQ168">
        <v>0.14948800000000001</v>
      </c>
      <c r="DR168">
        <v>24.582899999999999</v>
      </c>
      <c r="DS168">
        <v>24.561499999999999</v>
      </c>
      <c r="DT168">
        <v>29.1</v>
      </c>
      <c r="DU168">
        <v>29</v>
      </c>
      <c r="DV168">
        <v>11.8819</v>
      </c>
      <c r="DW168">
        <v>60.982199999999999</v>
      </c>
      <c r="DX168">
        <v>37.904600000000002</v>
      </c>
      <c r="DY168">
        <v>1</v>
      </c>
      <c r="DZ168">
        <v>-0.119408</v>
      </c>
      <c r="EA168">
        <v>8.5724400000000006E-2</v>
      </c>
      <c r="EB168">
        <v>20.190000000000001</v>
      </c>
      <c r="EC168">
        <v>5.2415500000000002</v>
      </c>
      <c r="ED168">
        <v>12.039899999999999</v>
      </c>
      <c r="EE168">
        <v>5.0161499999999997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1.8692</v>
      </c>
      <c r="EN168">
        <v>1.8672200000000001</v>
      </c>
      <c r="EO168">
        <v>1.8633599999999999</v>
      </c>
      <c r="EP168">
        <v>1.86446</v>
      </c>
      <c r="EQ168">
        <v>1.8701300000000001</v>
      </c>
      <c r="ER168">
        <v>1.8693599999999999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0.42099999999999999</v>
      </c>
      <c r="FG168">
        <v>0.19839999999999999</v>
      </c>
      <c r="FH168">
        <v>0.69281559908863044</v>
      </c>
      <c r="FI168">
        <v>-6.1462078757559423E-4</v>
      </c>
      <c r="FJ168">
        <v>-1.8861989874597051E-7</v>
      </c>
      <c r="FK168">
        <v>1.1980462299894961E-10</v>
      </c>
      <c r="FL168">
        <v>0.19840465858211129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36</v>
      </c>
      <c r="FU168">
        <v>36</v>
      </c>
      <c r="FV168">
        <v>1.7639199999999999</v>
      </c>
      <c r="FW168">
        <v>2.5854499999999998</v>
      </c>
      <c r="FX168">
        <v>1.5490699999999999</v>
      </c>
      <c r="FY168">
        <v>2.3339799999999999</v>
      </c>
      <c r="FZ168">
        <v>1.50146</v>
      </c>
      <c r="GA168">
        <v>2.3132299999999999</v>
      </c>
      <c r="GB168">
        <v>33.602899999999998</v>
      </c>
      <c r="GC168">
        <v>23.991199999999999</v>
      </c>
      <c r="GD168">
        <v>19</v>
      </c>
      <c r="GE168">
        <v>281.666</v>
      </c>
      <c r="GF168">
        <v>575.16899999999998</v>
      </c>
      <c r="GG168">
        <v>24.096699999999998</v>
      </c>
      <c r="GH168">
        <v>25.901399999999999</v>
      </c>
      <c r="GI168">
        <v>30</v>
      </c>
      <c r="GJ168">
        <v>26.0426</v>
      </c>
      <c r="GK168">
        <v>26.021999999999998</v>
      </c>
      <c r="GL168">
        <v>35.283499999999997</v>
      </c>
      <c r="GM168">
        <v>100</v>
      </c>
      <c r="GN168">
        <v>22.921299999999999</v>
      </c>
      <c r="GO168">
        <v>24.1328</v>
      </c>
      <c r="GP168">
        <v>800</v>
      </c>
      <c r="GQ168">
        <v>0</v>
      </c>
      <c r="GR168">
        <v>99.820400000000006</v>
      </c>
      <c r="GS168">
        <v>99.698400000000007</v>
      </c>
    </row>
    <row r="169" spans="1:201" x14ac:dyDescent="0.25">
      <c r="A169">
        <v>153</v>
      </c>
      <c r="B169">
        <v>1690389805.5999999</v>
      </c>
      <c r="C169">
        <v>1547.099999904633</v>
      </c>
      <c r="D169" t="s">
        <v>639</v>
      </c>
      <c r="E169" t="s">
        <v>640</v>
      </c>
      <c r="F169" t="s">
        <v>330</v>
      </c>
      <c r="H169">
        <v>1690389805.5999999</v>
      </c>
      <c r="I169">
        <f t="shared" si="60"/>
        <v>2.3974187048872641E-3</v>
      </c>
      <c r="J169">
        <f t="shared" si="61"/>
        <v>2.3974187048872642</v>
      </c>
      <c r="K169">
        <f t="shared" si="62"/>
        <v>36.41835902509591</v>
      </c>
      <c r="L169">
        <f t="shared" si="63"/>
        <v>403.85300000000001</v>
      </c>
      <c r="M169">
        <f t="shared" si="64"/>
        <v>106.85073868330646</v>
      </c>
      <c r="N169">
        <f t="shared" si="65"/>
        <v>10.53585830766975</v>
      </c>
      <c r="O169">
        <f t="shared" si="66"/>
        <v>39.821324939442007</v>
      </c>
      <c r="P169">
        <f t="shared" si="67"/>
        <v>0.20863465017726604</v>
      </c>
      <c r="Q169">
        <f t="shared" si="68"/>
        <v>2.1572761519107586</v>
      </c>
      <c r="R169">
        <f t="shared" si="69"/>
        <v>0.19803812451815286</v>
      </c>
      <c r="S169">
        <f t="shared" si="70"/>
        <v>0.12468101828187039</v>
      </c>
      <c r="T169">
        <f t="shared" si="71"/>
        <v>276.11449811999995</v>
      </c>
      <c r="U169">
        <f t="shared" si="72"/>
        <v>27.19338152722494</v>
      </c>
      <c r="V169">
        <f t="shared" si="73"/>
        <v>27.19338152722494</v>
      </c>
      <c r="W169">
        <f t="shared" si="74"/>
        <v>3.6200130669029904</v>
      </c>
      <c r="X169">
        <f t="shared" si="75"/>
        <v>73.605113954629445</v>
      </c>
      <c r="Y169">
        <f t="shared" si="76"/>
        <v>2.4631552211256</v>
      </c>
      <c r="Z169">
        <f t="shared" si="77"/>
        <v>3.3464457682164599</v>
      </c>
      <c r="AA169">
        <f t="shared" si="78"/>
        <v>1.1568578457773904</v>
      </c>
      <c r="AB169">
        <f t="shared" si="79"/>
        <v>-105.72616488552835</v>
      </c>
      <c r="AC169">
        <f t="shared" si="80"/>
        <v>-155.05310701901092</v>
      </c>
      <c r="AD169">
        <f t="shared" si="81"/>
        <v>-15.438144782052273</v>
      </c>
      <c r="AE169">
        <f t="shared" si="82"/>
        <v>-0.1029185665916259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52337.6589493274</v>
      </c>
      <c r="AK169">
        <f t="shared" si="86"/>
        <v>1800</v>
      </c>
      <c r="AL169">
        <f t="shared" si="87"/>
        <v>1499.1149969999999</v>
      </c>
      <c r="AM169">
        <f t="shared" si="88"/>
        <v>0.83284166500000001</v>
      </c>
      <c r="AN169">
        <f t="shared" si="89"/>
        <v>0.15339694339999999</v>
      </c>
      <c r="AO169">
        <v>31.8</v>
      </c>
      <c r="AP169">
        <v>0.5</v>
      </c>
      <c r="AQ169" t="s">
        <v>331</v>
      </c>
      <c r="AR169">
        <v>2</v>
      </c>
      <c r="AS169">
        <v>1690389805.5999999</v>
      </c>
      <c r="AT169">
        <v>403.85300000000001</v>
      </c>
      <c r="AU169">
        <v>800.00400000000002</v>
      </c>
      <c r="AV169">
        <v>24.980399999999999</v>
      </c>
      <c r="AW169">
        <v>0.21174399999999999</v>
      </c>
      <c r="AX169">
        <v>403.43099999999998</v>
      </c>
      <c r="AY169">
        <v>24.782</v>
      </c>
      <c r="AZ169">
        <v>300.11099999999999</v>
      </c>
      <c r="BA169">
        <v>98.503500000000003</v>
      </c>
      <c r="BB169">
        <v>0.10001400000000001</v>
      </c>
      <c r="BC169">
        <v>25.860199999999999</v>
      </c>
      <c r="BD169">
        <v>26.9924</v>
      </c>
      <c r="BE169">
        <v>26.994199999999999</v>
      </c>
      <c r="BF169">
        <v>0</v>
      </c>
      <c r="BG169">
        <v>0</v>
      </c>
      <c r="BH169">
        <v>10010.6</v>
      </c>
      <c r="BI169">
        <v>1067.55</v>
      </c>
      <c r="BJ169">
        <v>1.4016500000000001</v>
      </c>
      <c r="BK169">
        <v>-396.15199999999999</v>
      </c>
      <c r="BL169">
        <v>414.2</v>
      </c>
      <c r="BM169">
        <v>800.17399999999998</v>
      </c>
      <c r="BN169">
        <v>24.768699999999999</v>
      </c>
      <c r="BO169">
        <v>800.00400000000002</v>
      </c>
      <c r="BP169">
        <v>0.21174399999999999</v>
      </c>
      <c r="BQ169">
        <v>2.4606599999999998</v>
      </c>
      <c r="BR169">
        <v>2.0857500000000001E-2</v>
      </c>
      <c r="BS169">
        <v>20.768599999999999</v>
      </c>
      <c r="BT169">
        <v>-39.020400000000002</v>
      </c>
      <c r="BU169">
        <v>1800</v>
      </c>
      <c r="BV169">
        <v>0.91002000000000005</v>
      </c>
      <c r="BW169">
        <v>3.3995499999999998E-2</v>
      </c>
      <c r="BX169">
        <v>2.19945E-2</v>
      </c>
      <c r="BY169">
        <v>3.3990399999999997E-2</v>
      </c>
      <c r="BZ169">
        <v>25</v>
      </c>
      <c r="CA169">
        <v>33528.5</v>
      </c>
      <c r="CB169">
        <v>1690387638</v>
      </c>
      <c r="CC169" t="s">
        <v>332</v>
      </c>
      <c r="CD169">
        <v>1690387638</v>
      </c>
      <c r="CE169">
        <v>1690387638</v>
      </c>
      <c r="CF169">
        <v>6</v>
      </c>
      <c r="CG169">
        <v>0.43</v>
      </c>
      <c r="CH169">
        <v>-8.1000000000000003E-2</v>
      </c>
      <c r="CI169">
        <v>0.14199999999999999</v>
      </c>
      <c r="CJ169">
        <v>-2.7E-2</v>
      </c>
      <c r="CK169">
        <v>800</v>
      </c>
      <c r="CL169">
        <v>0</v>
      </c>
      <c r="CM169">
        <v>0.01</v>
      </c>
      <c r="CN169">
        <v>0.01</v>
      </c>
      <c r="CO169">
        <v>-394.89397500000001</v>
      </c>
      <c r="CP169">
        <v>-6.9226153846147103</v>
      </c>
      <c r="CQ169">
        <v>0.66977882496761598</v>
      </c>
      <c r="CR169">
        <v>-1</v>
      </c>
      <c r="CS169">
        <v>24.711500000000001</v>
      </c>
      <c r="CT169">
        <v>0.28888930581608879</v>
      </c>
      <c r="CU169">
        <v>2.783916306213231E-2</v>
      </c>
      <c r="CV169">
        <v>-1</v>
      </c>
      <c r="CW169">
        <v>0</v>
      </c>
      <c r="CX169">
        <v>0</v>
      </c>
      <c r="CY169" t="s">
        <v>333</v>
      </c>
      <c r="CZ169">
        <v>2.36483</v>
      </c>
      <c r="DA169">
        <v>2.7138100000000001</v>
      </c>
      <c r="DB169">
        <v>8.9617799999999997E-2</v>
      </c>
      <c r="DC169">
        <v>0.14524799999999999</v>
      </c>
      <c r="DD169">
        <v>0.116548</v>
      </c>
      <c r="DE169">
        <v>1.7684300000000001E-3</v>
      </c>
      <c r="DF169">
        <v>33269</v>
      </c>
      <c r="DG169">
        <v>27581.8</v>
      </c>
      <c r="DH169">
        <v>31196.5</v>
      </c>
      <c r="DI169">
        <v>28117.200000000001</v>
      </c>
      <c r="DJ169">
        <v>37413.599999999999</v>
      </c>
      <c r="DK169">
        <v>39921.699999999997</v>
      </c>
      <c r="DL169">
        <v>44400.5</v>
      </c>
      <c r="DM169">
        <v>42618.6</v>
      </c>
      <c r="DN169">
        <v>1.4757199999999999</v>
      </c>
      <c r="DO169">
        <v>2.0308299999999999</v>
      </c>
      <c r="DP169">
        <v>0.147037</v>
      </c>
      <c r="DQ169">
        <v>0.14829600000000001</v>
      </c>
      <c r="DR169">
        <v>24.582899999999999</v>
      </c>
      <c r="DS169">
        <v>24.5641</v>
      </c>
      <c r="DT169">
        <v>28.9</v>
      </c>
      <c r="DU169">
        <v>29</v>
      </c>
      <c r="DV169">
        <v>11.7987</v>
      </c>
      <c r="DW169">
        <v>60.792200000000001</v>
      </c>
      <c r="DX169">
        <v>37.0473</v>
      </c>
      <c r="DY169">
        <v>1</v>
      </c>
      <c r="DZ169">
        <v>-0.119881</v>
      </c>
      <c r="EA169">
        <v>4.2293000000000001E-3</v>
      </c>
      <c r="EB169">
        <v>20.189800000000002</v>
      </c>
      <c r="EC169">
        <v>5.2409499999999998</v>
      </c>
      <c r="ED169">
        <v>12.039899999999999</v>
      </c>
      <c r="EE169">
        <v>5.0171000000000001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1.8692</v>
      </c>
      <c r="EN169">
        <v>1.8672200000000001</v>
      </c>
      <c r="EO169">
        <v>1.8633599999999999</v>
      </c>
      <c r="EP169">
        <v>1.86446</v>
      </c>
      <c r="EQ169">
        <v>1.8701399999999999</v>
      </c>
      <c r="ER169">
        <v>1.8693500000000001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0.42199999999999999</v>
      </c>
      <c r="FG169">
        <v>0.19839999999999999</v>
      </c>
      <c r="FH169">
        <v>0.69281559908863044</v>
      </c>
      <c r="FI169">
        <v>-6.1462078757559423E-4</v>
      </c>
      <c r="FJ169">
        <v>-1.8861989874597051E-7</v>
      </c>
      <c r="FK169">
        <v>1.1980462299894961E-10</v>
      </c>
      <c r="FL169">
        <v>0.19840465858211129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36.1</v>
      </c>
      <c r="FU169">
        <v>36.1</v>
      </c>
      <c r="FV169">
        <v>1.7651399999999999</v>
      </c>
      <c r="FW169">
        <v>2.5817899999999998</v>
      </c>
      <c r="FX169">
        <v>1.5490699999999999</v>
      </c>
      <c r="FY169">
        <v>2.3339799999999999</v>
      </c>
      <c r="FZ169">
        <v>1.50146</v>
      </c>
      <c r="GA169">
        <v>2.32056</v>
      </c>
      <c r="GB169">
        <v>33.602899999999998</v>
      </c>
      <c r="GC169">
        <v>23.982399999999998</v>
      </c>
      <c r="GD169">
        <v>19</v>
      </c>
      <c r="GE169">
        <v>281.30599999999998</v>
      </c>
      <c r="GF169">
        <v>575.04600000000005</v>
      </c>
      <c r="GG169">
        <v>24.146000000000001</v>
      </c>
      <c r="GH169">
        <v>25.901399999999999</v>
      </c>
      <c r="GI169">
        <v>29.999700000000001</v>
      </c>
      <c r="GJ169">
        <v>26.040500000000002</v>
      </c>
      <c r="GK169">
        <v>26.021999999999998</v>
      </c>
      <c r="GL169">
        <v>35.2866</v>
      </c>
      <c r="GM169">
        <v>100</v>
      </c>
      <c r="GN169">
        <v>22.152100000000001</v>
      </c>
      <c r="GO169">
        <v>24.161200000000001</v>
      </c>
      <c r="GP169">
        <v>800</v>
      </c>
      <c r="GQ169">
        <v>0</v>
      </c>
      <c r="GR169">
        <v>99.822000000000003</v>
      </c>
      <c r="GS169">
        <v>99.697400000000002</v>
      </c>
    </row>
    <row r="170" spans="1:201" x14ac:dyDescent="0.25">
      <c r="A170">
        <v>154</v>
      </c>
      <c r="B170">
        <v>1690389815.5999999</v>
      </c>
      <c r="C170">
        <v>1557.099999904633</v>
      </c>
      <c r="D170" t="s">
        <v>641</v>
      </c>
      <c r="E170" t="s">
        <v>642</v>
      </c>
      <c r="F170" t="s">
        <v>330</v>
      </c>
      <c r="H170">
        <v>1690389815.5999999</v>
      </c>
      <c r="I170">
        <f t="shared" si="60"/>
        <v>2.4041160618559656E-3</v>
      </c>
      <c r="J170">
        <f t="shared" si="61"/>
        <v>2.4041160618559658</v>
      </c>
      <c r="K170">
        <f t="shared" si="62"/>
        <v>36.536922829282908</v>
      </c>
      <c r="L170">
        <f t="shared" si="63"/>
        <v>402.71899999999999</v>
      </c>
      <c r="M170">
        <f t="shared" si="64"/>
        <v>106.88547287633521</v>
      </c>
      <c r="N170">
        <f t="shared" si="65"/>
        <v>10.539588806725293</v>
      </c>
      <c r="O170">
        <f t="shared" si="66"/>
        <v>39.710659928186992</v>
      </c>
      <c r="P170">
        <f t="shared" si="67"/>
        <v>0.21021390301276444</v>
      </c>
      <c r="Q170">
        <f t="shared" si="68"/>
        <v>2.1543197625016384</v>
      </c>
      <c r="R170">
        <f t="shared" si="69"/>
        <v>0.19944684590813069</v>
      </c>
      <c r="S170">
        <f t="shared" si="70"/>
        <v>0.12557568217402026</v>
      </c>
      <c r="T170">
        <f t="shared" si="71"/>
        <v>276.1129138228456</v>
      </c>
      <c r="U170">
        <f t="shared" si="72"/>
        <v>27.198313193440448</v>
      </c>
      <c r="V170">
        <f t="shared" si="73"/>
        <v>27.198313193440448</v>
      </c>
      <c r="W170">
        <f t="shared" si="74"/>
        <v>3.6210602203890634</v>
      </c>
      <c r="X170">
        <f t="shared" si="75"/>
        <v>73.760456913549717</v>
      </c>
      <c r="Y170">
        <f t="shared" si="76"/>
        <v>2.4691726043810998</v>
      </c>
      <c r="Z170">
        <f t="shared" si="77"/>
        <v>3.3475560045337995</v>
      </c>
      <c r="AA170">
        <f t="shared" si="78"/>
        <v>1.1518876160079636</v>
      </c>
      <c r="AB170">
        <f t="shared" si="79"/>
        <v>-106.02151832784809</v>
      </c>
      <c r="AC170">
        <f t="shared" si="80"/>
        <v>-154.7629953102728</v>
      </c>
      <c r="AD170">
        <f t="shared" si="81"/>
        <v>-15.431219283721772</v>
      </c>
      <c r="AE170">
        <f t="shared" si="82"/>
        <v>-0.10281909899703123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52212.889376274507</v>
      </c>
      <c r="AK170">
        <f t="shared" si="86"/>
        <v>1799.99</v>
      </c>
      <c r="AL170">
        <f t="shared" si="87"/>
        <v>1499.1067927826598</v>
      </c>
      <c r="AM170">
        <f t="shared" si="88"/>
        <v>0.83284173399999994</v>
      </c>
      <c r="AN170">
        <f t="shared" si="89"/>
        <v>0.15339691544</v>
      </c>
      <c r="AO170">
        <v>31.8</v>
      </c>
      <c r="AP170">
        <v>0.5</v>
      </c>
      <c r="AQ170" t="s">
        <v>331</v>
      </c>
      <c r="AR170">
        <v>2</v>
      </c>
      <c r="AS170">
        <v>1690389815.5999999</v>
      </c>
      <c r="AT170">
        <v>402.71899999999999</v>
      </c>
      <c r="AU170">
        <v>800.04399999999998</v>
      </c>
      <c r="AV170">
        <v>25.040700000000001</v>
      </c>
      <c r="AW170">
        <v>0.20951700000000001</v>
      </c>
      <c r="AX170">
        <v>402.29599999999999</v>
      </c>
      <c r="AY170">
        <v>24.842300000000002</v>
      </c>
      <c r="AZ170">
        <v>300.173</v>
      </c>
      <c r="BA170">
        <v>98.506299999999996</v>
      </c>
      <c r="BB170">
        <v>0.100073</v>
      </c>
      <c r="BC170">
        <v>25.8658</v>
      </c>
      <c r="BD170">
        <v>27.028199999999998</v>
      </c>
      <c r="BE170">
        <v>26.996700000000001</v>
      </c>
      <c r="BF170">
        <v>0</v>
      </c>
      <c r="BG170">
        <v>0</v>
      </c>
      <c r="BH170">
        <v>9985.6200000000008</v>
      </c>
      <c r="BI170">
        <v>1067.6500000000001</v>
      </c>
      <c r="BJ170">
        <v>1.4016500000000001</v>
      </c>
      <c r="BK170">
        <v>-397.32499999999999</v>
      </c>
      <c r="BL170">
        <v>413.06200000000001</v>
      </c>
      <c r="BM170">
        <v>800.21199999999999</v>
      </c>
      <c r="BN170">
        <v>24.831199999999999</v>
      </c>
      <c r="BO170">
        <v>800.04399999999998</v>
      </c>
      <c r="BP170">
        <v>0.20951700000000001</v>
      </c>
      <c r="BQ170">
        <v>2.4666700000000001</v>
      </c>
      <c r="BR170">
        <v>2.0638799999999999E-2</v>
      </c>
      <c r="BS170">
        <v>20.808199999999999</v>
      </c>
      <c r="BT170">
        <v>-39.122300000000003</v>
      </c>
      <c r="BU170">
        <v>1799.99</v>
      </c>
      <c r="BV170">
        <v>0.91002099999999997</v>
      </c>
      <c r="BW170">
        <v>3.3995200000000003E-2</v>
      </c>
      <c r="BX170">
        <v>2.1994199999999998E-2</v>
      </c>
      <c r="BY170">
        <v>3.3989999999999999E-2</v>
      </c>
      <c r="BZ170">
        <v>25</v>
      </c>
      <c r="CA170">
        <v>33528.400000000001</v>
      </c>
      <c r="CB170">
        <v>1690387638</v>
      </c>
      <c r="CC170" t="s">
        <v>332</v>
      </c>
      <c r="CD170">
        <v>1690387638</v>
      </c>
      <c r="CE170">
        <v>1690387638</v>
      </c>
      <c r="CF170">
        <v>6</v>
      </c>
      <c r="CG170">
        <v>0.43</v>
      </c>
      <c r="CH170">
        <v>-8.1000000000000003E-2</v>
      </c>
      <c r="CI170">
        <v>0.14199999999999999</v>
      </c>
      <c r="CJ170">
        <v>-2.7E-2</v>
      </c>
      <c r="CK170">
        <v>800</v>
      </c>
      <c r="CL170">
        <v>0</v>
      </c>
      <c r="CM170">
        <v>0.01</v>
      </c>
      <c r="CN170">
        <v>0.01</v>
      </c>
      <c r="CO170">
        <v>-396.05463414634153</v>
      </c>
      <c r="CP170">
        <v>-6.8417142857135804</v>
      </c>
      <c r="CQ170">
        <v>0.67640180568687525</v>
      </c>
      <c r="CR170">
        <v>-1</v>
      </c>
      <c r="CS170">
        <v>24.765241463414629</v>
      </c>
      <c r="CT170">
        <v>0.33737979094075993</v>
      </c>
      <c r="CU170">
        <v>3.3405162267995482E-2</v>
      </c>
      <c r="CV170">
        <v>-1</v>
      </c>
      <c r="CW170">
        <v>0</v>
      </c>
      <c r="CX170">
        <v>0</v>
      </c>
      <c r="CY170" t="s">
        <v>333</v>
      </c>
      <c r="CZ170">
        <v>2.3650199999999999</v>
      </c>
      <c r="DA170">
        <v>2.7138499999999999</v>
      </c>
      <c r="DB170">
        <v>8.94292E-2</v>
      </c>
      <c r="DC170">
        <v>0.145259</v>
      </c>
      <c r="DD170">
        <v>0.11675000000000001</v>
      </c>
      <c r="DE170">
        <v>1.75015E-3</v>
      </c>
      <c r="DF170">
        <v>33276.5</v>
      </c>
      <c r="DG170">
        <v>27581.8</v>
      </c>
      <c r="DH170">
        <v>31197.1</v>
      </c>
      <c r="DI170">
        <v>28117.599999999999</v>
      </c>
      <c r="DJ170">
        <v>37405.599999999999</v>
      </c>
      <c r="DK170">
        <v>39923</v>
      </c>
      <c r="DL170">
        <v>44401.3</v>
      </c>
      <c r="DM170">
        <v>42619.199999999997</v>
      </c>
      <c r="DN170">
        <v>1.4759199999999999</v>
      </c>
      <c r="DO170">
        <v>2.0306999999999999</v>
      </c>
      <c r="DP170">
        <v>0.14898900000000001</v>
      </c>
      <c r="DQ170">
        <v>0.14843799999999999</v>
      </c>
      <c r="DR170">
        <v>24.5869</v>
      </c>
      <c r="DS170">
        <v>24.564299999999999</v>
      </c>
      <c r="DT170">
        <v>28.5</v>
      </c>
      <c r="DU170">
        <v>29.1</v>
      </c>
      <c r="DV170">
        <v>11.703200000000001</v>
      </c>
      <c r="DW170">
        <v>61.0822</v>
      </c>
      <c r="DX170">
        <v>37.119399999999999</v>
      </c>
      <c r="DY170">
        <v>1</v>
      </c>
      <c r="DZ170">
        <v>-0.120112</v>
      </c>
      <c r="EA170">
        <v>7.7630699999999997E-2</v>
      </c>
      <c r="EB170">
        <v>20.190000000000001</v>
      </c>
      <c r="EC170">
        <v>5.2413999999999996</v>
      </c>
      <c r="ED170">
        <v>12.039899999999999</v>
      </c>
      <c r="EE170">
        <v>5.0172999999999996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1.8691899999999999</v>
      </c>
      <c r="EN170">
        <v>1.8672200000000001</v>
      </c>
      <c r="EO170">
        <v>1.86337</v>
      </c>
      <c r="EP170">
        <v>1.8644700000000001</v>
      </c>
      <c r="EQ170">
        <v>1.8701399999999999</v>
      </c>
      <c r="ER170">
        <v>1.8693500000000001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0.42299999999999999</v>
      </c>
      <c r="FG170">
        <v>0.19839999999999999</v>
      </c>
      <c r="FH170">
        <v>0.69281559908863044</v>
      </c>
      <c r="FI170">
        <v>-6.1462078757559423E-4</v>
      </c>
      <c r="FJ170">
        <v>-1.8861989874597051E-7</v>
      </c>
      <c r="FK170">
        <v>1.1980462299894961E-10</v>
      </c>
      <c r="FL170">
        <v>0.19840465858211129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36.299999999999997</v>
      </c>
      <c r="FU170">
        <v>36.299999999999997</v>
      </c>
      <c r="FV170">
        <v>1.7651399999999999</v>
      </c>
      <c r="FW170">
        <v>2.5854499999999998</v>
      </c>
      <c r="FX170">
        <v>1.5490699999999999</v>
      </c>
      <c r="FY170">
        <v>2.3339799999999999</v>
      </c>
      <c r="FZ170">
        <v>1.50146</v>
      </c>
      <c r="GA170">
        <v>2.36084</v>
      </c>
      <c r="GB170">
        <v>33.602899999999998</v>
      </c>
      <c r="GC170">
        <v>23.982399999999998</v>
      </c>
      <c r="GD170">
        <v>19</v>
      </c>
      <c r="GE170">
        <v>281.39100000000002</v>
      </c>
      <c r="GF170">
        <v>574.91899999999998</v>
      </c>
      <c r="GG170">
        <v>24.1721</v>
      </c>
      <c r="GH170">
        <v>25.901399999999999</v>
      </c>
      <c r="GI170">
        <v>30</v>
      </c>
      <c r="GJ170">
        <v>26.040500000000002</v>
      </c>
      <c r="GK170">
        <v>26.0198</v>
      </c>
      <c r="GL170">
        <v>35.282699999999998</v>
      </c>
      <c r="GM170">
        <v>100</v>
      </c>
      <c r="GN170">
        <v>21.3855</v>
      </c>
      <c r="GO170">
        <v>24.151800000000001</v>
      </c>
      <c r="GP170">
        <v>800</v>
      </c>
      <c r="GQ170">
        <v>0</v>
      </c>
      <c r="GR170">
        <v>99.823800000000006</v>
      </c>
      <c r="GS170">
        <v>99.698800000000006</v>
      </c>
    </row>
    <row r="171" spans="1:201" x14ac:dyDescent="0.25">
      <c r="A171">
        <v>155</v>
      </c>
      <c r="B171">
        <v>1690389825.5999999</v>
      </c>
      <c r="C171">
        <v>1567.099999904633</v>
      </c>
      <c r="D171" t="s">
        <v>643</v>
      </c>
      <c r="E171" t="s">
        <v>644</v>
      </c>
      <c r="F171" t="s">
        <v>330</v>
      </c>
      <c r="H171">
        <v>1690389825.5999999</v>
      </c>
      <c r="I171">
        <f t="shared" si="60"/>
        <v>2.4090066389254611E-3</v>
      </c>
      <c r="J171">
        <f t="shared" si="61"/>
        <v>2.4090066389254612</v>
      </c>
      <c r="K171">
        <f t="shared" si="62"/>
        <v>36.630977037416883</v>
      </c>
      <c r="L171">
        <f t="shared" si="63"/>
        <v>401.71</v>
      </c>
      <c r="M171">
        <f t="shared" si="64"/>
        <v>107.08343620358939</v>
      </c>
      <c r="N171">
        <f t="shared" si="65"/>
        <v>10.559435214392643</v>
      </c>
      <c r="O171">
        <f t="shared" si="66"/>
        <v>39.612388903069991</v>
      </c>
      <c r="P171">
        <f t="shared" si="67"/>
        <v>0.21165757616652545</v>
      </c>
      <c r="Q171">
        <f t="shared" si="68"/>
        <v>2.1583280555652977</v>
      </c>
      <c r="R171">
        <f t="shared" si="69"/>
        <v>0.20076538891000195</v>
      </c>
      <c r="S171">
        <f t="shared" si="70"/>
        <v>0.1264102596192947</v>
      </c>
      <c r="T171">
        <f t="shared" si="71"/>
        <v>276.11412679799997</v>
      </c>
      <c r="U171">
        <f t="shared" si="72"/>
        <v>27.197080666961444</v>
      </c>
      <c r="V171">
        <f t="shared" si="73"/>
        <v>27.197080666961444</v>
      </c>
      <c r="W171">
        <f t="shared" si="74"/>
        <v>3.6207984900652233</v>
      </c>
      <c r="X171">
        <f t="shared" si="75"/>
        <v>73.897022240660817</v>
      </c>
      <c r="Y171">
        <f t="shared" si="76"/>
        <v>2.4741398553550997</v>
      </c>
      <c r="Z171">
        <f t="shared" si="77"/>
        <v>3.3480914119889102</v>
      </c>
      <c r="AA171">
        <f t="shared" si="78"/>
        <v>1.1466586347101235</v>
      </c>
      <c r="AB171">
        <f t="shared" si="79"/>
        <v>-106.23719277661283</v>
      </c>
      <c r="AC171">
        <f t="shared" si="80"/>
        <v>-154.59335695193761</v>
      </c>
      <c r="AD171">
        <f t="shared" si="81"/>
        <v>-15.385791130544517</v>
      </c>
      <c r="AE171">
        <f t="shared" si="82"/>
        <v>-0.10221406109499753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52380.44483764271</v>
      </c>
      <c r="AK171">
        <f t="shared" si="86"/>
        <v>1800</v>
      </c>
      <c r="AL171">
        <f t="shared" si="87"/>
        <v>1499.1140538000002</v>
      </c>
      <c r="AM171">
        <f t="shared" si="88"/>
        <v>0.83284114100000006</v>
      </c>
      <c r="AN171">
        <f t="shared" si="89"/>
        <v>0.15339673710999999</v>
      </c>
      <c r="AO171">
        <v>31.8</v>
      </c>
      <c r="AP171">
        <v>0.5</v>
      </c>
      <c r="AQ171" t="s">
        <v>331</v>
      </c>
      <c r="AR171">
        <v>2</v>
      </c>
      <c r="AS171">
        <v>1690389825.5999999</v>
      </c>
      <c r="AT171">
        <v>401.71</v>
      </c>
      <c r="AU171">
        <v>800.06500000000005</v>
      </c>
      <c r="AV171">
        <v>25.090299999999999</v>
      </c>
      <c r="AW171">
        <v>0.20746600000000001</v>
      </c>
      <c r="AX171">
        <v>401.286</v>
      </c>
      <c r="AY171">
        <v>24.8919</v>
      </c>
      <c r="AZ171">
        <v>300.14400000000001</v>
      </c>
      <c r="BA171">
        <v>98.509399999999999</v>
      </c>
      <c r="BB171">
        <v>0.10001699999999999</v>
      </c>
      <c r="BC171">
        <v>25.868500000000001</v>
      </c>
      <c r="BD171">
        <v>27.017800000000001</v>
      </c>
      <c r="BE171">
        <v>27.011399999999998</v>
      </c>
      <c r="BF171">
        <v>0</v>
      </c>
      <c r="BG171">
        <v>0</v>
      </c>
      <c r="BH171">
        <v>10018.799999999999</v>
      </c>
      <c r="BI171">
        <v>1067.6600000000001</v>
      </c>
      <c r="BJ171">
        <v>1.4016500000000001</v>
      </c>
      <c r="BK171">
        <v>-398.35500000000002</v>
      </c>
      <c r="BL171">
        <v>412.048</v>
      </c>
      <c r="BM171">
        <v>800.23099999999999</v>
      </c>
      <c r="BN171">
        <v>24.8828</v>
      </c>
      <c r="BO171">
        <v>800.06500000000005</v>
      </c>
      <c r="BP171">
        <v>0.20746600000000001</v>
      </c>
      <c r="BQ171">
        <v>2.4716300000000002</v>
      </c>
      <c r="BR171">
        <v>2.0437400000000001E-2</v>
      </c>
      <c r="BS171">
        <v>20.840900000000001</v>
      </c>
      <c r="BT171">
        <v>-39.216999999999999</v>
      </c>
      <c r="BU171">
        <v>1800</v>
      </c>
      <c r="BV171">
        <v>0.910022</v>
      </c>
      <c r="BW171">
        <v>3.3994400000000001E-2</v>
      </c>
      <c r="BX171">
        <v>2.1993800000000001E-2</v>
      </c>
      <c r="BY171">
        <v>3.39893E-2</v>
      </c>
      <c r="BZ171">
        <v>25</v>
      </c>
      <c r="CA171">
        <v>33528.5</v>
      </c>
      <c r="CB171">
        <v>1690387638</v>
      </c>
      <c r="CC171" t="s">
        <v>332</v>
      </c>
      <c r="CD171">
        <v>1690387638</v>
      </c>
      <c r="CE171">
        <v>1690387638</v>
      </c>
      <c r="CF171">
        <v>6</v>
      </c>
      <c r="CG171">
        <v>0.43</v>
      </c>
      <c r="CH171">
        <v>-8.1000000000000003E-2</v>
      </c>
      <c r="CI171">
        <v>0.14199999999999999</v>
      </c>
      <c r="CJ171">
        <v>-2.7E-2</v>
      </c>
      <c r="CK171">
        <v>800</v>
      </c>
      <c r="CL171">
        <v>0</v>
      </c>
      <c r="CM171">
        <v>0.01</v>
      </c>
      <c r="CN171">
        <v>0.01</v>
      </c>
      <c r="CO171">
        <v>-397.18002439024389</v>
      </c>
      <c r="CP171">
        <v>-6.6730871080146406</v>
      </c>
      <c r="CQ171">
        <v>0.65996805125203606</v>
      </c>
      <c r="CR171">
        <v>-1</v>
      </c>
      <c r="CS171">
        <v>24.823646341463419</v>
      </c>
      <c r="CT171">
        <v>0.35891916376308858</v>
      </c>
      <c r="CU171">
        <v>3.5437055826345203E-2</v>
      </c>
      <c r="CV171">
        <v>-1</v>
      </c>
      <c r="CW171">
        <v>0</v>
      </c>
      <c r="CX171">
        <v>0</v>
      </c>
      <c r="CY171" t="s">
        <v>333</v>
      </c>
      <c r="CZ171">
        <v>2.3649200000000001</v>
      </c>
      <c r="DA171">
        <v>2.7138200000000001</v>
      </c>
      <c r="DB171">
        <v>8.9259500000000006E-2</v>
      </c>
      <c r="DC171">
        <v>0.145264</v>
      </c>
      <c r="DD171">
        <v>0.11691500000000001</v>
      </c>
      <c r="DE171">
        <v>1.7332700000000001E-3</v>
      </c>
      <c r="DF171">
        <v>33282.300000000003</v>
      </c>
      <c r="DG171">
        <v>27581.4</v>
      </c>
      <c r="DH171">
        <v>31196.7</v>
      </c>
      <c r="DI171">
        <v>28117.4</v>
      </c>
      <c r="DJ171">
        <v>37398</v>
      </c>
      <c r="DK171">
        <v>39923.199999999997</v>
      </c>
      <c r="DL171">
        <v>44400.6</v>
      </c>
      <c r="DM171">
        <v>42618.7</v>
      </c>
      <c r="DN171">
        <v>1.47618</v>
      </c>
      <c r="DO171">
        <v>2.0310199999999998</v>
      </c>
      <c r="DP171">
        <v>0.148088</v>
      </c>
      <c r="DQ171">
        <v>0.14912300000000001</v>
      </c>
      <c r="DR171">
        <v>24.591200000000001</v>
      </c>
      <c r="DS171">
        <v>24.567799999999998</v>
      </c>
      <c r="DT171">
        <v>28.2</v>
      </c>
      <c r="DU171">
        <v>29.1</v>
      </c>
      <c r="DV171">
        <v>11.5802</v>
      </c>
      <c r="DW171">
        <v>61.072200000000002</v>
      </c>
      <c r="DX171">
        <v>37.796500000000002</v>
      </c>
      <c r="DY171">
        <v>1</v>
      </c>
      <c r="DZ171">
        <v>-0.119131</v>
      </c>
      <c r="EA171">
        <v>0.188973</v>
      </c>
      <c r="EB171">
        <v>20.189900000000002</v>
      </c>
      <c r="EC171">
        <v>5.2411000000000003</v>
      </c>
      <c r="ED171">
        <v>12.039899999999999</v>
      </c>
      <c r="EE171">
        <v>5.0172999999999996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1.8692</v>
      </c>
      <c r="EN171">
        <v>1.8672200000000001</v>
      </c>
      <c r="EO171">
        <v>1.86334</v>
      </c>
      <c r="EP171">
        <v>1.86446</v>
      </c>
      <c r="EQ171">
        <v>1.87015</v>
      </c>
      <c r="ER171">
        <v>1.8693599999999999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0.42399999999999999</v>
      </c>
      <c r="FG171">
        <v>0.19839999999999999</v>
      </c>
      <c r="FH171">
        <v>0.69281559908863044</v>
      </c>
      <c r="FI171">
        <v>-6.1462078757559423E-4</v>
      </c>
      <c r="FJ171">
        <v>-1.8861989874597051E-7</v>
      </c>
      <c r="FK171">
        <v>1.1980462299894961E-10</v>
      </c>
      <c r="FL171">
        <v>0.19840465858211129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36.5</v>
      </c>
      <c r="FU171">
        <v>36.5</v>
      </c>
      <c r="FV171">
        <v>1.7639199999999999</v>
      </c>
      <c r="FW171">
        <v>2.5793499999999998</v>
      </c>
      <c r="FX171">
        <v>1.5490699999999999</v>
      </c>
      <c r="FY171">
        <v>2.3327599999999999</v>
      </c>
      <c r="FZ171">
        <v>1.50146</v>
      </c>
      <c r="GA171">
        <v>2.3059099999999999</v>
      </c>
      <c r="GB171">
        <v>33.602899999999998</v>
      </c>
      <c r="GC171">
        <v>23.991199999999999</v>
      </c>
      <c r="GD171">
        <v>19</v>
      </c>
      <c r="GE171">
        <v>281.49700000000001</v>
      </c>
      <c r="GF171">
        <v>575.18499999999995</v>
      </c>
      <c r="GG171">
        <v>24.135899999999999</v>
      </c>
      <c r="GH171">
        <v>25.901399999999999</v>
      </c>
      <c r="GI171">
        <v>30.000499999999999</v>
      </c>
      <c r="GJ171">
        <v>26.040500000000002</v>
      </c>
      <c r="GK171">
        <v>26.0198</v>
      </c>
      <c r="GL171">
        <v>35.280999999999999</v>
      </c>
      <c r="GM171">
        <v>100</v>
      </c>
      <c r="GN171">
        <v>20.606400000000001</v>
      </c>
      <c r="GO171">
        <v>24.120699999999999</v>
      </c>
      <c r="GP171">
        <v>800</v>
      </c>
      <c r="GQ171">
        <v>0</v>
      </c>
      <c r="GR171">
        <v>99.822299999999998</v>
      </c>
      <c r="GS171">
        <v>99.697699999999998</v>
      </c>
    </row>
    <row r="172" spans="1:201" x14ac:dyDescent="0.25">
      <c r="A172">
        <v>156</v>
      </c>
      <c r="B172">
        <v>1690389835.5999999</v>
      </c>
      <c r="C172">
        <v>1577.099999904633</v>
      </c>
      <c r="D172" t="s">
        <v>645</v>
      </c>
      <c r="E172" t="s">
        <v>646</v>
      </c>
      <c r="F172" t="s">
        <v>330</v>
      </c>
      <c r="H172">
        <v>1690389835.5999999</v>
      </c>
      <c r="I172">
        <f t="shared" si="60"/>
        <v>2.4126180217390997E-3</v>
      </c>
      <c r="J172">
        <f t="shared" si="61"/>
        <v>2.4126180217390996</v>
      </c>
      <c r="K172">
        <f t="shared" si="62"/>
        <v>36.714620258694588</v>
      </c>
      <c r="L172">
        <f t="shared" si="63"/>
        <v>400.64400000000001</v>
      </c>
      <c r="M172">
        <f t="shared" si="64"/>
        <v>106.9697367899506</v>
      </c>
      <c r="N172">
        <f t="shared" si="65"/>
        <v>10.548120337553032</v>
      </c>
      <c r="O172">
        <f t="shared" si="66"/>
        <v>39.506885324182797</v>
      </c>
      <c r="P172">
        <f t="shared" si="67"/>
        <v>0.2128576797925007</v>
      </c>
      <c r="Q172">
        <f t="shared" si="68"/>
        <v>2.1614454378414489</v>
      </c>
      <c r="R172">
        <f t="shared" si="69"/>
        <v>0.20186007746867154</v>
      </c>
      <c r="S172">
        <f t="shared" si="70"/>
        <v>0.12710327039018568</v>
      </c>
      <c r="T172">
        <f t="shared" si="71"/>
        <v>276.11398691999995</v>
      </c>
      <c r="U172">
        <f t="shared" si="72"/>
        <v>27.196089255509019</v>
      </c>
      <c r="V172">
        <f t="shared" si="73"/>
        <v>27.196089255509019</v>
      </c>
      <c r="W172">
        <f t="shared" si="74"/>
        <v>3.620587973150827</v>
      </c>
      <c r="X172">
        <f t="shared" si="75"/>
        <v>74.01770997392137</v>
      </c>
      <c r="Y172">
        <f t="shared" si="76"/>
        <v>2.4784741795226499</v>
      </c>
      <c r="Z172">
        <f t="shared" si="77"/>
        <v>3.3484880583253513</v>
      </c>
      <c r="AA172">
        <f t="shared" si="78"/>
        <v>1.1421137936281771</v>
      </c>
      <c r="AB172">
        <f t="shared" si="79"/>
        <v>-106.3964547586943</v>
      </c>
      <c r="AC172">
        <f t="shared" si="80"/>
        <v>-154.46806121497517</v>
      </c>
      <c r="AD172">
        <f t="shared" si="81"/>
        <v>-15.351225919818985</v>
      </c>
      <c r="AE172">
        <f t="shared" si="82"/>
        <v>-0.10175497348851081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52510.935400674905</v>
      </c>
      <c r="AK172">
        <f t="shared" si="86"/>
        <v>1800</v>
      </c>
      <c r="AL172">
        <f t="shared" si="87"/>
        <v>1499.1144659999998</v>
      </c>
      <c r="AM172">
        <f t="shared" si="88"/>
        <v>0.83284136999999991</v>
      </c>
      <c r="AN172">
        <f t="shared" si="89"/>
        <v>0.15339665939999997</v>
      </c>
      <c r="AO172">
        <v>31.8</v>
      </c>
      <c r="AP172">
        <v>0.5</v>
      </c>
      <c r="AQ172" t="s">
        <v>331</v>
      </c>
      <c r="AR172">
        <v>2</v>
      </c>
      <c r="AS172">
        <v>1690389835.5999999</v>
      </c>
      <c r="AT172">
        <v>400.64400000000001</v>
      </c>
      <c r="AU172">
        <v>800.029</v>
      </c>
      <c r="AV172">
        <v>25.134499999999999</v>
      </c>
      <c r="AW172">
        <v>0.20577599999999999</v>
      </c>
      <c r="AX172">
        <v>400.22</v>
      </c>
      <c r="AY172">
        <v>24.9361</v>
      </c>
      <c r="AZ172">
        <v>300.02699999999999</v>
      </c>
      <c r="BA172">
        <v>98.508600000000001</v>
      </c>
      <c r="BB172">
        <v>9.9853700000000004E-2</v>
      </c>
      <c r="BC172">
        <v>25.8705</v>
      </c>
      <c r="BD172">
        <v>27.013400000000001</v>
      </c>
      <c r="BE172">
        <v>26.992899999999999</v>
      </c>
      <c r="BF172">
        <v>0</v>
      </c>
      <c r="BG172">
        <v>0</v>
      </c>
      <c r="BH172">
        <v>10045</v>
      </c>
      <c r="BI172">
        <v>1067.68</v>
      </c>
      <c r="BJ172">
        <v>1.4016500000000001</v>
      </c>
      <c r="BK172">
        <v>-399.38499999999999</v>
      </c>
      <c r="BL172">
        <v>410.97399999999999</v>
      </c>
      <c r="BM172">
        <v>800.19399999999996</v>
      </c>
      <c r="BN172">
        <v>24.928799999999999</v>
      </c>
      <c r="BO172">
        <v>800.029</v>
      </c>
      <c r="BP172">
        <v>0.20577599999999999</v>
      </c>
      <c r="BQ172">
        <v>2.4759699999999998</v>
      </c>
      <c r="BR172">
        <v>2.0270699999999999E-2</v>
      </c>
      <c r="BS172">
        <v>20.869399999999999</v>
      </c>
      <c r="BT172">
        <v>-39.295999999999999</v>
      </c>
      <c r="BU172">
        <v>1800</v>
      </c>
      <c r="BV172">
        <v>0.91002499999999997</v>
      </c>
      <c r="BW172">
        <v>3.3993299999999997E-2</v>
      </c>
      <c r="BX172">
        <v>2.1992999999999999E-2</v>
      </c>
      <c r="BY172">
        <v>3.3988200000000003E-2</v>
      </c>
      <c r="BZ172">
        <v>25</v>
      </c>
      <c r="CA172">
        <v>33528.6</v>
      </c>
      <c r="CB172">
        <v>1690387638</v>
      </c>
      <c r="CC172" t="s">
        <v>332</v>
      </c>
      <c r="CD172">
        <v>1690387638</v>
      </c>
      <c r="CE172">
        <v>1690387638</v>
      </c>
      <c r="CF172">
        <v>6</v>
      </c>
      <c r="CG172">
        <v>0.43</v>
      </c>
      <c r="CH172">
        <v>-8.1000000000000003E-2</v>
      </c>
      <c r="CI172">
        <v>0.14199999999999999</v>
      </c>
      <c r="CJ172">
        <v>-2.7E-2</v>
      </c>
      <c r="CK172">
        <v>800</v>
      </c>
      <c r="CL172">
        <v>0</v>
      </c>
      <c r="CM172">
        <v>0.01</v>
      </c>
      <c r="CN172">
        <v>0.01</v>
      </c>
      <c r="CO172">
        <v>-398.33232500000003</v>
      </c>
      <c r="CP172">
        <v>-6.1066378986851477</v>
      </c>
      <c r="CQ172">
        <v>0.58974780150077644</v>
      </c>
      <c r="CR172">
        <v>-1</v>
      </c>
      <c r="CS172">
        <v>24.882055000000001</v>
      </c>
      <c r="CT172">
        <v>0.29324127579736231</v>
      </c>
      <c r="CU172">
        <v>2.8240998123295901E-2</v>
      </c>
      <c r="CV172">
        <v>-1</v>
      </c>
      <c r="CW172">
        <v>0</v>
      </c>
      <c r="CX172">
        <v>0</v>
      </c>
      <c r="CY172" t="s">
        <v>333</v>
      </c>
      <c r="CZ172">
        <v>2.3645399999999999</v>
      </c>
      <c r="DA172">
        <v>2.7136800000000001</v>
      </c>
      <c r="DB172">
        <v>8.9077100000000006E-2</v>
      </c>
      <c r="DC172">
        <v>0.145258</v>
      </c>
      <c r="DD172">
        <v>0.117058</v>
      </c>
      <c r="DE172">
        <v>1.7193099999999999E-3</v>
      </c>
      <c r="DF172">
        <v>33288.699999999997</v>
      </c>
      <c r="DG172">
        <v>27581.8</v>
      </c>
      <c r="DH172">
        <v>31196.400000000001</v>
      </c>
      <c r="DI172">
        <v>28117.599999999999</v>
      </c>
      <c r="DJ172">
        <v>37391.5</v>
      </c>
      <c r="DK172">
        <v>39924.1</v>
      </c>
      <c r="DL172">
        <v>44400.2</v>
      </c>
      <c r="DM172">
        <v>42619</v>
      </c>
      <c r="DN172">
        <v>1.4752000000000001</v>
      </c>
      <c r="DO172">
        <v>2.0308299999999999</v>
      </c>
      <c r="DP172">
        <v>0.14758099999999999</v>
      </c>
      <c r="DQ172">
        <v>0.14777499999999999</v>
      </c>
      <c r="DR172">
        <v>24.595099999999999</v>
      </c>
      <c r="DS172">
        <v>24.571300000000001</v>
      </c>
      <c r="DT172">
        <v>28</v>
      </c>
      <c r="DU172">
        <v>29.1</v>
      </c>
      <c r="DV172">
        <v>11.4979</v>
      </c>
      <c r="DW172">
        <v>60.822200000000002</v>
      </c>
      <c r="DX172">
        <v>37.127400000000002</v>
      </c>
      <c r="DY172">
        <v>1</v>
      </c>
      <c r="DZ172">
        <v>-0.119334</v>
      </c>
      <c r="EA172">
        <v>0.178731</v>
      </c>
      <c r="EB172">
        <v>20.190000000000001</v>
      </c>
      <c r="EC172">
        <v>5.2413999999999996</v>
      </c>
      <c r="ED172">
        <v>12.039899999999999</v>
      </c>
      <c r="EE172">
        <v>5.0174000000000003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1.8692</v>
      </c>
      <c r="EN172">
        <v>1.8672200000000001</v>
      </c>
      <c r="EO172">
        <v>1.8633599999999999</v>
      </c>
      <c r="EP172">
        <v>1.86446</v>
      </c>
      <c r="EQ172">
        <v>1.87015</v>
      </c>
      <c r="ER172">
        <v>1.8693599999999999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0.42399999999999999</v>
      </c>
      <c r="FG172">
        <v>0.19839999999999999</v>
      </c>
      <c r="FH172">
        <v>0.69281559908863044</v>
      </c>
      <c r="FI172">
        <v>-6.1462078757559423E-4</v>
      </c>
      <c r="FJ172">
        <v>-1.8861989874597051E-7</v>
      </c>
      <c r="FK172">
        <v>1.1980462299894961E-10</v>
      </c>
      <c r="FL172">
        <v>0.19840465858211129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36.6</v>
      </c>
      <c r="FU172">
        <v>36.6</v>
      </c>
      <c r="FV172">
        <v>1.7651399999999999</v>
      </c>
      <c r="FW172">
        <v>2.5891099999999998</v>
      </c>
      <c r="FX172">
        <v>1.5490699999999999</v>
      </c>
      <c r="FY172">
        <v>2.3327599999999999</v>
      </c>
      <c r="FZ172">
        <v>1.50146</v>
      </c>
      <c r="GA172">
        <v>2.3120099999999999</v>
      </c>
      <c r="GB172">
        <v>33.602899999999998</v>
      </c>
      <c r="GC172">
        <v>23.982399999999998</v>
      </c>
      <c r="GD172">
        <v>19</v>
      </c>
      <c r="GE172">
        <v>281.084</v>
      </c>
      <c r="GF172">
        <v>575.02200000000005</v>
      </c>
      <c r="GG172">
        <v>24.105</v>
      </c>
      <c r="GH172">
        <v>25.901399999999999</v>
      </c>
      <c r="GI172">
        <v>30.0002</v>
      </c>
      <c r="GJ172">
        <v>26.040500000000002</v>
      </c>
      <c r="GK172">
        <v>26.0198</v>
      </c>
      <c r="GL172">
        <v>35.2791</v>
      </c>
      <c r="GM172">
        <v>100</v>
      </c>
      <c r="GN172">
        <v>20.213100000000001</v>
      </c>
      <c r="GO172">
        <v>24.104900000000001</v>
      </c>
      <c r="GP172">
        <v>800</v>
      </c>
      <c r="GQ172">
        <v>0</v>
      </c>
      <c r="GR172">
        <v>99.8215</v>
      </c>
      <c r="GS172">
        <v>99.698400000000007</v>
      </c>
    </row>
    <row r="173" spans="1:201" x14ac:dyDescent="0.25">
      <c r="A173">
        <v>157</v>
      </c>
      <c r="B173">
        <v>1690389845.5999999</v>
      </c>
      <c r="C173">
        <v>1587.099999904633</v>
      </c>
      <c r="D173" t="s">
        <v>647</v>
      </c>
      <c r="E173" t="s">
        <v>648</v>
      </c>
      <c r="F173" t="s">
        <v>330</v>
      </c>
      <c r="H173">
        <v>1690389845.5999999</v>
      </c>
      <c r="I173">
        <f t="shared" si="60"/>
        <v>2.4172198032878624E-3</v>
      </c>
      <c r="J173">
        <f t="shared" si="61"/>
        <v>2.4172198032878622</v>
      </c>
      <c r="K173">
        <f t="shared" si="62"/>
        <v>36.825548804974176</v>
      </c>
      <c r="L173">
        <f t="shared" si="63"/>
        <v>399.57100000000003</v>
      </c>
      <c r="M173">
        <f t="shared" si="64"/>
        <v>106.57538278693582</v>
      </c>
      <c r="N173">
        <f t="shared" si="65"/>
        <v>10.50925392711299</v>
      </c>
      <c r="O173">
        <f t="shared" si="66"/>
        <v>39.401154291938504</v>
      </c>
      <c r="P173">
        <f t="shared" si="67"/>
        <v>0.2140829054292856</v>
      </c>
      <c r="Q173">
        <f t="shared" si="68"/>
        <v>2.1509002050761299</v>
      </c>
      <c r="R173">
        <f t="shared" si="69"/>
        <v>0.20291041770749763</v>
      </c>
      <c r="S173">
        <f t="shared" si="70"/>
        <v>0.12777420594543437</v>
      </c>
      <c r="T173">
        <f t="shared" si="71"/>
        <v>276.11397730799996</v>
      </c>
      <c r="U173">
        <f t="shared" si="72"/>
        <v>27.195615253606359</v>
      </c>
      <c r="V173">
        <f t="shared" si="73"/>
        <v>27.195615253606359</v>
      </c>
      <c r="W173">
        <f t="shared" si="74"/>
        <v>3.6204873270717268</v>
      </c>
      <c r="X173">
        <f t="shared" si="75"/>
        <v>74.148185416858453</v>
      </c>
      <c r="Y173">
        <f t="shared" si="76"/>
        <v>2.4821373307246004</v>
      </c>
      <c r="Z173">
        <f t="shared" si="77"/>
        <v>3.3475361760643407</v>
      </c>
      <c r="AA173">
        <f t="shared" si="78"/>
        <v>1.1383499963471264</v>
      </c>
      <c r="AB173">
        <f t="shared" si="79"/>
        <v>-106.59939332499474</v>
      </c>
      <c r="AC173">
        <f t="shared" si="80"/>
        <v>-154.21608423338171</v>
      </c>
      <c r="AD173">
        <f t="shared" si="81"/>
        <v>-15.400917654571392</v>
      </c>
      <c r="AE173">
        <f t="shared" si="82"/>
        <v>-0.10241790494788461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52069.929042634365</v>
      </c>
      <c r="AK173">
        <f t="shared" si="86"/>
        <v>1800</v>
      </c>
      <c r="AL173">
        <f t="shared" si="87"/>
        <v>1499.1147467999999</v>
      </c>
      <c r="AM173">
        <f t="shared" si="88"/>
        <v>0.83284152599999994</v>
      </c>
      <c r="AN173">
        <f t="shared" si="89"/>
        <v>0.15339665405999997</v>
      </c>
      <c r="AO173">
        <v>31.8</v>
      </c>
      <c r="AP173">
        <v>0.5</v>
      </c>
      <c r="AQ173" t="s">
        <v>331</v>
      </c>
      <c r="AR173">
        <v>2</v>
      </c>
      <c r="AS173">
        <v>1690389845.5999999</v>
      </c>
      <c r="AT173">
        <v>399.57100000000003</v>
      </c>
      <c r="AU173">
        <v>800.00099999999998</v>
      </c>
      <c r="AV173">
        <v>25.171600000000002</v>
      </c>
      <c r="AW173">
        <v>0.203934</v>
      </c>
      <c r="AX173">
        <v>399.14600000000002</v>
      </c>
      <c r="AY173">
        <v>24.973199999999999</v>
      </c>
      <c r="AZ173">
        <v>300.11900000000003</v>
      </c>
      <c r="BA173">
        <v>98.508700000000005</v>
      </c>
      <c r="BB173">
        <v>9.9943500000000005E-2</v>
      </c>
      <c r="BC173">
        <v>25.8657</v>
      </c>
      <c r="BD173">
        <v>27.017900000000001</v>
      </c>
      <c r="BE173">
        <v>26.988299999999999</v>
      </c>
      <c r="BF173">
        <v>0</v>
      </c>
      <c r="BG173">
        <v>0</v>
      </c>
      <c r="BH173">
        <v>9956.8799999999992</v>
      </c>
      <c r="BI173">
        <v>1067.52</v>
      </c>
      <c r="BJ173">
        <v>1.4016500000000001</v>
      </c>
      <c r="BK173">
        <v>-400.43099999999998</v>
      </c>
      <c r="BL173">
        <v>409.88799999999998</v>
      </c>
      <c r="BM173">
        <v>800.16399999999999</v>
      </c>
      <c r="BN173">
        <v>24.967700000000001</v>
      </c>
      <c r="BO173">
        <v>800.00099999999998</v>
      </c>
      <c r="BP173">
        <v>0.203934</v>
      </c>
      <c r="BQ173">
        <v>2.4796200000000002</v>
      </c>
      <c r="BR173">
        <v>2.0089300000000001E-2</v>
      </c>
      <c r="BS173">
        <v>20.8934</v>
      </c>
      <c r="BT173">
        <v>-39.3827</v>
      </c>
      <c r="BU173">
        <v>1800</v>
      </c>
      <c r="BV173">
        <v>0.910026</v>
      </c>
      <c r="BW173">
        <v>3.3993000000000002E-2</v>
      </c>
      <c r="BX173">
        <v>2.19928E-2</v>
      </c>
      <c r="BY173">
        <v>3.3987799999999999E-2</v>
      </c>
      <c r="BZ173">
        <v>25</v>
      </c>
      <c r="CA173">
        <v>33528.5</v>
      </c>
      <c r="CB173">
        <v>1690387638</v>
      </c>
      <c r="CC173" t="s">
        <v>332</v>
      </c>
      <c r="CD173">
        <v>1690387638</v>
      </c>
      <c r="CE173">
        <v>1690387638</v>
      </c>
      <c r="CF173">
        <v>6</v>
      </c>
      <c r="CG173">
        <v>0.43</v>
      </c>
      <c r="CH173">
        <v>-8.1000000000000003E-2</v>
      </c>
      <c r="CI173">
        <v>0.14199999999999999</v>
      </c>
      <c r="CJ173">
        <v>-2.7E-2</v>
      </c>
      <c r="CK173">
        <v>800</v>
      </c>
      <c r="CL173">
        <v>0</v>
      </c>
      <c r="CM173">
        <v>0.01</v>
      </c>
      <c r="CN173">
        <v>0.01</v>
      </c>
      <c r="CO173">
        <v>-399.25479999999999</v>
      </c>
      <c r="CP173">
        <v>-6.0820412757975451</v>
      </c>
      <c r="CQ173">
        <v>0.58754243251019778</v>
      </c>
      <c r="CR173">
        <v>-1</v>
      </c>
      <c r="CS173">
        <v>24.9206425</v>
      </c>
      <c r="CT173">
        <v>0.2329564727954849</v>
      </c>
      <c r="CU173">
        <v>2.2572382323317298E-2</v>
      </c>
      <c r="CV173">
        <v>-1</v>
      </c>
      <c r="CW173">
        <v>0</v>
      </c>
      <c r="CX173">
        <v>0</v>
      </c>
      <c r="CY173" t="s">
        <v>333</v>
      </c>
      <c r="CZ173">
        <v>2.3648500000000001</v>
      </c>
      <c r="DA173">
        <v>2.7136999999999998</v>
      </c>
      <c r="DB173">
        <v>8.88959E-2</v>
      </c>
      <c r="DC173">
        <v>0.145256</v>
      </c>
      <c r="DD173">
        <v>0.11718099999999999</v>
      </c>
      <c r="DE173">
        <v>1.7041199999999999E-3</v>
      </c>
      <c r="DF173">
        <v>33295.199999999997</v>
      </c>
      <c r="DG173">
        <v>27581.9</v>
      </c>
      <c r="DH173">
        <v>31196.3</v>
      </c>
      <c r="DI173">
        <v>28117.7</v>
      </c>
      <c r="DJ173">
        <v>37386</v>
      </c>
      <c r="DK173">
        <v>39924.9</v>
      </c>
      <c r="DL173">
        <v>44399.9</v>
      </c>
      <c r="DM173">
        <v>42619.3</v>
      </c>
      <c r="DN173">
        <v>1.47597</v>
      </c>
      <c r="DO173">
        <v>2.0309499999999998</v>
      </c>
      <c r="DP173">
        <v>0.147507</v>
      </c>
      <c r="DQ173">
        <v>0.14729100000000001</v>
      </c>
      <c r="DR173">
        <v>24.600899999999999</v>
      </c>
      <c r="DS173">
        <v>24.5747</v>
      </c>
      <c r="DT173">
        <v>27.7</v>
      </c>
      <c r="DU173">
        <v>29.1</v>
      </c>
      <c r="DV173">
        <v>11.3752</v>
      </c>
      <c r="DW173">
        <v>61.202199999999998</v>
      </c>
      <c r="DX173">
        <v>37.179499999999997</v>
      </c>
      <c r="DY173">
        <v>1</v>
      </c>
      <c r="DZ173">
        <v>-0.119466</v>
      </c>
      <c r="EA173">
        <v>9.8654699999999998E-2</v>
      </c>
      <c r="EB173">
        <v>20.190000000000001</v>
      </c>
      <c r="EC173">
        <v>5.2413999999999996</v>
      </c>
      <c r="ED173">
        <v>12.039899999999999</v>
      </c>
      <c r="EE173">
        <v>5.0175999999999998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1.8689100000000001</v>
      </c>
      <c r="EL173">
        <v>1.8646199999999999</v>
      </c>
      <c r="EM173">
        <v>1.8692</v>
      </c>
      <c r="EN173">
        <v>1.8672200000000001</v>
      </c>
      <c r="EO173">
        <v>1.8633599999999999</v>
      </c>
      <c r="EP173">
        <v>1.8644700000000001</v>
      </c>
      <c r="EQ173">
        <v>1.87016</v>
      </c>
      <c r="ER173">
        <v>1.8693500000000001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0.42499999999999999</v>
      </c>
      <c r="FG173">
        <v>0.19839999999999999</v>
      </c>
      <c r="FH173">
        <v>0.69281559908863044</v>
      </c>
      <c r="FI173">
        <v>-6.1462078757559423E-4</v>
      </c>
      <c r="FJ173">
        <v>-1.8861989874597051E-7</v>
      </c>
      <c r="FK173">
        <v>1.1980462299894961E-10</v>
      </c>
      <c r="FL173">
        <v>0.19840465858211129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36.799999999999997</v>
      </c>
      <c r="FU173">
        <v>36.799999999999997</v>
      </c>
      <c r="FV173">
        <v>1.7651399999999999</v>
      </c>
      <c r="FW173">
        <v>2.5842299999999998</v>
      </c>
      <c r="FX173">
        <v>1.5490699999999999</v>
      </c>
      <c r="FY173">
        <v>2.3327599999999999</v>
      </c>
      <c r="FZ173">
        <v>1.50146</v>
      </c>
      <c r="GA173">
        <v>2.34497</v>
      </c>
      <c r="GB173">
        <v>33.602899999999998</v>
      </c>
      <c r="GC173">
        <v>23.982399999999998</v>
      </c>
      <c r="GD173">
        <v>19</v>
      </c>
      <c r="GE173">
        <v>281.40199999999999</v>
      </c>
      <c r="GF173">
        <v>575.12300000000005</v>
      </c>
      <c r="GG173">
        <v>24.096900000000002</v>
      </c>
      <c r="GH173">
        <v>25.901399999999999</v>
      </c>
      <c r="GI173">
        <v>30</v>
      </c>
      <c r="GJ173">
        <v>26.0383</v>
      </c>
      <c r="GK173">
        <v>26.0198</v>
      </c>
      <c r="GL173">
        <v>35.281100000000002</v>
      </c>
      <c r="GM173">
        <v>100</v>
      </c>
      <c r="GN173">
        <v>19.453499999999998</v>
      </c>
      <c r="GO173">
        <v>24.124500000000001</v>
      </c>
      <c r="GP173">
        <v>800</v>
      </c>
      <c r="GQ173">
        <v>0</v>
      </c>
      <c r="GR173">
        <v>99.820999999999998</v>
      </c>
      <c r="GS173">
        <v>99.698800000000006</v>
      </c>
    </row>
    <row r="174" spans="1:201" x14ac:dyDescent="0.25">
      <c r="A174">
        <v>158</v>
      </c>
      <c r="B174">
        <v>1690389855.5999999</v>
      </c>
      <c r="C174">
        <v>1597.099999904633</v>
      </c>
      <c r="D174" t="s">
        <v>649</v>
      </c>
      <c r="E174" t="s">
        <v>650</v>
      </c>
      <c r="F174" t="s">
        <v>330</v>
      </c>
      <c r="H174">
        <v>1690389855.5999999</v>
      </c>
      <c r="I174">
        <f t="shared" si="60"/>
        <v>2.4226611924924799E-3</v>
      </c>
      <c r="J174">
        <f t="shared" si="61"/>
        <v>2.4226611924924799</v>
      </c>
      <c r="K174">
        <f t="shared" si="62"/>
        <v>36.937756225678548</v>
      </c>
      <c r="L174">
        <f t="shared" si="63"/>
        <v>398.55399999999997</v>
      </c>
      <c r="M174">
        <f t="shared" si="64"/>
        <v>107.0133688184</v>
      </c>
      <c r="N174">
        <f t="shared" si="65"/>
        <v>10.552654754484459</v>
      </c>
      <c r="O174">
        <f t="shared" si="66"/>
        <v>39.301657442033999</v>
      </c>
      <c r="P174">
        <f t="shared" si="67"/>
        <v>0.21584267324618286</v>
      </c>
      <c r="Q174">
        <f t="shared" si="68"/>
        <v>2.1590832987967716</v>
      </c>
      <c r="R174">
        <f t="shared" si="69"/>
        <v>0.20453158655954184</v>
      </c>
      <c r="S174">
        <f t="shared" si="70"/>
        <v>0.12879908126631609</v>
      </c>
      <c r="T174">
        <f t="shared" si="71"/>
        <v>276.114033522</v>
      </c>
      <c r="U174">
        <f t="shared" si="72"/>
        <v>27.188652999267756</v>
      </c>
      <c r="V174">
        <f t="shared" si="73"/>
        <v>27.188652999267756</v>
      </c>
      <c r="W174">
        <f t="shared" si="74"/>
        <v>3.6190092945049983</v>
      </c>
      <c r="X174">
        <f t="shared" si="75"/>
        <v>74.299750362524861</v>
      </c>
      <c r="Y174">
        <f t="shared" si="76"/>
        <v>2.4871373607378002</v>
      </c>
      <c r="Z174">
        <f t="shared" si="77"/>
        <v>3.3474370352558505</v>
      </c>
      <c r="AA174">
        <f t="shared" si="78"/>
        <v>1.1318719337671981</v>
      </c>
      <c r="AB174">
        <f t="shared" si="79"/>
        <v>-106.83935858891836</v>
      </c>
      <c r="AC174">
        <f t="shared" si="80"/>
        <v>-154.05058925938462</v>
      </c>
      <c r="AD174">
        <f t="shared" si="81"/>
        <v>-15.325508869643352</v>
      </c>
      <c r="AE174">
        <f t="shared" si="82"/>
        <v>-0.10142319594629612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52412.734597269467</v>
      </c>
      <c r="AK174">
        <f t="shared" si="86"/>
        <v>1800</v>
      </c>
      <c r="AL174">
        <f t="shared" si="87"/>
        <v>1499.1159941999997</v>
      </c>
      <c r="AM174">
        <f t="shared" si="88"/>
        <v>0.83284221899999988</v>
      </c>
      <c r="AN174">
        <f t="shared" si="89"/>
        <v>0.15339668529</v>
      </c>
      <c r="AO174">
        <v>31.8</v>
      </c>
      <c r="AP174">
        <v>0.5</v>
      </c>
      <c r="AQ174" t="s">
        <v>331</v>
      </c>
      <c r="AR174">
        <v>2</v>
      </c>
      <c r="AS174">
        <v>1690389855.5999999</v>
      </c>
      <c r="AT174">
        <v>398.55399999999997</v>
      </c>
      <c r="AU174">
        <v>800.11500000000001</v>
      </c>
      <c r="AV174">
        <v>25.221800000000002</v>
      </c>
      <c r="AW174">
        <v>0.20263600000000001</v>
      </c>
      <c r="AX174">
        <v>398.12799999999999</v>
      </c>
      <c r="AY174">
        <v>25.023399999999999</v>
      </c>
      <c r="AZ174">
        <v>300.16000000000003</v>
      </c>
      <c r="BA174">
        <v>98.510599999999997</v>
      </c>
      <c r="BB174">
        <v>0.100021</v>
      </c>
      <c r="BC174">
        <v>25.865200000000002</v>
      </c>
      <c r="BD174">
        <v>26.973800000000001</v>
      </c>
      <c r="BE174">
        <v>26.9801</v>
      </c>
      <c r="BF174">
        <v>0</v>
      </c>
      <c r="BG174">
        <v>0</v>
      </c>
      <c r="BH174">
        <v>10025</v>
      </c>
      <c r="BI174">
        <v>1067.55</v>
      </c>
      <c r="BJ174">
        <v>1.4016500000000001</v>
      </c>
      <c r="BK174">
        <v>-401.56099999999998</v>
      </c>
      <c r="BL174">
        <v>408.86599999999999</v>
      </c>
      <c r="BM174">
        <v>800.27700000000004</v>
      </c>
      <c r="BN174">
        <v>25.019100000000002</v>
      </c>
      <c r="BO174">
        <v>800.11500000000001</v>
      </c>
      <c r="BP174">
        <v>0.20263600000000001</v>
      </c>
      <c r="BQ174">
        <v>2.48461</v>
      </c>
      <c r="BR174">
        <v>1.9961799999999998E-2</v>
      </c>
      <c r="BS174">
        <v>20.926100000000002</v>
      </c>
      <c r="BT174">
        <v>-39.444000000000003</v>
      </c>
      <c r="BU174">
        <v>1800</v>
      </c>
      <c r="BV174">
        <v>0.91002899999999998</v>
      </c>
      <c r="BW174">
        <v>3.3992099999999997E-2</v>
      </c>
      <c r="BX174">
        <v>2.19922E-2</v>
      </c>
      <c r="BY174">
        <v>3.39869E-2</v>
      </c>
      <c r="BZ174">
        <v>25</v>
      </c>
      <c r="CA174">
        <v>33528.6</v>
      </c>
      <c r="CB174">
        <v>1690387638</v>
      </c>
      <c r="CC174" t="s">
        <v>332</v>
      </c>
      <c r="CD174">
        <v>1690387638</v>
      </c>
      <c r="CE174">
        <v>1690387638</v>
      </c>
      <c r="CF174">
        <v>6</v>
      </c>
      <c r="CG174">
        <v>0.43</v>
      </c>
      <c r="CH174">
        <v>-8.1000000000000003E-2</v>
      </c>
      <c r="CI174">
        <v>0.14199999999999999</v>
      </c>
      <c r="CJ174">
        <v>-2.7E-2</v>
      </c>
      <c r="CK174">
        <v>800</v>
      </c>
      <c r="CL174">
        <v>0</v>
      </c>
      <c r="CM174">
        <v>0.01</v>
      </c>
      <c r="CN174">
        <v>0.01</v>
      </c>
      <c r="CO174">
        <v>-400.31780487804878</v>
      </c>
      <c r="CP174">
        <v>-6.3685714285723911</v>
      </c>
      <c r="CQ174">
        <v>0.63058962804711427</v>
      </c>
      <c r="CR174">
        <v>-1</v>
      </c>
      <c r="CS174">
        <v>24.964458536585369</v>
      </c>
      <c r="CT174">
        <v>0.2783560975610419</v>
      </c>
      <c r="CU174">
        <v>2.765213329758132E-2</v>
      </c>
      <c r="CV174">
        <v>-1</v>
      </c>
      <c r="CW174">
        <v>0</v>
      </c>
      <c r="CX174">
        <v>0</v>
      </c>
      <c r="CY174" t="s">
        <v>333</v>
      </c>
      <c r="CZ174">
        <v>2.3649900000000001</v>
      </c>
      <c r="DA174">
        <v>2.7138300000000002</v>
      </c>
      <c r="DB174">
        <v>8.8724300000000006E-2</v>
      </c>
      <c r="DC174">
        <v>0.14527300000000001</v>
      </c>
      <c r="DD174">
        <v>0.11734799999999999</v>
      </c>
      <c r="DE174">
        <v>1.69344E-3</v>
      </c>
      <c r="DF174">
        <v>33301.4</v>
      </c>
      <c r="DG174">
        <v>27581.5</v>
      </c>
      <c r="DH174">
        <v>31196.2</v>
      </c>
      <c r="DI174">
        <v>28117.8</v>
      </c>
      <c r="DJ174">
        <v>37378.800000000003</v>
      </c>
      <c r="DK174">
        <v>39925.599999999999</v>
      </c>
      <c r="DL174">
        <v>44399.9</v>
      </c>
      <c r="DM174">
        <v>42619.5</v>
      </c>
      <c r="DN174">
        <v>1.47607</v>
      </c>
      <c r="DO174">
        <v>2.0306700000000002</v>
      </c>
      <c r="DP174">
        <v>0.14452599999999999</v>
      </c>
      <c r="DQ174">
        <v>0.14666499999999999</v>
      </c>
      <c r="DR174">
        <v>24.605499999999999</v>
      </c>
      <c r="DS174">
        <v>24.576799999999999</v>
      </c>
      <c r="DT174">
        <v>27.4</v>
      </c>
      <c r="DU174">
        <v>29.1</v>
      </c>
      <c r="DV174">
        <v>11.250400000000001</v>
      </c>
      <c r="DW174">
        <v>60.682200000000002</v>
      </c>
      <c r="DX174">
        <v>37.920699999999997</v>
      </c>
      <c r="DY174">
        <v>1</v>
      </c>
      <c r="DZ174">
        <v>-0.119273</v>
      </c>
      <c r="EA174">
        <v>0.106283</v>
      </c>
      <c r="EB174">
        <v>20.190000000000001</v>
      </c>
      <c r="EC174">
        <v>5.2415500000000002</v>
      </c>
      <c r="ED174">
        <v>12.039899999999999</v>
      </c>
      <c r="EE174">
        <v>5.0173500000000004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1.8692</v>
      </c>
      <c r="EN174">
        <v>1.8672200000000001</v>
      </c>
      <c r="EO174">
        <v>1.86337</v>
      </c>
      <c r="EP174">
        <v>1.8644700000000001</v>
      </c>
      <c r="EQ174">
        <v>1.8701700000000001</v>
      </c>
      <c r="ER174">
        <v>1.86937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0.42599999999999999</v>
      </c>
      <c r="FG174">
        <v>0.19839999999999999</v>
      </c>
      <c r="FH174">
        <v>0.69281559908863044</v>
      </c>
      <c r="FI174">
        <v>-6.1462078757559423E-4</v>
      </c>
      <c r="FJ174">
        <v>-1.8861989874597051E-7</v>
      </c>
      <c r="FK174">
        <v>1.1980462299894961E-10</v>
      </c>
      <c r="FL174">
        <v>0.19840465858211129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37</v>
      </c>
      <c r="FU174">
        <v>37</v>
      </c>
      <c r="FV174">
        <v>1.7639199999999999</v>
      </c>
      <c r="FW174">
        <v>2.5805699999999998</v>
      </c>
      <c r="FX174">
        <v>1.5490699999999999</v>
      </c>
      <c r="FY174">
        <v>2.3339799999999999</v>
      </c>
      <c r="FZ174">
        <v>1.50146</v>
      </c>
      <c r="GA174">
        <v>2.3071299999999999</v>
      </c>
      <c r="GB174">
        <v>33.602899999999998</v>
      </c>
      <c r="GC174">
        <v>23.982399999999998</v>
      </c>
      <c r="GD174">
        <v>19</v>
      </c>
      <c r="GE174">
        <v>281.44499999999999</v>
      </c>
      <c r="GF174">
        <v>574.899</v>
      </c>
      <c r="GG174">
        <v>24.1205</v>
      </c>
      <c r="GH174">
        <v>25.901399999999999</v>
      </c>
      <c r="GI174">
        <v>30.0002</v>
      </c>
      <c r="GJ174">
        <v>26.0383</v>
      </c>
      <c r="GK174">
        <v>26.0198</v>
      </c>
      <c r="GL174">
        <v>35.2761</v>
      </c>
      <c r="GM174">
        <v>100</v>
      </c>
      <c r="GN174">
        <v>18.6995</v>
      </c>
      <c r="GO174">
        <v>24.119299999999999</v>
      </c>
      <c r="GP174">
        <v>800</v>
      </c>
      <c r="GQ174">
        <v>0</v>
      </c>
      <c r="GR174">
        <v>99.820800000000006</v>
      </c>
      <c r="GS174">
        <v>99.699399999999997</v>
      </c>
    </row>
    <row r="175" spans="1:201" x14ac:dyDescent="0.25">
      <c r="A175">
        <v>159</v>
      </c>
      <c r="B175">
        <v>1690389865.5999999</v>
      </c>
      <c r="C175">
        <v>1607.099999904633</v>
      </c>
      <c r="D175" t="s">
        <v>651</v>
      </c>
      <c r="E175" t="s">
        <v>652</v>
      </c>
      <c r="F175" t="s">
        <v>330</v>
      </c>
      <c r="H175">
        <v>1690389865.5999999</v>
      </c>
      <c r="I175">
        <f t="shared" si="60"/>
        <v>2.4259227059007745E-3</v>
      </c>
      <c r="J175">
        <f t="shared" si="61"/>
        <v>2.4259227059007746</v>
      </c>
      <c r="K175">
        <f t="shared" si="62"/>
        <v>37.001696502694195</v>
      </c>
      <c r="L175">
        <f t="shared" si="63"/>
        <v>397.65899999999999</v>
      </c>
      <c r="M175">
        <f t="shared" si="64"/>
        <v>106.8912819924509</v>
      </c>
      <c r="N175">
        <f t="shared" si="65"/>
        <v>10.540541140092511</v>
      </c>
      <c r="O175">
        <f t="shared" si="66"/>
        <v>39.213123569086498</v>
      </c>
      <c r="P175">
        <f t="shared" si="67"/>
        <v>0.21681299899970494</v>
      </c>
      <c r="Q175">
        <f t="shared" si="68"/>
        <v>2.1620584081362164</v>
      </c>
      <c r="R175">
        <f t="shared" si="69"/>
        <v>0.20541768677339553</v>
      </c>
      <c r="S175">
        <f t="shared" si="70"/>
        <v>0.12935994667191597</v>
      </c>
      <c r="T175">
        <f t="shared" si="71"/>
        <v>276.11387357399997</v>
      </c>
      <c r="U175">
        <f t="shared" si="72"/>
        <v>27.189666535658873</v>
      </c>
      <c r="V175">
        <f t="shared" si="73"/>
        <v>27.189666535658873</v>
      </c>
      <c r="W175">
        <f t="shared" si="74"/>
        <v>3.6192244276559062</v>
      </c>
      <c r="X175">
        <f t="shared" si="75"/>
        <v>74.390885520037585</v>
      </c>
      <c r="Y175">
        <f t="shared" si="76"/>
        <v>2.4907486137171002</v>
      </c>
      <c r="Z175">
        <f t="shared" si="77"/>
        <v>3.3481905697253782</v>
      </c>
      <c r="AA175">
        <f t="shared" si="78"/>
        <v>1.128475813938806</v>
      </c>
      <c r="AB175">
        <f t="shared" si="79"/>
        <v>-106.98319133022416</v>
      </c>
      <c r="AC175">
        <f t="shared" si="80"/>
        <v>-153.93807061880796</v>
      </c>
      <c r="AD175">
        <f t="shared" si="81"/>
        <v>-15.2936101248777</v>
      </c>
      <c r="AE175">
        <f t="shared" si="82"/>
        <v>-0.10099849990984922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52536.985170475607</v>
      </c>
      <c r="AK175">
        <f t="shared" si="86"/>
        <v>1800</v>
      </c>
      <c r="AL175">
        <f t="shared" si="87"/>
        <v>1499.1149843999997</v>
      </c>
      <c r="AM175">
        <f t="shared" si="88"/>
        <v>0.83284165799999987</v>
      </c>
      <c r="AN175">
        <f t="shared" si="89"/>
        <v>0.15339659642999998</v>
      </c>
      <c r="AO175">
        <v>31.8</v>
      </c>
      <c r="AP175">
        <v>0.5</v>
      </c>
      <c r="AQ175" t="s">
        <v>331</v>
      </c>
      <c r="AR175">
        <v>2</v>
      </c>
      <c r="AS175">
        <v>1690389865.5999999</v>
      </c>
      <c r="AT175">
        <v>397.65899999999999</v>
      </c>
      <c r="AU175">
        <v>799.98199999999997</v>
      </c>
      <c r="AV175">
        <v>25.258600000000001</v>
      </c>
      <c r="AW175">
        <v>0.20085600000000001</v>
      </c>
      <c r="AX175">
        <v>397.233</v>
      </c>
      <c r="AY175">
        <v>25.060199999999998</v>
      </c>
      <c r="AZ175">
        <v>300.08999999999997</v>
      </c>
      <c r="BA175">
        <v>98.51</v>
      </c>
      <c r="BB175">
        <v>9.9923499999999998E-2</v>
      </c>
      <c r="BC175">
        <v>25.869</v>
      </c>
      <c r="BD175">
        <v>27.0153</v>
      </c>
      <c r="BE175">
        <v>26.994800000000001</v>
      </c>
      <c r="BF175">
        <v>0</v>
      </c>
      <c r="BG175">
        <v>0</v>
      </c>
      <c r="BH175">
        <v>10050</v>
      </c>
      <c r="BI175">
        <v>1067.54</v>
      </c>
      <c r="BJ175">
        <v>1.4016500000000001</v>
      </c>
      <c r="BK175">
        <v>-402.32299999999998</v>
      </c>
      <c r="BL175">
        <v>407.964</v>
      </c>
      <c r="BM175">
        <v>800.14300000000003</v>
      </c>
      <c r="BN175">
        <v>25.0578</v>
      </c>
      <c r="BO175">
        <v>799.98199999999997</v>
      </c>
      <c r="BP175">
        <v>0.20085600000000001</v>
      </c>
      <c r="BQ175">
        <v>2.4882300000000002</v>
      </c>
      <c r="BR175">
        <v>1.9786399999999999E-2</v>
      </c>
      <c r="BS175">
        <v>20.9497</v>
      </c>
      <c r="BT175">
        <v>-39.5289</v>
      </c>
      <c r="BU175">
        <v>1800</v>
      </c>
      <c r="BV175">
        <v>0.91002799999999995</v>
      </c>
      <c r="BW175">
        <v>3.3993299999999997E-2</v>
      </c>
      <c r="BX175">
        <v>2.1991900000000002E-2</v>
      </c>
      <c r="BY175">
        <v>3.3986500000000003E-2</v>
      </c>
      <c r="BZ175">
        <v>25</v>
      </c>
      <c r="CA175">
        <v>33528.6</v>
      </c>
      <c r="CB175">
        <v>1690387638</v>
      </c>
      <c r="CC175" t="s">
        <v>332</v>
      </c>
      <c r="CD175">
        <v>1690387638</v>
      </c>
      <c r="CE175">
        <v>1690387638</v>
      </c>
      <c r="CF175">
        <v>6</v>
      </c>
      <c r="CG175">
        <v>0.43</v>
      </c>
      <c r="CH175">
        <v>-8.1000000000000003E-2</v>
      </c>
      <c r="CI175">
        <v>0.14199999999999999</v>
      </c>
      <c r="CJ175">
        <v>-2.7E-2</v>
      </c>
      <c r="CK175">
        <v>800</v>
      </c>
      <c r="CL175">
        <v>0</v>
      </c>
      <c r="CM175">
        <v>0.01</v>
      </c>
      <c r="CN175">
        <v>0.01</v>
      </c>
      <c r="CO175">
        <v>-401.29852499999998</v>
      </c>
      <c r="CP175">
        <v>-5.705662288930327</v>
      </c>
      <c r="CQ175">
        <v>0.55561317422735801</v>
      </c>
      <c r="CR175">
        <v>-1</v>
      </c>
      <c r="CS175">
        <v>25.009969999999999</v>
      </c>
      <c r="CT175">
        <v>0.27669793621009631</v>
      </c>
      <c r="CU175">
        <v>2.67458987510233E-2</v>
      </c>
      <c r="CV175">
        <v>-1</v>
      </c>
      <c r="CW175">
        <v>0</v>
      </c>
      <c r="CX175">
        <v>0</v>
      </c>
      <c r="CY175" t="s">
        <v>333</v>
      </c>
      <c r="CZ175">
        <v>2.3647499999999999</v>
      </c>
      <c r="DA175">
        <v>2.7137600000000002</v>
      </c>
      <c r="DB175">
        <v>8.8571200000000003E-2</v>
      </c>
      <c r="DC175">
        <v>0.145256</v>
      </c>
      <c r="DD175">
        <v>0.117467</v>
      </c>
      <c r="DE175">
        <v>1.6787600000000001E-3</v>
      </c>
      <c r="DF175">
        <v>33306.699999999997</v>
      </c>
      <c r="DG175">
        <v>27582.1</v>
      </c>
      <c r="DH175">
        <v>31196</v>
      </c>
      <c r="DI175">
        <v>28117.9</v>
      </c>
      <c r="DJ175">
        <v>37373.5</v>
      </c>
      <c r="DK175">
        <v>39926.400000000001</v>
      </c>
      <c r="DL175">
        <v>44399.7</v>
      </c>
      <c r="DM175">
        <v>42619.7</v>
      </c>
      <c r="DN175">
        <v>1.4759199999999999</v>
      </c>
      <c r="DO175">
        <v>2.0308999999999999</v>
      </c>
      <c r="DP175">
        <v>0.146814</v>
      </c>
      <c r="DQ175">
        <v>0.147566</v>
      </c>
      <c r="DR175">
        <v>24.6097</v>
      </c>
      <c r="DS175">
        <v>24.576799999999999</v>
      </c>
      <c r="DT175">
        <v>27.1</v>
      </c>
      <c r="DU175">
        <v>29.1</v>
      </c>
      <c r="DV175">
        <v>11.126899999999999</v>
      </c>
      <c r="DW175">
        <v>60.852200000000003</v>
      </c>
      <c r="DX175">
        <v>37.375799999999998</v>
      </c>
      <c r="DY175">
        <v>1</v>
      </c>
      <c r="DZ175">
        <v>-0.119393</v>
      </c>
      <c r="EA175">
        <v>9.9580600000000005E-2</v>
      </c>
      <c r="EB175">
        <v>20.189900000000002</v>
      </c>
      <c r="EC175">
        <v>5.2416999999999998</v>
      </c>
      <c r="ED175">
        <v>12.039899999999999</v>
      </c>
      <c r="EE175">
        <v>5.0172499999999998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1.8646199999999999</v>
      </c>
      <c r="EM175">
        <v>1.8692</v>
      </c>
      <c r="EN175">
        <v>1.8672200000000001</v>
      </c>
      <c r="EO175">
        <v>1.86338</v>
      </c>
      <c r="EP175">
        <v>1.8644700000000001</v>
      </c>
      <c r="EQ175">
        <v>1.87016</v>
      </c>
      <c r="ER175">
        <v>1.86937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0.42599999999999999</v>
      </c>
      <c r="FG175">
        <v>0.19839999999999999</v>
      </c>
      <c r="FH175">
        <v>0.69281559908863044</v>
      </c>
      <c r="FI175">
        <v>-6.1462078757559423E-4</v>
      </c>
      <c r="FJ175">
        <v>-1.8861989874597051E-7</v>
      </c>
      <c r="FK175">
        <v>1.1980462299894961E-10</v>
      </c>
      <c r="FL175">
        <v>0.19840465858211129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37.1</v>
      </c>
      <c r="FU175">
        <v>37.1</v>
      </c>
      <c r="FV175">
        <v>1.7639199999999999</v>
      </c>
      <c r="FW175">
        <v>2.5866699999999998</v>
      </c>
      <c r="FX175">
        <v>1.5490699999999999</v>
      </c>
      <c r="FY175">
        <v>2.3339799999999999</v>
      </c>
      <c r="FZ175">
        <v>1.50146</v>
      </c>
      <c r="GA175">
        <v>2.2790499999999998</v>
      </c>
      <c r="GB175">
        <v>33.602899999999998</v>
      </c>
      <c r="GC175">
        <v>23.973700000000001</v>
      </c>
      <c r="GD175">
        <v>19</v>
      </c>
      <c r="GE175">
        <v>281.38200000000001</v>
      </c>
      <c r="GF175">
        <v>575.05899999999997</v>
      </c>
      <c r="GG175">
        <v>24.132000000000001</v>
      </c>
      <c r="GH175">
        <v>25.901399999999999</v>
      </c>
      <c r="GI175">
        <v>30.0001</v>
      </c>
      <c r="GJ175">
        <v>26.0383</v>
      </c>
      <c r="GK175">
        <v>26.017600000000002</v>
      </c>
      <c r="GL175">
        <v>35.2776</v>
      </c>
      <c r="GM175">
        <v>100</v>
      </c>
      <c r="GN175">
        <v>18.299299999999999</v>
      </c>
      <c r="GO175">
        <v>24.124199999999998</v>
      </c>
      <c r="GP175">
        <v>800</v>
      </c>
      <c r="GQ175">
        <v>0</v>
      </c>
      <c r="GR175">
        <v>99.820400000000006</v>
      </c>
      <c r="GS175">
        <v>99.699799999999996</v>
      </c>
    </row>
    <row r="176" spans="1:201" x14ac:dyDescent="0.25">
      <c r="A176">
        <v>160</v>
      </c>
      <c r="B176">
        <v>1690389875.5999999</v>
      </c>
      <c r="C176">
        <v>1617.099999904633</v>
      </c>
      <c r="D176" t="s">
        <v>653</v>
      </c>
      <c r="E176" t="s">
        <v>654</v>
      </c>
      <c r="F176" t="s">
        <v>330</v>
      </c>
      <c r="H176">
        <v>1690389875.5999999</v>
      </c>
      <c r="I176">
        <f t="shared" si="60"/>
        <v>2.4310827545813598E-3</v>
      </c>
      <c r="J176">
        <f t="shared" si="61"/>
        <v>2.43108275458136</v>
      </c>
      <c r="K176">
        <f t="shared" si="62"/>
        <v>37.103491636240683</v>
      </c>
      <c r="L176">
        <f t="shared" si="63"/>
        <v>396.73599999999999</v>
      </c>
      <c r="M176">
        <f t="shared" si="64"/>
        <v>106.81737177628555</v>
      </c>
      <c r="N176">
        <f t="shared" si="65"/>
        <v>10.533639057538235</v>
      </c>
      <c r="O176">
        <f t="shared" si="66"/>
        <v>39.123541008703995</v>
      </c>
      <c r="P176">
        <f t="shared" si="67"/>
        <v>0.21813000405285643</v>
      </c>
      <c r="Q176">
        <f t="shared" si="68"/>
        <v>2.1548577749686229</v>
      </c>
      <c r="R176">
        <f t="shared" si="69"/>
        <v>0.20656345053922778</v>
      </c>
      <c r="S176">
        <f t="shared" si="70"/>
        <v>0.13009023196055527</v>
      </c>
      <c r="T176">
        <f t="shared" si="71"/>
        <v>276.11397594000005</v>
      </c>
      <c r="U176">
        <f t="shared" si="72"/>
        <v>27.192999207911363</v>
      </c>
      <c r="V176">
        <f t="shared" si="73"/>
        <v>27.192999207911363</v>
      </c>
      <c r="W176">
        <f t="shared" si="74"/>
        <v>3.6199318990914628</v>
      </c>
      <c r="X176">
        <f t="shared" si="75"/>
        <v>74.522473067522</v>
      </c>
      <c r="Y176">
        <f t="shared" si="76"/>
        <v>2.4953169908559993</v>
      </c>
      <c r="Z176">
        <f t="shared" si="77"/>
        <v>3.3484087257746893</v>
      </c>
      <c r="AA176">
        <f t="shared" si="78"/>
        <v>1.1246149082354635</v>
      </c>
      <c r="AB176">
        <f t="shared" si="79"/>
        <v>-107.21074947703796</v>
      </c>
      <c r="AC176">
        <f t="shared" si="80"/>
        <v>-153.68476270940937</v>
      </c>
      <c r="AD176">
        <f t="shared" si="81"/>
        <v>-15.319805280329669</v>
      </c>
      <c r="AE176">
        <f t="shared" si="82"/>
        <v>-0.10134152677693464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52234.818072251917</v>
      </c>
      <c r="AK176">
        <f t="shared" si="86"/>
        <v>1800</v>
      </c>
      <c r="AL176">
        <f t="shared" si="87"/>
        <v>1499.1132690000002</v>
      </c>
      <c r="AM176">
        <f t="shared" si="88"/>
        <v>0.83284070500000007</v>
      </c>
      <c r="AN176">
        <f t="shared" si="89"/>
        <v>0.15339665330000002</v>
      </c>
      <c r="AO176">
        <v>31.8</v>
      </c>
      <c r="AP176">
        <v>0.5</v>
      </c>
      <c r="AQ176" t="s">
        <v>331</v>
      </c>
      <c r="AR176">
        <v>2</v>
      </c>
      <c r="AS176">
        <v>1690389875.5999999</v>
      </c>
      <c r="AT176">
        <v>396.73599999999999</v>
      </c>
      <c r="AU176">
        <v>800.05100000000004</v>
      </c>
      <c r="AV176">
        <v>25.303999999999998</v>
      </c>
      <c r="AW176">
        <v>0.19939699999999999</v>
      </c>
      <c r="AX176">
        <v>396.30900000000003</v>
      </c>
      <c r="AY176">
        <v>25.105599999999999</v>
      </c>
      <c r="AZ176">
        <v>300.15300000000002</v>
      </c>
      <c r="BA176">
        <v>98.513499999999993</v>
      </c>
      <c r="BB176">
        <v>0.100039</v>
      </c>
      <c r="BC176">
        <v>25.870100000000001</v>
      </c>
      <c r="BD176">
        <v>27.0273</v>
      </c>
      <c r="BE176">
        <v>27.023399999999999</v>
      </c>
      <c r="BF176">
        <v>0</v>
      </c>
      <c r="BG176">
        <v>0</v>
      </c>
      <c r="BH176">
        <v>9989.3799999999992</v>
      </c>
      <c r="BI176">
        <v>1067.49</v>
      </c>
      <c r="BJ176">
        <v>1.4016500000000001</v>
      </c>
      <c r="BK176">
        <v>-403.31599999999997</v>
      </c>
      <c r="BL176">
        <v>407.03500000000003</v>
      </c>
      <c r="BM176">
        <v>800.21100000000001</v>
      </c>
      <c r="BN176">
        <v>25.104600000000001</v>
      </c>
      <c r="BO176">
        <v>800.05100000000004</v>
      </c>
      <c r="BP176">
        <v>0.19939699999999999</v>
      </c>
      <c r="BQ176">
        <v>2.4927899999999998</v>
      </c>
      <c r="BR176">
        <v>1.9643299999999999E-2</v>
      </c>
      <c r="BS176">
        <v>20.979500000000002</v>
      </c>
      <c r="BT176">
        <v>-39.598700000000001</v>
      </c>
      <c r="BU176">
        <v>1800</v>
      </c>
      <c r="BV176">
        <v>0.91002000000000005</v>
      </c>
      <c r="BW176">
        <v>3.3998500000000001E-2</v>
      </c>
      <c r="BX176">
        <v>2.1991500000000001E-2</v>
      </c>
      <c r="BY176">
        <v>3.3989800000000001E-2</v>
      </c>
      <c r="BZ176">
        <v>25</v>
      </c>
      <c r="CA176">
        <v>33528.6</v>
      </c>
      <c r="CB176">
        <v>1690387638</v>
      </c>
      <c r="CC176" t="s">
        <v>332</v>
      </c>
      <c r="CD176">
        <v>1690387638</v>
      </c>
      <c r="CE176">
        <v>1690387638</v>
      </c>
      <c r="CF176">
        <v>6</v>
      </c>
      <c r="CG176">
        <v>0.43</v>
      </c>
      <c r="CH176">
        <v>-8.1000000000000003E-2</v>
      </c>
      <c r="CI176">
        <v>0.14199999999999999</v>
      </c>
      <c r="CJ176">
        <v>-2.7E-2</v>
      </c>
      <c r="CK176">
        <v>800</v>
      </c>
      <c r="CL176">
        <v>0</v>
      </c>
      <c r="CM176">
        <v>0.01</v>
      </c>
      <c r="CN176">
        <v>0.01</v>
      </c>
      <c r="CO176">
        <v>-402.27421951219509</v>
      </c>
      <c r="CP176">
        <v>-5.3960069686404912</v>
      </c>
      <c r="CQ176">
        <v>0.53718087575583751</v>
      </c>
      <c r="CR176">
        <v>-1</v>
      </c>
      <c r="CS176">
        <v>25.056304878048781</v>
      </c>
      <c r="CT176">
        <v>0.26208710801392959</v>
      </c>
      <c r="CU176">
        <v>2.5925276781640031E-2</v>
      </c>
      <c r="CV176">
        <v>-1</v>
      </c>
      <c r="CW176">
        <v>0</v>
      </c>
      <c r="CX176">
        <v>0</v>
      </c>
      <c r="CY176" t="s">
        <v>333</v>
      </c>
      <c r="CZ176">
        <v>2.3649800000000001</v>
      </c>
      <c r="DA176">
        <v>2.7138200000000001</v>
      </c>
      <c r="DB176">
        <v>8.8416499999999995E-2</v>
      </c>
      <c r="DC176">
        <v>0.14527000000000001</v>
      </c>
      <c r="DD176">
        <v>0.117619</v>
      </c>
      <c r="DE176">
        <v>1.66676E-3</v>
      </c>
      <c r="DF176">
        <v>33313.199999999997</v>
      </c>
      <c r="DG176">
        <v>27582</v>
      </c>
      <c r="DH176">
        <v>31196.7</v>
      </c>
      <c r="DI176">
        <v>28118.2</v>
      </c>
      <c r="DJ176">
        <v>37367.599999999999</v>
      </c>
      <c r="DK176">
        <v>39927.1</v>
      </c>
      <c r="DL176">
        <v>44400.5</v>
      </c>
      <c r="DM176">
        <v>42620</v>
      </c>
      <c r="DN176">
        <v>1.4762299999999999</v>
      </c>
      <c r="DO176">
        <v>2.0308999999999999</v>
      </c>
      <c r="DP176">
        <v>0.14738699999999999</v>
      </c>
      <c r="DQ176">
        <v>0.14918999999999999</v>
      </c>
      <c r="DR176">
        <v>24.612200000000001</v>
      </c>
      <c r="DS176">
        <v>24.578800000000001</v>
      </c>
      <c r="DT176">
        <v>26.8</v>
      </c>
      <c r="DU176">
        <v>29.1</v>
      </c>
      <c r="DV176">
        <v>11.004300000000001</v>
      </c>
      <c r="DW176">
        <v>61.232199999999999</v>
      </c>
      <c r="DX176">
        <v>36.927100000000003</v>
      </c>
      <c r="DY176">
        <v>1</v>
      </c>
      <c r="DZ176">
        <v>-0.11934500000000001</v>
      </c>
      <c r="EA176">
        <v>0.13513900000000001</v>
      </c>
      <c r="EB176">
        <v>20.190100000000001</v>
      </c>
      <c r="EC176">
        <v>5.2418500000000003</v>
      </c>
      <c r="ED176">
        <v>12.039899999999999</v>
      </c>
      <c r="EE176">
        <v>5.0172999999999996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1.8692</v>
      </c>
      <c r="EN176">
        <v>1.8672200000000001</v>
      </c>
      <c r="EO176">
        <v>1.8633900000000001</v>
      </c>
      <c r="EP176">
        <v>1.8644700000000001</v>
      </c>
      <c r="EQ176">
        <v>1.87015</v>
      </c>
      <c r="ER176">
        <v>1.86937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0.42699999999999999</v>
      </c>
      <c r="FG176">
        <v>0.19839999999999999</v>
      </c>
      <c r="FH176">
        <v>0.69281559908863044</v>
      </c>
      <c r="FI176">
        <v>-6.1462078757559423E-4</v>
      </c>
      <c r="FJ176">
        <v>-1.8861989874597051E-7</v>
      </c>
      <c r="FK176">
        <v>1.1980462299894961E-10</v>
      </c>
      <c r="FL176">
        <v>0.19840465858211129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37.299999999999997</v>
      </c>
      <c r="FU176">
        <v>37.299999999999997</v>
      </c>
      <c r="FV176">
        <v>1.7639199999999999</v>
      </c>
      <c r="FW176">
        <v>2.5769000000000002</v>
      </c>
      <c r="FX176">
        <v>1.5490699999999999</v>
      </c>
      <c r="FY176">
        <v>2.3339799999999999</v>
      </c>
      <c r="FZ176">
        <v>1.50146</v>
      </c>
      <c r="GA176">
        <v>2.36206</v>
      </c>
      <c r="GB176">
        <v>33.602899999999998</v>
      </c>
      <c r="GC176">
        <v>23.991199999999999</v>
      </c>
      <c r="GD176">
        <v>19</v>
      </c>
      <c r="GE176">
        <v>281.50799999999998</v>
      </c>
      <c r="GF176">
        <v>575.05899999999997</v>
      </c>
      <c r="GG176">
        <v>24.117799999999999</v>
      </c>
      <c r="GH176">
        <v>25.901399999999999</v>
      </c>
      <c r="GI176">
        <v>30.0002</v>
      </c>
      <c r="GJ176">
        <v>26.0383</v>
      </c>
      <c r="GK176">
        <v>26.017600000000002</v>
      </c>
      <c r="GL176">
        <v>35.274700000000003</v>
      </c>
      <c r="GM176">
        <v>100</v>
      </c>
      <c r="GN176">
        <v>17.533200000000001</v>
      </c>
      <c r="GO176">
        <v>24.122299999999999</v>
      </c>
      <c r="GP176">
        <v>800</v>
      </c>
      <c r="GQ176">
        <v>0</v>
      </c>
      <c r="GR176">
        <v>99.822299999999998</v>
      </c>
      <c r="GS176">
        <v>99.700699999999998</v>
      </c>
    </row>
    <row r="177" spans="1:201" x14ac:dyDescent="0.25">
      <c r="A177">
        <v>161</v>
      </c>
      <c r="B177">
        <v>1690389885.5999999</v>
      </c>
      <c r="C177">
        <v>1627.099999904633</v>
      </c>
      <c r="D177" t="s">
        <v>655</v>
      </c>
      <c r="E177" t="s">
        <v>656</v>
      </c>
      <c r="F177" t="s">
        <v>330</v>
      </c>
      <c r="H177">
        <v>1690389885.5999999</v>
      </c>
      <c r="I177">
        <f t="shared" si="60"/>
        <v>2.4353697708764982E-3</v>
      </c>
      <c r="J177">
        <f t="shared" si="61"/>
        <v>2.4353697708764983</v>
      </c>
      <c r="K177">
        <f t="shared" si="62"/>
        <v>37.186183267883749</v>
      </c>
      <c r="L177">
        <f t="shared" si="63"/>
        <v>395.81099999999998</v>
      </c>
      <c r="M177">
        <f t="shared" si="64"/>
        <v>106.714987153731</v>
      </c>
      <c r="N177">
        <f t="shared" si="65"/>
        <v>10.52383313247897</v>
      </c>
      <c r="O177">
        <f t="shared" si="66"/>
        <v>39.033401278481996</v>
      </c>
      <c r="P177">
        <f t="shared" si="67"/>
        <v>0.21927903326347215</v>
      </c>
      <c r="Q177">
        <f t="shared" si="68"/>
        <v>2.1554894741249169</v>
      </c>
      <c r="R177">
        <f t="shared" si="69"/>
        <v>0.20759703573020236</v>
      </c>
      <c r="S177">
        <f t="shared" si="70"/>
        <v>0.13074584182204019</v>
      </c>
      <c r="T177">
        <f t="shared" si="71"/>
        <v>276.11397246600006</v>
      </c>
      <c r="U177">
        <f t="shared" si="72"/>
        <v>27.194761749576923</v>
      </c>
      <c r="V177">
        <f t="shared" si="73"/>
        <v>27.194761749576923</v>
      </c>
      <c r="W177">
        <f t="shared" si="74"/>
        <v>3.6203061064585396</v>
      </c>
      <c r="X177">
        <f t="shared" si="75"/>
        <v>74.625834484652657</v>
      </c>
      <c r="Y177">
        <f t="shared" si="76"/>
        <v>2.4993108208755999</v>
      </c>
      <c r="Z177">
        <f t="shared" si="77"/>
        <v>3.349122777835873</v>
      </c>
      <c r="AA177">
        <f t="shared" si="78"/>
        <v>1.1209952855829397</v>
      </c>
      <c r="AB177">
        <f t="shared" si="79"/>
        <v>-107.39980689565357</v>
      </c>
      <c r="AC177">
        <f t="shared" si="80"/>
        <v>-153.51629052439608</v>
      </c>
      <c r="AD177">
        <f t="shared" si="81"/>
        <v>-15.298937266059479</v>
      </c>
      <c r="AE177">
        <f t="shared" si="82"/>
        <v>-0.10106222010904276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52260.702291452362</v>
      </c>
      <c r="AK177">
        <f t="shared" si="86"/>
        <v>1800</v>
      </c>
      <c r="AL177">
        <f t="shared" si="87"/>
        <v>1499.1103655999998</v>
      </c>
      <c r="AM177">
        <f t="shared" si="88"/>
        <v>0.83283909199999995</v>
      </c>
      <c r="AN177">
        <f t="shared" si="89"/>
        <v>0.15339665137000003</v>
      </c>
      <c r="AO177">
        <v>31.8</v>
      </c>
      <c r="AP177">
        <v>0.5</v>
      </c>
      <c r="AQ177" t="s">
        <v>331</v>
      </c>
      <c r="AR177">
        <v>2</v>
      </c>
      <c r="AS177">
        <v>1690389885.5999999</v>
      </c>
      <c r="AT177">
        <v>395.81099999999998</v>
      </c>
      <c r="AU177">
        <v>799.97199999999998</v>
      </c>
      <c r="AV177">
        <v>25.343800000000002</v>
      </c>
      <c r="AW177">
        <v>0.197462</v>
      </c>
      <c r="AX177">
        <v>395.38400000000001</v>
      </c>
      <c r="AY177">
        <v>25.145399999999999</v>
      </c>
      <c r="AZ177">
        <v>300.17099999999999</v>
      </c>
      <c r="BA177">
        <v>98.516199999999998</v>
      </c>
      <c r="BB177">
        <v>0.100062</v>
      </c>
      <c r="BC177">
        <v>25.873699999999999</v>
      </c>
      <c r="BD177">
        <v>27.019400000000001</v>
      </c>
      <c r="BE177">
        <v>27.0261</v>
      </c>
      <c r="BF177">
        <v>0</v>
      </c>
      <c r="BG177">
        <v>0</v>
      </c>
      <c r="BH177">
        <v>9994.3799999999992</v>
      </c>
      <c r="BI177">
        <v>1067.51</v>
      </c>
      <c r="BJ177">
        <v>1.4016500000000001</v>
      </c>
      <c r="BK177">
        <v>-404.161</v>
      </c>
      <c r="BL177">
        <v>406.10399999999998</v>
      </c>
      <c r="BM177">
        <v>800.13</v>
      </c>
      <c r="BN177">
        <v>25.1463</v>
      </c>
      <c r="BO177">
        <v>799.97199999999998</v>
      </c>
      <c r="BP177">
        <v>0.197462</v>
      </c>
      <c r="BQ177">
        <v>2.4967700000000002</v>
      </c>
      <c r="BR177">
        <v>1.94532E-2</v>
      </c>
      <c r="BS177">
        <v>21.005500000000001</v>
      </c>
      <c r="BT177">
        <v>-39.6922</v>
      </c>
      <c r="BU177">
        <v>1800</v>
      </c>
      <c r="BV177">
        <v>0.91000700000000001</v>
      </c>
      <c r="BW177">
        <v>3.40004E-2</v>
      </c>
      <c r="BX177">
        <v>2.19911E-2</v>
      </c>
      <c r="BY177">
        <v>3.4000900000000001E-2</v>
      </c>
      <c r="BZ177">
        <v>25</v>
      </c>
      <c r="CA177">
        <v>33528.5</v>
      </c>
      <c r="CB177">
        <v>1690387638</v>
      </c>
      <c r="CC177" t="s">
        <v>332</v>
      </c>
      <c r="CD177">
        <v>1690387638</v>
      </c>
      <c r="CE177">
        <v>1690387638</v>
      </c>
      <c r="CF177">
        <v>6</v>
      </c>
      <c r="CG177">
        <v>0.43</v>
      </c>
      <c r="CH177">
        <v>-8.1000000000000003E-2</v>
      </c>
      <c r="CI177">
        <v>0.14199999999999999</v>
      </c>
      <c r="CJ177">
        <v>-2.7E-2</v>
      </c>
      <c r="CK177">
        <v>800</v>
      </c>
      <c r="CL177">
        <v>0</v>
      </c>
      <c r="CM177">
        <v>0.01</v>
      </c>
      <c r="CN177">
        <v>0.01</v>
      </c>
      <c r="CO177">
        <v>-403.19256097560981</v>
      </c>
      <c r="CP177">
        <v>-5.3719442508713797</v>
      </c>
      <c r="CQ177">
        <v>0.5320214120384118</v>
      </c>
      <c r="CR177">
        <v>-1</v>
      </c>
      <c r="CS177">
        <v>25.099843902439019</v>
      </c>
      <c r="CT177">
        <v>0.26251149825782771</v>
      </c>
      <c r="CU177">
        <v>2.5925804536571961E-2</v>
      </c>
      <c r="CV177">
        <v>-1</v>
      </c>
      <c r="CW177">
        <v>0</v>
      </c>
      <c r="CX177">
        <v>0</v>
      </c>
      <c r="CY177" t="s">
        <v>333</v>
      </c>
      <c r="CZ177">
        <v>2.3650099999999998</v>
      </c>
      <c r="DA177">
        <v>2.7138499999999999</v>
      </c>
      <c r="DB177">
        <v>8.8261300000000001E-2</v>
      </c>
      <c r="DC177">
        <v>0.14526500000000001</v>
      </c>
      <c r="DD177">
        <v>0.117753</v>
      </c>
      <c r="DE177">
        <v>1.65084E-3</v>
      </c>
      <c r="DF177">
        <v>33318.9</v>
      </c>
      <c r="DG177">
        <v>27582.3</v>
      </c>
      <c r="DH177">
        <v>31196.799999999999</v>
      </c>
      <c r="DI177">
        <v>28118.400000000001</v>
      </c>
      <c r="DJ177">
        <v>37362.199999999997</v>
      </c>
      <c r="DK177">
        <v>39928</v>
      </c>
      <c r="DL177">
        <v>44400.9</v>
      </c>
      <c r="DM177">
        <v>42620.2</v>
      </c>
      <c r="DN177">
        <v>1.4764200000000001</v>
      </c>
      <c r="DO177">
        <v>2.0309300000000001</v>
      </c>
      <c r="DP177">
        <v>0.14679900000000001</v>
      </c>
      <c r="DQ177">
        <v>0.149287</v>
      </c>
      <c r="DR177">
        <v>24.614000000000001</v>
      </c>
      <c r="DS177">
        <v>24.579799999999999</v>
      </c>
      <c r="DT177">
        <v>26.5</v>
      </c>
      <c r="DU177">
        <v>29.1</v>
      </c>
      <c r="DV177">
        <v>10.880800000000001</v>
      </c>
      <c r="DW177">
        <v>61.0122</v>
      </c>
      <c r="DX177">
        <v>37.792499999999997</v>
      </c>
      <c r="DY177">
        <v>1</v>
      </c>
      <c r="DZ177">
        <v>-0.119365</v>
      </c>
      <c r="EA177">
        <v>0.16039200000000001</v>
      </c>
      <c r="EB177">
        <v>20.190100000000001</v>
      </c>
      <c r="EC177">
        <v>5.24125</v>
      </c>
      <c r="ED177">
        <v>12.039899999999999</v>
      </c>
      <c r="EE177">
        <v>5.0171999999999999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1.8672200000000001</v>
      </c>
      <c r="EO177">
        <v>1.86337</v>
      </c>
      <c r="EP177">
        <v>1.8644499999999999</v>
      </c>
      <c r="EQ177">
        <v>1.8701700000000001</v>
      </c>
      <c r="ER177">
        <v>1.86937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0.42699999999999999</v>
      </c>
      <c r="FG177">
        <v>0.19839999999999999</v>
      </c>
      <c r="FH177">
        <v>0.69281559908863044</v>
      </c>
      <c r="FI177">
        <v>-6.1462078757559423E-4</v>
      </c>
      <c r="FJ177">
        <v>-1.8861989874597051E-7</v>
      </c>
      <c r="FK177">
        <v>1.1980462299894961E-10</v>
      </c>
      <c r="FL177">
        <v>0.19840465858211129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37.5</v>
      </c>
      <c r="FU177">
        <v>37.5</v>
      </c>
      <c r="FV177">
        <v>1.7639199999999999</v>
      </c>
      <c r="FW177">
        <v>2.5903299999999998</v>
      </c>
      <c r="FX177">
        <v>1.5490699999999999</v>
      </c>
      <c r="FY177">
        <v>2.3339799999999999</v>
      </c>
      <c r="FZ177">
        <v>1.50146</v>
      </c>
      <c r="GA177">
        <v>2.33765</v>
      </c>
      <c r="GB177">
        <v>33.602899999999998</v>
      </c>
      <c r="GC177">
        <v>23.982399999999998</v>
      </c>
      <c r="GD177">
        <v>19</v>
      </c>
      <c r="GE177">
        <v>281.59300000000002</v>
      </c>
      <c r="GF177">
        <v>575.07899999999995</v>
      </c>
      <c r="GG177">
        <v>24.119800000000001</v>
      </c>
      <c r="GH177">
        <v>25.901399999999999</v>
      </c>
      <c r="GI177">
        <v>30.000299999999999</v>
      </c>
      <c r="GJ177">
        <v>26.0383</v>
      </c>
      <c r="GK177">
        <v>26.017600000000002</v>
      </c>
      <c r="GL177">
        <v>35.276800000000001</v>
      </c>
      <c r="GM177">
        <v>100</v>
      </c>
      <c r="GN177">
        <v>17.144200000000001</v>
      </c>
      <c r="GO177">
        <v>24.100100000000001</v>
      </c>
      <c r="GP177">
        <v>800</v>
      </c>
      <c r="GQ177">
        <v>0</v>
      </c>
      <c r="GR177">
        <v>99.822900000000004</v>
      </c>
      <c r="GS177">
        <v>99.7012</v>
      </c>
    </row>
    <row r="178" spans="1:201" x14ac:dyDescent="0.25">
      <c r="A178">
        <v>162</v>
      </c>
      <c r="B178">
        <v>1690389895.5999999</v>
      </c>
      <c r="C178">
        <v>1637.099999904633</v>
      </c>
      <c r="D178" t="s">
        <v>657</v>
      </c>
      <c r="E178" t="s">
        <v>658</v>
      </c>
      <c r="F178" t="s">
        <v>330</v>
      </c>
      <c r="H178">
        <v>1690389895.5999999</v>
      </c>
      <c r="I178">
        <f t="shared" si="60"/>
        <v>2.4386117828448278E-3</v>
      </c>
      <c r="J178">
        <f t="shared" si="61"/>
        <v>2.4386117828448279</v>
      </c>
      <c r="K178">
        <f t="shared" si="62"/>
        <v>37.273464438151962</v>
      </c>
      <c r="L178">
        <f t="shared" si="63"/>
        <v>394.87299999999999</v>
      </c>
      <c r="M178">
        <f t="shared" si="64"/>
        <v>106.2837347430798</v>
      </c>
      <c r="N178">
        <f t="shared" si="65"/>
        <v>10.48138572625167</v>
      </c>
      <c r="O178">
        <f t="shared" si="66"/>
        <v>38.941200512824992</v>
      </c>
      <c r="P178">
        <f t="shared" si="67"/>
        <v>0.22021315527207747</v>
      </c>
      <c r="Q178">
        <f t="shared" si="68"/>
        <v>2.1546750392654768</v>
      </c>
      <c r="R178">
        <f t="shared" si="69"/>
        <v>0.20843009003394505</v>
      </c>
      <c r="S178">
        <f t="shared" si="70"/>
        <v>0.13127490297888608</v>
      </c>
      <c r="T178">
        <f t="shared" si="71"/>
        <v>276.11395984800004</v>
      </c>
      <c r="U178">
        <f t="shared" si="72"/>
        <v>27.197492048351428</v>
      </c>
      <c r="V178">
        <f t="shared" si="73"/>
        <v>27.197492048351428</v>
      </c>
      <c r="W178">
        <f t="shared" si="74"/>
        <v>3.6208858461775764</v>
      </c>
      <c r="X178">
        <f t="shared" si="75"/>
        <v>74.717957041933289</v>
      </c>
      <c r="Y178">
        <f t="shared" si="76"/>
        <v>2.5029000944999997</v>
      </c>
      <c r="Z178">
        <f t="shared" si="77"/>
        <v>3.3497972824595825</v>
      </c>
      <c r="AA178">
        <f t="shared" si="78"/>
        <v>1.1179857516775766</v>
      </c>
      <c r="AB178">
        <f t="shared" si="79"/>
        <v>-107.54277962345691</v>
      </c>
      <c r="AC178">
        <f t="shared" si="80"/>
        <v>-153.38049119648255</v>
      </c>
      <c r="AD178">
        <f t="shared" si="81"/>
        <v>-15.291650951813333</v>
      </c>
      <c r="AE178">
        <f t="shared" si="82"/>
        <v>-0.10096192375274882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52226.018770879768</v>
      </c>
      <c r="AK178">
        <f t="shared" si="86"/>
        <v>1800</v>
      </c>
      <c r="AL178">
        <f t="shared" si="87"/>
        <v>1499.1094998000001</v>
      </c>
      <c r="AM178">
        <f t="shared" si="88"/>
        <v>0.83283861100000001</v>
      </c>
      <c r="AN178">
        <f t="shared" si="89"/>
        <v>0.15339664436000003</v>
      </c>
      <c r="AO178">
        <v>31.8</v>
      </c>
      <c r="AP178">
        <v>0.5</v>
      </c>
      <c r="AQ178" t="s">
        <v>331</v>
      </c>
      <c r="AR178">
        <v>2</v>
      </c>
      <c r="AS178">
        <v>1690389895.5999999</v>
      </c>
      <c r="AT178">
        <v>394.87299999999999</v>
      </c>
      <c r="AU178">
        <v>800.029</v>
      </c>
      <c r="AV178">
        <v>25.38</v>
      </c>
      <c r="AW178">
        <v>0.19608800000000001</v>
      </c>
      <c r="AX178">
        <v>394.44400000000002</v>
      </c>
      <c r="AY178">
        <v>25.1816</v>
      </c>
      <c r="AZ178">
        <v>300.11099999999999</v>
      </c>
      <c r="BA178">
        <v>98.516999999999996</v>
      </c>
      <c r="BB178">
        <v>0.100025</v>
      </c>
      <c r="BC178">
        <v>25.877099999999999</v>
      </c>
      <c r="BD178">
        <v>27.039400000000001</v>
      </c>
      <c r="BE178">
        <v>27.010200000000001</v>
      </c>
      <c r="BF178">
        <v>0</v>
      </c>
      <c r="BG178">
        <v>0</v>
      </c>
      <c r="BH178">
        <v>9987.5</v>
      </c>
      <c r="BI178">
        <v>1067.51</v>
      </c>
      <c r="BJ178">
        <v>1.4016500000000001</v>
      </c>
      <c r="BK178">
        <v>-405.15600000000001</v>
      </c>
      <c r="BL178">
        <v>405.15600000000001</v>
      </c>
      <c r="BM178">
        <v>800.18499999999995</v>
      </c>
      <c r="BN178">
        <v>25.183900000000001</v>
      </c>
      <c r="BO178">
        <v>800.029</v>
      </c>
      <c r="BP178">
        <v>0.19608800000000001</v>
      </c>
      <c r="BQ178">
        <v>2.5003600000000001</v>
      </c>
      <c r="BR178">
        <v>1.9317999999999998E-2</v>
      </c>
      <c r="BS178">
        <v>21.0288</v>
      </c>
      <c r="BT178">
        <v>-39.7592</v>
      </c>
      <c r="BU178">
        <v>1800</v>
      </c>
      <c r="BV178">
        <v>0.91000400000000004</v>
      </c>
      <c r="BW178">
        <v>3.4004199999999998E-2</v>
      </c>
      <c r="BX178">
        <v>2.1990300000000001E-2</v>
      </c>
      <c r="BY178">
        <v>3.4001000000000003E-2</v>
      </c>
      <c r="BZ178">
        <v>25</v>
      </c>
      <c r="CA178">
        <v>33528.5</v>
      </c>
      <c r="CB178">
        <v>1690387638</v>
      </c>
      <c r="CC178" t="s">
        <v>332</v>
      </c>
      <c r="CD178">
        <v>1690387638</v>
      </c>
      <c r="CE178">
        <v>1690387638</v>
      </c>
      <c r="CF178">
        <v>6</v>
      </c>
      <c r="CG178">
        <v>0.43</v>
      </c>
      <c r="CH178">
        <v>-8.1000000000000003E-2</v>
      </c>
      <c r="CI178">
        <v>0.14199999999999999</v>
      </c>
      <c r="CJ178">
        <v>-2.7E-2</v>
      </c>
      <c r="CK178">
        <v>800</v>
      </c>
      <c r="CL178">
        <v>0</v>
      </c>
      <c r="CM178">
        <v>0.01</v>
      </c>
      <c r="CN178">
        <v>0.01</v>
      </c>
      <c r="CO178">
        <v>-404.03922499999999</v>
      </c>
      <c r="CP178">
        <v>-5.0229455909935057</v>
      </c>
      <c r="CQ178">
        <v>0.4844701480741615</v>
      </c>
      <c r="CR178">
        <v>-1</v>
      </c>
      <c r="CS178">
        <v>25.140460000000001</v>
      </c>
      <c r="CT178">
        <v>0.23960825515942391</v>
      </c>
      <c r="CU178">
        <v>2.3066315267072701E-2</v>
      </c>
      <c r="CV178">
        <v>-1</v>
      </c>
      <c r="CW178">
        <v>0</v>
      </c>
      <c r="CX178">
        <v>0</v>
      </c>
      <c r="CY178" t="s">
        <v>333</v>
      </c>
      <c r="CZ178">
        <v>2.36483</v>
      </c>
      <c r="DA178">
        <v>2.7138</v>
      </c>
      <c r="DB178">
        <v>8.8101600000000002E-2</v>
      </c>
      <c r="DC178">
        <v>0.14527300000000001</v>
      </c>
      <c r="DD178">
        <v>0.117872</v>
      </c>
      <c r="DE178">
        <v>1.6395100000000001E-3</v>
      </c>
      <c r="DF178">
        <v>33324.800000000003</v>
      </c>
      <c r="DG178">
        <v>27581.9</v>
      </c>
      <c r="DH178">
        <v>31196.799999999999</v>
      </c>
      <c r="DI178">
        <v>28118.2</v>
      </c>
      <c r="DJ178">
        <v>37356.9</v>
      </c>
      <c r="DK178">
        <v>39928.1</v>
      </c>
      <c r="DL178">
        <v>44400.6</v>
      </c>
      <c r="DM178">
        <v>42619.9</v>
      </c>
      <c r="DN178">
        <v>1.4765299999999999</v>
      </c>
      <c r="DO178">
        <v>2.0309699999999999</v>
      </c>
      <c r="DP178">
        <v>0.147894</v>
      </c>
      <c r="DQ178">
        <v>0.14825199999999999</v>
      </c>
      <c r="DR178">
        <v>24.616099999999999</v>
      </c>
      <c r="DS178">
        <v>24.5809</v>
      </c>
      <c r="DT178">
        <v>26.3</v>
      </c>
      <c r="DU178">
        <v>29.1</v>
      </c>
      <c r="DV178">
        <v>10.7996</v>
      </c>
      <c r="DW178">
        <v>61.002200000000002</v>
      </c>
      <c r="DX178">
        <v>37.576099999999997</v>
      </c>
      <c r="DY178">
        <v>1</v>
      </c>
      <c r="DZ178">
        <v>-0.11899899999999999</v>
      </c>
      <c r="EA178">
        <v>0.22179699999999999</v>
      </c>
      <c r="EB178">
        <v>20.190000000000001</v>
      </c>
      <c r="EC178">
        <v>5.2411000000000003</v>
      </c>
      <c r="ED178">
        <v>12.039899999999999</v>
      </c>
      <c r="EE178">
        <v>5.0171999999999999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1.8692</v>
      </c>
      <c r="EN178">
        <v>1.8672299999999999</v>
      </c>
      <c r="EO178">
        <v>1.8633500000000001</v>
      </c>
      <c r="EP178">
        <v>1.8644700000000001</v>
      </c>
      <c r="EQ178">
        <v>1.8701700000000001</v>
      </c>
      <c r="ER178">
        <v>1.86937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0.42899999999999999</v>
      </c>
      <c r="FG178">
        <v>0.19839999999999999</v>
      </c>
      <c r="FH178">
        <v>0.69281559908863044</v>
      </c>
      <c r="FI178">
        <v>-6.1462078757559423E-4</v>
      </c>
      <c r="FJ178">
        <v>-1.8861989874597051E-7</v>
      </c>
      <c r="FK178">
        <v>1.1980462299894961E-10</v>
      </c>
      <c r="FL178">
        <v>0.19840465858211129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37.6</v>
      </c>
      <c r="FU178">
        <v>37.6</v>
      </c>
      <c r="FV178">
        <v>1.7639199999999999</v>
      </c>
      <c r="FW178">
        <v>2.5830099999999998</v>
      </c>
      <c r="FX178">
        <v>1.5490699999999999</v>
      </c>
      <c r="FY178">
        <v>2.3339799999999999</v>
      </c>
      <c r="FZ178">
        <v>1.50146</v>
      </c>
      <c r="GA178">
        <v>2.32178</v>
      </c>
      <c r="GB178">
        <v>33.602899999999998</v>
      </c>
      <c r="GC178">
        <v>23.973700000000001</v>
      </c>
      <c r="GD178">
        <v>19</v>
      </c>
      <c r="GE178">
        <v>281.63600000000002</v>
      </c>
      <c r="GF178">
        <v>575.12</v>
      </c>
      <c r="GG178">
        <v>24.0853</v>
      </c>
      <c r="GH178">
        <v>25.901399999999999</v>
      </c>
      <c r="GI178">
        <v>30.000299999999999</v>
      </c>
      <c r="GJ178">
        <v>26.0383</v>
      </c>
      <c r="GK178">
        <v>26.017600000000002</v>
      </c>
      <c r="GL178">
        <v>35.277500000000003</v>
      </c>
      <c r="GM178">
        <v>100</v>
      </c>
      <c r="GN178">
        <v>16.369299999999999</v>
      </c>
      <c r="GO178">
        <v>24.071300000000001</v>
      </c>
      <c r="GP178">
        <v>800</v>
      </c>
      <c r="GQ178">
        <v>0</v>
      </c>
      <c r="GR178">
        <v>99.822599999999994</v>
      </c>
      <c r="GS178">
        <v>99.700500000000005</v>
      </c>
    </row>
    <row r="179" spans="1:201" x14ac:dyDescent="0.25">
      <c r="A179">
        <v>163</v>
      </c>
      <c r="B179">
        <v>1690389905.5999999</v>
      </c>
      <c r="C179">
        <v>1647.099999904633</v>
      </c>
      <c r="D179" t="s">
        <v>659</v>
      </c>
      <c r="E179" t="s">
        <v>660</v>
      </c>
      <c r="F179" t="s">
        <v>330</v>
      </c>
      <c r="H179">
        <v>1690389905.5999999</v>
      </c>
      <c r="I179">
        <f t="shared" si="60"/>
        <v>2.4422023306303513E-3</v>
      </c>
      <c r="J179">
        <f t="shared" si="61"/>
        <v>2.4422023306303515</v>
      </c>
      <c r="K179">
        <f t="shared" si="62"/>
        <v>37.348341697390147</v>
      </c>
      <c r="L179">
        <f t="shared" si="63"/>
        <v>394.11900000000003</v>
      </c>
      <c r="M179">
        <f t="shared" si="64"/>
        <v>106.63887345620357</v>
      </c>
      <c r="N179">
        <f t="shared" si="65"/>
        <v>10.516540041972108</v>
      </c>
      <c r="O179">
        <f t="shared" si="66"/>
        <v>38.867329618821003</v>
      </c>
      <c r="P179">
        <f t="shared" si="67"/>
        <v>0.22153703528707397</v>
      </c>
      <c r="Q179">
        <f t="shared" si="68"/>
        <v>2.160226233306493</v>
      </c>
      <c r="R179">
        <f t="shared" si="69"/>
        <v>0.20964485490515569</v>
      </c>
      <c r="S179">
        <f t="shared" si="70"/>
        <v>0.1320432760920788</v>
      </c>
      <c r="T179">
        <f t="shared" si="71"/>
        <v>276.11430098400001</v>
      </c>
      <c r="U179">
        <f t="shared" si="72"/>
        <v>27.189174086664071</v>
      </c>
      <c r="V179">
        <f t="shared" si="73"/>
        <v>27.189174086664071</v>
      </c>
      <c r="W179">
        <f t="shared" si="74"/>
        <v>3.6191198990786853</v>
      </c>
      <c r="X179">
        <f t="shared" si="75"/>
        <v>74.827292993378606</v>
      </c>
      <c r="Y179">
        <f t="shared" si="76"/>
        <v>2.5059688557972</v>
      </c>
      <c r="Z179">
        <f t="shared" si="77"/>
        <v>3.3490037599234692</v>
      </c>
      <c r="AA179">
        <f t="shared" si="78"/>
        <v>1.1131510432814853</v>
      </c>
      <c r="AB179">
        <f t="shared" si="79"/>
        <v>-107.7011227807985</v>
      </c>
      <c r="AC179">
        <f t="shared" si="80"/>
        <v>-153.27277385378198</v>
      </c>
      <c r="AD179">
        <f t="shared" si="81"/>
        <v>-15.240703372977602</v>
      </c>
      <c r="AE179">
        <f t="shared" si="82"/>
        <v>-0.1002990235580512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52459.489306056021</v>
      </c>
      <c r="AK179">
        <f t="shared" si="86"/>
        <v>1800</v>
      </c>
      <c r="AL179">
        <f t="shared" si="87"/>
        <v>1499.1070734</v>
      </c>
      <c r="AM179">
        <f t="shared" si="88"/>
        <v>0.83283726299999994</v>
      </c>
      <c r="AN179">
        <f t="shared" si="89"/>
        <v>0.15339683388</v>
      </c>
      <c r="AO179">
        <v>31.8</v>
      </c>
      <c r="AP179">
        <v>0.5</v>
      </c>
      <c r="AQ179" t="s">
        <v>331</v>
      </c>
      <c r="AR179">
        <v>2</v>
      </c>
      <c r="AS179">
        <v>1690389905.5999999</v>
      </c>
      <c r="AT179">
        <v>394.11900000000003</v>
      </c>
      <c r="AU179">
        <v>799.99900000000002</v>
      </c>
      <c r="AV179">
        <v>25.410799999999998</v>
      </c>
      <c r="AW179">
        <v>0.19463800000000001</v>
      </c>
      <c r="AX179">
        <v>393.69</v>
      </c>
      <c r="AY179">
        <v>25.212399999999999</v>
      </c>
      <c r="AZ179">
        <v>300.15899999999999</v>
      </c>
      <c r="BA179">
        <v>98.518199999999993</v>
      </c>
      <c r="BB179">
        <v>0.100059</v>
      </c>
      <c r="BC179">
        <v>25.873100000000001</v>
      </c>
      <c r="BD179">
        <v>26.998200000000001</v>
      </c>
      <c r="BE179">
        <v>27.0229</v>
      </c>
      <c r="BF179">
        <v>0</v>
      </c>
      <c r="BG179">
        <v>0</v>
      </c>
      <c r="BH179">
        <v>10033.799999999999</v>
      </c>
      <c r="BI179">
        <v>1067.3599999999999</v>
      </c>
      <c r="BJ179">
        <v>1.4016500000000001</v>
      </c>
      <c r="BK179">
        <v>-405.88099999999997</v>
      </c>
      <c r="BL179">
        <v>404.39499999999998</v>
      </c>
      <c r="BM179">
        <v>800.15499999999997</v>
      </c>
      <c r="BN179">
        <v>25.216200000000001</v>
      </c>
      <c r="BO179">
        <v>799.99900000000002</v>
      </c>
      <c r="BP179">
        <v>0.19463800000000001</v>
      </c>
      <c r="BQ179">
        <v>2.5034299999999998</v>
      </c>
      <c r="BR179">
        <v>1.9175399999999999E-2</v>
      </c>
      <c r="BS179">
        <v>21.0488</v>
      </c>
      <c r="BT179">
        <v>-39.830300000000001</v>
      </c>
      <c r="BU179">
        <v>1800</v>
      </c>
      <c r="BV179">
        <v>0.90998699999999999</v>
      </c>
      <c r="BW179">
        <v>3.40086E-2</v>
      </c>
      <c r="BX179">
        <v>2.19899E-2</v>
      </c>
      <c r="BY179">
        <v>3.4014599999999999E-2</v>
      </c>
      <c r="BZ179">
        <v>25</v>
      </c>
      <c r="CA179">
        <v>33528.400000000001</v>
      </c>
      <c r="CB179">
        <v>1690387638</v>
      </c>
      <c r="CC179" t="s">
        <v>332</v>
      </c>
      <c r="CD179">
        <v>1690387638</v>
      </c>
      <c r="CE179">
        <v>1690387638</v>
      </c>
      <c r="CF179">
        <v>6</v>
      </c>
      <c r="CG179">
        <v>0.43</v>
      </c>
      <c r="CH179">
        <v>-8.1000000000000003E-2</v>
      </c>
      <c r="CI179">
        <v>0.14199999999999999</v>
      </c>
      <c r="CJ179">
        <v>-2.7E-2</v>
      </c>
      <c r="CK179">
        <v>800</v>
      </c>
      <c r="CL179">
        <v>0</v>
      </c>
      <c r="CM179">
        <v>0.01</v>
      </c>
      <c r="CN179">
        <v>0.01</v>
      </c>
      <c r="CO179">
        <v>-404.95860975609759</v>
      </c>
      <c r="CP179">
        <v>-5.3613240418118684</v>
      </c>
      <c r="CQ179">
        <v>0.53602766028232463</v>
      </c>
      <c r="CR179">
        <v>-1</v>
      </c>
      <c r="CS179">
        <v>25.180360975609759</v>
      </c>
      <c r="CT179">
        <v>0.22389616724746619</v>
      </c>
      <c r="CU179">
        <v>2.210816953127958E-2</v>
      </c>
      <c r="CV179">
        <v>-1</v>
      </c>
      <c r="CW179">
        <v>0</v>
      </c>
      <c r="CX179">
        <v>0</v>
      </c>
      <c r="CY179" t="s">
        <v>333</v>
      </c>
      <c r="CZ179">
        <v>2.36497</v>
      </c>
      <c r="DA179">
        <v>2.7138800000000001</v>
      </c>
      <c r="DB179">
        <v>8.7973700000000002E-2</v>
      </c>
      <c r="DC179">
        <v>0.14527200000000001</v>
      </c>
      <c r="DD179">
        <v>0.117975</v>
      </c>
      <c r="DE179">
        <v>1.6275599999999999E-3</v>
      </c>
      <c r="DF179">
        <v>33329.800000000003</v>
      </c>
      <c r="DG179">
        <v>27581.9</v>
      </c>
      <c r="DH179">
        <v>31197.200000000001</v>
      </c>
      <c r="DI179">
        <v>28118.2</v>
      </c>
      <c r="DJ179">
        <v>37353</v>
      </c>
      <c r="DK179">
        <v>39928.9</v>
      </c>
      <c r="DL179">
        <v>44401.3</v>
      </c>
      <c r="DM179">
        <v>42620.3</v>
      </c>
      <c r="DN179">
        <v>1.47645</v>
      </c>
      <c r="DO179">
        <v>2.0309699999999999</v>
      </c>
      <c r="DP179">
        <v>0.145122</v>
      </c>
      <c r="DQ179">
        <v>0.14882500000000001</v>
      </c>
      <c r="DR179">
        <v>24.620200000000001</v>
      </c>
      <c r="DS179">
        <v>24.584299999999999</v>
      </c>
      <c r="DT179">
        <v>26</v>
      </c>
      <c r="DU179">
        <v>29.1</v>
      </c>
      <c r="DV179">
        <v>10.674899999999999</v>
      </c>
      <c r="DW179">
        <v>60.752200000000002</v>
      </c>
      <c r="DX179">
        <v>36.706699999999998</v>
      </c>
      <c r="DY179">
        <v>1</v>
      </c>
      <c r="DZ179">
        <v>-0.118717</v>
      </c>
      <c r="EA179">
        <v>0.17011699999999999</v>
      </c>
      <c r="EB179">
        <v>20.189699999999998</v>
      </c>
      <c r="EC179">
        <v>5.2416999999999998</v>
      </c>
      <c r="ED179">
        <v>12.039899999999999</v>
      </c>
      <c r="EE179">
        <v>5.0174500000000002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1.8692</v>
      </c>
      <c r="EN179">
        <v>1.8672200000000001</v>
      </c>
      <c r="EO179">
        <v>1.8633500000000001</v>
      </c>
      <c r="EP179">
        <v>1.8644700000000001</v>
      </c>
      <c r="EQ179">
        <v>1.87016</v>
      </c>
      <c r="ER179">
        <v>1.8693500000000001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0.42899999999999999</v>
      </c>
      <c r="FG179">
        <v>0.19839999999999999</v>
      </c>
      <c r="FH179">
        <v>0.69281559908863044</v>
      </c>
      <c r="FI179">
        <v>-6.1462078757559423E-4</v>
      </c>
      <c r="FJ179">
        <v>-1.8861989874597051E-7</v>
      </c>
      <c r="FK179">
        <v>1.1980462299894961E-10</v>
      </c>
      <c r="FL179">
        <v>0.19840465858211129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37.799999999999997</v>
      </c>
      <c r="FU179">
        <v>37.799999999999997</v>
      </c>
      <c r="FV179">
        <v>1.7651399999999999</v>
      </c>
      <c r="FW179">
        <v>2.5793499999999998</v>
      </c>
      <c r="FX179">
        <v>1.5490699999999999</v>
      </c>
      <c r="FY179">
        <v>2.3339799999999999</v>
      </c>
      <c r="FZ179">
        <v>1.50146</v>
      </c>
      <c r="GA179">
        <v>2.3840300000000001</v>
      </c>
      <c r="GB179">
        <v>33.602899999999998</v>
      </c>
      <c r="GC179">
        <v>23.991199999999999</v>
      </c>
      <c r="GD179">
        <v>19</v>
      </c>
      <c r="GE179">
        <v>281.60399999999998</v>
      </c>
      <c r="GF179">
        <v>575.12</v>
      </c>
      <c r="GG179">
        <v>24.043900000000001</v>
      </c>
      <c r="GH179">
        <v>25.901399999999999</v>
      </c>
      <c r="GI179">
        <v>30.0001</v>
      </c>
      <c r="GJ179">
        <v>26.0383</v>
      </c>
      <c r="GK179">
        <v>26.017600000000002</v>
      </c>
      <c r="GL179">
        <v>35.274700000000003</v>
      </c>
      <c r="GM179">
        <v>100</v>
      </c>
      <c r="GN179">
        <v>15.9917</v>
      </c>
      <c r="GO179">
        <v>24.0854</v>
      </c>
      <c r="GP179">
        <v>800</v>
      </c>
      <c r="GQ179">
        <v>0</v>
      </c>
      <c r="GR179">
        <v>99.823899999999995</v>
      </c>
      <c r="GS179">
        <v>99.700999999999993</v>
      </c>
    </row>
    <row r="180" spans="1:201" x14ac:dyDescent="0.25">
      <c r="A180">
        <v>164</v>
      </c>
      <c r="B180">
        <v>1690389915.5999999</v>
      </c>
      <c r="C180">
        <v>1657.099999904633</v>
      </c>
      <c r="D180" t="s">
        <v>661</v>
      </c>
      <c r="E180" t="s">
        <v>662</v>
      </c>
      <c r="F180" t="s">
        <v>330</v>
      </c>
      <c r="H180">
        <v>1690389915.5999999</v>
      </c>
      <c r="I180">
        <f t="shared" si="60"/>
        <v>2.445098742634834E-3</v>
      </c>
      <c r="J180">
        <f t="shared" si="61"/>
        <v>2.4450987426348338</v>
      </c>
      <c r="K180">
        <f t="shared" si="62"/>
        <v>37.418967741946254</v>
      </c>
      <c r="L180">
        <f t="shared" si="63"/>
        <v>393.28500000000003</v>
      </c>
      <c r="M180">
        <f t="shared" si="64"/>
        <v>106.64513393006735</v>
      </c>
      <c r="N180">
        <f t="shared" si="65"/>
        <v>10.517311445242978</v>
      </c>
      <c r="O180">
        <f t="shared" si="66"/>
        <v>38.785649933683501</v>
      </c>
      <c r="P180">
        <f t="shared" si="67"/>
        <v>0.2226646967758994</v>
      </c>
      <c r="Q180">
        <f t="shared" si="68"/>
        <v>2.1572589585780291</v>
      </c>
      <c r="R180">
        <f t="shared" si="69"/>
        <v>0.21063910405422884</v>
      </c>
      <c r="S180">
        <f t="shared" si="70"/>
        <v>0.13267574233238971</v>
      </c>
      <c r="T180">
        <f t="shared" si="71"/>
        <v>276.11452326599994</v>
      </c>
      <c r="U180">
        <f t="shared" si="72"/>
        <v>27.186627510288471</v>
      </c>
      <c r="V180">
        <f t="shared" si="73"/>
        <v>27.186627510288471</v>
      </c>
      <c r="W180">
        <f t="shared" si="74"/>
        <v>3.618579397822375</v>
      </c>
      <c r="X180">
        <f t="shared" si="75"/>
        <v>74.943007725767359</v>
      </c>
      <c r="Y180">
        <f t="shared" si="76"/>
        <v>2.5093684834091907</v>
      </c>
      <c r="Z180">
        <f t="shared" si="77"/>
        <v>3.3483690601150036</v>
      </c>
      <c r="AA180">
        <f t="shared" si="78"/>
        <v>1.1092109144131843</v>
      </c>
      <c r="AB180">
        <f t="shared" si="79"/>
        <v>-107.82885455019618</v>
      </c>
      <c r="AC180">
        <f t="shared" si="80"/>
        <v>-153.13823379395436</v>
      </c>
      <c r="AD180">
        <f t="shared" si="81"/>
        <v>-15.247831565446733</v>
      </c>
      <c r="AE180">
        <f t="shared" si="82"/>
        <v>-0.10039664359734957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52335.595468321691</v>
      </c>
      <c r="AK180">
        <f t="shared" si="86"/>
        <v>1800</v>
      </c>
      <c r="AL180">
        <f t="shared" si="87"/>
        <v>1499.1071795999999</v>
      </c>
      <c r="AM180">
        <f t="shared" si="88"/>
        <v>0.83283732199999994</v>
      </c>
      <c r="AN180">
        <f t="shared" si="89"/>
        <v>0.15339695736999998</v>
      </c>
      <c r="AO180">
        <v>31.8</v>
      </c>
      <c r="AP180">
        <v>0.5</v>
      </c>
      <c r="AQ180" t="s">
        <v>331</v>
      </c>
      <c r="AR180">
        <v>2</v>
      </c>
      <c r="AS180">
        <v>1690389915.5999999</v>
      </c>
      <c r="AT180">
        <v>393.28500000000003</v>
      </c>
      <c r="AU180">
        <v>800.00400000000002</v>
      </c>
      <c r="AV180">
        <v>25.444900000000001</v>
      </c>
      <c r="AW180">
        <v>0.19349</v>
      </c>
      <c r="AX180">
        <v>392.85599999999999</v>
      </c>
      <c r="AY180">
        <v>25.246500000000001</v>
      </c>
      <c r="AZ180">
        <v>300.08499999999998</v>
      </c>
      <c r="BA180">
        <v>98.519800000000004</v>
      </c>
      <c r="BB180">
        <v>9.9903099999999995E-2</v>
      </c>
      <c r="BC180">
        <v>25.869900000000001</v>
      </c>
      <c r="BD180">
        <v>27.0276</v>
      </c>
      <c r="BE180">
        <v>26.995699999999999</v>
      </c>
      <c r="BF180">
        <v>0</v>
      </c>
      <c r="BG180">
        <v>0</v>
      </c>
      <c r="BH180">
        <v>10008.799999999999</v>
      </c>
      <c r="BI180">
        <v>1067.44</v>
      </c>
      <c r="BJ180">
        <v>1.3736200000000001</v>
      </c>
      <c r="BK180">
        <v>-406.71899999999999</v>
      </c>
      <c r="BL180">
        <v>403.553</v>
      </c>
      <c r="BM180">
        <v>800.15899999999999</v>
      </c>
      <c r="BN180">
        <v>25.2514</v>
      </c>
      <c r="BO180">
        <v>800.00400000000002</v>
      </c>
      <c r="BP180">
        <v>0.19349</v>
      </c>
      <c r="BQ180">
        <v>2.5068299999999999</v>
      </c>
      <c r="BR180">
        <v>1.9062599999999999E-2</v>
      </c>
      <c r="BS180">
        <v>21.070900000000002</v>
      </c>
      <c r="BT180">
        <v>-39.886800000000001</v>
      </c>
      <c r="BU180">
        <v>1800</v>
      </c>
      <c r="BV180">
        <v>0.90998599999999996</v>
      </c>
      <c r="BW180">
        <v>3.4007900000000001E-2</v>
      </c>
      <c r="BX180">
        <v>2.1992100000000001E-2</v>
      </c>
      <c r="BY180">
        <v>3.40139E-2</v>
      </c>
      <c r="BZ180">
        <v>25</v>
      </c>
      <c r="CA180">
        <v>33528.400000000001</v>
      </c>
      <c r="CB180">
        <v>1690387638</v>
      </c>
      <c r="CC180" t="s">
        <v>332</v>
      </c>
      <c r="CD180">
        <v>1690387638</v>
      </c>
      <c r="CE180">
        <v>1690387638</v>
      </c>
      <c r="CF180">
        <v>6</v>
      </c>
      <c r="CG180">
        <v>0.43</v>
      </c>
      <c r="CH180">
        <v>-8.1000000000000003E-2</v>
      </c>
      <c r="CI180">
        <v>0.14199999999999999</v>
      </c>
      <c r="CJ180">
        <v>-2.7E-2</v>
      </c>
      <c r="CK180">
        <v>800</v>
      </c>
      <c r="CL180">
        <v>0</v>
      </c>
      <c r="CM180">
        <v>0.01</v>
      </c>
      <c r="CN180">
        <v>0.01</v>
      </c>
      <c r="CO180">
        <v>-405.8229024390244</v>
      </c>
      <c r="CP180">
        <v>-4.4969895470381438</v>
      </c>
      <c r="CQ180">
        <v>0.44768917815595333</v>
      </c>
      <c r="CR180">
        <v>-1</v>
      </c>
      <c r="CS180">
        <v>25.213987804878052</v>
      </c>
      <c r="CT180">
        <v>0.1836564459929976</v>
      </c>
      <c r="CU180">
        <v>1.8183498216145601E-2</v>
      </c>
      <c r="CV180">
        <v>-1</v>
      </c>
      <c r="CW180">
        <v>0</v>
      </c>
      <c r="CX180">
        <v>0</v>
      </c>
      <c r="CY180" t="s">
        <v>333</v>
      </c>
      <c r="CZ180">
        <v>2.3647499999999999</v>
      </c>
      <c r="DA180">
        <v>2.7136999999999998</v>
      </c>
      <c r="DB180">
        <v>8.7831900000000004E-2</v>
      </c>
      <c r="DC180">
        <v>0.14527399999999999</v>
      </c>
      <c r="DD180">
        <v>0.118087</v>
      </c>
      <c r="DE180">
        <v>1.61809E-3</v>
      </c>
      <c r="DF180">
        <v>33335.4</v>
      </c>
      <c r="DG180">
        <v>27581.9</v>
      </c>
      <c r="DH180">
        <v>31197.599999999999</v>
      </c>
      <c r="DI180">
        <v>28118.3</v>
      </c>
      <c r="DJ180">
        <v>37348.6</v>
      </c>
      <c r="DK180">
        <v>39929.4</v>
      </c>
      <c r="DL180">
        <v>44401.8</v>
      </c>
      <c r="DM180">
        <v>42620.4</v>
      </c>
      <c r="DN180">
        <v>1.4761500000000001</v>
      </c>
      <c r="DO180">
        <v>2.0310199999999998</v>
      </c>
      <c r="DP180">
        <v>0.14668700000000001</v>
      </c>
      <c r="DQ180">
        <v>0.14698900000000001</v>
      </c>
      <c r="DR180">
        <v>24.624099999999999</v>
      </c>
      <c r="DS180">
        <v>24.5871</v>
      </c>
      <c r="DT180">
        <v>25.8</v>
      </c>
      <c r="DU180">
        <v>29.1</v>
      </c>
      <c r="DV180">
        <v>10.5923</v>
      </c>
      <c r="DW180">
        <v>60.712200000000003</v>
      </c>
      <c r="DX180">
        <v>37.564100000000003</v>
      </c>
      <c r="DY180">
        <v>1</v>
      </c>
      <c r="DZ180">
        <v>-0.11926299999999999</v>
      </c>
      <c r="EA180">
        <v>0.11097799999999999</v>
      </c>
      <c r="EB180">
        <v>20.190200000000001</v>
      </c>
      <c r="EC180">
        <v>5.2415500000000002</v>
      </c>
      <c r="ED180">
        <v>12.039899999999999</v>
      </c>
      <c r="EE180">
        <v>5.01715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1.8692</v>
      </c>
      <c r="EN180">
        <v>1.8672200000000001</v>
      </c>
      <c r="EO180">
        <v>1.86334</v>
      </c>
      <c r="EP180">
        <v>1.8644700000000001</v>
      </c>
      <c r="EQ180">
        <v>1.87016</v>
      </c>
      <c r="ER180">
        <v>1.8693500000000001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0.42899999999999999</v>
      </c>
      <c r="FG180">
        <v>0.19839999999999999</v>
      </c>
      <c r="FH180">
        <v>0.69281559908863044</v>
      </c>
      <c r="FI180">
        <v>-6.1462078757559423E-4</v>
      </c>
      <c r="FJ180">
        <v>-1.8861989874597051E-7</v>
      </c>
      <c r="FK180">
        <v>1.1980462299894961E-10</v>
      </c>
      <c r="FL180">
        <v>0.19840465858211129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38</v>
      </c>
      <c r="FU180">
        <v>38</v>
      </c>
      <c r="FV180">
        <v>1.7651399999999999</v>
      </c>
      <c r="FW180">
        <v>2.5842299999999998</v>
      </c>
      <c r="FX180">
        <v>1.5490699999999999</v>
      </c>
      <c r="FY180">
        <v>2.3339799999999999</v>
      </c>
      <c r="FZ180">
        <v>1.50146</v>
      </c>
      <c r="GA180">
        <v>2.323</v>
      </c>
      <c r="GB180">
        <v>33.602899999999998</v>
      </c>
      <c r="GC180">
        <v>23.982399999999998</v>
      </c>
      <c r="GD180">
        <v>19</v>
      </c>
      <c r="GE180">
        <v>281.476</v>
      </c>
      <c r="GF180">
        <v>575.16099999999994</v>
      </c>
      <c r="GG180">
        <v>24.087</v>
      </c>
      <c r="GH180">
        <v>25.9023</v>
      </c>
      <c r="GI180">
        <v>30.0002</v>
      </c>
      <c r="GJ180">
        <v>26.0383</v>
      </c>
      <c r="GK180">
        <v>26.017600000000002</v>
      </c>
      <c r="GL180">
        <v>35.275500000000001</v>
      </c>
      <c r="GM180">
        <v>100</v>
      </c>
      <c r="GN180">
        <v>15.2468</v>
      </c>
      <c r="GO180">
        <v>24.084900000000001</v>
      </c>
      <c r="GP180">
        <v>800</v>
      </c>
      <c r="GQ180">
        <v>0</v>
      </c>
      <c r="GR180">
        <v>99.825199999999995</v>
      </c>
      <c r="GS180">
        <v>99.701300000000003</v>
      </c>
    </row>
    <row r="181" spans="1:201" x14ac:dyDescent="0.25">
      <c r="A181">
        <v>165</v>
      </c>
      <c r="B181">
        <v>1690389926</v>
      </c>
      <c r="C181">
        <v>1667.5</v>
      </c>
      <c r="D181" t="s">
        <v>663</v>
      </c>
      <c r="E181" t="s">
        <v>664</v>
      </c>
      <c r="F181" t="s">
        <v>330</v>
      </c>
      <c r="H181">
        <v>1690389926</v>
      </c>
      <c r="I181">
        <f t="shared" si="60"/>
        <v>2.4492355915886402E-3</v>
      </c>
      <c r="J181">
        <f t="shared" si="61"/>
        <v>2.4492355915886401</v>
      </c>
      <c r="K181">
        <f t="shared" si="62"/>
        <v>37.491809368139158</v>
      </c>
      <c r="L181">
        <f t="shared" si="63"/>
        <v>392.517</v>
      </c>
      <c r="M181">
        <f t="shared" si="64"/>
        <v>106.87465609573979</v>
      </c>
      <c r="N181">
        <f t="shared" si="65"/>
        <v>10.539904851336619</v>
      </c>
      <c r="O181">
        <f t="shared" si="66"/>
        <v>38.7097557425217</v>
      </c>
      <c r="P181">
        <f t="shared" si="67"/>
        <v>0.22392486549547203</v>
      </c>
      <c r="Q181">
        <f t="shared" si="68"/>
        <v>2.1585929668355384</v>
      </c>
      <c r="R181">
        <f t="shared" si="69"/>
        <v>0.21177383636671135</v>
      </c>
      <c r="S181">
        <f t="shared" si="70"/>
        <v>0.1333953949419924</v>
      </c>
      <c r="T181">
        <f t="shared" si="71"/>
        <v>276.11522873999996</v>
      </c>
      <c r="U181">
        <f t="shared" si="72"/>
        <v>27.186063960459421</v>
      </c>
      <c r="V181">
        <f t="shared" si="73"/>
        <v>27.186063960459421</v>
      </c>
      <c r="W181">
        <f t="shared" si="74"/>
        <v>3.6184597960126608</v>
      </c>
      <c r="X181">
        <f t="shared" si="75"/>
        <v>75.054880264712779</v>
      </c>
      <c r="Y181">
        <f t="shared" si="76"/>
        <v>2.5133525656225402</v>
      </c>
      <c r="Z181">
        <f t="shared" si="77"/>
        <v>3.3486863968847054</v>
      </c>
      <c r="AA181">
        <f t="shared" si="78"/>
        <v>1.1051072303901206</v>
      </c>
      <c r="AB181">
        <f t="shared" si="79"/>
        <v>-108.01128958905903</v>
      </c>
      <c r="AC181">
        <f t="shared" si="80"/>
        <v>-152.98115050345518</v>
      </c>
      <c r="AD181">
        <f t="shared" si="81"/>
        <v>-15.222856220646058</v>
      </c>
      <c r="AE181">
        <f t="shared" si="82"/>
        <v>-0.10006757316031667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52391.251343246127</v>
      </c>
      <c r="AK181">
        <f t="shared" si="86"/>
        <v>1800</v>
      </c>
      <c r="AL181">
        <f t="shared" si="87"/>
        <v>1499.107896</v>
      </c>
      <c r="AM181">
        <f t="shared" si="88"/>
        <v>0.83283772</v>
      </c>
      <c r="AN181">
        <f t="shared" si="89"/>
        <v>0.15339734929999999</v>
      </c>
      <c r="AO181">
        <v>31.8</v>
      </c>
      <c r="AP181">
        <v>0.5</v>
      </c>
      <c r="AQ181" t="s">
        <v>331</v>
      </c>
      <c r="AR181">
        <v>2</v>
      </c>
      <c r="AS181">
        <v>1690389926</v>
      </c>
      <c r="AT181">
        <v>392.517</v>
      </c>
      <c r="AU181">
        <v>800.01199999999994</v>
      </c>
      <c r="AV181">
        <v>25.485399999999998</v>
      </c>
      <c r="AW181">
        <v>0.19189700000000001</v>
      </c>
      <c r="AX181">
        <v>392.08600000000001</v>
      </c>
      <c r="AY181">
        <v>25.286999999999999</v>
      </c>
      <c r="AZ181">
        <v>300.08</v>
      </c>
      <c r="BA181">
        <v>98.519400000000005</v>
      </c>
      <c r="BB181">
        <v>9.9910100000000002E-2</v>
      </c>
      <c r="BC181">
        <v>25.871500000000001</v>
      </c>
      <c r="BD181">
        <v>27.011199999999999</v>
      </c>
      <c r="BE181">
        <v>27.010100000000001</v>
      </c>
      <c r="BF181">
        <v>0</v>
      </c>
      <c r="BG181">
        <v>0</v>
      </c>
      <c r="BH181">
        <v>10020</v>
      </c>
      <c r="BI181">
        <v>1067.47</v>
      </c>
      <c r="BJ181">
        <v>1.4016500000000001</v>
      </c>
      <c r="BK181">
        <v>-407.495</v>
      </c>
      <c r="BL181">
        <v>402.78199999999998</v>
      </c>
      <c r="BM181">
        <v>800.16499999999996</v>
      </c>
      <c r="BN181">
        <v>25.293500000000002</v>
      </c>
      <c r="BO181">
        <v>800.01199999999994</v>
      </c>
      <c r="BP181">
        <v>0.19189700000000001</v>
      </c>
      <c r="BQ181">
        <v>2.5108100000000002</v>
      </c>
      <c r="BR181">
        <v>1.8905499999999999E-2</v>
      </c>
      <c r="BS181">
        <v>21.096699999999998</v>
      </c>
      <c r="BT181">
        <v>-39.966099999999997</v>
      </c>
      <c r="BU181">
        <v>1800</v>
      </c>
      <c r="BV181">
        <v>0.90998199999999996</v>
      </c>
      <c r="BW181">
        <v>3.4007500000000003E-2</v>
      </c>
      <c r="BX181">
        <v>2.1996999999999999E-2</v>
      </c>
      <c r="BY181">
        <v>3.4013599999999998E-2</v>
      </c>
      <c r="BZ181">
        <v>25</v>
      </c>
      <c r="CA181">
        <v>33528.300000000003</v>
      </c>
      <c r="CB181">
        <v>1690387638</v>
      </c>
      <c r="CC181" t="s">
        <v>332</v>
      </c>
      <c r="CD181">
        <v>1690387638</v>
      </c>
      <c r="CE181">
        <v>1690387638</v>
      </c>
      <c r="CF181">
        <v>6</v>
      </c>
      <c r="CG181">
        <v>0.43</v>
      </c>
      <c r="CH181">
        <v>-8.1000000000000003E-2</v>
      </c>
      <c r="CI181">
        <v>0.14199999999999999</v>
      </c>
      <c r="CJ181">
        <v>-2.7E-2</v>
      </c>
      <c r="CK181">
        <v>800</v>
      </c>
      <c r="CL181">
        <v>0</v>
      </c>
      <c r="CM181">
        <v>0.01</v>
      </c>
      <c r="CN181">
        <v>0.01</v>
      </c>
      <c r="CO181">
        <v>-406.63612195121948</v>
      </c>
      <c r="CP181">
        <v>-4.6660186939203419</v>
      </c>
      <c r="CQ181">
        <v>0.45932358513319299</v>
      </c>
      <c r="CR181">
        <v>-1</v>
      </c>
      <c r="CS181">
        <v>25.250753658536581</v>
      </c>
      <c r="CT181">
        <v>0.23864228998838749</v>
      </c>
      <c r="CU181">
        <v>2.3482563303396601E-2</v>
      </c>
      <c r="CV181">
        <v>-1</v>
      </c>
      <c r="CW181">
        <v>0</v>
      </c>
      <c r="CX181">
        <v>0</v>
      </c>
      <c r="CY181" t="s">
        <v>333</v>
      </c>
      <c r="CZ181">
        <v>2.3647100000000001</v>
      </c>
      <c r="DA181">
        <v>2.7137199999999999</v>
      </c>
      <c r="DB181">
        <v>8.7698799999999993E-2</v>
      </c>
      <c r="DC181">
        <v>0.14527300000000001</v>
      </c>
      <c r="DD181">
        <v>0.118217</v>
      </c>
      <c r="DE181">
        <v>1.6049E-3</v>
      </c>
      <c r="DF181">
        <v>33340.300000000003</v>
      </c>
      <c r="DG181">
        <v>27582.6</v>
      </c>
      <c r="DH181">
        <v>31197.599999999999</v>
      </c>
      <c r="DI181">
        <v>28118.9</v>
      </c>
      <c r="DJ181">
        <v>37343</v>
      </c>
      <c r="DK181">
        <v>39930.9</v>
      </c>
      <c r="DL181">
        <v>44401.8</v>
      </c>
      <c r="DM181">
        <v>42621.4</v>
      </c>
      <c r="DN181">
        <v>1.4761299999999999</v>
      </c>
      <c r="DO181">
        <v>2.03118</v>
      </c>
      <c r="DP181">
        <v>0.14554</v>
      </c>
      <c r="DQ181">
        <v>0.14774499999999999</v>
      </c>
      <c r="DR181">
        <v>24.6264</v>
      </c>
      <c r="DS181">
        <v>24.589099999999998</v>
      </c>
      <c r="DT181">
        <v>25.5</v>
      </c>
      <c r="DU181">
        <v>29.1</v>
      </c>
      <c r="DV181">
        <v>10.469900000000001</v>
      </c>
      <c r="DW181">
        <v>60.872199999999999</v>
      </c>
      <c r="DX181">
        <v>36.971200000000003</v>
      </c>
      <c r="DY181">
        <v>1</v>
      </c>
      <c r="DZ181">
        <v>-0.118648</v>
      </c>
      <c r="EA181">
        <v>0.29103800000000002</v>
      </c>
      <c r="EB181">
        <v>20.189699999999998</v>
      </c>
      <c r="EC181">
        <v>5.2416999999999998</v>
      </c>
      <c r="ED181">
        <v>12.039899999999999</v>
      </c>
      <c r="EE181">
        <v>5.0168999999999997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1.8692</v>
      </c>
      <c r="EN181">
        <v>1.8672200000000001</v>
      </c>
      <c r="EO181">
        <v>1.86338</v>
      </c>
      <c r="EP181">
        <v>1.8644700000000001</v>
      </c>
      <c r="EQ181">
        <v>1.87015</v>
      </c>
      <c r="ER181">
        <v>1.8693599999999999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0.43099999999999999</v>
      </c>
      <c r="FG181">
        <v>0.19839999999999999</v>
      </c>
      <c r="FH181">
        <v>0.69281559908863044</v>
      </c>
      <c r="FI181">
        <v>-6.1462078757559423E-4</v>
      </c>
      <c r="FJ181">
        <v>-1.8861989874597051E-7</v>
      </c>
      <c r="FK181">
        <v>1.1980462299894961E-10</v>
      </c>
      <c r="FL181">
        <v>0.19840465858211129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38.1</v>
      </c>
      <c r="FU181">
        <v>38.1</v>
      </c>
      <c r="FV181">
        <v>1.7639199999999999</v>
      </c>
      <c r="FW181">
        <v>2.5781200000000002</v>
      </c>
      <c r="FX181">
        <v>1.5490699999999999</v>
      </c>
      <c r="FY181">
        <v>2.3339799999999999</v>
      </c>
      <c r="FZ181">
        <v>1.50146</v>
      </c>
      <c r="GA181">
        <v>2.36938</v>
      </c>
      <c r="GB181">
        <v>33.602899999999998</v>
      </c>
      <c r="GC181">
        <v>23.982399999999998</v>
      </c>
      <c r="GD181">
        <v>19</v>
      </c>
      <c r="GE181">
        <v>281.46600000000001</v>
      </c>
      <c r="GF181">
        <v>575.28300000000002</v>
      </c>
      <c r="GG181">
        <v>24.059899999999999</v>
      </c>
      <c r="GH181">
        <v>25.903600000000001</v>
      </c>
      <c r="GI181">
        <v>30.000299999999999</v>
      </c>
      <c r="GJ181">
        <v>26.0383</v>
      </c>
      <c r="GK181">
        <v>26.017600000000002</v>
      </c>
      <c r="GL181">
        <v>35.273699999999998</v>
      </c>
      <c r="GM181">
        <v>100</v>
      </c>
      <c r="GN181">
        <v>14.871700000000001</v>
      </c>
      <c r="GO181">
        <v>24.027999999999999</v>
      </c>
      <c r="GP181">
        <v>800</v>
      </c>
      <c r="GQ181">
        <v>0</v>
      </c>
      <c r="GR181">
        <v>99.825100000000006</v>
      </c>
      <c r="GS181">
        <v>99.703699999999998</v>
      </c>
    </row>
    <row r="182" spans="1:201" x14ac:dyDescent="0.25">
      <c r="A182">
        <v>166</v>
      </c>
      <c r="B182">
        <v>1690389936</v>
      </c>
      <c r="C182">
        <v>1677.5</v>
      </c>
      <c r="D182" t="s">
        <v>665</v>
      </c>
      <c r="E182" t="s">
        <v>666</v>
      </c>
      <c r="F182" t="s">
        <v>330</v>
      </c>
      <c r="H182">
        <v>1690389936</v>
      </c>
      <c r="I182">
        <f t="shared" si="60"/>
        <v>2.4527287801475394E-3</v>
      </c>
      <c r="J182">
        <f t="shared" si="61"/>
        <v>2.4527287801475395</v>
      </c>
      <c r="K182">
        <f t="shared" si="62"/>
        <v>37.576862902174796</v>
      </c>
      <c r="L182">
        <f t="shared" si="63"/>
        <v>391.68400000000003</v>
      </c>
      <c r="M182">
        <f t="shared" si="64"/>
        <v>106.52724114712782</v>
      </c>
      <c r="N182">
        <f t="shared" si="65"/>
        <v>10.506307322009148</v>
      </c>
      <c r="O182">
        <f t="shared" si="66"/>
        <v>38.630048359464006</v>
      </c>
      <c r="P182">
        <f t="shared" si="67"/>
        <v>0.22487358864074639</v>
      </c>
      <c r="Q182">
        <f t="shared" si="68"/>
        <v>2.1533539945403621</v>
      </c>
      <c r="R182">
        <f t="shared" si="69"/>
        <v>0.21259434413905728</v>
      </c>
      <c r="S182">
        <f t="shared" si="70"/>
        <v>0.13391880164676462</v>
      </c>
      <c r="T182">
        <f t="shared" si="71"/>
        <v>276.11482508822735</v>
      </c>
      <c r="U182">
        <f t="shared" si="72"/>
        <v>27.18696431884155</v>
      </c>
      <c r="V182">
        <f t="shared" si="73"/>
        <v>27.18696431884155</v>
      </c>
      <c r="W182">
        <f t="shared" si="74"/>
        <v>3.6186508801275061</v>
      </c>
      <c r="X182">
        <f t="shared" si="75"/>
        <v>75.143001605651577</v>
      </c>
      <c r="Y182">
        <f t="shared" si="76"/>
        <v>2.516184242325</v>
      </c>
      <c r="Z182">
        <f t="shared" si="77"/>
        <v>3.348527725216337</v>
      </c>
      <c r="AA182">
        <f t="shared" si="78"/>
        <v>1.1024666378025061</v>
      </c>
      <c r="AB182">
        <f t="shared" si="79"/>
        <v>-108.16533920450648</v>
      </c>
      <c r="AC182">
        <f t="shared" si="80"/>
        <v>-152.80725785127507</v>
      </c>
      <c r="AD182">
        <f t="shared" si="81"/>
        <v>-15.242554487191443</v>
      </c>
      <c r="AE182">
        <f t="shared" si="82"/>
        <v>-0.10032645474566948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52172.024737440697</v>
      </c>
      <c r="AK182">
        <f t="shared" si="86"/>
        <v>1799.99</v>
      </c>
      <c r="AL182">
        <f t="shared" si="87"/>
        <v>1499.1004154180898</v>
      </c>
      <c r="AM182">
        <f t="shared" si="88"/>
        <v>0.83283819099999989</v>
      </c>
      <c r="AN182">
        <f t="shared" si="89"/>
        <v>0.15339797725999998</v>
      </c>
      <c r="AO182">
        <v>31.8</v>
      </c>
      <c r="AP182">
        <v>0.5</v>
      </c>
      <c r="AQ182" t="s">
        <v>331</v>
      </c>
      <c r="AR182">
        <v>2</v>
      </c>
      <c r="AS182">
        <v>1690389936</v>
      </c>
      <c r="AT182">
        <v>391.68400000000003</v>
      </c>
      <c r="AU182">
        <v>799.96299999999997</v>
      </c>
      <c r="AV182">
        <v>25.512499999999999</v>
      </c>
      <c r="AW182">
        <v>0.19046199999999999</v>
      </c>
      <c r="AX182">
        <v>391.25400000000002</v>
      </c>
      <c r="AY182">
        <v>25.3141</v>
      </c>
      <c r="AZ182">
        <v>300.161</v>
      </c>
      <c r="BA182">
        <v>98.525499999999994</v>
      </c>
      <c r="BB182">
        <v>0.100046</v>
      </c>
      <c r="BC182">
        <v>25.870699999999999</v>
      </c>
      <c r="BD182">
        <v>26.978200000000001</v>
      </c>
      <c r="BE182">
        <v>26.9923</v>
      </c>
      <c r="BF182">
        <v>0</v>
      </c>
      <c r="BG182">
        <v>0</v>
      </c>
      <c r="BH182">
        <v>9975.6200000000008</v>
      </c>
      <c r="BI182">
        <v>1067.4100000000001</v>
      </c>
      <c r="BJ182">
        <v>1.4016500000000001</v>
      </c>
      <c r="BK182">
        <v>-408.279</v>
      </c>
      <c r="BL182">
        <v>401.93900000000002</v>
      </c>
      <c r="BM182">
        <v>800.11599999999999</v>
      </c>
      <c r="BN182">
        <v>25.322099999999999</v>
      </c>
      <c r="BO182">
        <v>799.96299999999997</v>
      </c>
      <c r="BP182">
        <v>0.19046199999999999</v>
      </c>
      <c r="BQ182">
        <v>2.51363</v>
      </c>
      <c r="BR182">
        <v>1.8765400000000002E-2</v>
      </c>
      <c r="BS182">
        <v>21.115100000000002</v>
      </c>
      <c r="BT182">
        <v>-40.037399999999998</v>
      </c>
      <c r="BU182">
        <v>1799.99</v>
      </c>
      <c r="BV182">
        <v>0.90997499999999998</v>
      </c>
      <c r="BW182">
        <v>3.40069E-2</v>
      </c>
      <c r="BX182">
        <v>2.2005299999999998E-2</v>
      </c>
      <c r="BY182">
        <v>3.4013000000000002E-2</v>
      </c>
      <c r="BZ182">
        <v>25</v>
      </c>
      <c r="CA182">
        <v>33528.1</v>
      </c>
      <c r="CB182">
        <v>1690387638</v>
      </c>
      <c r="CC182" t="s">
        <v>332</v>
      </c>
      <c r="CD182">
        <v>1690387638</v>
      </c>
      <c r="CE182">
        <v>1690387638</v>
      </c>
      <c r="CF182">
        <v>6</v>
      </c>
      <c r="CG182">
        <v>0.43</v>
      </c>
      <c r="CH182">
        <v>-8.1000000000000003E-2</v>
      </c>
      <c r="CI182">
        <v>0.14199999999999999</v>
      </c>
      <c r="CJ182">
        <v>-2.7E-2</v>
      </c>
      <c r="CK182">
        <v>800</v>
      </c>
      <c r="CL182">
        <v>0</v>
      </c>
      <c r="CM182">
        <v>0.01</v>
      </c>
      <c r="CN182">
        <v>0.01</v>
      </c>
      <c r="CO182">
        <v>-407.40775609756099</v>
      </c>
      <c r="CP182">
        <v>-5.0847776640342186</v>
      </c>
      <c r="CQ182">
        <v>0.50083134693485165</v>
      </c>
      <c r="CR182">
        <v>-1</v>
      </c>
      <c r="CS182">
        <v>25.286582926829269</v>
      </c>
      <c r="CT182">
        <v>0.21272637523948029</v>
      </c>
      <c r="CU182">
        <v>2.093390181242381E-2</v>
      </c>
      <c r="CV182">
        <v>-1</v>
      </c>
      <c r="CW182">
        <v>0</v>
      </c>
      <c r="CX182">
        <v>0</v>
      </c>
      <c r="CY182" t="s">
        <v>333</v>
      </c>
      <c r="CZ182">
        <v>2.36497</v>
      </c>
      <c r="DA182">
        <v>2.7138200000000001</v>
      </c>
      <c r="DB182">
        <v>8.7562699999999993E-2</v>
      </c>
      <c r="DC182">
        <v>0.14527799999999999</v>
      </c>
      <c r="DD182">
        <v>0.118315</v>
      </c>
      <c r="DE182">
        <v>1.5931599999999999E-3</v>
      </c>
      <c r="DF182">
        <v>33344.9</v>
      </c>
      <c r="DG182">
        <v>27582.5</v>
      </c>
      <c r="DH182">
        <v>31197.200000000001</v>
      </c>
      <c r="DI182">
        <v>28119</v>
      </c>
      <c r="DJ182">
        <v>37338.300000000003</v>
      </c>
      <c r="DK182">
        <v>39931.300000000003</v>
      </c>
      <c r="DL182">
        <v>44401.2</v>
      </c>
      <c r="DM182">
        <v>42621.3</v>
      </c>
      <c r="DN182">
        <v>1.4761299999999999</v>
      </c>
      <c r="DO182">
        <v>2.0308299999999999</v>
      </c>
      <c r="DP182">
        <v>0.143398</v>
      </c>
      <c r="DQ182">
        <v>0.14665700000000001</v>
      </c>
      <c r="DR182">
        <v>24.628499999999999</v>
      </c>
      <c r="DS182">
        <v>24.589099999999998</v>
      </c>
      <c r="DT182">
        <v>25.3</v>
      </c>
      <c r="DU182">
        <v>29.1</v>
      </c>
      <c r="DV182">
        <v>10.3878</v>
      </c>
      <c r="DW182">
        <v>60.952199999999998</v>
      </c>
      <c r="DX182">
        <v>37.423900000000003</v>
      </c>
      <c r="DY182">
        <v>1</v>
      </c>
      <c r="DZ182">
        <v>-0.11879099999999999</v>
      </c>
      <c r="EA182">
        <v>0.15665899999999999</v>
      </c>
      <c r="EB182">
        <v>20.189900000000002</v>
      </c>
      <c r="EC182">
        <v>5.24125</v>
      </c>
      <c r="ED182">
        <v>12.039899999999999</v>
      </c>
      <c r="EE182">
        <v>5.0168499999999998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1.8692</v>
      </c>
      <c r="EN182">
        <v>1.8672200000000001</v>
      </c>
      <c r="EO182">
        <v>1.8633599999999999</v>
      </c>
      <c r="EP182">
        <v>1.8644700000000001</v>
      </c>
      <c r="EQ182">
        <v>1.8701300000000001</v>
      </c>
      <c r="ER182">
        <v>1.8693599999999999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0.43</v>
      </c>
      <c r="FG182">
        <v>0.19839999999999999</v>
      </c>
      <c r="FH182">
        <v>0.69281559908863044</v>
      </c>
      <c r="FI182">
        <v>-6.1462078757559423E-4</v>
      </c>
      <c r="FJ182">
        <v>-1.8861989874597051E-7</v>
      </c>
      <c r="FK182">
        <v>1.1980462299894961E-10</v>
      </c>
      <c r="FL182">
        <v>0.19840465858211129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38.299999999999997</v>
      </c>
      <c r="FU182">
        <v>38.299999999999997</v>
      </c>
      <c r="FV182">
        <v>1.7639199999999999</v>
      </c>
      <c r="FW182">
        <v>2.5769000000000002</v>
      </c>
      <c r="FX182">
        <v>1.5490699999999999</v>
      </c>
      <c r="FY182">
        <v>2.3339799999999999</v>
      </c>
      <c r="FZ182">
        <v>1.50146</v>
      </c>
      <c r="GA182">
        <v>2.3535200000000001</v>
      </c>
      <c r="GB182">
        <v>33.602899999999998</v>
      </c>
      <c r="GC182">
        <v>23.991199999999999</v>
      </c>
      <c r="GD182">
        <v>19</v>
      </c>
      <c r="GE182">
        <v>281.459</v>
      </c>
      <c r="GF182">
        <v>574.99699999999996</v>
      </c>
      <c r="GG182">
        <v>24.015499999999999</v>
      </c>
      <c r="GH182">
        <v>25.903600000000001</v>
      </c>
      <c r="GI182">
        <v>29.9999</v>
      </c>
      <c r="GJ182">
        <v>26.036799999999999</v>
      </c>
      <c r="GK182">
        <v>26.017600000000002</v>
      </c>
      <c r="GL182">
        <v>35.272799999999997</v>
      </c>
      <c r="GM182">
        <v>100</v>
      </c>
      <c r="GN182">
        <v>14.080299999999999</v>
      </c>
      <c r="GO182">
        <v>24.050999999999998</v>
      </c>
      <c r="GP182">
        <v>800</v>
      </c>
      <c r="GQ182">
        <v>0</v>
      </c>
      <c r="GR182">
        <v>99.823800000000006</v>
      </c>
      <c r="GS182">
        <v>99.703599999999994</v>
      </c>
    </row>
    <row r="183" spans="1:201" x14ac:dyDescent="0.25">
      <c r="A183">
        <v>167</v>
      </c>
      <c r="B183">
        <v>1690389946</v>
      </c>
      <c r="C183">
        <v>1687.5</v>
      </c>
      <c r="D183" t="s">
        <v>667</v>
      </c>
      <c r="E183" t="s">
        <v>668</v>
      </c>
      <c r="F183" t="s">
        <v>330</v>
      </c>
      <c r="H183">
        <v>1690389946</v>
      </c>
      <c r="I183">
        <f t="shared" si="60"/>
        <v>2.4548330744321397E-3</v>
      </c>
      <c r="J183">
        <f t="shared" si="61"/>
        <v>2.4548330744321398</v>
      </c>
      <c r="K183">
        <f t="shared" si="62"/>
        <v>37.641152954442653</v>
      </c>
      <c r="L183">
        <f t="shared" si="63"/>
        <v>390.99400000000003</v>
      </c>
      <c r="M183">
        <f t="shared" si="64"/>
        <v>106.626565533923</v>
      </c>
      <c r="N183">
        <f t="shared" si="65"/>
        <v>10.516803140664102</v>
      </c>
      <c r="O183">
        <f t="shared" si="66"/>
        <v>38.564563217340002</v>
      </c>
      <c r="P183">
        <f t="shared" si="67"/>
        <v>0.22591923194929597</v>
      </c>
      <c r="Q183">
        <f t="shared" si="68"/>
        <v>2.1546331625081221</v>
      </c>
      <c r="R183">
        <f t="shared" si="69"/>
        <v>0.21353582791976641</v>
      </c>
      <c r="S183">
        <f t="shared" si="70"/>
        <v>0.13451589749599466</v>
      </c>
      <c r="T183">
        <f t="shared" si="71"/>
        <v>276.11672920200004</v>
      </c>
      <c r="U183">
        <f t="shared" si="72"/>
        <v>27.183244042223357</v>
      </c>
      <c r="V183">
        <f t="shared" si="73"/>
        <v>27.183244042223357</v>
      </c>
      <c r="W183">
        <f t="shared" si="74"/>
        <v>3.617861378446988</v>
      </c>
      <c r="X183">
        <f t="shared" si="75"/>
        <v>75.244851540632226</v>
      </c>
      <c r="Y183">
        <f t="shared" si="76"/>
        <v>2.5192514904089998</v>
      </c>
      <c r="Z183">
        <f t="shared" si="77"/>
        <v>3.3480715807494201</v>
      </c>
      <c r="AA183">
        <f t="shared" si="78"/>
        <v>1.0986098880379882</v>
      </c>
      <c r="AB183">
        <f t="shared" si="79"/>
        <v>-108.25813858245736</v>
      </c>
      <c r="AC183">
        <f t="shared" si="80"/>
        <v>-152.73305057386909</v>
      </c>
      <c r="AD183">
        <f t="shared" si="81"/>
        <v>-15.225648253081561</v>
      </c>
      <c r="AE183">
        <f t="shared" si="82"/>
        <v>-0.10010820740797044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52226.110224061609</v>
      </c>
      <c r="AK183">
        <f t="shared" si="86"/>
        <v>1800</v>
      </c>
      <c r="AL183">
        <f t="shared" si="87"/>
        <v>1499.1084882</v>
      </c>
      <c r="AM183">
        <f t="shared" si="88"/>
        <v>0.83283804900000002</v>
      </c>
      <c r="AN183">
        <f t="shared" si="89"/>
        <v>0.15339818289000001</v>
      </c>
      <c r="AO183">
        <v>31.8</v>
      </c>
      <c r="AP183">
        <v>0.5</v>
      </c>
      <c r="AQ183" t="s">
        <v>331</v>
      </c>
      <c r="AR183">
        <v>2</v>
      </c>
      <c r="AS183">
        <v>1690389946</v>
      </c>
      <c r="AT183">
        <v>390.99400000000003</v>
      </c>
      <c r="AU183">
        <v>800.10299999999995</v>
      </c>
      <c r="AV183">
        <v>25.541899999999998</v>
      </c>
      <c r="AW183">
        <v>0.18910399999999999</v>
      </c>
      <c r="AX183">
        <v>390.56299999999999</v>
      </c>
      <c r="AY183">
        <v>25.343499999999999</v>
      </c>
      <c r="AZ183">
        <v>300.04500000000002</v>
      </c>
      <c r="BA183">
        <v>98.5321</v>
      </c>
      <c r="BB183">
        <v>0.10001</v>
      </c>
      <c r="BC183">
        <v>25.868400000000001</v>
      </c>
      <c r="BD183">
        <v>26.983899999999998</v>
      </c>
      <c r="BE183">
        <v>26.987100000000002</v>
      </c>
      <c r="BF183">
        <v>0</v>
      </c>
      <c r="BG183">
        <v>0</v>
      </c>
      <c r="BH183">
        <v>9985.6200000000008</v>
      </c>
      <c r="BI183">
        <v>1067.45</v>
      </c>
      <c r="BJ183">
        <v>1.38764</v>
      </c>
      <c r="BK183">
        <v>-409.10899999999998</v>
      </c>
      <c r="BL183">
        <v>401.24200000000002</v>
      </c>
      <c r="BM183">
        <v>800.255</v>
      </c>
      <c r="BN183">
        <v>25.352799999999998</v>
      </c>
      <c r="BO183">
        <v>800.10299999999995</v>
      </c>
      <c r="BP183">
        <v>0.18910399999999999</v>
      </c>
      <c r="BQ183">
        <v>2.5166900000000001</v>
      </c>
      <c r="BR183">
        <v>1.8632800000000001E-2</v>
      </c>
      <c r="BS183">
        <v>21.134899999999998</v>
      </c>
      <c r="BT183">
        <v>-40.105200000000004</v>
      </c>
      <c r="BU183">
        <v>1800</v>
      </c>
      <c r="BV183">
        <v>0.909972</v>
      </c>
      <c r="BW183">
        <v>3.40062E-2</v>
      </c>
      <c r="BX183">
        <v>2.20092E-2</v>
      </c>
      <c r="BY183">
        <v>3.4012300000000002E-2</v>
      </c>
      <c r="BZ183">
        <v>25</v>
      </c>
      <c r="CA183">
        <v>33528.199999999997</v>
      </c>
      <c r="CB183">
        <v>1690387638</v>
      </c>
      <c r="CC183" t="s">
        <v>332</v>
      </c>
      <c r="CD183">
        <v>1690387638</v>
      </c>
      <c r="CE183">
        <v>1690387638</v>
      </c>
      <c r="CF183">
        <v>6</v>
      </c>
      <c r="CG183">
        <v>0.43</v>
      </c>
      <c r="CH183">
        <v>-8.1000000000000003E-2</v>
      </c>
      <c r="CI183">
        <v>0.14199999999999999</v>
      </c>
      <c r="CJ183">
        <v>-2.7E-2</v>
      </c>
      <c r="CK183">
        <v>800</v>
      </c>
      <c r="CL183">
        <v>0</v>
      </c>
      <c r="CM183">
        <v>0.01</v>
      </c>
      <c r="CN183">
        <v>0.01</v>
      </c>
      <c r="CO183">
        <v>-408.28814999999997</v>
      </c>
      <c r="CP183">
        <v>-4.5562401500930179</v>
      </c>
      <c r="CQ183">
        <v>0.44429610340402098</v>
      </c>
      <c r="CR183">
        <v>-1</v>
      </c>
      <c r="CS183">
        <v>25.320987500000001</v>
      </c>
      <c r="CT183">
        <v>0.16090694183859999</v>
      </c>
      <c r="CU183">
        <v>1.5556786099641361E-2</v>
      </c>
      <c r="CV183">
        <v>-1</v>
      </c>
      <c r="CW183">
        <v>0</v>
      </c>
      <c r="CX183">
        <v>0</v>
      </c>
      <c r="CY183" t="s">
        <v>333</v>
      </c>
      <c r="CZ183">
        <v>2.3646099999999999</v>
      </c>
      <c r="DA183">
        <v>2.7137899999999999</v>
      </c>
      <c r="DB183">
        <v>8.7448100000000001E-2</v>
      </c>
      <c r="DC183">
        <v>0.14530100000000001</v>
      </c>
      <c r="DD183">
        <v>0.11841599999999999</v>
      </c>
      <c r="DE183">
        <v>1.58201E-3</v>
      </c>
      <c r="DF183">
        <v>33349.300000000003</v>
      </c>
      <c r="DG183">
        <v>27581.9</v>
      </c>
      <c r="DH183">
        <v>31197.4</v>
      </c>
      <c r="DI183">
        <v>28119.1</v>
      </c>
      <c r="DJ183">
        <v>37334.199999999997</v>
      </c>
      <c r="DK183">
        <v>39931.9</v>
      </c>
      <c r="DL183">
        <v>44401.5</v>
      </c>
      <c r="DM183">
        <v>42621.5</v>
      </c>
      <c r="DN183">
        <v>1.4759500000000001</v>
      </c>
      <c r="DO183">
        <v>2.0306500000000001</v>
      </c>
      <c r="DP183">
        <v>0.14361699999999999</v>
      </c>
      <c r="DQ183">
        <v>0.14646400000000001</v>
      </c>
      <c r="DR183">
        <v>24.630600000000001</v>
      </c>
      <c r="DS183">
        <v>24.5871</v>
      </c>
      <c r="DT183">
        <v>25.1</v>
      </c>
      <c r="DU183">
        <v>29.1</v>
      </c>
      <c r="DV183">
        <v>10.3066</v>
      </c>
      <c r="DW183">
        <v>61.242199999999997</v>
      </c>
      <c r="DX183">
        <v>37.896599999999999</v>
      </c>
      <c r="DY183">
        <v>1</v>
      </c>
      <c r="DZ183">
        <v>-0.119731</v>
      </c>
      <c r="EA183">
        <v>4.6209199999999999E-2</v>
      </c>
      <c r="EB183">
        <v>20.190100000000001</v>
      </c>
      <c r="EC183">
        <v>5.2411000000000003</v>
      </c>
      <c r="ED183">
        <v>12.039899999999999</v>
      </c>
      <c r="EE183">
        <v>5.0170500000000002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1.8646199999999999</v>
      </c>
      <c r="EM183">
        <v>1.8692</v>
      </c>
      <c r="EN183">
        <v>1.8672200000000001</v>
      </c>
      <c r="EO183">
        <v>1.86337</v>
      </c>
      <c r="EP183">
        <v>1.86446</v>
      </c>
      <c r="EQ183">
        <v>1.8701399999999999</v>
      </c>
      <c r="ER183">
        <v>1.8693500000000001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0.43099999999999999</v>
      </c>
      <c r="FG183">
        <v>0.19839999999999999</v>
      </c>
      <c r="FH183">
        <v>0.69281559908863044</v>
      </c>
      <c r="FI183">
        <v>-6.1462078757559423E-4</v>
      </c>
      <c r="FJ183">
        <v>-1.8861989874597051E-7</v>
      </c>
      <c r="FK183">
        <v>1.1980462299894961E-10</v>
      </c>
      <c r="FL183">
        <v>0.19840465858211129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38.5</v>
      </c>
      <c r="FU183">
        <v>38.5</v>
      </c>
      <c r="FV183">
        <v>1.7639199999999999</v>
      </c>
      <c r="FW183">
        <v>2.5842299999999998</v>
      </c>
      <c r="FX183">
        <v>1.5490699999999999</v>
      </c>
      <c r="FY183">
        <v>2.3339799999999999</v>
      </c>
      <c r="FZ183">
        <v>1.50146</v>
      </c>
      <c r="GA183">
        <v>2.3107899999999999</v>
      </c>
      <c r="GB183">
        <v>33.602899999999998</v>
      </c>
      <c r="GC183">
        <v>23.991199999999999</v>
      </c>
      <c r="GD183">
        <v>19</v>
      </c>
      <c r="GE183">
        <v>281.38200000000001</v>
      </c>
      <c r="GF183">
        <v>574.85500000000002</v>
      </c>
      <c r="GG183">
        <v>24.064399999999999</v>
      </c>
      <c r="GH183">
        <v>25.903600000000001</v>
      </c>
      <c r="GI183">
        <v>29.9998</v>
      </c>
      <c r="GJ183">
        <v>26.036100000000001</v>
      </c>
      <c r="GK183">
        <v>26.017600000000002</v>
      </c>
      <c r="GL183">
        <v>35.270800000000001</v>
      </c>
      <c r="GM183">
        <v>100</v>
      </c>
      <c r="GN183">
        <v>13.6945</v>
      </c>
      <c r="GO183">
        <v>24.084299999999999</v>
      </c>
      <c r="GP183">
        <v>800</v>
      </c>
      <c r="GQ183">
        <v>0</v>
      </c>
      <c r="GR183">
        <v>99.8245</v>
      </c>
      <c r="GS183">
        <v>99.703999999999994</v>
      </c>
    </row>
    <row r="184" spans="1:201" x14ac:dyDescent="0.25">
      <c r="A184">
        <v>168</v>
      </c>
      <c r="B184">
        <v>1690389956</v>
      </c>
      <c r="C184">
        <v>1697.5</v>
      </c>
      <c r="D184" t="s">
        <v>669</v>
      </c>
      <c r="E184" t="s">
        <v>670</v>
      </c>
      <c r="F184" t="s">
        <v>330</v>
      </c>
      <c r="H184">
        <v>1690389956</v>
      </c>
      <c r="I184">
        <f t="shared" si="60"/>
        <v>2.4589013270973252E-3</v>
      </c>
      <c r="J184">
        <f t="shared" si="61"/>
        <v>2.4589013270973252</v>
      </c>
      <c r="K184">
        <f t="shared" si="62"/>
        <v>37.695482947020821</v>
      </c>
      <c r="L184">
        <f t="shared" si="63"/>
        <v>390.37099999999998</v>
      </c>
      <c r="M184">
        <f t="shared" si="64"/>
        <v>107.28279263318258</v>
      </c>
      <c r="N184">
        <f t="shared" si="65"/>
        <v>10.582159874457998</v>
      </c>
      <c r="O184">
        <f t="shared" si="66"/>
        <v>38.505413878220899</v>
      </c>
      <c r="P184">
        <f t="shared" si="67"/>
        <v>0.22730614802627308</v>
      </c>
      <c r="Q184">
        <f t="shared" si="68"/>
        <v>2.1603117127113944</v>
      </c>
      <c r="R184">
        <f t="shared" si="69"/>
        <v>0.2148057563801094</v>
      </c>
      <c r="S184">
        <f t="shared" si="70"/>
        <v>0.13531939069066795</v>
      </c>
      <c r="T184">
        <f t="shared" si="71"/>
        <v>276.11675818200001</v>
      </c>
      <c r="U184">
        <f t="shared" si="72"/>
        <v>27.17889658280647</v>
      </c>
      <c r="V184">
        <f t="shared" si="73"/>
        <v>27.17889658280647</v>
      </c>
      <c r="W184">
        <f t="shared" si="74"/>
        <v>3.616938969138455</v>
      </c>
      <c r="X184">
        <f t="shared" si="75"/>
        <v>75.35480534918338</v>
      </c>
      <c r="Y184">
        <f t="shared" si="76"/>
        <v>2.5229627102862002</v>
      </c>
      <c r="Z184">
        <f t="shared" si="77"/>
        <v>3.3481112433310023</v>
      </c>
      <c r="AA184">
        <f t="shared" si="78"/>
        <v>1.0939762588522548</v>
      </c>
      <c r="AB184">
        <f t="shared" si="79"/>
        <v>-108.43754852499204</v>
      </c>
      <c r="AC184">
        <f t="shared" si="80"/>
        <v>-152.60595185113993</v>
      </c>
      <c r="AD184">
        <f t="shared" si="81"/>
        <v>-15.172673876551485</v>
      </c>
      <c r="AE184">
        <f t="shared" si="82"/>
        <v>-9.9416070683446378E-2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52464.307575052277</v>
      </c>
      <c r="AK184">
        <f t="shared" si="86"/>
        <v>1800</v>
      </c>
      <c r="AL184">
        <f t="shared" si="87"/>
        <v>1499.1086142000001</v>
      </c>
      <c r="AM184">
        <f t="shared" si="88"/>
        <v>0.83283811900000004</v>
      </c>
      <c r="AN184">
        <f t="shared" si="89"/>
        <v>0.15339819899000001</v>
      </c>
      <c r="AO184">
        <v>31.8</v>
      </c>
      <c r="AP184">
        <v>0.5</v>
      </c>
      <c r="AQ184" t="s">
        <v>331</v>
      </c>
      <c r="AR184">
        <v>2</v>
      </c>
      <c r="AS184">
        <v>1690389956</v>
      </c>
      <c r="AT184">
        <v>390.37099999999998</v>
      </c>
      <c r="AU184">
        <v>799.995</v>
      </c>
      <c r="AV184">
        <v>25.577999999999999</v>
      </c>
      <c r="AW184">
        <v>0.18793699999999999</v>
      </c>
      <c r="AX184">
        <v>389.94</v>
      </c>
      <c r="AY184">
        <v>25.3796</v>
      </c>
      <c r="AZ184">
        <v>300.08999999999997</v>
      </c>
      <c r="BA184">
        <v>98.537999999999997</v>
      </c>
      <c r="BB184">
        <v>9.9997900000000001E-2</v>
      </c>
      <c r="BC184">
        <v>25.868600000000001</v>
      </c>
      <c r="BD184">
        <v>26.984000000000002</v>
      </c>
      <c r="BE184">
        <v>26.998000000000001</v>
      </c>
      <c r="BF184">
        <v>0</v>
      </c>
      <c r="BG184">
        <v>0</v>
      </c>
      <c r="BH184">
        <v>10032.5</v>
      </c>
      <c r="BI184">
        <v>1067.49</v>
      </c>
      <c r="BJ184">
        <v>1.3595999999999999</v>
      </c>
      <c r="BK184">
        <v>-409.62400000000002</v>
      </c>
      <c r="BL184">
        <v>400.61799999999999</v>
      </c>
      <c r="BM184">
        <v>800.14599999999996</v>
      </c>
      <c r="BN184">
        <v>25.3901</v>
      </c>
      <c r="BO184">
        <v>799.995</v>
      </c>
      <c r="BP184">
        <v>0.18793699999999999</v>
      </c>
      <c r="BQ184">
        <v>2.52041</v>
      </c>
      <c r="BR184">
        <v>1.8519000000000001E-2</v>
      </c>
      <c r="BS184">
        <v>21.158899999999999</v>
      </c>
      <c r="BT184">
        <v>-40.163899999999998</v>
      </c>
      <c r="BU184">
        <v>1800</v>
      </c>
      <c r="BV184">
        <v>0.909972</v>
      </c>
      <c r="BW184">
        <v>3.4006300000000003E-2</v>
      </c>
      <c r="BX184">
        <v>2.20092E-2</v>
      </c>
      <c r="BY184">
        <v>3.4012300000000002E-2</v>
      </c>
      <c r="BZ184">
        <v>25</v>
      </c>
      <c r="CA184">
        <v>33528.1</v>
      </c>
      <c r="CB184">
        <v>1690387638</v>
      </c>
      <c r="CC184" t="s">
        <v>332</v>
      </c>
      <c r="CD184">
        <v>1690387638</v>
      </c>
      <c r="CE184">
        <v>1690387638</v>
      </c>
      <c r="CF184">
        <v>6</v>
      </c>
      <c r="CG184">
        <v>0.43</v>
      </c>
      <c r="CH184">
        <v>-8.1000000000000003E-2</v>
      </c>
      <c r="CI184">
        <v>0.14199999999999999</v>
      </c>
      <c r="CJ184">
        <v>-2.7E-2</v>
      </c>
      <c r="CK184">
        <v>800</v>
      </c>
      <c r="CL184">
        <v>0</v>
      </c>
      <c r="CM184">
        <v>0.01</v>
      </c>
      <c r="CN184">
        <v>0.01</v>
      </c>
      <c r="CO184">
        <v>-408.93317073170732</v>
      </c>
      <c r="CP184">
        <v>-4.0644459930315211</v>
      </c>
      <c r="CQ184">
        <v>0.40758293499540088</v>
      </c>
      <c r="CR184">
        <v>-1</v>
      </c>
      <c r="CS184">
        <v>25.349846341463412</v>
      </c>
      <c r="CT184">
        <v>0.21130871080131849</v>
      </c>
      <c r="CU184">
        <v>2.0925210580412971E-2</v>
      </c>
      <c r="CV184">
        <v>-1</v>
      </c>
      <c r="CW184">
        <v>0</v>
      </c>
      <c r="CX184">
        <v>0</v>
      </c>
      <c r="CY184" t="s">
        <v>333</v>
      </c>
      <c r="CZ184">
        <v>2.36477</v>
      </c>
      <c r="DA184">
        <v>2.7138200000000001</v>
      </c>
      <c r="DB184">
        <v>8.7345900000000004E-2</v>
      </c>
      <c r="DC184">
        <v>0.14529700000000001</v>
      </c>
      <c r="DD184">
        <v>0.11854000000000001</v>
      </c>
      <c r="DE184">
        <v>1.57245E-3</v>
      </c>
      <c r="DF184">
        <v>33352.6</v>
      </c>
      <c r="DG184">
        <v>27582.5</v>
      </c>
      <c r="DH184">
        <v>31197</v>
      </c>
      <c r="DI184">
        <v>28119.599999999999</v>
      </c>
      <c r="DJ184">
        <v>37328.400000000001</v>
      </c>
      <c r="DK184">
        <v>39932.800000000003</v>
      </c>
      <c r="DL184">
        <v>44400.9</v>
      </c>
      <c r="DM184">
        <v>42622.1</v>
      </c>
      <c r="DN184">
        <v>1.47607</v>
      </c>
      <c r="DO184">
        <v>2.0309499999999998</v>
      </c>
      <c r="DP184">
        <v>0.14349799999999999</v>
      </c>
      <c r="DQ184">
        <v>0.14696999999999999</v>
      </c>
      <c r="DR184">
        <v>24.6327</v>
      </c>
      <c r="DS184">
        <v>24.589700000000001</v>
      </c>
      <c r="DT184">
        <v>24.9</v>
      </c>
      <c r="DU184">
        <v>29.2</v>
      </c>
      <c r="DV184">
        <v>10.281700000000001</v>
      </c>
      <c r="DW184">
        <v>60.932200000000002</v>
      </c>
      <c r="DX184">
        <v>37.251600000000003</v>
      </c>
      <c r="DY184">
        <v>1</v>
      </c>
      <c r="DZ184">
        <v>-0.120353</v>
      </c>
      <c r="EA184">
        <v>8.4417199999999998E-2</v>
      </c>
      <c r="EB184">
        <v>20.190100000000001</v>
      </c>
      <c r="EC184">
        <v>5.2408000000000001</v>
      </c>
      <c r="ED184">
        <v>12.039899999999999</v>
      </c>
      <c r="EE184">
        <v>5.0168499999999998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1.8692</v>
      </c>
      <c r="EN184">
        <v>1.8672200000000001</v>
      </c>
      <c r="EO184">
        <v>1.86337</v>
      </c>
      <c r="EP184">
        <v>1.8644700000000001</v>
      </c>
      <c r="EQ184">
        <v>1.8701399999999999</v>
      </c>
      <c r="ER184">
        <v>1.8693500000000001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0.43099999999999999</v>
      </c>
      <c r="FG184">
        <v>0.19839999999999999</v>
      </c>
      <c r="FH184">
        <v>0.69281559908863044</v>
      </c>
      <c r="FI184">
        <v>-6.1462078757559423E-4</v>
      </c>
      <c r="FJ184">
        <v>-1.8861989874597051E-7</v>
      </c>
      <c r="FK184">
        <v>1.1980462299894961E-10</v>
      </c>
      <c r="FL184">
        <v>0.19840465858211129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38.6</v>
      </c>
      <c r="FU184">
        <v>38.6</v>
      </c>
      <c r="FV184">
        <v>1.7639199999999999</v>
      </c>
      <c r="FW184">
        <v>2.5793499999999998</v>
      </c>
      <c r="FX184">
        <v>1.5490699999999999</v>
      </c>
      <c r="FY184">
        <v>2.3339799999999999</v>
      </c>
      <c r="FZ184">
        <v>1.50024</v>
      </c>
      <c r="GA184">
        <v>2.4108900000000002</v>
      </c>
      <c r="GB184">
        <v>33.602899999999998</v>
      </c>
      <c r="GC184">
        <v>23.991199999999999</v>
      </c>
      <c r="GD184">
        <v>19</v>
      </c>
      <c r="GE184">
        <v>281.44499999999999</v>
      </c>
      <c r="GF184">
        <v>575.09900000000005</v>
      </c>
      <c r="GG184">
        <v>24.099900000000002</v>
      </c>
      <c r="GH184">
        <v>25.903600000000001</v>
      </c>
      <c r="GI184">
        <v>29.9998</v>
      </c>
      <c r="GJ184">
        <v>26.0383</v>
      </c>
      <c r="GK184">
        <v>26.017600000000002</v>
      </c>
      <c r="GL184">
        <v>35.270800000000001</v>
      </c>
      <c r="GM184">
        <v>100</v>
      </c>
      <c r="GN184">
        <v>12.929399999999999</v>
      </c>
      <c r="GO184">
        <v>24.098099999999999</v>
      </c>
      <c r="GP184">
        <v>800</v>
      </c>
      <c r="GQ184">
        <v>0</v>
      </c>
      <c r="GR184">
        <v>99.8232</v>
      </c>
      <c r="GS184">
        <v>99.705500000000001</v>
      </c>
    </row>
    <row r="185" spans="1:201" x14ac:dyDescent="0.25">
      <c r="A185">
        <v>169</v>
      </c>
      <c r="B185">
        <v>1690389966</v>
      </c>
      <c r="C185">
        <v>1707.5</v>
      </c>
      <c r="D185" t="s">
        <v>671</v>
      </c>
      <c r="E185" t="s">
        <v>672</v>
      </c>
      <c r="F185" t="s">
        <v>330</v>
      </c>
      <c r="H185">
        <v>1690389966</v>
      </c>
      <c r="I185">
        <f t="shared" si="60"/>
        <v>2.4631449081697209E-3</v>
      </c>
      <c r="J185">
        <f t="shared" si="61"/>
        <v>2.463144908169721</v>
      </c>
      <c r="K185">
        <f t="shared" si="62"/>
        <v>37.763248120877385</v>
      </c>
      <c r="L185">
        <f t="shared" si="63"/>
        <v>389.62599999999998</v>
      </c>
      <c r="M185">
        <f t="shared" si="64"/>
        <v>107.06816916100871</v>
      </c>
      <c r="N185">
        <f t="shared" si="65"/>
        <v>10.559843005580086</v>
      </c>
      <c r="O185">
        <f t="shared" si="66"/>
        <v>38.427755168811593</v>
      </c>
      <c r="P185">
        <f t="shared" si="67"/>
        <v>0.22820731928309704</v>
      </c>
      <c r="Q185">
        <f t="shared" si="68"/>
        <v>2.1544262418450866</v>
      </c>
      <c r="R185">
        <f t="shared" si="69"/>
        <v>0.21557819523420835</v>
      </c>
      <c r="S185">
        <f t="shared" si="70"/>
        <v>0.13581277455229226</v>
      </c>
      <c r="T185">
        <f t="shared" si="71"/>
        <v>276.11670085200001</v>
      </c>
      <c r="U185">
        <f t="shared" si="72"/>
        <v>27.186380252104254</v>
      </c>
      <c r="V185">
        <f t="shared" si="73"/>
        <v>27.186380252104254</v>
      </c>
      <c r="W185">
        <f t="shared" si="74"/>
        <v>3.6185269219556622</v>
      </c>
      <c r="X185">
        <f t="shared" si="75"/>
        <v>75.442218550911548</v>
      </c>
      <c r="Y185">
        <f t="shared" si="76"/>
        <v>2.5267423181340596</v>
      </c>
      <c r="Z185">
        <f t="shared" si="77"/>
        <v>3.3492417994427206</v>
      </c>
      <c r="AA185">
        <f t="shared" si="78"/>
        <v>1.0917846038216026</v>
      </c>
      <c r="AB185">
        <f t="shared" si="79"/>
        <v>-108.62469045028469</v>
      </c>
      <c r="AC185">
        <f t="shared" si="80"/>
        <v>-152.39737018203081</v>
      </c>
      <c r="AD185">
        <f t="shared" si="81"/>
        <v>-15.194331332374944</v>
      </c>
      <c r="AE185">
        <f t="shared" si="82"/>
        <v>-9.969111269040809E-2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52216.312869287627</v>
      </c>
      <c r="AK185">
        <f t="shared" si="86"/>
        <v>1800</v>
      </c>
      <c r="AL185">
        <f t="shared" si="87"/>
        <v>1499.1083532</v>
      </c>
      <c r="AM185">
        <f t="shared" si="88"/>
        <v>0.83283797400000004</v>
      </c>
      <c r="AN185">
        <f t="shared" si="89"/>
        <v>0.15339816714000001</v>
      </c>
      <c r="AO185">
        <v>31.8</v>
      </c>
      <c r="AP185">
        <v>0.5</v>
      </c>
      <c r="AQ185" t="s">
        <v>331</v>
      </c>
      <c r="AR185">
        <v>2</v>
      </c>
      <c r="AS185">
        <v>1690389966</v>
      </c>
      <c r="AT185">
        <v>389.62599999999998</v>
      </c>
      <c r="AU185">
        <v>799.95799999999997</v>
      </c>
      <c r="AV185">
        <v>25.6191</v>
      </c>
      <c r="AW185">
        <v>0.18679999999999999</v>
      </c>
      <c r="AX185">
        <v>389.19400000000002</v>
      </c>
      <c r="AY185">
        <v>25.4207</v>
      </c>
      <c r="AZ185">
        <v>300.096</v>
      </c>
      <c r="BA185">
        <v>98.527299999999997</v>
      </c>
      <c r="BB185">
        <v>9.9986599999999995E-2</v>
      </c>
      <c r="BC185">
        <v>25.874300000000002</v>
      </c>
      <c r="BD185">
        <v>26.994299999999999</v>
      </c>
      <c r="BE185">
        <v>27.014399999999998</v>
      </c>
      <c r="BF185">
        <v>0</v>
      </c>
      <c r="BG185">
        <v>0</v>
      </c>
      <c r="BH185">
        <v>9984.3799999999992</v>
      </c>
      <c r="BI185">
        <v>1067.6300000000001</v>
      </c>
      <c r="BJ185">
        <v>1.3862300000000001</v>
      </c>
      <c r="BK185">
        <v>-410.33199999999999</v>
      </c>
      <c r="BL185">
        <v>399.87099999999998</v>
      </c>
      <c r="BM185">
        <v>800.10799999999995</v>
      </c>
      <c r="BN185">
        <v>25.432300000000001</v>
      </c>
      <c r="BO185">
        <v>799.95799999999997</v>
      </c>
      <c r="BP185">
        <v>0.18679999999999999</v>
      </c>
      <c r="BQ185">
        <v>2.5241799999999999</v>
      </c>
      <c r="BR185">
        <v>1.8404899999999998E-2</v>
      </c>
      <c r="BS185">
        <v>21.183299999999999</v>
      </c>
      <c r="BT185">
        <v>-40.222900000000003</v>
      </c>
      <c r="BU185">
        <v>1800</v>
      </c>
      <c r="BV185">
        <v>0.909972</v>
      </c>
      <c r="BW185">
        <v>3.40062E-2</v>
      </c>
      <c r="BX185">
        <v>2.20092E-2</v>
      </c>
      <c r="BY185">
        <v>3.4012199999999999E-2</v>
      </c>
      <c r="BZ185">
        <v>25</v>
      </c>
      <c r="CA185">
        <v>33528.199999999997</v>
      </c>
      <c r="CB185">
        <v>1690387638</v>
      </c>
      <c r="CC185" t="s">
        <v>332</v>
      </c>
      <c r="CD185">
        <v>1690387638</v>
      </c>
      <c r="CE185">
        <v>1690387638</v>
      </c>
      <c r="CF185">
        <v>6</v>
      </c>
      <c r="CG185">
        <v>0.43</v>
      </c>
      <c r="CH185">
        <v>-8.1000000000000003E-2</v>
      </c>
      <c r="CI185">
        <v>0.14199999999999999</v>
      </c>
      <c r="CJ185">
        <v>-2.7E-2</v>
      </c>
      <c r="CK185">
        <v>800</v>
      </c>
      <c r="CL185">
        <v>0</v>
      </c>
      <c r="CM185">
        <v>0.01</v>
      </c>
      <c r="CN185">
        <v>0.01</v>
      </c>
      <c r="CO185">
        <v>-409.57387499999999</v>
      </c>
      <c r="CP185">
        <v>-3.543726078798453</v>
      </c>
      <c r="CQ185">
        <v>0.34439411925147922</v>
      </c>
      <c r="CR185">
        <v>-1</v>
      </c>
      <c r="CS185">
        <v>25.387347500000001</v>
      </c>
      <c r="CT185">
        <v>0.2464333958723556</v>
      </c>
      <c r="CU185">
        <v>2.374723128598389E-2</v>
      </c>
      <c r="CV185">
        <v>-1</v>
      </c>
      <c r="CW185">
        <v>0</v>
      </c>
      <c r="CX185">
        <v>0</v>
      </c>
      <c r="CY185" t="s">
        <v>333</v>
      </c>
      <c r="CZ185">
        <v>2.36477</v>
      </c>
      <c r="DA185">
        <v>2.7137600000000002</v>
      </c>
      <c r="DB185">
        <v>8.7209400000000006E-2</v>
      </c>
      <c r="DC185">
        <v>0.14527799999999999</v>
      </c>
      <c r="DD185">
        <v>0.118662</v>
      </c>
      <c r="DE185">
        <v>1.5628899999999999E-3</v>
      </c>
      <c r="DF185">
        <v>33357.4</v>
      </c>
      <c r="DG185">
        <v>27582.5</v>
      </c>
      <c r="DH185">
        <v>31196.9</v>
      </c>
      <c r="DI185">
        <v>28119</v>
      </c>
      <c r="DJ185">
        <v>37323.199999999997</v>
      </c>
      <c r="DK185">
        <v>39932.6</v>
      </c>
      <c r="DL185">
        <v>44401</v>
      </c>
      <c r="DM185">
        <v>42621.5</v>
      </c>
      <c r="DN185">
        <v>1.47627</v>
      </c>
      <c r="DO185">
        <v>2.0310000000000001</v>
      </c>
      <c r="DP185">
        <v>0.14400099999999999</v>
      </c>
      <c r="DQ185">
        <v>0.14775199999999999</v>
      </c>
      <c r="DR185">
        <v>24.634699999999999</v>
      </c>
      <c r="DS185">
        <v>24.593299999999999</v>
      </c>
      <c r="DT185">
        <v>24.8</v>
      </c>
      <c r="DU185">
        <v>29.2</v>
      </c>
      <c r="DV185">
        <v>10.240500000000001</v>
      </c>
      <c r="DW185">
        <v>61.312199999999997</v>
      </c>
      <c r="DX185">
        <v>36.983199999999997</v>
      </c>
      <c r="DY185">
        <v>1</v>
      </c>
      <c r="DZ185">
        <v>-0.11935</v>
      </c>
      <c r="EA185">
        <v>9.5566399999999996E-2</v>
      </c>
      <c r="EB185">
        <v>20.190000000000001</v>
      </c>
      <c r="EC185">
        <v>5.2409499999999998</v>
      </c>
      <c r="ED185">
        <v>12.039899999999999</v>
      </c>
      <c r="EE185">
        <v>5.0167999999999999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1.8672200000000001</v>
      </c>
      <c r="EO185">
        <v>1.86338</v>
      </c>
      <c r="EP185">
        <v>1.8644799999999999</v>
      </c>
      <c r="EQ185">
        <v>1.8701399999999999</v>
      </c>
      <c r="ER185">
        <v>1.8693500000000001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0.432</v>
      </c>
      <c r="FG185">
        <v>0.19839999999999999</v>
      </c>
      <c r="FH185">
        <v>0.69281559908863044</v>
      </c>
      <c r="FI185">
        <v>-6.1462078757559423E-4</v>
      </c>
      <c r="FJ185">
        <v>-1.8861989874597051E-7</v>
      </c>
      <c r="FK185">
        <v>1.1980462299894961E-10</v>
      </c>
      <c r="FL185">
        <v>0.19840465858211129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38.799999999999997</v>
      </c>
      <c r="FU185">
        <v>38.799999999999997</v>
      </c>
      <c r="FV185">
        <v>1.7639199999999999</v>
      </c>
      <c r="FW185">
        <v>2.5781200000000002</v>
      </c>
      <c r="FX185">
        <v>1.5490699999999999</v>
      </c>
      <c r="FY185">
        <v>2.3339799999999999</v>
      </c>
      <c r="FZ185">
        <v>1.50146</v>
      </c>
      <c r="GA185">
        <v>2.3864700000000001</v>
      </c>
      <c r="GB185">
        <v>33.602899999999998</v>
      </c>
      <c r="GC185">
        <v>23.991199999999999</v>
      </c>
      <c r="GD185">
        <v>19</v>
      </c>
      <c r="GE185">
        <v>281.52199999999999</v>
      </c>
      <c r="GF185">
        <v>575.14</v>
      </c>
      <c r="GG185">
        <v>24.1112</v>
      </c>
      <c r="GH185">
        <v>25.903600000000001</v>
      </c>
      <c r="GI185">
        <v>30.0002</v>
      </c>
      <c r="GJ185">
        <v>26.0365</v>
      </c>
      <c r="GK185">
        <v>26.017600000000002</v>
      </c>
      <c r="GL185">
        <v>35.2684</v>
      </c>
      <c r="GM185">
        <v>100</v>
      </c>
      <c r="GN185">
        <v>12.548500000000001</v>
      </c>
      <c r="GO185">
        <v>24.109000000000002</v>
      </c>
      <c r="GP185">
        <v>800</v>
      </c>
      <c r="GQ185">
        <v>0</v>
      </c>
      <c r="GR185">
        <v>99.823099999999997</v>
      </c>
      <c r="GS185">
        <v>99.703800000000001</v>
      </c>
    </row>
    <row r="186" spans="1:201" x14ac:dyDescent="0.25">
      <c r="A186">
        <v>170</v>
      </c>
      <c r="B186">
        <v>1690389976</v>
      </c>
      <c r="C186">
        <v>1717.5</v>
      </c>
      <c r="D186" t="s">
        <v>673</v>
      </c>
      <c r="E186" t="s">
        <v>674</v>
      </c>
      <c r="F186" t="s">
        <v>330</v>
      </c>
      <c r="H186">
        <v>1690389976</v>
      </c>
      <c r="I186">
        <f t="shared" si="60"/>
        <v>2.4669038597639283E-3</v>
      </c>
      <c r="J186">
        <f t="shared" si="61"/>
        <v>2.4669038597639283</v>
      </c>
      <c r="K186">
        <f t="shared" si="62"/>
        <v>37.826193839712531</v>
      </c>
      <c r="L186">
        <f t="shared" si="63"/>
        <v>388.96699999999998</v>
      </c>
      <c r="M186">
        <f t="shared" si="64"/>
        <v>107.11765907249357</v>
      </c>
      <c r="N186">
        <f t="shared" si="65"/>
        <v>10.565314965118421</v>
      </c>
      <c r="O186">
        <f t="shared" si="66"/>
        <v>38.364905484501001</v>
      </c>
      <c r="P186">
        <f t="shared" si="67"/>
        <v>0.22920787177872662</v>
      </c>
      <c r="Q186">
        <f t="shared" si="68"/>
        <v>2.1538923900150171</v>
      </c>
      <c r="R186">
        <f t="shared" si="69"/>
        <v>0.21646811206550454</v>
      </c>
      <c r="S186">
        <f t="shared" si="70"/>
        <v>0.1363781454777887</v>
      </c>
      <c r="T186">
        <f t="shared" si="71"/>
        <v>276.11669060999998</v>
      </c>
      <c r="U186">
        <f t="shared" si="72"/>
        <v>27.19117030011418</v>
      </c>
      <c r="V186">
        <f t="shared" si="73"/>
        <v>27.19117030011418</v>
      </c>
      <c r="W186">
        <f t="shared" si="74"/>
        <v>3.6195436371419425</v>
      </c>
      <c r="X186">
        <f t="shared" si="75"/>
        <v>75.530038923516969</v>
      </c>
      <c r="Y186">
        <f t="shared" si="76"/>
        <v>2.5305527836089006</v>
      </c>
      <c r="Z186">
        <f t="shared" si="77"/>
        <v>3.35039253213067</v>
      </c>
      <c r="AA186">
        <f t="shared" si="78"/>
        <v>1.0889908535330419</v>
      </c>
      <c r="AB186">
        <f t="shared" si="79"/>
        <v>-108.79046021558923</v>
      </c>
      <c r="AC186">
        <f t="shared" si="80"/>
        <v>-152.24233089618178</v>
      </c>
      <c r="AD186">
        <f t="shared" si="81"/>
        <v>-15.183440832425946</v>
      </c>
      <c r="AE186">
        <f t="shared" si="82"/>
        <v>-9.9541334196999287E-2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52193.068558594379</v>
      </c>
      <c r="AK186">
        <f t="shared" si="86"/>
        <v>1800</v>
      </c>
      <c r="AL186">
        <f t="shared" si="87"/>
        <v>1499.108643</v>
      </c>
      <c r="AM186">
        <f t="shared" si="88"/>
        <v>0.83283813500000003</v>
      </c>
      <c r="AN186">
        <f t="shared" si="89"/>
        <v>0.15339816144999999</v>
      </c>
      <c r="AO186">
        <v>31.8</v>
      </c>
      <c r="AP186">
        <v>0.5</v>
      </c>
      <c r="AQ186" t="s">
        <v>331</v>
      </c>
      <c r="AR186">
        <v>2</v>
      </c>
      <c r="AS186">
        <v>1690389976</v>
      </c>
      <c r="AT186">
        <v>388.96699999999998</v>
      </c>
      <c r="AU186">
        <v>799.97799999999995</v>
      </c>
      <c r="AV186">
        <v>25.656300000000002</v>
      </c>
      <c r="AW186">
        <v>0.185312</v>
      </c>
      <c r="AX186">
        <v>388.53399999999999</v>
      </c>
      <c r="AY186">
        <v>25.457899999999999</v>
      </c>
      <c r="AZ186">
        <v>300.08600000000001</v>
      </c>
      <c r="BA186">
        <v>98.532700000000006</v>
      </c>
      <c r="BB186">
        <v>0.100103</v>
      </c>
      <c r="BC186">
        <v>25.880099999999999</v>
      </c>
      <c r="BD186">
        <v>26.964099999999998</v>
      </c>
      <c r="BE186">
        <v>27.014600000000002</v>
      </c>
      <c r="BF186">
        <v>0</v>
      </c>
      <c r="BG186">
        <v>0</v>
      </c>
      <c r="BH186">
        <v>9979.3799999999992</v>
      </c>
      <c r="BI186">
        <v>1067.5999999999999</v>
      </c>
      <c r="BJ186">
        <v>1.4016500000000001</v>
      </c>
      <c r="BK186">
        <v>-411.01100000000002</v>
      </c>
      <c r="BL186">
        <v>399.209</v>
      </c>
      <c r="BM186">
        <v>800.12599999999998</v>
      </c>
      <c r="BN186">
        <v>25.471</v>
      </c>
      <c r="BO186">
        <v>799.97799999999995</v>
      </c>
      <c r="BP186">
        <v>0.185312</v>
      </c>
      <c r="BQ186">
        <v>2.5279799999999999</v>
      </c>
      <c r="BR186">
        <v>1.82592E-2</v>
      </c>
      <c r="BS186">
        <v>21.207799999999999</v>
      </c>
      <c r="BT186">
        <v>-40.2988</v>
      </c>
      <c r="BU186">
        <v>1800</v>
      </c>
      <c r="BV186">
        <v>0.90997300000000003</v>
      </c>
      <c r="BW186">
        <v>3.4005800000000003E-2</v>
      </c>
      <c r="BX186">
        <v>2.2009000000000001E-2</v>
      </c>
      <c r="BY186">
        <v>3.4011899999999998E-2</v>
      </c>
      <c r="BZ186">
        <v>25</v>
      </c>
      <c r="CA186">
        <v>33528.199999999997</v>
      </c>
      <c r="CB186">
        <v>1690387638</v>
      </c>
      <c r="CC186" t="s">
        <v>332</v>
      </c>
      <c r="CD186">
        <v>1690387638</v>
      </c>
      <c r="CE186">
        <v>1690387638</v>
      </c>
      <c r="CF186">
        <v>6</v>
      </c>
      <c r="CG186">
        <v>0.43</v>
      </c>
      <c r="CH186">
        <v>-8.1000000000000003E-2</v>
      </c>
      <c r="CI186">
        <v>0.14199999999999999</v>
      </c>
      <c r="CJ186">
        <v>-2.7E-2</v>
      </c>
      <c r="CK186">
        <v>800</v>
      </c>
      <c r="CL186">
        <v>0</v>
      </c>
      <c r="CM186">
        <v>0.01</v>
      </c>
      <c r="CN186">
        <v>0.01</v>
      </c>
      <c r="CO186">
        <v>-410.2317000000001</v>
      </c>
      <c r="CP186">
        <v>-4.1239924953085776</v>
      </c>
      <c r="CQ186">
        <v>0.39964629361474091</v>
      </c>
      <c r="CR186">
        <v>-1</v>
      </c>
      <c r="CS186">
        <v>25.42728</v>
      </c>
      <c r="CT186">
        <v>0.2379827392120154</v>
      </c>
      <c r="CU186">
        <v>2.294687560431697E-2</v>
      </c>
      <c r="CV186">
        <v>-1</v>
      </c>
      <c r="CW186">
        <v>0</v>
      </c>
      <c r="CX186">
        <v>0</v>
      </c>
      <c r="CY186" t="s">
        <v>333</v>
      </c>
      <c r="CZ186">
        <v>2.36476</v>
      </c>
      <c r="DA186">
        <v>2.71387</v>
      </c>
      <c r="DB186">
        <v>8.7099999999999997E-2</v>
      </c>
      <c r="DC186">
        <v>0.145288</v>
      </c>
      <c r="DD186">
        <v>0.11878900000000001</v>
      </c>
      <c r="DE186">
        <v>1.5506599999999999E-3</v>
      </c>
      <c r="DF186">
        <v>33361.5</v>
      </c>
      <c r="DG186">
        <v>27581.9</v>
      </c>
      <c r="DH186">
        <v>31196.9</v>
      </c>
      <c r="DI186">
        <v>28118.7</v>
      </c>
      <c r="DJ186">
        <v>37317.9</v>
      </c>
      <c r="DK186">
        <v>39932.400000000001</v>
      </c>
      <c r="DL186">
        <v>44401.1</v>
      </c>
      <c r="DM186">
        <v>42620.7</v>
      </c>
      <c r="DN186">
        <v>1.4758800000000001</v>
      </c>
      <c r="DO186">
        <v>2.0308000000000002</v>
      </c>
      <c r="DP186">
        <v>0.14215700000000001</v>
      </c>
      <c r="DQ186">
        <v>0.14764099999999999</v>
      </c>
      <c r="DR186">
        <v>24.634699999999999</v>
      </c>
      <c r="DS186">
        <v>24.595300000000002</v>
      </c>
      <c r="DT186">
        <v>24.5</v>
      </c>
      <c r="DU186">
        <v>29.2</v>
      </c>
      <c r="DV186">
        <v>10.1157</v>
      </c>
      <c r="DW186">
        <v>61.302199999999999</v>
      </c>
      <c r="DX186">
        <v>37.580100000000002</v>
      </c>
      <c r="DY186">
        <v>1</v>
      </c>
      <c r="DZ186">
        <v>-0.11937200000000001</v>
      </c>
      <c r="EA186">
        <v>9.3662899999999993E-2</v>
      </c>
      <c r="EB186">
        <v>20.190100000000001</v>
      </c>
      <c r="EC186">
        <v>5.2411000000000003</v>
      </c>
      <c r="ED186">
        <v>12.039899999999999</v>
      </c>
      <c r="EE186">
        <v>5.0170500000000002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1.8692</v>
      </c>
      <c r="EN186">
        <v>1.8672299999999999</v>
      </c>
      <c r="EO186">
        <v>1.8633599999999999</v>
      </c>
      <c r="EP186">
        <v>1.8644700000000001</v>
      </c>
      <c r="EQ186">
        <v>1.87015</v>
      </c>
      <c r="ER186">
        <v>1.8693599999999999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0.433</v>
      </c>
      <c r="FG186">
        <v>0.19839999999999999</v>
      </c>
      <c r="FH186">
        <v>0.69281559908863044</v>
      </c>
      <c r="FI186">
        <v>-6.1462078757559423E-4</v>
      </c>
      <c r="FJ186">
        <v>-1.8861989874597051E-7</v>
      </c>
      <c r="FK186">
        <v>1.1980462299894961E-10</v>
      </c>
      <c r="FL186">
        <v>0.19840465858211129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39</v>
      </c>
      <c r="FU186">
        <v>39</v>
      </c>
      <c r="FV186">
        <v>1.7639199999999999</v>
      </c>
      <c r="FW186">
        <v>2.5878899999999998</v>
      </c>
      <c r="FX186">
        <v>1.5490699999999999</v>
      </c>
      <c r="FY186">
        <v>2.3327599999999999</v>
      </c>
      <c r="FZ186">
        <v>1.50146</v>
      </c>
      <c r="GA186">
        <v>2.3059099999999999</v>
      </c>
      <c r="GB186">
        <v>33.602899999999998</v>
      </c>
      <c r="GC186">
        <v>23.982399999999998</v>
      </c>
      <c r="GD186">
        <v>19</v>
      </c>
      <c r="GE186">
        <v>281.35000000000002</v>
      </c>
      <c r="GF186">
        <v>574.95899999999995</v>
      </c>
      <c r="GG186">
        <v>24.114799999999999</v>
      </c>
      <c r="GH186">
        <v>25.903600000000001</v>
      </c>
      <c r="GI186">
        <v>30.0001</v>
      </c>
      <c r="GJ186">
        <v>26.036100000000001</v>
      </c>
      <c r="GK186">
        <v>26.015999999999998</v>
      </c>
      <c r="GL186">
        <v>35.269100000000002</v>
      </c>
      <c r="GM186">
        <v>100</v>
      </c>
      <c r="GN186">
        <v>11.7836</v>
      </c>
      <c r="GO186">
        <v>24.121500000000001</v>
      </c>
      <c r="GP186">
        <v>800</v>
      </c>
      <c r="GQ186">
        <v>0</v>
      </c>
      <c r="GR186">
        <v>99.823400000000007</v>
      </c>
      <c r="GS186">
        <v>99.702399999999997</v>
      </c>
    </row>
    <row r="187" spans="1:201" x14ac:dyDescent="0.25">
      <c r="A187">
        <v>171</v>
      </c>
      <c r="B187">
        <v>1690389986</v>
      </c>
      <c r="C187">
        <v>1727.5</v>
      </c>
      <c r="D187" t="s">
        <v>675</v>
      </c>
      <c r="E187" t="s">
        <v>676</v>
      </c>
      <c r="F187" t="s">
        <v>330</v>
      </c>
      <c r="H187">
        <v>1690389986</v>
      </c>
      <c r="I187">
        <f t="shared" si="60"/>
        <v>2.4698643612733927E-3</v>
      </c>
      <c r="J187">
        <f t="shared" si="61"/>
        <v>2.4698643612733928</v>
      </c>
      <c r="K187">
        <f t="shared" si="62"/>
        <v>37.892567794121909</v>
      </c>
      <c r="L187">
        <f t="shared" si="63"/>
        <v>388.339</v>
      </c>
      <c r="M187">
        <f t="shared" si="64"/>
        <v>107.38843091052044</v>
      </c>
      <c r="N187">
        <f t="shared" si="65"/>
        <v>10.592417580194791</v>
      </c>
      <c r="O187">
        <f t="shared" si="66"/>
        <v>38.304394763926901</v>
      </c>
      <c r="P187">
        <f t="shared" si="67"/>
        <v>0.23037063618190057</v>
      </c>
      <c r="Q187">
        <f t="shared" si="68"/>
        <v>2.1588007513119631</v>
      </c>
      <c r="R187">
        <f t="shared" si="69"/>
        <v>0.21753268783847507</v>
      </c>
      <c r="S187">
        <f t="shared" si="70"/>
        <v>0.1370517158095321</v>
      </c>
      <c r="T187">
        <f t="shared" si="71"/>
        <v>276.116738328</v>
      </c>
      <c r="U187">
        <f t="shared" si="72"/>
        <v>27.184740246595915</v>
      </c>
      <c r="V187">
        <f t="shared" si="73"/>
        <v>27.184740246595915</v>
      </c>
      <c r="W187">
        <f t="shared" si="74"/>
        <v>3.6181788786602693</v>
      </c>
      <c r="X187">
        <f t="shared" si="75"/>
        <v>75.620613371583161</v>
      </c>
      <c r="Y187">
        <f t="shared" si="76"/>
        <v>2.5331822617022004</v>
      </c>
      <c r="Z187">
        <f t="shared" si="77"/>
        <v>3.3498568032696281</v>
      </c>
      <c r="AA187">
        <f t="shared" si="78"/>
        <v>1.0849966169580689</v>
      </c>
      <c r="AB187">
        <f t="shared" si="79"/>
        <v>-108.92101833215662</v>
      </c>
      <c r="AC187">
        <f t="shared" si="80"/>
        <v>-152.15514248948946</v>
      </c>
      <c r="AD187">
        <f t="shared" si="81"/>
        <v>-15.139550638698873</v>
      </c>
      <c r="AE187">
        <f t="shared" si="82"/>
        <v>-9.8973132344980286E-2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52399.310475341517</v>
      </c>
      <c r="AK187">
        <f t="shared" si="86"/>
        <v>1800</v>
      </c>
      <c r="AL187">
        <f t="shared" si="87"/>
        <v>1499.1091847999999</v>
      </c>
      <c r="AM187">
        <f t="shared" si="88"/>
        <v>0.83283843599999996</v>
      </c>
      <c r="AN187">
        <f t="shared" si="89"/>
        <v>0.15339818795999999</v>
      </c>
      <c r="AO187">
        <v>31.8</v>
      </c>
      <c r="AP187">
        <v>0.5</v>
      </c>
      <c r="AQ187" t="s">
        <v>331</v>
      </c>
      <c r="AR187">
        <v>2</v>
      </c>
      <c r="AS187">
        <v>1690389986</v>
      </c>
      <c r="AT187">
        <v>388.339</v>
      </c>
      <c r="AU187">
        <v>799.99699999999996</v>
      </c>
      <c r="AV187">
        <v>25.681999999999999</v>
      </c>
      <c r="AW187">
        <v>0.18434600000000001</v>
      </c>
      <c r="AX187">
        <v>387.90600000000001</v>
      </c>
      <c r="AY187">
        <v>25.483599999999999</v>
      </c>
      <c r="AZ187">
        <v>300.12400000000002</v>
      </c>
      <c r="BA187">
        <v>98.536500000000004</v>
      </c>
      <c r="BB187">
        <v>9.9987099999999995E-2</v>
      </c>
      <c r="BC187">
        <v>25.877400000000002</v>
      </c>
      <c r="BD187">
        <v>26.998699999999999</v>
      </c>
      <c r="BE187">
        <v>26.995100000000001</v>
      </c>
      <c r="BF187">
        <v>0</v>
      </c>
      <c r="BG187">
        <v>0</v>
      </c>
      <c r="BH187">
        <v>10020</v>
      </c>
      <c r="BI187">
        <v>1067.7</v>
      </c>
      <c r="BJ187">
        <v>1.3736200000000001</v>
      </c>
      <c r="BK187">
        <v>-411.65899999999999</v>
      </c>
      <c r="BL187">
        <v>398.57499999999999</v>
      </c>
      <c r="BM187">
        <v>800.14499999999998</v>
      </c>
      <c r="BN187">
        <v>25.497699999999998</v>
      </c>
      <c r="BO187">
        <v>799.99699999999996</v>
      </c>
      <c r="BP187">
        <v>0.18434600000000001</v>
      </c>
      <c r="BQ187">
        <v>2.5306199999999999</v>
      </c>
      <c r="BR187">
        <v>1.8164799999999998E-2</v>
      </c>
      <c r="BS187">
        <v>21.224799999999998</v>
      </c>
      <c r="BT187">
        <v>-40.348300000000002</v>
      </c>
      <c r="BU187">
        <v>1800</v>
      </c>
      <c r="BV187">
        <v>0.90997399999999995</v>
      </c>
      <c r="BW187">
        <v>3.4005599999999997E-2</v>
      </c>
      <c r="BX187">
        <v>2.2008799999999999E-2</v>
      </c>
      <c r="BY187">
        <v>3.4011600000000003E-2</v>
      </c>
      <c r="BZ187">
        <v>25</v>
      </c>
      <c r="CA187">
        <v>33528.199999999997</v>
      </c>
      <c r="CB187">
        <v>1690387638</v>
      </c>
      <c r="CC187" t="s">
        <v>332</v>
      </c>
      <c r="CD187">
        <v>1690387638</v>
      </c>
      <c r="CE187">
        <v>1690387638</v>
      </c>
      <c r="CF187">
        <v>6</v>
      </c>
      <c r="CG187">
        <v>0.43</v>
      </c>
      <c r="CH187">
        <v>-8.1000000000000003E-2</v>
      </c>
      <c r="CI187">
        <v>0.14199999999999999</v>
      </c>
      <c r="CJ187">
        <v>-2.7E-2</v>
      </c>
      <c r="CK187">
        <v>800</v>
      </c>
      <c r="CL187">
        <v>0</v>
      </c>
      <c r="CM187">
        <v>0.01</v>
      </c>
      <c r="CN187">
        <v>0.01</v>
      </c>
      <c r="CO187">
        <v>-410.938756097561</v>
      </c>
      <c r="CP187">
        <v>-4.0749198606279711</v>
      </c>
      <c r="CQ187">
        <v>0.40370145818521591</v>
      </c>
      <c r="CR187">
        <v>-1</v>
      </c>
      <c r="CS187">
        <v>25.464243902439019</v>
      </c>
      <c r="CT187">
        <v>0.19768013937285589</v>
      </c>
      <c r="CU187">
        <v>1.9574299336810669E-2</v>
      </c>
      <c r="CV187">
        <v>-1</v>
      </c>
      <c r="CW187">
        <v>0</v>
      </c>
      <c r="CX187">
        <v>0</v>
      </c>
      <c r="CY187" t="s">
        <v>333</v>
      </c>
      <c r="CZ187">
        <v>2.3648600000000002</v>
      </c>
      <c r="DA187">
        <v>2.7138</v>
      </c>
      <c r="DB187">
        <v>8.6996299999999999E-2</v>
      </c>
      <c r="DC187">
        <v>0.14529800000000001</v>
      </c>
      <c r="DD187">
        <v>0.118878</v>
      </c>
      <c r="DE187">
        <v>1.54276E-3</v>
      </c>
      <c r="DF187">
        <v>33365.599999999999</v>
      </c>
      <c r="DG187">
        <v>27581.8</v>
      </c>
      <c r="DH187">
        <v>31197.200000000001</v>
      </c>
      <c r="DI187">
        <v>28119</v>
      </c>
      <c r="DJ187">
        <v>37314.199999999997</v>
      </c>
      <c r="DK187">
        <v>39933.300000000003</v>
      </c>
      <c r="DL187">
        <v>44401.3</v>
      </c>
      <c r="DM187">
        <v>42621.3</v>
      </c>
      <c r="DN187">
        <v>1.4765999999999999</v>
      </c>
      <c r="DO187">
        <v>2.0311499999999998</v>
      </c>
      <c r="DP187">
        <v>0.14427300000000001</v>
      </c>
      <c r="DQ187">
        <v>0.146449</v>
      </c>
      <c r="DR187">
        <v>24.634699999999999</v>
      </c>
      <c r="DS187">
        <v>24.595300000000002</v>
      </c>
      <c r="DT187">
        <v>24.3</v>
      </c>
      <c r="DU187">
        <v>29.2</v>
      </c>
      <c r="DV187">
        <v>10.0318</v>
      </c>
      <c r="DW187">
        <v>61.052199999999999</v>
      </c>
      <c r="DX187">
        <v>37.740400000000001</v>
      </c>
      <c r="DY187">
        <v>1</v>
      </c>
      <c r="DZ187">
        <v>-0.119466</v>
      </c>
      <c r="EA187">
        <v>0.180226</v>
      </c>
      <c r="EB187">
        <v>20.189800000000002</v>
      </c>
      <c r="EC187">
        <v>5.2409499999999998</v>
      </c>
      <c r="ED187">
        <v>12.039899999999999</v>
      </c>
      <c r="EE187">
        <v>5.0174000000000003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1.8672200000000001</v>
      </c>
      <c r="EO187">
        <v>1.86337</v>
      </c>
      <c r="EP187">
        <v>1.8644700000000001</v>
      </c>
      <c r="EQ187">
        <v>1.87015</v>
      </c>
      <c r="ER187">
        <v>1.8693599999999999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0.433</v>
      </c>
      <c r="FG187">
        <v>0.19839999999999999</v>
      </c>
      <c r="FH187">
        <v>0.69281559908863044</v>
      </c>
      <c r="FI187">
        <v>-6.1462078757559423E-4</v>
      </c>
      <c r="FJ187">
        <v>-1.8861989874597051E-7</v>
      </c>
      <c r="FK187">
        <v>1.1980462299894961E-10</v>
      </c>
      <c r="FL187">
        <v>0.19840465858211129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39.1</v>
      </c>
      <c r="FU187">
        <v>39.1</v>
      </c>
      <c r="FV187">
        <v>1.7639199999999999</v>
      </c>
      <c r="FW187">
        <v>2.5805699999999998</v>
      </c>
      <c r="FX187">
        <v>1.5490699999999999</v>
      </c>
      <c r="FY187">
        <v>2.3339799999999999</v>
      </c>
      <c r="FZ187">
        <v>1.50146</v>
      </c>
      <c r="GA187">
        <v>2.32178</v>
      </c>
      <c r="GB187">
        <v>33.602899999999998</v>
      </c>
      <c r="GC187">
        <v>23.991199999999999</v>
      </c>
      <c r="GD187">
        <v>19</v>
      </c>
      <c r="GE187">
        <v>281.65699999999998</v>
      </c>
      <c r="GF187">
        <v>575.23800000000006</v>
      </c>
      <c r="GG187">
        <v>24.137</v>
      </c>
      <c r="GH187">
        <v>25.903600000000001</v>
      </c>
      <c r="GI187">
        <v>30.000299999999999</v>
      </c>
      <c r="GJ187">
        <v>26.036100000000001</v>
      </c>
      <c r="GK187">
        <v>26.0154</v>
      </c>
      <c r="GL187">
        <v>35.267899999999997</v>
      </c>
      <c r="GM187">
        <v>100</v>
      </c>
      <c r="GN187">
        <v>11.412000000000001</v>
      </c>
      <c r="GO187">
        <v>24.0928</v>
      </c>
      <c r="GP187">
        <v>800</v>
      </c>
      <c r="GQ187">
        <v>0</v>
      </c>
      <c r="GR187">
        <v>99.823899999999995</v>
      </c>
      <c r="GS187">
        <v>99.703500000000005</v>
      </c>
    </row>
    <row r="188" spans="1:201" x14ac:dyDescent="0.25">
      <c r="A188">
        <v>172</v>
      </c>
      <c r="B188">
        <v>1690389996</v>
      </c>
      <c r="C188">
        <v>1737.5</v>
      </c>
      <c r="D188" t="s">
        <v>677</v>
      </c>
      <c r="E188" t="s">
        <v>678</v>
      </c>
      <c r="F188" t="s">
        <v>330</v>
      </c>
      <c r="H188">
        <v>1690389996</v>
      </c>
      <c r="I188">
        <f t="shared" si="60"/>
        <v>2.4713327492327892E-3</v>
      </c>
      <c r="J188">
        <f t="shared" si="61"/>
        <v>2.471332749232789</v>
      </c>
      <c r="K188">
        <f t="shared" si="62"/>
        <v>37.940552225232658</v>
      </c>
      <c r="L188">
        <f t="shared" si="63"/>
        <v>387.78100000000001</v>
      </c>
      <c r="M188">
        <f t="shared" si="64"/>
        <v>107.00212008264415</v>
      </c>
      <c r="N188">
        <f t="shared" si="65"/>
        <v>10.55403083720906</v>
      </c>
      <c r="O188">
        <f t="shared" si="66"/>
        <v>38.248332172509905</v>
      </c>
      <c r="P188">
        <f t="shared" si="67"/>
        <v>0.2308231702476535</v>
      </c>
      <c r="Q188">
        <f t="shared" si="68"/>
        <v>2.1573465448892168</v>
      </c>
      <c r="R188">
        <f t="shared" si="69"/>
        <v>0.21792808410787379</v>
      </c>
      <c r="S188">
        <f t="shared" si="70"/>
        <v>0.13730355752111376</v>
      </c>
      <c r="T188">
        <f t="shared" si="71"/>
        <v>276.11534947931415</v>
      </c>
      <c r="U188">
        <f t="shared" si="72"/>
        <v>27.187222047595462</v>
      </c>
      <c r="V188">
        <f t="shared" si="73"/>
        <v>27.187222047595462</v>
      </c>
      <c r="W188">
        <f t="shared" si="74"/>
        <v>3.6187055798244758</v>
      </c>
      <c r="X188">
        <f t="shared" si="75"/>
        <v>75.667323877199209</v>
      </c>
      <c r="Y188">
        <f t="shared" si="76"/>
        <v>2.5350772953410101</v>
      </c>
      <c r="Z188">
        <f t="shared" si="77"/>
        <v>3.3502933174367269</v>
      </c>
      <c r="AA188">
        <f t="shared" si="78"/>
        <v>1.0836282844834657</v>
      </c>
      <c r="AB188">
        <f t="shared" si="79"/>
        <v>-108.985774241166</v>
      </c>
      <c r="AC188">
        <f t="shared" si="80"/>
        <v>-152.08542348189252</v>
      </c>
      <c r="AD188">
        <f t="shared" si="81"/>
        <v>-15.143169078855772</v>
      </c>
      <c r="AE188">
        <f t="shared" si="82"/>
        <v>-9.9017322600104762E-2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52337.87657172585</v>
      </c>
      <c r="AK188">
        <f t="shared" si="86"/>
        <v>1799.99</v>
      </c>
      <c r="AL188">
        <f t="shared" si="87"/>
        <v>1499.1018248102598</v>
      </c>
      <c r="AM188">
        <f t="shared" si="88"/>
        <v>0.83283897399999984</v>
      </c>
      <c r="AN188">
        <f t="shared" si="89"/>
        <v>0.15339826859000003</v>
      </c>
      <c r="AO188">
        <v>31.8</v>
      </c>
      <c r="AP188">
        <v>0.5</v>
      </c>
      <c r="AQ188" t="s">
        <v>331</v>
      </c>
      <c r="AR188">
        <v>2</v>
      </c>
      <c r="AS188">
        <v>1690389996</v>
      </c>
      <c r="AT188">
        <v>387.78100000000001</v>
      </c>
      <c r="AU188">
        <v>800.04600000000005</v>
      </c>
      <c r="AV188">
        <v>25.701899999999998</v>
      </c>
      <c r="AW188">
        <v>0.182976</v>
      </c>
      <c r="AX188">
        <v>387.34699999999998</v>
      </c>
      <c r="AY188">
        <v>25.503499999999999</v>
      </c>
      <c r="AZ188">
        <v>300.04599999999999</v>
      </c>
      <c r="BA188">
        <v>98.533900000000003</v>
      </c>
      <c r="BB188">
        <v>9.9947900000000006E-2</v>
      </c>
      <c r="BC188">
        <v>25.8796</v>
      </c>
      <c r="BD188">
        <v>26.9999</v>
      </c>
      <c r="BE188">
        <v>27.006599999999999</v>
      </c>
      <c r="BF188">
        <v>0</v>
      </c>
      <c r="BG188">
        <v>0</v>
      </c>
      <c r="BH188">
        <v>10008.1</v>
      </c>
      <c r="BI188">
        <v>1067.7</v>
      </c>
      <c r="BJ188">
        <v>1.3469899999999999</v>
      </c>
      <c r="BK188">
        <v>-412.26499999999999</v>
      </c>
      <c r="BL188">
        <v>398.01</v>
      </c>
      <c r="BM188">
        <v>800.19200000000001</v>
      </c>
      <c r="BN188">
        <v>25.518899999999999</v>
      </c>
      <c r="BO188">
        <v>800.04600000000005</v>
      </c>
      <c r="BP188">
        <v>0.182976</v>
      </c>
      <c r="BQ188">
        <v>2.5325099999999998</v>
      </c>
      <c r="BR188">
        <v>1.8029400000000001E-2</v>
      </c>
      <c r="BS188">
        <v>21.236899999999999</v>
      </c>
      <c r="BT188">
        <v>-40.419699999999999</v>
      </c>
      <c r="BU188">
        <v>1799.99</v>
      </c>
      <c r="BV188">
        <v>0.90997499999999998</v>
      </c>
      <c r="BW188">
        <v>3.4005399999999998E-2</v>
      </c>
      <c r="BX188">
        <v>2.2008699999999999E-2</v>
      </c>
      <c r="BY188">
        <v>3.40115E-2</v>
      </c>
      <c r="BZ188">
        <v>25</v>
      </c>
      <c r="CA188">
        <v>33528</v>
      </c>
      <c r="CB188">
        <v>1690387638</v>
      </c>
      <c r="CC188" t="s">
        <v>332</v>
      </c>
      <c r="CD188">
        <v>1690387638</v>
      </c>
      <c r="CE188">
        <v>1690387638</v>
      </c>
      <c r="CF188">
        <v>6</v>
      </c>
      <c r="CG188">
        <v>0.43</v>
      </c>
      <c r="CH188">
        <v>-8.1000000000000003E-2</v>
      </c>
      <c r="CI188">
        <v>0.14199999999999999</v>
      </c>
      <c r="CJ188">
        <v>-2.7E-2</v>
      </c>
      <c r="CK188">
        <v>800</v>
      </c>
      <c r="CL188">
        <v>0</v>
      </c>
      <c r="CM188">
        <v>0.01</v>
      </c>
      <c r="CN188">
        <v>0.01</v>
      </c>
      <c r="CO188">
        <v>-411.64375000000001</v>
      </c>
      <c r="CP188">
        <v>-3.983999999999539</v>
      </c>
      <c r="CQ188">
        <v>0.38450251949759551</v>
      </c>
      <c r="CR188">
        <v>-1</v>
      </c>
      <c r="CS188">
        <v>25.4956225</v>
      </c>
      <c r="CT188">
        <v>0.15028480300182331</v>
      </c>
      <c r="CU188">
        <v>1.4517962796136289E-2</v>
      </c>
      <c r="CV188">
        <v>-1</v>
      </c>
      <c r="CW188">
        <v>0</v>
      </c>
      <c r="CX188">
        <v>0</v>
      </c>
      <c r="CY188" t="s">
        <v>333</v>
      </c>
      <c r="CZ188">
        <v>2.3645999999999998</v>
      </c>
      <c r="DA188">
        <v>2.71374</v>
      </c>
      <c r="DB188">
        <v>8.6897799999999997E-2</v>
      </c>
      <c r="DC188">
        <v>0.14530000000000001</v>
      </c>
      <c r="DD188">
        <v>0.11894</v>
      </c>
      <c r="DE188">
        <v>1.5313900000000001E-3</v>
      </c>
      <c r="DF188">
        <v>33369.199999999997</v>
      </c>
      <c r="DG188">
        <v>27581.599999999999</v>
      </c>
      <c r="DH188">
        <v>31197.200000000001</v>
      </c>
      <c r="DI188">
        <v>28118.799999999999</v>
      </c>
      <c r="DJ188">
        <v>37311.5</v>
      </c>
      <c r="DK188">
        <v>39933.4</v>
      </c>
      <c r="DL188">
        <v>44401.3</v>
      </c>
      <c r="DM188">
        <v>42620.9</v>
      </c>
      <c r="DN188">
        <v>1.4762999999999999</v>
      </c>
      <c r="DO188">
        <v>2.0309699999999999</v>
      </c>
      <c r="DP188">
        <v>0.144344</v>
      </c>
      <c r="DQ188">
        <v>0.14715300000000001</v>
      </c>
      <c r="DR188">
        <v>24.634699999999999</v>
      </c>
      <c r="DS188">
        <v>24.595300000000002</v>
      </c>
      <c r="DT188">
        <v>24.1</v>
      </c>
      <c r="DU188">
        <v>29.2</v>
      </c>
      <c r="DV188">
        <v>9.9509899999999991</v>
      </c>
      <c r="DW188">
        <v>60.652299999999997</v>
      </c>
      <c r="DX188">
        <v>37.259599999999999</v>
      </c>
      <c r="DY188">
        <v>1</v>
      </c>
      <c r="DZ188">
        <v>-0.11884400000000001</v>
      </c>
      <c r="EA188">
        <v>0.17562900000000001</v>
      </c>
      <c r="EB188">
        <v>20.190000000000001</v>
      </c>
      <c r="EC188">
        <v>5.2406499999999996</v>
      </c>
      <c r="ED188">
        <v>12.039899999999999</v>
      </c>
      <c r="EE188">
        <v>5.0174000000000003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1.8672200000000001</v>
      </c>
      <c r="EO188">
        <v>1.86337</v>
      </c>
      <c r="EP188">
        <v>1.8644700000000001</v>
      </c>
      <c r="EQ188">
        <v>1.8701300000000001</v>
      </c>
      <c r="ER188">
        <v>1.8693599999999999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0.434</v>
      </c>
      <c r="FG188">
        <v>0.19839999999999999</v>
      </c>
      <c r="FH188">
        <v>0.69281559908863044</v>
      </c>
      <c r="FI188">
        <v>-6.1462078757559423E-4</v>
      </c>
      <c r="FJ188">
        <v>-1.8861989874597051E-7</v>
      </c>
      <c r="FK188">
        <v>1.1980462299894961E-10</v>
      </c>
      <c r="FL188">
        <v>0.19840465858211129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39.299999999999997</v>
      </c>
      <c r="FU188">
        <v>39.299999999999997</v>
      </c>
      <c r="FV188">
        <v>1.7639199999999999</v>
      </c>
      <c r="FW188">
        <v>2.5842299999999998</v>
      </c>
      <c r="FX188">
        <v>1.5490699999999999</v>
      </c>
      <c r="FY188">
        <v>2.3339799999999999</v>
      </c>
      <c r="FZ188">
        <v>1.50024</v>
      </c>
      <c r="GA188">
        <v>2.2619600000000002</v>
      </c>
      <c r="GB188">
        <v>33.602899999999998</v>
      </c>
      <c r="GC188">
        <v>23.982399999999998</v>
      </c>
      <c r="GD188">
        <v>19</v>
      </c>
      <c r="GE188">
        <v>281.53100000000001</v>
      </c>
      <c r="GF188">
        <v>575.09500000000003</v>
      </c>
      <c r="GG188">
        <v>24.089099999999998</v>
      </c>
      <c r="GH188">
        <v>25.903600000000001</v>
      </c>
      <c r="GI188">
        <v>30.000299999999999</v>
      </c>
      <c r="GJ188">
        <v>26.036100000000001</v>
      </c>
      <c r="GK188">
        <v>26.0154</v>
      </c>
      <c r="GL188">
        <v>35.262900000000002</v>
      </c>
      <c r="GM188">
        <v>100</v>
      </c>
      <c r="GN188">
        <v>11.0364</v>
      </c>
      <c r="GO188">
        <v>24.0916</v>
      </c>
      <c r="GP188">
        <v>800</v>
      </c>
      <c r="GQ188">
        <v>0</v>
      </c>
      <c r="GR188">
        <v>99.823899999999995</v>
      </c>
      <c r="GS188">
        <v>99.702799999999996</v>
      </c>
    </row>
    <row r="189" spans="1:201" x14ac:dyDescent="0.25">
      <c r="A189">
        <v>173</v>
      </c>
      <c r="B189">
        <v>1690390006</v>
      </c>
      <c r="C189">
        <v>1747.5</v>
      </c>
      <c r="D189" t="s">
        <v>679</v>
      </c>
      <c r="E189" t="s">
        <v>680</v>
      </c>
      <c r="F189" t="s">
        <v>330</v>
      </c>
      <c r="H189">
        <v>1690390006</v>
      </c>
      <c r="I189">
        <f t="shared" si="60"/>
        <v>2.4748542987769167E-3</v>
      </c>
      <c r="J189">
        <f t="shared" si="61"/>
        <v>2.4748542987769167</v>
      </c>
      <c r="K189">
        <f t="shared" si="62"/>
        <v>38.002766710188538</v>
      </c>
      <c r="L189">
        <f t="shared" si="63"/>
        <v>387.28</v>
      </c>
      <c r="M189">
        <f t="shared" si="64"/>
        <v>106.88873178818719</v>
      </c>
      <c r="N189">
        <f t="shared" si="65"/>
        <v>10.542748586475579</v>
      </c>
      <c r="O189">
        <f t="shared" si="66"/>
        <v>38.198560355839994</v>
      </c>
      <c r="P189">
        <f t="shared" si="67"/>
        <v>0.23157596963292137</v>
      </c>
      <c r="Q189">
        <f t="shared" si="68"/>
        <v>2.15276955543347</v>
      </c>
      <c r="R189">
        <f t="shared" si="69"/>
        <v>0.21857324653648602</v>
      </c>
      <c r="S189">
        <f t="shared" si="70"/>
        <v>0.13771564557464097</v>
      </c>
      <c r="T189">
        <f t="shared" si="71"/>
        <v>276.11665901999999</v>
      </c>
      <c r="U189">
        <f t="shared" si="72"/>
        <v>27.190042505304721</v>
      </c>
      <c r="V189">
        <f t="shared" si="73"/>
        <v>27.190042505304721</v>
      </c>
      <c r="W189">
        <f t="shared" si="74"/>
        <v>3.6193042337802406</v>
      </c>
      <c r="X189">
        <f t="shared" si="75"/>
        <v>75.728779967163874</v>
      </c>
      <c r="Y189">
        <f t="shared" si="76"/>
        <v>2.5373616626783999</v>
      </c>
      <c r="Z189">
        <f t="shared" si="77"/>
        <v>3.3505909692175209</v>
      </c>
      <c r="AA189">
        <f t="shared" si="78"/>
        <v>1.0819425711018407</v>
      </c>
      <c r="AB189">
        <f t="shared" si="79"/>
        <v>-109.14107457606202</v>
      </c>
      <c r="AC189">
        <f t="shared" si="80"/>
        <v>-151.91601412395158</v>
      </c>
      <c r="AD189">
        <f t="shared" si="81"/>
        <v>-15.158789008580207</v>
      </c>
      <c r="AE189">
        <f t="shared" si="82"/>
        <v>-9.9218688593794013E-2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52145.91598507062</v>
      </c>
      <c r="AK189">
        <f t="shared" si="86"/>
        <v>1800</v>
      </c>
      <c r="AL189">
        <f t="shared" si="87"/>
        <v>1499.1091829999998</v>
      </c>
      <c r="AM189">
        <f t="shared" si="88"/>
        <v>0.83283843499999988</v>
      </c>
      <c r="AN189">
        <f t="shared" si="89"/>
        <v>0.15339814390000001</v>
      </c>
      <c r="AO189">
        <v>31.8</v>
      </c>
      <c r="AP189">
        <v>0.5</v>
      </c>
      <c r="AQ189" t="s">
        <v>331</v>
      </c>
      <c r="AR189">
        <v>2</v>
      </c>
      <c r="AS189">
        <v>1690390006</v>
      </c>
      <c r="AT189">
        <v>387.28</v>
      </c>
      <c r="AU189">
        <v>800.02</v>
      </c>
      <c r="AV189">
        <v>25.725300000000001</v>
      </c>
      <c r="AW189">
        <v>0.182119</v>
      </c>
      <c r="AX189">
        <v>386.846</v>
      </c>
      <c r="AY189">
        <v>25.526900000000001</v>
      </c>
      <c r="AZ189">
        <v>300.18099999999998</v>
      </c>
      <c r="BA189">
        <v>98.532899999999998</v>
      </c>
      <c r="BB189">
        <v>0.10002800000000001</v>
      </c>
      <c r="BC189">
        <v>25.8811</v>
      </c>
      <c r="BD189">
        <v>27.020900000000001</v>
      </c>
      <c r="BE189">
        <v>27.000800000000002</v>
      </c>
      <c r="BF189">
        <v>0</v>
      </c>
      <c r="BG189">
        <v>0</v>
      </c>
      <c r="BH189">
        <v>9970</v>
      </c>
      <c r="BI189">
        <v>1067.8900000000001</v>
      </c>
      <c r="BJ189">
        <v>1.38764</v>
      </c>
      <c r="BK189">
        <v>-412.73899999999998</v>
      </c>
      <c r="BL189">
        <v>397.50599999999997</v>
      </c>
      <c r="BM189">
        <v>800.16499999999996</v>
      </c>
      <c r="BN189">
        <v>25.543099999999999</v>
      </c>
      <c r="BO189">
        <v>800.02</v>
      </c>
      <c r="BP189">
        <v>0.182119</v>
      </c>
      <c r="BQ189">
        <v>2.53478</v>
      </c>
      <c r="BR189">
        <v>1.7944700000000001E-2</v>
      </c>
      <c r="BS189">
        <v>21.2516</v>
      </c>
      <c r="BT189">
        <v>-40.464599999999997</v>
      </c>
      <c r="BU189">
        <v>1800</v>
      </c>
      <c r="BV189">
        <v>0.90997499999999998</v>
      </c>
      <c r="BW189">
        <v>3.4005199999999999E-2</v>
      </c>
      <c r="BX189">
        <v>2.20085E-2</v>
      </c>
      <c r="BY189">
        <v>3.4011199999999998E-2</v>
      </c>
      <c r="BZ189">
        <v>25</v>
      </c>
      <c r="CA189">
        <v>33528.199999999997</v>
      </c>
      <c r="CB189">
        <v>1690387638</v>
      </c>
      <c r="CC189" t="s">
        <v>332</v>
      </c>
      <c r="CD189">
        <v>1690387638</v>
      </c>
      <c r="CE189">
        <v>1690387638</v>
      </c>
      <c r="CF189">
        <v>6</v>
      </c>
      <c r="CG189">
        <v>0.43</v>
      </c>
      <c r="CH189">
        <v>-8.1000000000000003E-2</v>
      </c>
      <c r="CI189">
        <v>0.14199999999999999</v>
      </c>
      <c r="CJ189">
        <v>-2.7E-2</v>
      </c>
      <c r="CK189">
        <v>800</v>
      </c>
      <c r="CL189">
        <v>0</v>
      </c>
      <c r="CM189">
        <v>0.01</v>
      </c>
      <c r="CN189">
        <v>0.01</v>
      </c>
      <c r="CO189">
        <v>-412.16064999999998</v>
      </c>
      <c r="CP189">
        <v>-3.2235872420246969</v>
      </c>
      <c r="CQ189">
        <v>0.31455608005569108</v>
      </c>
      <c r="CR189">
        <v>-1</v>
      </c>
      <c r="CS189">
        <v>25.517315</v>
      </c>
      <c r="CT189">
        <v>0.13532307692296039</v>
      </c>
      <c r="CU189">
        <v>1.3069784810776419E-2</v>
      </c>
      <c r="CV189">
        <v>-1</v>
      </c>
      <c r="CW189">
        <v>0</v>
      </c>
      <c r="CX189">
        <v>0</v>
      </c>
      <c r="CY189" t="s">
        <v>333</v>
      </c>
      <c r="CZ189">
        <v>2.3650500000000001</v>
      </c>
      <c r="DA189">
        <v>2.7137899999999999</v>
      </c>
      <c r="DB189">
        <v>8.6808999999999997E-2</v>
      </c>
      <c r="DC189">
        <v>0.14529300000000001</v>
      </c>
      <c r="DD189">
        <v>0.11901200000000001</v>
      </c>
      <c r="DE189">
        <v>1.52425E-3</v>
      </c>
      <c r="DF189">
        <v>33372.400000000001</v>
      </c>
      <c r="DG189">
        <v>27582.2</v>
      </c>
      <c r="DH189">
        <v>31197.200000000001</v>
      </c>
      <c r="DI189">
        <v>28119.200000000001</v>
      </c>
      <c r="DJ189">
        <v>37308.199999999997</v>
      </c>
      <c r="DK189">
        <v>39934.5</v>
      </c>
      <c r="DL189">
        <v>44401</v>
      </c>
      <c r="DM189">
        <v>42621.8</v>
      </c>
      <c r="DN189">
        <v>1.4765999999999999</v>
      </c>
      <c r="DO189">
        <v>2.03105</v>
      </c>
      <c r="DP189">
        <v>0.14562900000000001</v>
      </c>
      <c r="DQ189">
        <v>0.14685799999999999</v>
      </c>
      <c r="DR189">
        <v>24.634699999999999</v>
      </c>
      <c r="DS189">
        <v>24.5943</v>
      </c>
      <c r="DT189">
        <v>24</v>
      </c>
      <c r="DU189">
        <v>29.2</v>
      </c>
      <c r="DV189">
        <v>9.9093</v>
      </c>
      <c r="DW189">
        <v>61.092199999999998</v>
      </c>
      <c r="DX189">
        <v>36.778799999999997</v>
      </c>
      <c r="DY189">
        <v>1</v>
      </c>
      <c r="DZ189">
        <v>-0.119357</v>
      </c>
      <c r="EA189">
        <v>0.12681899999999999</v>
      </c>
      <c r="EB189">
        <v>20.190000000000001</v>
      </c>
      <c r="EC189">
        <v>5.2409499999999998</v>
      </c>
      <c r="ED189">
        <v>12.039899999999999</v>
      </c>
      <c r="EE189">
        <v>5.0171999999999999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1.8692</v>
      </c>
      <c r="EN189">
        <v>1.8672200000000001</v>
      </c>
      <c r="EO189">
        <v>1.8633900000000001</v>
      </c>
      <c r="EP189">
        <v>1.8644700000000001</v>
      </c>
      <c r="EQ189">
        <v>1.8701700000000001</v>
      </c>
      <c r="ER189">
        <v>1.86937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0.434</v>
      </c>
      <c r="FG189">
        <v>0.19839999999999999</v>
      </c>
      <c r="FH189">
        <v>0.69281559908863044</v>
      </c>
      <c r="FI189">
        <v>-6.1462078757559423E-4</v>
      </c>
      <c r="FJ189">
        <v>-1.8861989874597051E-7</v>
      </c>
      <c r="FK189">
        <v>1.1980462299894961E-10</v>
      </c>
      <c r="FL189">
        <v>0.19840465858211129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39.5</v>
      </c>
      <c r="FU189">
        <v>39.5</v>
      </c>
      <c r="FV189">
        <v>1.7639199999999999</v>
      </c>
      <c r="FW189">
        <v>2.5878899999999998</v>
      </c>
      <c r="FX189">
        <v>1.5490699999999999</v>
      </c>
      <c r="FY189">
        <v>2.3339799999999999</v>
      </c>
      <c r="FZ189">
        <v>1.50146</v>
      </c>
      <c r="GA189">
        <v>2.34375</v>
      </c>
      <c r="GB189">
        <v>33.602899999999998</v>
      </c>
      <c r="GC189">
        <v>23.982399999999998</v>
      </c>
      <c r="GD189">
        <v>19</v>
      </c>
      <c r="GE189">
        <v>281.65800000000002</v>
      </c>
      <c r="GF189">
        <v>575.15599999999995</v>
      </c>
      <c r="GG189">
        <v>24.087599999999998</v>
      </c>
      <c r="GH189">
        <v>25.903600000000001</v>
      </c>
      <c r="GI189">
        <v>30</v>
      </c>
      <c r="GJ189">
        <v>26.036100000000001</v>
      </c>
      <c r="GK189">
        <v>26.0154</v>
      </c>
      <c r="GL189">
        <v>35.263300000000001</v>
      </c>
      <c r="GM189">
        <v>100</v>
      </c>
      <c r="GN189">
        <v>10.2498</v>
      </c>
      <c r="GO189">
        <v>24.096299999999999</v>
      </c>
      <c r="GP189">
        <v>800</v>
      </c>
      <c r="GQ189">
        <v>0</v>
      </c>
      <c r="GR189">
        <v>99.823599999999999</v>
      </c>
      <c r="GS189">
        <v>99.704599999999999</v>
      </c>
    </row>
    <row r="190" spans="1:201" x14ac:dyDescent="0.25">
      <c r="A190">
        <v>174</v>
      </c>
      <c r="B190">
        <v>1690390016</v>
      </c>
      <c r="C190">
        <v>1757.5</v>
      </c>
      <c r="D190" t="s">
        <v>681</v>
      </c>
      <c r="E190" t="s">
        <v>682</v>
      </c>
      <c r="F190" t="s">
        <v>330</v>
      </c>
      <c r="H190">
        <v>1690390016</v>
      </c>
      <c r="I190">
        <f t="shared" si="60"/>
        <v>2.4771632434691803E-3</v>
      </c>
      <c r="J190">
        <f t="shared" si="61"/>
        <v>2.4771632434691804</v>
      </c>
      <c r="K190">
        <f t="shared" si="62"/>
        <v>38.053807700519641</v>
      </c>
      <c r="L190">
        <f t="shared" si="63"/>
        <v>386.63900000000001</v>
      </c>
      <c r="M190">
        <f t="shared" si="64"/>
        <v>106.98000409898387</v>
      </c>
      <c r="N190">
        <f t="shared" si="65"/>
        <v>10.551723547873728</v>
      </c>
      <c r="O190">
        <f t="shared" si="66"/>
        <v>38.135237282769005</v>
      </c>
      <c r="P190">
        <f t="shared" si="67"/>
        <v>0.23252233790870999</v>
      </c>
      <c r="Q190">
        <f t="shared" si="68"/>
        <v>2.1550897904329793</v>
      </c>
      <c r="R190">
        <f t="shared" si="69"/>
        <v>0.2194296084781947</v>
      </c>
      <c r="S190">
        <f t="shared" si="70"/>
        <v>0.13825836355652554</v>
      </c>
      <c r="T190">
        <f t="shared" si="71"/>
        <v>276.11655073200001</v>
      </c>
      <c r="U190">
        <f t="shared" si="72"/>
        <v>27.187562425944108</v>
      </c>
      <c r="V190">
        <f t="shared" si="73"/>
        <v>27.187562425944108</v>
      </c>
      <c r="W190">
        <f t="shared" si="74"/>
        <v>3.6187778219677398</v>
      </c>
      <c r="X190">
        <f t="shared" si="75"/>
        <v>75.811331467145905</v>
      </c>
      <c r="Y190">
        <f t="shared" si="76"/>
        <v>2.5400674497288001</v>
      </c>
      <c r="Z190">
        <f t="shared" si="77"/>
        <v>3.3505115931509266</v>
      </c>
      <c r="AA190">
        <f t="shared" si="78"/>
        <v>1.0787103722389397</v>
      </c>
      <c r="AB190">
        <f t="shared" si="79"/>
        <v>-109.24289903699085</v>
      </c>
      <c r="AC190">
        <f t="shared" si="80"/>
        <v>-151.83807335253613</v>
      </c>
      <c r="AD190">
        <f t="shared" si="81"/>
        <v>-15.134481216014759</v>
      </c>
      <c r="AE190">
        <f t="shared" si="82"/>
        <v>-9.8902873541732106E-2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52243.092564967286</v>
      </c>
      <c r="AK190">
        <f t="shared" si="86"/>
        <v>1800</v>
      </c>
      <c r="AL190">
        <f t="shared" si="87"/>
        <v>1499.1090552000003</v>
      </c>
      <c r="AM190">
        <f t="shared" si="88"/>
        <v>0.83283836400000011</v>
      </c>
      <c r="AN190">
        <f t="shared" si="89"/>
        <v>0.15339808374</v>
      </c>
      <c r="AO190">
        <v>31.8</v>
      </c>
      <c r="AP190">
        <v>0.5</v>
      </c>
      <c r="AQ190" t="s">
        <v>331</v>
      </c>
      <c r="AR190">
        <v>2</v>
      </c>
      <c r="AS190">
        <v>1690390016</v>
      </c>
      <c r="AT190">
        <v>386.63900000000001</v>
      </c>
      <c r="AU190">
        <v>800.00599999999997</v>
      </c>
      <c r="AV190">
        <v>25.752800000000001</v>
      </c>
      <c r="AW190">
        <v>0.18071699999999999</v>
      </c>
      <c r="AX190">
        <v>386.20499999999998</v>
      </c>
      <c r="AY190">
        <v>25.554400000000001</v>
      </c>
      <c r="AZ190">
        <v>300.113</v>
      </c>
      <c r="BA190">
        <v>98.532600000000002</v>
      </c>
      <c r="BB190">
        <v>0.10007099999999999</v>
      </c>
      <c r="BC190">
        <v>25.880700000000001</v>
      </c>
      <c r="BD190">
        <v>27.0534</v>
      </c>
      <c r="BE190">
        <v>27.018799999999999</v>
      </c>
      <c r="BF190">
        <v>0</v>
      </c>
      <c r="BG190">
        <v>0</v>
      </c>
      <c r="BH190">
        <v>9989.3799999999992</v>
      </c>
      <c r="BI190">
        <v>1067.95</v>
      </c>
      <c r="BJ190">
        <v>1.4016500000000001</v>
      </c>
      <c r="BK190">
        <v>-413.36700000000002</v>
      </c>
      <c r="BL190">
        <v>396.85899999999998</v>
      </c>
      <c r="BM190">
        <v>800.15099999999995</v>
      </c>
      <c r="BN190">
        <v>25.571999999999999</v>
      </c>
      <c r="BO190">
        <v>800.00599999999997</v>
      </c>
      <c r="BP190">
        <v>0.18071699999999999</v>
      </c>
      <c r="BQ190">
        <v>2.53749</v>
      </c>
      <c r="BR190">
        <v>1.7806499999999999E-2</v>
      </c>
      <c r="BS190">
        <v>21.268999999999998</v>
      </c>
      <c r="BT190">
        <v>-40.5383</v>
      </c>
      <c r="BU190">
        <v>1800</v>
      </c>
      <c r="BV190">
        <v>0.90997600000000001</v>
      </c>
      <c r="BW190">
        <v>3.4004699999999999E-2</v>
      </c>
      <c r="BX190">
        <v>2.2008199999999999E-2</v>
      </c>
      <c r="BY190">
        <v>3.4010800000000001E-2</v>
      </c>
      <c r="BZ190">
        <v>25</v>
      </c>
      <c r="CA190">
        <v>33528.199999999997</v>
      </c>
      <c r="CB190">
        <v>1690387638</v>
      </c>
      <c r="CC190" t="s">
        <v>332</v>
      </c>
      <c r="CD190">
        <v>1690387638</v>
      </c>
      <c r="CE190">
        <v>1690387638</v>
      </c>
      <c r="CF190">
        <v>6</v>
      </c>
      <c r="CG190">
        <v>0.43</v>
      </c>
      <c r="CH190">
        <v>-8.1000000000000003E-2</v>
      </c>
      <c r="CI190">
        <v>0.14199999999999999</v>
      </c>
      <c r="CJ190">
        <v>-2.7E-2</v>
      </c>
      <c r="CK190">
        <v>800</v>
      </c>
      <c r="CL190">
        <v>0</v>
      </c>
      <c r="CM190">
        <v>0.01</v>
      </c>
      <c r="CN190">
        <v>0.01</v>
      </c>
      <c r="CO190">
        <v>-412.71551219512202</v>
      </c>
      <c r="CP190">
        <v>-3.4113031358883279</v>
      </c>
      <c r="CQ190">
        <v>0.34222643494930027</v>
      </c>
      <c r="CR190">
        <v>-1</v>
      </c>
      <c r="CS190">
        <v>25.54128536585366</v>
      </c>
      <c r="CT190">
        <v>0.15156376306624081</v>
      </c>
      <c r="CU190">
        <v>1.498513997225605E-2</v>
      </c>
      <c r="CV190">
        <v>-1</v>
      </c>
      <c r="CW190">
        <v>0</v>
      </c>
      <c r="CX190">
        <v>0</v>
      </c>
      <c r="CY190" t="s">
        <v>333</v>
      </c>
      <c r="CZ190">
        <v>2.3648500000000001</v>
      </c>
      <c r="DA190">
        <v>2.7138499999999999</v>
      </c>
      <c r="DB190">
        <v>8.6698600000000001E-2</v>
      </c>
      <c r="DC190">
        <v>0.145292</v>
      </c>
      <c r="DD190">
        <v>0.119102</v>
      </c>
      <c r="DE190">
        <v>1.5126499999999999E-3</v>
      </c>
      <c r="DF190">
        <v>33376.300000000003</v>
      </c>
      <c r="DG190">
        <v>27582.799999999999</v>
      </c>
      <c r="DH190">
        <v>31197.1</v>
      </c>
      <c r="DI190">
        <v>28119.7</v>
      </c>
      <c r="DJ190">
        <v>37304.5</v>
      </c>
      <c r="DK190">
        <v>39935.4</v>
      </c>
      <c r="DL190">
        <v>44401.2</v>
      </c>
      <c r="DM190">
        <v>42622.3</v>
      </c>
      <c r="DN190">
        <v>1.4765299999999999</v>
      </c>
      <c r="DO190">
        <v>2.0309300000000001</v>
      </c>
      <c r="DP190">
        <v>0.14770800000000001</v>
      </c>
      <c r="DQ190">
        <v>0.14802100000000001</v>
      </c>
      <c r="DR190">
        <v>24.633199999999999</v>
      </c>
      <c r="DS190">
        <v>24.593299999999999</v>
      </c>
      <c r="DT190">
        <v>23.8</v>
      </c>
      <c r="DU190">
        <v>29.2</v>
      </c>
      <c r="DV190">
        <v>9.8275500000000005</v>
      </c>
      <c r="DW190">
        <v>61.502200000000002</v>
      </c>
      <c r="DX190">
        <v>37.596200000000003</v>
      </c>
      <c r="DY190">
        <v>1</v>
      </c>
      <c r="DZ190">
        <v>-0.119309</v>
      </c>
      <c r="EA190">
        <v>0.18641099999999999</v>
      </c>
      <c r="EB190">
        <v>20.189900000000002</v>
      </c>
      <c r="EC190">
        <v>5.24125</v>
      </c>
      <c r="ED190">
        <v>12.039899999999999</v>
      </c>
      <c r="EE190">
        <v>5.0170000000000003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1.8646199999999999</v>
      </c>
      <c r="EM190">
        <v>1.8692</v>
      </c>
      <c r="EN190">
        <v>1.8672200000000001</v>
      </c>
      <c r="EO190">
        <v>1.86338</v>
      </c>
      <c r="EP190">
        <v>1.8644700000000001</v>
      </c>
      <c r="EQ190">
        <v>1.8701399999999999</v>
      </c>
      <c r="ER190">
        <v>1.8693599999999999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0.434</v>
      </c>
      <c r="FG190">
        <v>0.19839999999999999</v>
      </c>
      <c r="FH190">
        <v>0.69281559908863044</v>
      </c>
      <c r="FI190">
        <v>-6.1462078757559423E-4</v>
      </c>
      <c r="FJ190">
        <v>-1.8861989874597051E-7</v>
      </c>
      <c r="FK190">
        <v>1.1980462299894961E-10</v>
      </c>
      <c r="FL190">
        <v>0.19840465858211129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39.6</v>
      </c>
      <c r="FU190">
        <v>39.6</v>
      </c>
      <c r="FV190">
        <v>1.7639199999999999</v>
      </c>
      <c r="FW190">
        <v>2.5891099999999998</v>
      </c>
      <c r="FX190">
        <v>1.5490699999999999</v>
      </c>
      <c r="FY190">
        <v>2.3339799999999999</v>
      </c>
      <c r="FZ190">
        <v>1.50146</v>
      </c>
      <c r="GA190">
        <v>2.2924799999999999</v>
      </c>
      <c r="GB190">
        <v>33.625399999999999</v>
      </c>
      <c r="GC190">
        <v>23.982399999999998</v>
      </c>
      <c r="GD190">
        <v>19</v>
      </c>
      <c r="GE190">
        <v>281.62599999999998</v>
      </c>
      <c r="GF190">
        <v>575.05399999999997</v>
      </c>
      <c r="GG190">
        <v>24.090299999999999</v>
      </c>
      <c r="GH190">
        <v>25.903600000000001</v>
      </c>
      <c r="GI190">
        <v>30.0001</v>
      </c>
      <c r="GJ190">
        <v>26.036100000000001</v>
      </c>
      <c r="GK190">
        <v>26.0154</v>
      </c>
      <c r="GL190">
        <v>35.265700000000002</v>
      </c>
      <c r="GM190">
        <v>100</v>
      </c>
      <c r="GN190">
        <v>9.8651400000000002</v>
      </c>
      <c r="GO190">
        <v>24.073499999999999</v>
      </c>
      <c r="GP190">
        <v>800</v>
      </c>
      <c r="GQ190">
        <v>0</v>
      </c>
      <c r="GR190">
        <v>99.823700000000002</v>
      </c>
      <c r="GS190">
        <v>99.706000000000003</v>
      </c>
    </row>
    <row r="191" spans="1:201" x14ac:dyDescent="0.25">
      <c r="A191">
        <v>175</v>
      </c>
      <c r="B191">
        <v>1690390026</v>
      </c>
      <c r="C191">
        <v>1767.5</v>
      </c>
      <c r="D191" t="s">
        <v>683</v>
      </c>
      <c r="E191" t="s">
        <v>684</v>
      </c>
      <c r="F191" t="s">
        <v>330</v>
      </c>
      <c r="H191">
        <v>1690390026</v>
      </c>
      <c r="I191">
        <f t="shared" si="60"/>
        <v>2.4796263580521205E-3</v>
      </c>
      <c r="J191">
        <f t="shared" si="61"/>
        <v>2.4796263580521205</v>
      </c>
      <c r="K191">
        <f t="shared" si="62"/>
        <v>38.106350635511113</v>
      </c>
      <c r="L191">
        <f t="shared" si="63"/>
        <v>386.19400000000002</v>
      </c>
      <c r="M191">
        <f t="shared" si="64"/>
        <v>107.36286230434681</v>
      </c>
      <c r="N191">
        <f t="shared" si="65"/>
        <v>10.590033962695005</v>
      </c>
      <c r="O191">
        <f t="shared" si="66"/>
        <v>38.093317264543998</v>
      </c>
      <c r="P191">
        <f t="shared" si="67"/>
        <v>0.2335580899245496</v>
      </c>
      <c r="Q191">
        <f t="shared" si="68"/>
        <v>2.1598663898099169</v>
      </c>
      <c r="R191">
        <f t="shared" si="69"/>
        <v>0.22037945197698114</v>
      </c>
      <c r="S191">
        <f t="shared" si="70"/>
        <v>0.13885920079792574</v>
      </c>
      <c r="T191">
        <f t="shared" si="71"/>
        <v>276.11666751599995</v>
      </c>
      <c r="U191">
        <f t="shared" si="72"/>
        <v>27.179889037772362</v>
      </c>
      <c r="V191">
        <f t="shared" si="73"/>
        <v>27.179889037772362</v>
      </c>
      <c r="W191">
        <f t="shared" si="74"/>
        <v>3.6171495222441403</v>
      </c>
      <c r="X191">
        <f t="shared" si="75"/>
        <v>75.886827005304653</v>
      </c>
      <c r="Y191">
        <f t="shared" si="76"/>
        <v>2.5419645339632</v>
      </c>
      <c r="Z191">
        <f t="shared" si="77"/>
        <v>3.3496782436107271</v>
      </c>
      <c r="AA191">
        <f t="shared" si="78"/>
        <v>1.0751849882809403</v>
      </c>
      <c r="AB191">
        <f t="shared" si="79"/>
        <v>-109.35152239009851</v>
      </c>
      <c r="AC191">
        <f t="shared" si="80"/>
        <v>-151.77016061523878</v>
      </c>
      <c r="AD191">
        <f t="shared" si="81"/>
        <v>-15.093358830870732</v>
      </c>
      <c r="AE191">
        <f t="shared" si="82"/>
        <v>-9.8374320208080235E-2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52444.217687258257</v>
      </c>
      <c r="AK191">
        <f t="shared" si="86"/>
        <v>1800</v>
      </c>
      <c r="AL191">
        <f t="shared" si="87"/>
        <v>1499.1098886</v>
      </c>
      <c r="AM191">
        <f t="shared" si="88"/>
        <v>0.832838827</v>
      </c>
      <c r="AN191">
        <f t="shared" si="89"/>
        <v>0.15339814861999998</v>
      </c>
      <c r="AO191">
        <v>31.8</v>
      </c>
      <c r="AP191">
        <v>0.5</v>
      </c>
      <c r="AQ191" t="s">
        <v>331</v>
      </c>
      <c r="AR191">
        <v>2</v>
      </c>
      <c r="AS191">
        <v>1690390026</v>
      </c>
      <c r="AT191">
        <v>386.19400000000002</v>
      </c>
      <c r="AU191">
        <v>800.02099999999996</v>
      </c>
      <c r="AV191">
        <v>25.770700000000001</v>
      </c>
      <c r="AW191">
        <v>0.17954400000000001</v>
      </c>
      <c r="AX191">
        <v>385.75900000000001</v>
      </c>
      <c r="AY191">
        <v>25.572299999999998</v>
      </c>
      <c r="AZ191">
        <v>300.18200000000002</v>
      </c>
      <c r="BA191">
        <v>98.537700000000001</v>
      </c>
      <c r="BB191">
        <v>0.100076</v>
      </c>
      <c r="BC191">
        <v>25.8765</v>
      </c>
      <c r="BD191">
        <v>27.037500000000001</v>
      </c>
      <c r="BE191">
        <v>26.9923</v>
      </c>
      <c r="BF191">
        <v>0</v>
      </c>
      <c r="BG191">
        <v>0</v>
      </c>
      <c r="BH191">
        <v>10028.799999999999</v>
      </c>
      <c r="BI191">
        <v>1067.94</v>
      </c>
      <c r="BJ191">
        <v>1.3455900000000001</v>
      </c>
      <c r="BK191">
        <v>-413.827</v>
      </c>
      <c r="BL191">
        <v>396.41</v>
      </c>
      <c r="BM191">
        <v>800.16399999999999</v>
      </c>
      <c r="BN191">
        <v>25.591200000000001</v>
      </c>
      <c r="BO191">
        <v>800.02099999999996</v>
      </c>
      <c r="BP191">
        <v>0.17954400000000001</v>
      </c>
      <c r="BQ191">
        <v>2.53939</v>
      </c>
      <c r="BR191">
        <v>1.7691800000000001E-2</v>
      </c>
      <c r="BS191">
        <v>21.281199999999998</v>
      </c>
      <c r="BT191">
        <v>-40.599800000000002</v>
      </c>
      <c r="BU191">
        <v>1800</v>
      </c>
      <c r="BV191">
        <v>0.90997700000000004</v>
      </c>
      <c r="BW191">
        <v>3.40045E-2</v>
      </c>
      <c r="BX191">
        <v>2.2008099999999999E-2</v>
      </c>
      <c r="BY191">
        <v>3.4010600000000002E-2</v>
      </c>
      <c r="BZ191">
        <v>25</v>
      </c>
      <c r="CA191">
        <v>33528.199999999997</v>
      </c>
      <c r="CB191">
        <v>1690387638</v>
      </c>
      <c r="CC191" t="s">
        <v>332</v>
      </c>
      <c r="CD191">
        <v>1690387638</v>
      </c>
      <c r="CE191">
        <v>1690387638</v>
      </c>
      <c r="CF191">
        <v>6</v>
      </c>
      <c r="CG191">
        <v>0.43</v>
      </c>
      <c r="CH191">
        <v>-8.1000000000000003E-2</v>
      </c>
      <c r="CI191">
        <v>0.14199999999999999</v>
      </c>
      <c r="CJ191">
        <v>-2.7E-2</v>
      </c>
      <c r="CK191">
        <v>800</v>
      </c>
      <c r="CL191">
        <v>0</v>
      </c>
      <c r="CM191">
        <v>0.01</v>
      </c>
      <c r="CN191">
        <v>0.01</v>
      </c>
      <c r="CO191">
        <v>-413.256775</v>
      </c>
      <c r="CP191">
        <v>-3.392814258911665</v>
      </c>
      <c r="CQ191">
        <v>0.33165769156616698</v>
      </c>
      <c r="CR191">
        <v>-1</v>
      </c>
      <c r="CS191">
        <v>25.566112499999999</v>
      </c>
      <c r="CT191">
        <v>0.15596285178232411</v>
      </c>
      <c r="CU191">
        <v>1.506960828123937E-2</v>
      </c>
      <c r="CV191">
        <v>-1</v>
      </c>
      <c r="CW191">
        <v>0</v>
      </c>
      <c r="CX191">
        <v>0</v>
      </c>
      <c r="CY191" t="s">
        <v>333</v>
      </c>
      <c r="CZ191">
        <v>2.3650500000000001</v>
      </c>
      <c r="DA191">
        <v>2.7138900000000001</v>
      </c>
      <c r="DB191">
        <v>8.6625900000000006E-2</v>
      </c>
      <c r="DC191">
        <v>0.14530100000000001</v>
      </c>
      <c r="DD191">
        <v>0.11916599999999999</v>
      </c>
      <c r="DE191">
        <v>1.5030200000000001E-3</v>
      </c>
      <c r="DF191">
        <v>33379</v>
      </c>
      <c r="DG191">
        <v>27582.1</v>
      </c>
      <c r="DH191">
        <v>31197.1</v>
      </c>
      <c r="DI191">
        <v>28119.4</v>
      </c>
      <c r="DJ191">
        <v>37301.699999999997</v>
      </c>
      <c r="DK191">
        <v>39935.4</v>
      </c>
      <c r="DL191">
        <v>44401.1</v>
      </c>
      <c r="DM191">
        <v>42621.8</v>
      </c>
      <c r="DN191">
        <v>1.4763999999999999</v>
      </c>
      <c r="DO191">
        <v>2.0309499999999998</v>
      </c>
      <c r="DP191">
        <v>0.146896</v>
      </c>
      <c r="DQ191">
        <v>0.14653099999999999</v>
      </c>
      <c r="DR191">
        <v>24.630600000000001</v>
      </c>
      <c r="DS191">
        <v>24.591200000000001</v>
      </c>
      <c r="DT191">
        <v>23.6</v>
      </c>
      <c r="DU191">
        <v>29.2</v>
      </c>
      <c r="DV191">
        <v>9.7446900000000003</v>
      </c>
      <c r="DW191">
        <v>61.252299999999998</v>
      </c>
      <c r="DX191">
        <v>37.572099999999999</v>
      </c>
      <c r="DY191">
        <v>1</v>
      </c>
      <c r="DZ191">
        <v>-0.11862300000000001</v>
      </c>
      <c r="EA191">
        <v>0.31775599999999998</v>
      </c>
      <c r="EB191">
        <v>20.189499999999999</v>
      </c>
      <c r="EC191">
        <v>5.2413999999999996</v>
      </c>
      <c r="ED191">
        <v>12.039899999999999</v>
      </c>
      <c r="EE191">
        <v>5.0174000000000003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1.8692</v>
      </c>
      <c r="EN191">
        <v>1.8672200000000001</v>
      </c>
      <c r="EO191">
        <v>1.8633900000000001</v>
      </c>
      <c r="EP191">
        <v>1.86446</v>
      </c>
      <c r="EQ191">
        <v>1.87015</v>
      </c>
      <c r="ER191">
        <v>1.8693599999999999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0.435</v>
      </c>
      <c r="FG191">
        <v>0.19839999999999999</v>
      </c>
      <c r="FH191">
        <v>0.69281559908863044</v>
      </c>
      <c r="FI191">
        <v>-6.1462078757559423E-4</v>
      </c>
      <c r="FJ191">
        <v>-1.8861989874597051E-7</v>
      </c>
      <c r="FK191">
        <v>1.1980462299894961E-10</v>
      </c>
      <c r="FL191">
        <v>0.19840465858211129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39.799999999999997</v>
      </c>
      <c r="FU191">
        <v>39.799999999999997</v>
      </c>
      <c r="FV191">
        <v>1.7639199999999999</v>
      </c>
      <c r="FW191">
        <v>2.5878899999999998</v>
      </c>
      <c r="FX191">
        <v>1.5490699999999999</v>
      </c>
      <c r="FY191">
        <v>2.3339799999999999</v>
      </c>
      <c r="FZ191">
        <v>1.50146</v>
      </c>
      <c r="GA191">
        <v>2.36206</v>
      </c>
      <c r="GB191">
        <v>33.602899999999998</v>
      </c>
      <c r="GC191">
        <v>23.982399999999998</v>
      </c>
      <c r="GD191">
        <v>19</v>
      </c>
      <c r="GE191">
        <v>281.57299999999998</v>
      </c>
      <c r="GF191">
        <v>575.07500000000005</v>
      </c>
      <c r="GG191">
        <v>24.029</v>
      </c>
      <c r="GH191">
        <v>25.903600000000001</v>
      </c>
      <c r="GI191">
        <v>30.000399999999999</v>
      </c>
      <c r="GJ191">
        <v>26.036100000000001</v>
      </c>
      <c r="GK191">
        <v>26.0154</v>
      </c>
      <c r="GL191">
        <v>35.265000000000001</v>
      </c>
      <c r="GM191">
        <v>100</v>
      </c>
      <c r="GN191">
        <v>9.4939999999999998</v>
      </c>
      <c r="GO191">
        <v>24.0136</v>
      </c>
      <c r="GP191">
        <v>800</v>
      </c>
      <c r="GQ191">
        <v>0</v>
      </c>
      <c r="GR191">
        <v>99.823599999999999</v>
      </c>
      <c r="GS191">
        <v>99.704800000000006</v>
      </c>
    </row>
    <row r="192" spans="1:201" x14ac:dyDescent="0.25">
      <c r="A192">
        <v>176</v>
      </c>
      <c r="B192">
        <v>1690390036</v>
      </c>
      <c r="C192">
        <v>1777.5</v>
      </c>
      <c r="D192" t="s">
        <v>685</v>
      </c>
      <c r="E192" t="s">
        <v>686</v>
      </c>
      <c r="F192" t="s">
        <v>330</v>
      </c>
      <c r="H192">
        <v>1690390036</v>
      </c>
      <c r="I192">
        <f t="shared" si="60"/>
        <v>2.47907369690549E-3</v>
      </c>
      <c r="J192">
        <f t="shared" si="61"/>
        <v>2.4790736969054898</v>
      </c>
      <c r="K192">
        <f t="shared" si="62"/>
        <v>38.147747317811465</v>
      </c>
      <c r="L192">
        <f t="shared" si="63"/>
        <v>385.66300000000001</v>
      </c>
      <c r="M192">
        <f t="shared" si="64"/>
        <v>106.90255048107619</v>
      </c>
      <c r="N192">
        <f t="shared" si="65"/>
        <v>10.544603316348564</v>
      </c>
      <c r="O192">
        <f t="shared" si="66"/>
        <v>38.040844961063996</v>
      </c>
      <c r="P192">
        <f t="shared" si="67"/>
        <v>0.23388502540302519</v>
      </c>
      <c r="Q192">
        <f t="shared" si="68"/>
        <v>2.1579164660534773</v>
      </c>
      <c r="R192">
        <f t="shared" si="69"/>
        <v>0.22065937116506934</v>
      </c>
      <c r="S192">
        <f t="shared" si="70"/>
        <v>0.13903801825115092</v>
      </c>
      <c r="T192">
        <f t="shared" si="71"/>
        <v>276.11646181199995</v>
      </c>
      <c r="U192">
        <f t="shared" si="72"/>
        <v>27.172559980663227</v>
      </c>
      <c r="V192">
        <f t="shared" si="73"/>
        <v>27.172559980663227</v>
      </c>
      <c r="W192">
        <f t="shared" si="74"/>
        <v>3.6155948870111572</v>
      </c>
      <c r="X192">
        <f t="shared" si="75"/>
        <v>75.926774121064582</v>
      </c>
      <c r="Y192">
        <f t="shared" si="76"/>
        <v>2.5420074615935997</v>
      </c>
      <c r="Z192">
        <f t="shared" si="77"/>
        <v>3.3479724260909474</v>
      </c>
      <c r="AA192">
        <f t="shared" si="78"/>
        <v>1.0735874254175575</v>
      </c>
      <c r="AB192">
        <f t="shared" si="79"/>
        <v>-109.32715003353211</v>
      </c>
      <c r="AC192">
        <f t="shared" si="80"/>
        <v>-151.78100120477737</v>
      </c>
      <c r="AD192">
        <f t="shared" si="81"/>
        <v>-15.106871453442567</v>
      </c>
      <c r="AE192">
        <f t="shared" si="82"/>
        <v>-9.8560879752113806E-2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52363.903066807005</v>
      </c>
      <c r="AK192">
        <f t="shared" si="86"/>
        <v>1800</v>
      </c>
      <c r="AL192">
        <f t="shared" si="87"/>
        <v>1499.1093341999999</v>
      </c>
      <c r="AM192">
        <f t="shared" si="88"/>
        <v>0.83283851899999994</v>
      </c>
      <c r="AN192">
        <f t="shared" si="89"/>
        <v>0.15339803433999999</v>
      </c>
      <c r="AO192">
        <v>31.8</v>
      </c>
      <c r="AP192">
        <v>0.5</v>
      </c>
      <c r="AQ192" t="s">
        <v>331</v>
      </c>
      <c r="AR192">
        <v>2</v>
      </c>
      <c r="AS192">
        <v>1690390036</v>
      </c>
      <c r="AT192">
        <v>385.66300000000001</v>
      </c>
      <c r="AU192">
        <v>800.02</v>
      </c>
      <c r="AV192">
        <v>25.7712</v>
      </c>
      <c r="AW192">
        <v>0.17911099999999999</v>
      </c>
      <c r="AX192">
        <v>385.22800000000001</v>
      </c>
      <c r="AY192">
        <v>25.572800000000001</v>
      </c>
      <c r="AZ192">
        <v>300.10399999999998</v>
      </c>
      <c r="BA192">
        <v>98.537499999999994</v>
      </c>
      <c r="BB192">
        <v>0.10002800000000001</v>
      </c>
      <c r="BC192">
        <v>25.867899999999999</v>
      </c>
      <c r="BD192">
        <v>26.997900000000001</v>
      </c>
      <c r="BE192">
        <v>26.996400000000001</v>
      </c>
      <c r="BF192">
        <v>0</v>
      </c>
      <c r="BG192">
        <v>0</v>
      </c>
      <c r="BH192">
        <v>10012.5</v>
      </c>
      <c r="BI192">
        <v>1067.94</v>
      </c>
      <c r="BJ192">
        <v>1.3595999999999999</v>
      </c>
      <c r="BK192">
        <v>-414.358</v>
      </c>
      <c r="BL192">
        <v>395.86500000000001</v>
      </c>
      <c r="BM192">
        <v>800.16399999999999</v>
      </c>
      <c r="BN192">
        <v>25.591999999999999</v>
      </c>
      <c r="BO192">
        <v>800.02</v>
      </c>
      <c r="BP192">
        <v>0.17911099999999999</v>
      </c>
      <c r="BQ192">
        <v>2.5394299999999999</v>
      </c>
      <c r="BR192">
        <v>1.7649100000000001E-2</v>
      </c>
      <c r="BS192">
        <v>21.281400000000001</v>
      </c>
      <c r="BT192">
        <v>-40.622799999999998</v>
      </c>
      <c r="BU192">
        <v>1800</v>
      </c>
      <c r="BV192">
        <v>0.90997799999999995</v>
      </c>
      <c r="BW192">
        <v>3.4004E-2</v>
      </c>
      <c r="BX192">
        <v>2.2007700000000002E-2</v>
      </c>
      <c r="BY192">
        <v>3.4009999999999999E-2</v>
      </c>
      <c r="BZ192">
        <v>25</v>
      </c>
      <c r="CA192">
        <v>33528.199999999997</v>
      </c>
      <c r="CB192">
        <v>1690387638</v>
      </c>
      <c r="CC192" t="s">
        <v>332</v>
      </c>
      <c r="CD192">
        <v>1690387638</v>
      </c>
      <c r="CE192">
        <v>1690387638</v>
      </c>
      <c r="CF192">
        <v>6</v>
      </c>
      <c r="CG192">
        <v>0.43</v>
      </c>
      <c r="CH192">
        <v>-8.1000000000000003E-2</v>
      </c>
      <c r="CI192">
        <v>0.14199999999999999</v>
      </c>
      <c r="CJ192">
        <v>-2.7E-2</v>
      </c>
      <c r="CK192">
        <v>800</v>
      </c>
      <c r="CL192">
        <v>0</v>
      </c>
      <c r="CM192">
        <v>0.01</v>
      </c>
      <c r="CN192">
        <v>0.01</v>
      </c>
      <c r="CO192">
        <v>-413.77427499999988</v>
      </c>
      <c r="CP192">
        <v>-2.8810469043149638</v>
      </c>
      <c r="CQ192">
        <v>0.27998035533765531</v>
      </c>
      <c r="CR192">
        <v>-1</v>
      </c>
      <c r="CS192">
        <v>25.586157499999999</v>
      </c>
      <c r="CT192">
        <v>7.769268292685215E-2</v>
      </c>
      <c r="CU192">
        <v>7.9932436313427061E-3</v>
      </c>
      <c r="CV192">
        <v>-1</v>
      </c>
      <c r="CW192">
        <v>0</v>
      </c>
      <c r="CX192">
        <v>0</v>
      </c>
      <c r="CY192" t="s">
        <v>333</v>
      </c>
      <c r="CZ192">
        <v>2.3648099999999999</v>
      </c>
      <c r="DA192">
        <v>2.7138300000000002</v>
      </c>
      <c r="DB192">
        <v>8.6531999999999998E-2</v>
      </c>
      <c r="DC192">
        <v>0.14529800000000001</v>
      </c>
      <c r="DD192">
        <v>0.11916499999999999</v>
      </c>
      <c r="DE192">
        <v>1.4993999999999999E-3</v>
      </c>
      <c r="DF192">
        <v>33382.800000000003</v>
      </c>
      <c r="DG192">
        <v>27582</v>
      </c>
      <c r="DH192">
        <v>31197.4</v>
      </c>
      <c r="DI192">
        <v>28119.1</v>
      </c>
      <c r="DJ192">
        <v>37302.1</v>
      </c>
      <c r="DK192">
        <v>39935.300000000003</v>
      </c>
      <c r="DL192">
        <v>44401.599999999999</v>
      </c>
      <c r="DM192">
        <v>42621.599999999999</v>
      </c>
      <c r="DN192">
        <v>1.4763299999999999</v>
      </c>
      <c r="DO192">
        <v>2.0314999999999999</v>
      </c>
      <c r="DP192">
        <v>0.14447399999999999</v>
      </c>
      <c r="DQ192">
        <v>0.146873</v>
      </c>
      <c r="DR192">
        <v>24.630600000000001</v>
      </c>
      <c r="DS192">
        <v>24.589700000000001</v>
      </c>
      <c r="DT192">
        <v>23.5</v>
      </c>
      <c r="DU192">
        <v>29.2</v>
      </c>
      <c r="DV192">
        <v>9.7017299999999995</v>
      </c>
      <c r="DW192">
        <v>60.822200000000002</v>
      </c>
      <c r="DX192">
        <v>36.810899999999997</v>
      </c>
      <c r="DY192">
        <v>1</v>
      </c>
      <c r="DZ192">
        <v>-0.118559</v>
      </c>
      <c r="EA192">
        <v>0.33828399999999997</v>
      </c>
      <c r="EB192">
        <v>20.189399999999999</v>
      </c>
      <c r="EC192">
        <v>5.2411000000000003</v>
      </c>
      <c r="ED192">
        <v>12.039899999999999</v>
      </c>
      <c r="EE192">
        <v>5.0171999999999999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1.8692</v>
      </c>
      <c r="EN192">
        <v>1.8672200000000001</v>
      </c>
      <c r="EO192">
        <v>1.86338</v>
      </c>
      <c r="EP192">
        <v>1.86446</v>
      </c>
      <c r="EQ192">
        <v>1.87016</v>
      </c>
      <c r="ER192">
        <v>1.86937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0.435</v>
      </c>
      <c r="FG192">
        <v>0.19839999999999999</v>
      </c>
      <c r="FH192">
        <v>0.69281559908863044</v>
      </c>
      <c r="FI192">
        <v>-6.1462078757559423E-4</v>
      </c>
      <c r="FJ192">
        <v>-1.8861989874597051E-7</v>
      </c>
      <c r="FK192">
        <v>1.1980462299894961E-10</v>
      </c>
      <c r="FL192">
        <v>0.19840465858211129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40</v>
      </c>
      <c r="FU192">
        <v>40</v>
      </c>
      <c r="FV192">
        <v>1.7639199999999999</v>
      </c>
      <c r="FW192">
        <v>2.5830099999999998</v>
      </c>
      <c r="FX192">
        <v>1.5490699999999999</v>
      </c>
      <c r="FY192">
        <v>2.3339799999999999</v>
      </c>
      <c r="FZ192">
        <v>1.50146</v>
      </c>
      <c r="GA192">
        <v>2.36084</v>
      </c>
      <c r="GB192">
        <v>33.602899999999998</v>
      </c>
      <c r="GC192">
        <v>23.991199999999999</v>
      </c>
      <c r="GD192">
        <v>19</v>
      </c>
      <c r="GE192">
        <v>281.53899999999999</v>
      </c>
      <c r="GF192">
        <v>575.52300000000002</v>
      </c>
      <c r="GG192">
        <v>23.967600000000001</v>
      </c>
      <c r="GH192">
        <v>25.903600000000001</v>
      </c>
      <c r="GI192">
        <v>30.0002</v>
      </c>
      <c r="GJ192">
        <v>26.035599999999999</v>
      </c>
      <c r="GK192">
        <v>26.0154</v>
      </c>
      <c r="GL192">
        <v>35.265900000000002</v>
      </c>
      <c r="GM192">
        <v>100</v>
      </c>
      <c r="GN192">
        <v>8.7318999999999996</v>
      </c>
      <c r="GO192">
        <v>23.964400000000001</v>
      </c>
      <c r="GP192">
        <v>800</v>
      </c>
      <c r="GQ192">
        <v>0</v>
      </c>
      <c r="GR192">
        <v>99.824700000000007</v>
      </c>
      <c r="GS192">
        <v>99.704300000000003</v>
      </c>
    </row>
    <row r="193" spans="1:201" x14ac:dyDescent="0.25">
      <c r="A193">
        <v>177</v>
      </c>
      <c r="B193">
        <v>1690390046</v>
      </c>
      <c r="C193">
        <v>1787.5</v>
      </c>
      <c r="D193" t="s">
        <v>687</v>
      </c>
      <c r="E193" t="s">
        <v>688</v>
      </c>
      <c r="F193" t="s">
        <v>330</v>
      </c>
      <c r="H193">
        <v>1690390046</v>
      </c>
      <c r="I193">
        <f t="shared" si="60"/>
        <v>2.4803970144649063E-3</v>
      </c>
      <c r="J193">
        <f t="shared" si="61"/>
        <v>2.4803970144649061</v>
      </c>
      <c r="K193">
        <f t="shared" si="62"/>
        <v>38.194827035896914</v>
      </c>
      <c r="L193">
        <f t="shared" si="63"/>
        <v>385.15100000000001</v>
      </c>
      <c r="M193">
        <f t="shared" si="64"/>
        <v>106.85578533821173</v>
      </c>
      <c r="N193">
        <f t="shared" si="65"/>
        <v>10.540152949739142</v>
      </c>
      <c r="O193">
        <f t="shared" si="66"/>
        <v>37.990928014763107</v>
      </c>
      <c r="P193">
        <f t="shared" si="67"/>
        <v>0.2345894779891117</v>
      </c>
      <c r="Q193">
        <f t="shared" si="68"/>
        <v>2.1585335953043634</v>
      </c>
      <c r="R193">
        <f t="shared" si="69"/>
        <v>0.22129003760394145</v>
      </c>
      <c r="S193">
        <f t="shared" si="70"/>
        <v>0.13943830533982149</v>
      </c>
      <c r="T193">
        <f t="shared" si="71"/>
        <v>276.1150343730647</v>
      </c>
      <c r="U193">
        <f t="shared" si="72"/>
        <v>27.166259472256112</v>
      </c>
      <c r="V193">
        <f t="shared" si="73"/>
        <v>27.166259472256112</v>
      </c>
      <c r="W193">
        <f t="shared" si="74"/>
        <v>3.6142588931332345</v>
      </c>
      <c r="X193">
        <f t="shared" si="75"/>
        <v>75.985398059481142</v>
      </c>
      <c r="Y193">
        <f t="shared" si="76"/>
        <v>2.5431415298286302</v>
      </c>
      <c r="Z193">
        <f t="shared" si="77"/>
        <v>3.3468818941211138</v>
      </c>
      <c r="AA193">
        <f t="shared" si="78"/>
        <v>1.0711173633046043</v>
      </c>
      <c r="AB193">
        <f t="shared" si="79"/>
        <v>-109.38550833790237</v>
      </c>
      <c r="AC193">
        <f t="shared" si="80"/>
        <v>-151.73125226496515</v>
      </c>
      <c r="AD193">
        <f t="shared" si="81"/>
        <v>-15.096709944337578</v>
      </c>
      <c r="AE193">
        <f t="shared" si="82"/>
        <v>-9.8436174140402954E-2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52390.788647342539</v>
      </c>
      <c r="AK193">
        <f t="shared" si="86"/>
        <v>1799.99</v>
      </c>
      <c r="AL193">
        <f t="shared" si="87"/>
        <v>1499.1021290085698</v>
      </c>
      <c r="AM193">
        <f t="shared" si="88"/>
        <v>0.83283914299999995</v>
      </c>
      <c r="AN193">
        <f t="shared" si="89"/>
        <v>0.15339809353</v>
      </c>
      <c r="AO193">
        <v>31.8</v>
      </c>
      <c r="AP193">
        <v>0.5</v>
      </c>
      <c r="AQ193" t="s">
        <v>331</v>
      </c>
      <c r="AR193">
        <v>2</v>
      </c>
      <c r="AS193">
        <v>1690390046</v>
      </c>
      <c r="AT193">
        <v>385.15100000000001</v>
      </c>
      <c r="AU193">
        <v>799.98500000000001</v>
      </c>
      <c r="AV193">
        <v>25.782299999999999</v>
      </c>
      <c r="AW193">
        <v>0.17769499999999999</v>
      </c>
      <c r="AX193">
        <v>384.71600000000001</v>
      </c>
      <c r="AY193">
        <v>25.5839</v>
      </c>
      <c r="AZ193">
        <v>300.11399999999998</v>
      </c>
      <c r="BA193">
        <v>98.539100000000005</v>
      </c>
      <c r="BB193">
        <v>9.9948099999999998E-2</v>
      </c>
      <c r="BC193">
        <v>25.862400000000001</v>
      </c>
      <c r="BD193">
        <v>26.975899999999999</v>
      </c>
      <c r="BE193">
        <v>26.963999999999999</v>
      </c>
      <c r="BF193">
        <v>0</v>
      </c>
      <c r="BG193">
        <v>0</v>
      </c>
      <c r="BH193">
        <v>10017.5</v>
      </c>
      <c r="BI193">
        <v>1067.9100000000001</v>
      </c>
      <c r="BJ193">
        <v>1.3455900000000001</v>
      </c>
      <c r="BK193">
        <v>-414.83300000000003</v>
      </c>
      <c r="BL193">
        <v>395.34399999999999</v>
      </c>
      <c r="BM193">
        <v>800.12699999999995</v>
      </c>
      <c r="BN193">
        <v>25.604600000000001</v>
      </c>
      <c r="BO193">
        <v>799.98500000000001</v>
      </c>
      <c r="BP193">
        <v>0.17769499999999999</v>
      </c>
      <c r="BQ193">
        <v>2.5405600000000002</v>
      </c>
      <c r="BR193">
        <v>1.7510000000000001E-2</v>
      </c>
      <c r="BS193">
        <v>21.288699999999999</v>
      </c>
      <c r="BT193">
        <v>-40.698099999999997</v>
      </c>
      <c r="BU193">
        <v>1799.99</v>
      </c>
      <c r="BV193">
        <v>0.90998000000000001</v>
      </c>
      <c r="BW193">
        <v>3.4003400000000003E-2</v>
      </c>
      <c r="BX193">
        <v>2.20074E-2</v>
      </c>
      <c r="BY193">
        <v>3.4009499999999998E-2</v>
      </c>
      <c r="BZ193">
        <v>25</v>
      </c>
      <c r="CA193">
        <v>33528.1</v>
      </c>
      <c r="CB193">
        <v>1690387638</v>
      </c>
      <c r="CC193" t="s">
        <v>332</v>
      </c>
      <c r="CD193">
        <v>1690387638</v>
      </c>
      <c r="CE193">
        <v>1690387638</v>
      </c>
      <c r="CF193">
        <v>6</v>
      </c>
      <c r="CG193">
        <v>0.43</v>
      </c>
      <c r="CH193">
        <v>-8.1000000000000003E-2</v>
      </c>
      <c r="CI193">
        <v>0.14199999999999999</v>
      </c>
      <c r="CJ193">
        <v>-2.7E-2</v>
      </c>
      <c r="CK193">
        <v>800</v>
      </c>
      <c r="CL193">
        <v>0</v>
      </c>
      <c r="CM193">
        <v>0.01</v>
      </c>
      <c r="CN193">
        <v>0.01</v>
      </c>
      <c r="CO193">
        <v>-414.31948780487812</v>
      </c>
      <c r="CP193">
        <v>-3.4608501742149862</v>
      </c>
      <c r="CQ193">
        <v>0.34526611312966488</v>
      </c>
      <c r="CR193">
        <v>-1</v>
      </c>
      <c r="CS193">
        <v>25.593529268292681</v>
      </c>
      <c r="CT193">
        <v>1.361811846692996E-2</v>
      </c>
      <c r="CU193">
        <v>2.3373159405753689E-3</v>
      </c>
      <c r="CV193">
        <v>-1</v>
      </c>
      <c r="CW193">
        <v>0</v>
      </c>
      <c r="CX193">
        <v>0</v>
      </c>
      <c r="CY193" t="s">
        <v>333</v>
      </c>
      <c r="CZ193">
        <v>2.3648400000000001</v>
      </c>
      <c r="DA193">
        <v>2.7137500000000001</v>
      </c>
      <c r="DB193">
        <v>8.6444800000000002E-2</v>
      </c>
      <c r="DC193">
        <v>0.14529500000000001</v>
      </c>
      <c r="DD193">
        <v>0.119203</v>
      </c>
      <c r="DE193">
        <v>1.4877E-3</v>
      </c>
      <c r="DF193">
        <v>33385.699999999997</v>
      </c>
      <c r="DG193">
        <v>27582.5</v>
      </c>
      <c r="DH193">
        <v>31197.200000000001</v>
      </c>
      <c r="DI193">
        <v>28119.599999999999</v>
      </c>
      <c r="DJ193">
        <v>37300.1</v>
      </c>
      <c r="DK193">
        <v>39936</v>
      </c>
      <c r="DL193">
        <v>44401.2</v>
      </c>
      <c r="DM193">
        <v>42621.9</v>
      </c>
      <c r="DN193">
        <v>1.4763500000000001</v>
      </c>
      <c r="DO193">
        <v>2.0314199999999998</v>
      </c>
      <c r="DP193">
        <v>0.14325199999999999</v>
      </c>
      <c r="DQ193">
        <v>0.14504800000000001</v>
      </c>
      <c r="DR193">
        <v>24.628499999999999</v>
      </c>
      <c r="DS193">
        <v>24.5871</v>
      </c>
      <c r="DT193">
        <v>23.3</v>
      </c>
      <c r="DU193">
        <v>29.2</v>
      </c>
      <c r="DV193">
        <v>9.6217400000000008</v>
      </c>
      <c r="DW193">
        <v>61.202199999999998</v>
      </c>
      <c r="DX193">
        <v>37.411900000000003</v>
      </c>
      <c r="DY193">
        <v>1</v>
      </c>
      <c r="DZ193">
        <v>-0.119751</v>
      </c>
      <c r="EA193">
        <v>1.2859499999999999E-2</v>
      </c>
      <c r="EB193">
        <v>20.190200000000001</v>
      </c>
      <c r="EC193">
        <v>5.24125</v>
      </c>
      <c r="ED193">
        <v>12.039899999999999</v>
      </c>
      <c r="EE193">
        <v>5.0172999999999996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1.8692</v>
      </c>
      <c r="EN193">
        <v>1.8672299999999999</v>
      </c>
      <c r="EO193">
        <v>1.8633900000000001</v>
      </c>
      <c r="EP193">
        <v>1.8644700000000001</v>
      </c>
      <c r="EQ193">
        <v>1.87012</v>
      </c>
      <c r="ER193">
        <v>1.86937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0.435</v>
      </c>
      <c r="FG193">
        <v>0.19839999999999999</v>
      </c>
      <c r="FH193">
        <v>0.69281559908863044</v>
      </c>
      <c r="FI193">
        <v>-6.1462078757559423E-4</v>
      </c>
      <c r="FJ193">
        <v>-1.8861989874597051E-7</v>
      </c>
      <c r="FK193">
        <v>1.1980462299894961E-10</v>
      </c>
      <c r="FL193">
        <v>0.19840465858211129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40.1</v>
      </c>
      <c r="FU193">
        <v>40.1</v>
      </c>
      <c r="FV193">
        <v>1.7639199999999999</v>
      </c>
      <c r="FW193">
        <v>2.5891099999999998</v>
      </c>
      <c r="FX193">
        <v>1.5490699999999999</v>
      </c>
      <c r="FY193">
        <v>2.3339799999999999</v>
      </c>
      <c r="FZ193">
        <v>1.50146</v>
      </c>
      <c r="GA193">
        <v>2.3132299999999999</v>
      </c>
      <c r="GB193">
        <v>33.602899999999998</v>
      </c>
      <c r="GC193">
        <v>23.982399999999998</v>
      </c>
      <c r="GD193">
        <v>19</v>
      </c>
      <c r="GE193">
        <v>281.54199999999997</v>
      </c>
      <c r="GF193">
        <v>575.46199999999999</v>
      </c>
      <c r="GG193">
        <v>24.0122</v>
      </c>
      <c r="GH193">
        <v>25.903600000000001</v>
      </c>
      <c r="GI193">
        <v>29.999300000000002</v>
      </c>
      <c r="GJ193">
        <v>26.033899999999999</v>
      </c>
      <c r="GK193">
        <v>26.0154</v>
      </c>
      <c r="GL193">
        <v>35.2667</v>
      </c>
      <c r="GM193">
        <v>100</v>
      </c>
      <c r="GN193">
        <v>8.3517799999999998</v>
      </c>
      <c r="GO193">
        <v>24.046900000000001</v>
      </c>
      <c r="GP193">
        <v>800</v>
      </c>
      <c r="GQ193">
        <v>0</v>
      </c>
      <c r="GR193">
        <v>99.823800000000006</v>
      </c>
      <c r="GS193">
        <v>99.705200000000005</v>
      </c>
    </row>
    <row r="194" spans="1:201" x14ac:dyDescent="0.25">
      <c r="A194">
        <v>178</v>
      </c>
      <c r="B194">
        <v>1690390056</v>
      </c>
      <c r="C194">
        <v>1797.5</v>
      </c>
      <c r="D194" t="s">
        <v>689</v>
      </c>
      <c r="E194" t="s">
        <v>690</v>
      </c>
      <c r="F194" t="s">
        <v>330</v>
      </c>
      <c r="H194">
        <v>1690390056</v>
      </c>
      <c r="I194">
        <f t="shared" si="60"/>
        <v>2.4838997043675078E-3</v>
      </c>
      <c r="J194">
        <f t="shared" si="61"/>
        <v>2.483899704367508</v>
      </c>
      <c r="K194">
        <f t="shared" si="62"/>
        <v>38.2392395929811</v>
      </c>
      <c r="L194">
        <f t="shared" si="63"/>
        <v>384.68200000000002</v>
      </c>
      <c r="M194">
        <f t="shared" si="64"/>
        <v>106.87430645992444</v>
      </c>
      <c r="N194">
        <f t="shared" si="65"/>
        <v>10.541962488479827</v>
      </c>
      <c r="O194">
        <f t="shared" si="66"/>
        <v>37.944603790379205</v>
      </c>
      <c r="P194">
        <f t="shared" si="67"/>
        <v>0.23532807827263519</v>
      </c>
      <c r="Q194">
        <f t="shared" si="68"/>
        <v>2.1547912549421255</v>
      </c>
      <c r="R194">
        <f t="shared" si="69"/>
        <v>0.22192550553516674</v>
      </c>
      <c r="S194">
        <f t="shared" si="70"/>
        <v>0.13984395961130813</v>
      </c>
      <c r="T194">
        <f t="shared" si="71"/>
        <v>276.116540004</v>
      </c>
      <c r="U194">
        <f t="shared" si="72"/>
        <v>27.175112396359495</v>
      </c>
      <c r="V194">
        <f t="shared" si="73"/>
        <v>27.175112396359495</v>
      </c>
      <c r="W194">
        <f t="shared" si="74"/>
        <v>3.6161362377096795</v>
      </c>
      <c r="X194">
        <f t="shared" si="75"/>
        <v>76.052966844334136</v>
      </c>
      <c r="Y194">
        <f t="shared" si="76"/>
        <v>2.5466094289779999</v>
      </c>
      <c r="Z194">
        <f t="shared" si="77"/>
        <v>3.3484682250337738</v>
      </c>
      <c r="AA194">
        <f t="shared" si="78"/>
        <v>1.0695268087316796</v>
      </c>
      <c r="AB194">
        <f t="shared" si="79"/>
        <v>-109.5399769626071</v>
      </c>
      <c r="AC194">
        <f t="shared" si="80"/>
        <v>-151.56727285021498</v>
      </c>
      <c r="AD194">
        <f t="shared" si="81"/>
        <v>-15.107860648765854</v>
      </c>
      <c r="AE194">
        <f t="shared" si="82"/>
        <v>-9.8570457587925375E-2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52232.526610701672</v>
      </c>
      <c r="AK194">
        <f t="shared" si="86"/>
        <v>1800</v>
      </c>
      <c r="AL194">
        <f t="shared" si="87"/>
        <v>1499.1103223999999</v>
      </c>
      <c r="AM194">
        <f t="shared" si="88"/>
        <v>0.83283906799999996</v>
      </c>
      <c r="AN194">
        <f t="shared" si="89"/>
        <v>0.15339807778</v>
      </c>
      <c r="AO194">
        <v>31.8</v>
      </c>
      <c r="AP194">
        <v>0.5</v>
      </c>
      <c r="AQ194" t="s">
        <v>331</v>
      </c>
      <c r="AR194">
        <v>2</v>
      </c>
      <c r="AS194">
        <v>1690390056</v>
      </c>
      <c r="AT194">
        <v>384.68200000000002</v>
      </c>
      <c r="AU194">
        <v>800.00099999999998</v>
      </c>
      <c r="AV194">
        <v>25.817499999999999</v>
      </c>
      <c r="AW194">
        <v>0.176895</v>
      </c>
      <c r="AX194">
        <v>384.24599999999998</v>
      </c>
      <c r="AY194">
        <v>25.6191</v>
      </c>
      <c r="AZ194">
        <v>300.10500000000002</v>
      </c>
      <c r="BA194">
        <v>98.538899999999998</v>
      </c>
      <c r="BB194">
        <v>9.9985599999999994E-2</v>
      </c>
      <c r="BC194">
        <v>25.8704</v>
      </c>
      <c r="BD194">
        <v>26.988499999999998</v>
      </c>
      <c r="BE194">
        <v>26.986699999999999</v>
      </c>
      <c r="BF194">
        <v>0</v>
      </c>
      <c r="BG194">
        <v>0</v>
      </c>
      <c r="BH194">
        <v>9986.25</v>
      </c>
      <c r="BI194">
        <v>1067.93</v>
      </c>
      <c r="BJ194">
        <v>1.3736200000000001</v>
      </c>
      <c r="BK194">
        <v>-415.31900000000002</v>
      </c>
      <c r="BL194">
        <v>394.87700000000001</v>
      </c>
      <c r="BM194">
        <v>800.14200000000005</v>
      </c>
      <c r="BN194">
        <v>25.640599999999999</v>
      </c>
      <c r="BO194">
        <v>800.00099999999998</v>
      </c>
      <c r="BP194">
        <v>0.176895</v>
      </c>
      <c r="BQ194">
        <v>2.5440299999999998</v>
      </c>
      <c r="BR194">
        <v>1.7430999999999999E-2</v>
      </c>
      <c r="BS194">
        <v>21.311</v>
      </c>
      <c r="BT194">
        <v>-40.741100000000003</v>
      </c>
      <c r="BU194">
        <v>1800</v>
      </c>
      <c r="BV194">
        <v>0.90998000000000001</v>
      </c>
      <c r="BW194">
        <v>3.4003400000000003E-2</v>
      </c>
      <c r="BX194">
        <v>2.20074E-2</v>
      </c>
      <c r="BY194">
        <v>3.4009400000000002E-2</v>
      </c>
      <c r="BZ194">
        <v>25</v>
      </c>
      <c r="CA194">
        <v>33528.199999999997</v>
      </c>
      <c r="CB194">
        <v>1690387638</v>
      </c>
      <c r="CC194" t="s">
        <v>332</v>
      </c>
      <c r="CD194">
        <v>1690387638</v>
      </c>
      <c r="CE194">
        <v>1690387638</v>
      </c>
      <c r="CF194">
        <v>6</v>
      </c>
      <c r="CG194">
        <v>0.43</v>
      </c>
      <c r="CH194">
        <v>-8.1000000000000003E-2</v>
      </c>
      <c r="CI194">
        <v>0.14199999999999999</v>
      </c>
      <c r="CJ194">
        <v>-2.7E-2</v>
      </c>
      <c r="CK194">
        <v>800</v>
      </c>
      <c r="CL194">
        <v>0</v>
      </c>
      <c r="CM194">
        <v>0.01</v>
      </c>
      <c r="CN194">
        <v>0.01</v>
      </c>
      <c r="CO194">
        <v>-414.86380000000008</v>
      </c>
      <c r="CP194">
        <v>-2.845193245778622</v>
      </c>
      <c r="CQ194">
        <v>0.27926091742311548</v>
      </c>
      <c r="CR194">
        <v>-1</v>
      </c>
      <c r="CS194">
        <v>25.60783</v>
      </c>
      <c r="CT194">
        <v>0.15541688555348651</v>
      </c>
      <c r="CU194">
        <v>1.546076000719279E-2</v>
      </c>
      <c r="CV194">
        <v>-1</v>
      </c>
      <c r="CW194">
        <v>0</v>
      </c>
      <c r="CX194">
        <v>0</v>
      </c>
      <c r="CY194" t="s">
        <v>333</v>
      </c>
      <c r="CZ194">
        <v>2.36483</v>
      </c>
      <c r="DA194">
        <v>2.7137600000000002</v>
      </c>
      <c r="DB194">
        <v>8.6365600000000001E-2</v>
      </c>
      <c r="DC194">
        <v>0.14530100000000001</v>
      </c>
      <c r="DD194">
        <v>0.11932</v>
      </c>
      <c r="DE194">
        <v>1.4811E-3</v>
      </c>
      <c r="DF194">
        <v>33388.6</v>
      </c>
      <c r="DG194">
        <v>27582.6</v>
      </c>
      <c r="DH194">
        <v>31197.200000000001</v>
      </c>
      <c r="DI194">
        <v>28119.9</v>
      </c>
      <c r="DJ194">
        <v>37295.1</v>
      </c>
      <c r="DK194">
        <v>39936.800000000003</v>
      </c>
      <c r="DL194">
        <v>44401.2</v>
      </c>
      <c r="DM194">
        <v>42622.400000000001</v>
      </c>
      <c r="DN194">
        <v>1.47645</v>
      </c>
      <c r="DO194">
        <v>2.0312999999999999</v>
      </c>
      <c r="DP194">
        <v>0.14405699999999999</v>
      </c>
      <c r="DQ194">
        <v>0.146568</v>
      </c>
      <c r="DR194">
        <v>24.628</v>
      </c>
      <c r="DS194">
        <v>24.585000000000001</v>
      </c>
      <c r="DT194">
        <v>23.1</v>
      </c>
      <c r="DU194">
        <v>29.2</v>
      </c>
      <c r="DV194">
        <v>9.5368600000000008</v>
      </c>
      <c r="DW194">
        <v>61.162300000000002</v>
      </c>
      <c r="DX194">
        <v>37.724400000000003</v>
      </c>
      <c r="DY194">
        <v>1</v>
      </c>
      <c r="DZ194">
        <v>-0.119977</v>
      </c>
      <c r="EA194">
        <v>0.13114100000000001</v>
      </c>
      <c r="EB194">
        <v>20.190300000000001</v>
      </c>
      <c r="EC194">
        <v>5.24125</v>
      </c>
      <c r="ED194">
        <v>12.039899999999999</v>
      </c>
      <c r="EE194">
        <v>5.0171999999999999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1.8692</v>
      </c>
      <c r="EN194">
        <v>1.8672299999999999</v>
      </c>
      <c r="EO194">
        <v>1.8633599999999999</v>
      </c>
      <c r="EP194">
        <v>1.8644700000000001</v>
      </c>
      <c r="EQ194">
        <v>1.8701300000000001</v>
      </c>
      <c r="ER194">
        <v>1.8693599999999999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0.436</v>
      </c>
      <c r="FG194">
        <v>0.19839999999999999</v>
      </c>
      <c r="FH194">
        <v>0.69281559908863044</v>
      </c>
      <c r="FI194">
        <v>-6.1462078757559423E-4</v>
      </c>
      <c r="FJ194">
        <v>-1.8861989874597051E-7</v>
      </c>
      <c r="FK194">
        <v>1.1980462299894961E-10</v>
      </c>
      <c r="FL194">
        <v>0.19840465858211129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40.299999999999997</v>
      </c>
      <c r="FU194">
        <v>40.299999999999997</v>
      </c>
      <c r="FV194">
        <v>1.7639199999999999</v>
      </c>
      <c r="FW194">
        <v>2.5854499999999998</v>
      </c>
      <c r="FX194">
        <v>1.5490699999999999</v>
      </c>
      <c r="FY194">
        <v>2.3339799999999999</v>
      </c>
      <c r="FZ194">
        <v>1.50146</v>
      </c>
      <c r="GA194">
        <v>2.3303199999999999</v>
      </c>
      <c r="GB194">
        <v>33.602899999999998</v>
      </c>
      <c r="GC194">
        <v>23.982399999999998</v>
      </c>
      <c r="GD194">
        <v>19</v>
      </c>
      <c r="GE194">
        <v>281.58699999999999</v>
      </c>
      <c r="GF194">
        <v>575.36</v>
      </c>
      <c r="GG194">
        <v>24.064399999999999</v>
      </c>
      <c r="GH194">
        <v>25.903600000000001</v>
      </c>
      <c r="GI194">
        <v>29.9999</v>
      </c>
      <c r="GJ194">
        <v>26.034500000000001</v>
      </c>
      <c r="GK194">
        <v>26.0154</v>
      </c>
      <c r="GL194">
        <v>35.267400000000002</v>
      </c>
      <c r="GM194">
        <v>100</v>
      </c>
      <c r="GN194">
        <v>7.9760200000000001</v>
      </c>
      <c r="GO194">
        <v>24.042400000000001</v>
      </c>
      <c r="GP194">
        <v>800</v>
      </c>
      <c r="GQ194">
        <v>0</v>
      </c>
      <c r="GR194">
        <v>99.823800000000006</v>
      </c>
      <c r="GS194">
        <v>99.706400000000002</v>
      </c>
    </row>
    <row r="195" spans="1:201" x14ac:dyDescent="0.25">
      <c r="A195">
        <v>179</v>
      </c>
      <c r="B195">
        <v>1690390066</v>
      </c>
      <c r="C195">
        <v>1807.5</v>
      </c>
      <c r="D195" t="s">
        <v>691</v>
      </c>
      <c r="E195" t="s">
        <v>692</v>
      </c>
      <c r="F195" t="s">
        <v>330</v>
      </c>
      <c r="H195">
        <v>1690390066</v>
      </c>
      <c r="I195">
        <f t="shared" si="60"/>
        <v>2.4869260758097573E-3</v>
      </c>
      <c r="J195">
        <f t="shared" si="61"/>
        <v>2.4869260758097571</v>
      </c>
      <c r="K195">
        <f t="shared" si="62"/>
        <v>38.277089912690215</v>
      </c>
      <c r="L195">
        <f t="shared" si="63"/>
        <v>384.28699999999998</v>
      </c>
      <c r="M195">
        <f t="shared" si="64"/>
        <v>107.25194314855996</v>
      </c>
      <c r="N195">
        <f t="shared" si="65"/>
        <v>10.579566339425565</v>
      </c>
      <c r="O195">
        <f t="shared" si="66"/>
        <v>37.906910499955998</v>
      </c>
      <c r="P195">
        <f t="shared" si="67"/>
        <v>0.23626071731816531</v>
      </c>
      <c r="Q195">
        <f t="shared" si="68"/>
        <v>2.1555070968118928</v>
      </c>
      <c r="R195">
        <f t="shared" si="69"/>
        <v>0.22275918378536086</v>
      </c>
      <c r="S195">
        <f t="shared" si="70"/>
        <v>0.1403732107487036</v>
      </c>
      <c r="T195">
        <f t="shared" si="71"/>
        <v>276.11655874199994</v>
      </c>
      <c r="U195">
        <f t="shared" si="72"/>
        <v>27.176569827790676</v>
      </c>
      <c r="V195">
        <f t="shared" si="73"/>
        <v>27.176569827790676</v>
      </c>
      <c r="W195">
        <f t="shared" si="74"/>
        <v>3.6164453811280364</v>
      </c>
      <c r="X195">
        <f t="shared" si="75"/>
        <v>76.129339164732087</v>
      </c>
      <c r="Y195">
        <f t="shared" si="76"/>
        <v>2.5496046332360001</v>
      </c>
      <c r="Z195">
        <f t="shared" si="77"/>
        <v>3.3490434321504496</v>
      </c>
      <c r="AA195">
        <f t="shared" si="78"/>
        <v>1.0668407478920363</v>
      </c>
      <c r="AB195">
        <f t="shared" si="79"/>
        <v>-109.6734399432103</v>
      </c>
      <c r="AC195">
        <f t="shared" si="80"/>
        <v>-151.44998734670318</v>
      </c>
      <c r="AD195">
        <f t="shared" si="81"/>
        <v>-15.091485648963095</v>
      </c>
      <c r="AE195">
        <f t="shared" si="82"/>
        <v>-9.8354196876641709E-2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52262.073957053406</v>
      </c>
      <c r="AK195">
        <f t="shared" si="86"/>
        <v>1800</v>
      </c>
      <c r="AL195">
        <f t="shared" si="87"/>
        <v>1499.1107382</v>
      </c>
      <c r="AM195">
        <f t="shared" si="88"/>
        <v>0.83283929899999998</v>
      </c>
      <c r="AN195">
        <f t="shared" si="89"/>
        <v>0.15339808818999998</v>
      </c>
      <c r="AO195">
        <v>31.8</v>
      </c>
      <c r="AP195">
        <v>0.5</v>
      </c>
      <c r="AQ195" t="s">
        <v>331</v>
      </c>
      <c r="AR195">
        <v>2</v>
      </c>
      <c r="AS195">
        <v>1690390066</v>
      </c>
      <c r="AT195">
        <v>384.28699999999998</v>
      </c>
      <c r="AU195">
        <v>800.00900000000001</v>
      </c>
      <c r="AV195">
        <v>25.847000000000001</v>
      </c>
      <c r="AW195">
        <v>0.17593200000000001</v>
      </c>
      <c r="AX195">
        <v>383.851</v>
      </c>
      <c r="AY195">
        <v>25.648599999999998</v>
      </c>
      <c r="AZ195">
        <v>300.10500000000002</v>
      </c>
      <c r="BA195">
        <v>98.542299999999997</v>
      </c>
      <c r="BB195">
        <v>9.9888000000000005E-2</v>
      </c>
      <c r="BC195">
        <v>25.8733</v>
      </c>
      <c r="BD195">
        <v>26.978300000000001</v>
      </c>
      <c r="BE195">
        <v>26.999600000000001</v>
      </c>
      <c r="BF195">
        <v>0</v>
      </c>
      <c r="BG195">
        <v>0</v>
      </c>
      <c r="BH195">
        <v>9991.8799999999992</v>
      </c>
      <c r="BI195">
        <v>1067.94</v>
      </c>
      <c r="BJ195">
        <v>1.3595999999999999</v>
      </c>
      <c r="BK195">
        <v>-415.72199999999998</v>
      </c>
      <c r="BL195">
        <v>394.483</v>
      </c>
      <c r="BM195">
        <v>800.15</v>
      </c>
      <c r="BN195">
        <v>25.671099999999999</v>
      </c>
      <c r="BO195">
        <v>800.00900000000001</v>
      </c>
      <c r="BP195">
        <v>0.17593200000000001</v>
      </c>
      <c r="BQ195">
        <v>2.5470199999999998</v>
      </c>
      <c r="BR195">
        <v>1.73367E-2</v>
      </c>
      <c r="BS195">
        <v>21.330100000000002</v>
      </c>
      <c r="BT195">
        <v>-40.7926</v>
      </c>
      <c r="BU195">
        <v>1800</v>
      </c>
      <c r="BV195">
        <v>0.90998100000000004</v>
      </c>
      <c r="BW195">
        <v>3.4003100000000001E-2</v>
      </c>
      <c r="BX195">
        <v>2.2007200000000001E-2</v>
      </c>
      <c r="BY195">
        <v>3.40091E-2</v>
      </c>
      <c r="BZ195">
        <v>25</v>
      </c>
      <c r="CA195">
        <v>33528.300000000003</v>
      </c>
      <c r="CB195">
        <v>1690387638</v>
      </c>
      <c r="CC195" t="s">
        <v>332</v>
      </c>
      <c r="CD195">
        <v>1690387638</v>
      </c>
      <c r="CE195">
        <v>1690387638</v>
      </c>
      <c r="CF195">
        <v>6</v>
      </c>
      <c r="CG195">
        <v>0.43</v>
      </c>
      <c r="CH195">
        <v>-8.1000000000000003E-2</v>
      </c>
      <c r="CI195">
        <v>0.14199999999999999</v>
      </c>
      <c r="CJ195">
        <v>-2.7E-2</v>
      </c>
      <c r="CK195">
        <v>800</v>
      </c>
      <c r="CL195">
        <v>0</v>
      </c>
      <c r="CM195">
        <v>0.01</v>
      </c>
      <c r="CN195">
        <v>0.01</v>
      </c>
      <c r="CO195">
        <v>-415.24362500000012</v>
      </c>
      <c r="CP195">
        <v>-2.536401500937516</v>
      </c>
      <c r="CQ195">
        <v>0.24806235985130981</v>
      </c>
      <c r="CR195">
        <v>-1</v>
      </c>
      <c r="CS195">
        <v>25.635104999999999</v>
      </c>
      <c r="CT195">
        <v>0.21085103189487869</v>
      </c>
      <c r="CU195">
        <v>2.0326496869849529E-2</v>
      </c>
      <c r="CV195">
        <v>-1</v>
      </c>
      <c r="CW195">
        <v>0</v>
      </c>
      <c r="CX195">
        <v>0</v>
      </c>
      <c r="CY195" t="s">
        <v>333</v>
      </c>
      <c r="CZ195">
        <v>2.3648199999999999</v>
      </c>
      <c r="DA195">
        <v>2.71367</v>
      </c>
      <c r="DB195">
        <v>8.6299100000000004E-2</v>
      </c>
      <c r="DC195">
        <v>0.14530499999999999</v>
      </c>
      <c r="DD195">
        <v>0.119418</v>
      </c>
      <c r="DE195">
        <v>1.4731600000000001E-3</v>
      </c>
      <c r="DF195">
        <v>33390.699999999997</v>
      </c>
      <c r="DG195">
        <v>27582.3</v>
      </c>
      <c r="DH195">
        <v>31196.9</v>
      </c>
      <c r="DI195">
        <v>28119.7</v>
      </c>
      <c r="DJ195">
        <v>37290.699999999997</v>
      </c>
      <c r="DK195">
        <v>39937.199999999997</v>
      </c>
      <c r="DL195">
        <v>44400.9</v>
      </c>
      <c r="DM195">
        <v>42622.400000000001</v>
      </c>
      <c r="DN195">
        <v>1.4763999999999999</v>
      </c>
      <c r="DO195">
        <v>2.0315699999999999</v>
      </c>
      <c r="DP195">
        <v>0.143401</v>
      </c>
      <c r="DQ195">
        <v>0.14735799999999999</v>
      </c>
      <c r="DR195">
        <v>24.628499999999999</v>
      </c>
      <c r="DS195">
        <v>24.585000000000001</v>
      </c>
      <c r="DT195">
        <v>23</v>
      </c>
      <c r="DU195">
        <v>29.2</v>
      </c>
      <c r="DV195">
        <v>9.4962199999999992</v>
      </c>
      <c r="DW195">
        <v>61.152299999999997</v>
      </c>
      <c r="DX195">
        <v>36.9191</v>
      </c>
      <c r="DY195">
        <v>1</v>
      </c>
      <c r="DZ195">
        <v>-0.119784</v>
      </c>
      <c r="EA195">
        <v>0.11179699999999999</v>
      </c>
      <c r="EB195">
        <v>20.190300000000001</v>
      </c>
      <c r="EC195">
        <v>5.2416999999999998</v>
      </c>
      <c r="ED195">
        <v>12.039899999999999</v>
      </c>
      <c r="EE195">
        <v>5.0176499999999997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1.8692</v>
      </c>
      <c r="EN195">
        <v>1.8672200000000001</v>
      </c>
      <c r="EO195">
        <v>1.86334</v>
      </c>
      <c r="EP195">
        <v>1.8644700000000001</v>
      </c>
      <c r="EQ195">
        <v>1.8701399999999999</v>
      </c>
      <c r="ER195">
        <v>1.8693500000000001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0.436</v>
      </c>
      <c r="FG195">
        <v>0.19839999999999999</v>
      </c>
      <c r="FH195">
        <v>0.69281559908863044</v>
      </c>
      <c r="FI195">
        <v>-6.1462078757559423E-4</v>
      </c>
      <c r="FJ195">
        <v>-1.8861989874597051E-7</v>
      </c>
      <c r="FK195">
        <v>1.1980462299894961E-10</v>
      </c>
      <c r="FL195">
        <v>0.19840465858211129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40.5</v>
      </c>
      <c r="FU195">
        <v>40.5</v>
      </c>
      <c r="FV195">
        <v>1.7639199999999999</v>
      </c>
      <c r="FW195">
        <v>2.5793499999999998</v>
      </c>
      <c r="FX195">
        <v>1.5490699999999999</v>
      </c>
      <c r="FY195">
        <v>2.33521</v>
      </c>
      <c r="FZ195">
        <v>1.50146</v>
      </c>
      <c r="GA195">
        <v>2.3547400000000001</v>
      </c>
      <c r="GB195">
        <v>33.602899999999998</v>
      </c>
      <c r="GC195">
        <v>23.991199999999999</v>
      </c>
      <c r="GD195">
        <v>19</v>
      </c>
      <c r="GE195">
        <v>281.56299999999999</v>
      </c>
      <c r="GF195">
        <v>575.57299999999998</v>
      </c>
      <c r="GG195">
        <v>24.054400000000001</v>
      </c>
      <c r="GH195">
        <v>25.903600000000001</v>
      </c>
      <c r="GI195">
        <v>29.9998</v>
      </c>
      <c r="GJ195">
        <v>26.033899999999999</v>
      </c>
      <c r="GK195">
        <v>26.014399999999998</v>
      </c>
      <c r="GL195">
        <v>35.268500000000003</v>
      </c>
      <c r="GM195">
        <v>100</v>
      </c>
      <c r="GN195">
        <v>7.21218</v>
      </c>
      <c r="GO195">
        <v>24.071200000000001</v>
      </c>
      <c r="GP195">
        <v>800</v>
      </c>
      <c r="GQ195">
        <v>0</v>
      </c>
      <c r="GR195">
        <v>99.823099999999997</v>
      </c>
      <c r="GS195">
        <v>99.706199999999995</v>
      </c>
    </row>
    <row r="196" spans="1:201" x14ac:dyDescent="0.25">
      <c r="A196">
        <v>180</v>
      </c>
      <c r="B196">
        <v>1690390076</v>
      </c>
      <c r="C196">
        <v>1817.5</v>
      </c>
      <c r="D196" t="s">
        <v>693</v>
      </c>
      <c r="E196" t="s">
        <v>694</v>
      </c>
      <c r="F196" t="s">
        <v>330</v>
      </c>
      <c r="H196">
        <v>1690390076</v>
      </c>
      <c r="I196">
        <f t="shared" si="60"/>
        <v>2.4907421867044416E-3</v>
      </c>
      <c r="J196">
        <f t="shared" si="61"/>
        <v>2.4907421867044417</v>
      </c>
      <c r="K196">
        <f t="shared" si="62"/>
        <v>38.329973719246937</v>
      </c>
      <c r="L196">
        <f t="shared" si="63"/>
        <v>383.78</v>
      </c>
      <c r="M196">
        <f t="shared" si="64"/>
        <v>107.50390706156254</v>
      </c>
      <c r="N196">
        <f t="shared" si="65"/>
        <v>10.604198723037005</v>
      </c>
      <c r="O196">
        <f t="shared" si="66"/>
        <v>37.856106788719998</v>
      </c>
      <c r="P196">
        <f t="shared" si="67"/>
        <v>0.23728350963044934</v>
      </c>
      <c r="Q196">
        <f t="shared" si="68"/>
        <v>2.1560037273113046</v>
      </c>
      <c r="R196">
        <f t="shared" si="69"/>
        <v>0.22367138315357937</v>
      </c>
      <c r="S196">
        <f t="shared" si="70"/>
        <v>0.14095249459173415</v>
      </c>
      <c r="T196">
        <f t="shared" si="71"/>
        <v>276.11646069599999</v>
      </c>
      <c r="U196">
        <f t="shared" si="72"/>
        <v>27.178174667425992</v>
      </c>
      <c r="V196">
        <f t="shared" si="73"/>
        <v>27.178174667425992</v>
      </c>
      <c r="W196">
        <f t="shared" si="74"/>
        <v>3.6167858187585198</v>
      </c>
      <c r="X196">
        <f t="shared" si="75"/>
        <v>76.207551392887012</v>
      </c>
      <c r="Y196">
        <f t="shared" si="76"/>
        <v>2.552707768996</v>
      </c>
      <c r="Z196">
        <f t="shared" si="77"/>
        <v>3.3496782436107271</v>
      </c>
      <c r="AA196">
        <f t="shared" si="78"/>
        <v>1.0640780497625197</v>
      </c>
      <c r="AB196">
        <f t="shared" si="79"/>
        <v>-109.84173043366587</v>
      </c>
      <c r="AC196">
        <f t="shared" si="80"/>
        <v>-151.29946891647054</v>
      </c>
      <c r="AD196">
        <f t="shared" si="81"/>
        <v>-15.073376674421285</v>
      </c>
      <c r="AE196">
        <f t="shared" si="82"/>
        <v>-9.8115328557724979E-2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52282.272841345715</v>
      </c>
      <c r="AK196">
        <f t="shared" si="86"/>
        <v>1800</v>
      </c>
      <c r="AL196">
        <f t="shared" si="87"/>
        <v>1499.1103206000003</v>
      </c>
      <c r="AM196">
        <f t="shared" si="88"/>
        <v>0.8328390670000001</v>
      </c>
      <c r="AN196">
        <f t="shared" si="89"/>
        <v>0.15339803371999999</v>
      </c>
      <c r="AO196">
        <v>31.8</v>
      </c>
      <c r="AP196">
        <v>0.5</v>
      </c>
      <c r="AQ196" t="s">
        <v>331</v>
      </c>
      <c r="AR196">
        <v>2</v>
      </c>
      <c r="AS196">
        <v>1690390076</v>
      </c>
      <c r="AT196">
        <v>383.78</v>
      </c>
      <c r="AU196">
        <v>799.97299999999996</v>
      </c>
      <c r="AV196">
        <v>25.879000000000001</v>
      </c>
      <c r="AW196">
        <v>0.175038</v>
      </c>
      <c r="AX196">
        <v>383.34399999999999</v>
      </c>
      <c r="AY196">
        <v>25.680499999999999</v>
      </c>
      <c r="AZ196">
        <v>300.17099999999999</v>
      </c>
      <c r="BA196">
        <v>98.540099999999995</v>
      </c>
      <c r="BB196">
        <v>0.100024</v>
      </c>
      <c r="BC196">
        <v>25.8765</v>
      </c>
      <c r="BD196">
        <v>27.0169</v>
      </c>
      <c r="BE196">
        <v>26.988099999999999</v>
      </c>
      <c r="BF196">
        <v>0</v>
      </c>
      <c r="BG196">
        <v>0</v>
      </c>
      <c r="BH196">
        <v>9996.25</v>
      </c>
      <c r="BI196">
        <v>1067.9000000000001</v>
      </c>
      <c r="BJ196">
        <v>1.3455900000000001</v>
      </c>
      <c r="BK196">
        <v>-416.19299999999998</v>
      </c>
      <c r="BL196">
        <v>393.97500000000002</v>
      </c>
      <c r="BM196">
        <v>800.11300000000006</v>
      </c>
      <c r="BN196">
        <v>25.703900000000001</v>
      </c>
      <c r="BO196">
        <v>799.97299999999996</v>
      </c>
      <c r="BP196">
        <v>0.175038</v>
      </c>
      <c r="BQ196">
        <v>2.5501100000000001</v>
      </c>
      <c r="BR196">
        <v>1.7248200000000002E-2</v>
      </c>
      <c r="BS196">
        <v>21.349900000000002</v>
      </c>
      <c r="BT196">
        <v>-40.841200000000001</v>
      </c>
      <c r="BU196">
        <v>1800</v>
      </c>
      <c r="BV196">
        <v>0.90998100000000004</v>
      </c>
      <c r="BW196">
        <v>3.4002999999999999E-2</v>
      </c>
      <c r="BX196">
        <v>2.2007100000000002E-2</v>
      </c>
      <c r="BY196">
        <v>3.4008999999999998E-2</v>
      </c>
      <c r="BZ196">
        <v>25</v>
      </c>
      <c r="CA196">
        <v>33528.199999999997</v>
      </c>
      <c r="CB196">
        <v>1690387638</v>
      </c>
      <c r="CC196" t="s">
        <v>332</v>
      </c>
      <c r="CD196">
        <v>1690387638</v>
      </c>
      <c r="CE196">
        <v>1690387638</v>
      </c>
      <c r="CF196">
        <v>6</v>
      </c>
      <c r="CG196">
        <v>0.43</v>
      </c>
      <c r="CH196">
        <v>-8.1000000000000003E-2</v>
      </c>
      <c r="CI196">
        <v>0.14199999999999999</v>
      </c>
      <c r="CJ196">
        <v>-2.7E-2</v>
      </c>
      <c r="CK196">
        <v>800</v>
      </c>
      <c r="CL196">
        <v>0</v>
      </c>
      <c r="CM196">
        <v>0.01</v>
      </c>
      <c r="CN196">
        <v>0.01</v>
      </c>
      <c r="CO196">
        <v>-415.68204878048778</v>
      </c>
      <c r="CP196">
        <v>-2.6761254355396371</v>
      </c>
      <c r="CQ196">
        <v>0.26913329286392579</v>
      </c>
      <c r="CR196">
        <v>-1</v>
      </c>
      <c r="CS196">
        <v>25.67007073170732</v>
      </c>
      <c r="CT196">
        <v>0.198643902439013</v>
      </c>
      <c r="CU196">
        <v>1.9631398989727451E-2</v>
      </c>
      <c r="CV196">
        <v>-1</v>
      </c>
      <c r="CW196">
        <v>0</v>
      </c>
      <c r="CX196">
        <v>0</v>
      </c>
      <c r="CY196" t="s">
        <v>333</v>
      </c>
      <c r="CZ196">
        <v>2.36504</v>
      </c>
      <c r="DA196">
        <v>2.7138100000000001</v>
      </c>
      <c r="DB196">
        <v>8.6210200000000001E-2</v>
      </c>
      <c r="DC196">
        <v>0.14529900000000001</v>
      </c>
      <c r="DD196">
        <v>0.11952</v>
      </c>
      <c r="DE196">
        <v>1.46575E-3</v>
      </c>
      <c r="DF196">
        <v>33394</v>
      </c>
      <c r="DG196">
        <v>27582.400000000001</v>
      </c>
      <c r="DH196">
        <v>31196.9</v>
      </c>
      <c r="DI196">
        <v>28119.599999999999</v>
      </c>
      <c r="DJ196">
        <v>37286.1</v>
      </c>
      <c r="DK196">
        <v>39937.1</v>
      </c>
      <c r="DL196">
        <v>44400.7</v>
      </c>
      <c r="DM196">
        <v>42622.1</v>
      </c>
      <c r="DN196">
        <v>1.4767999999999999</v>
      </c>
      <c r="DO196">
        <v>2.0314199999999998</v>
      </c>
      <c r="DP196">
        <v>0.14563599999999999</v>
      </c>
      <c r="DQ196">
        <v>0.14652299999999999</v>
      </c>
      <c r="DR196">
        <v>24.630600000000001</v>
      </c>
      <c r="DS196">
        <v>24.5871</v>
      </c>
      <c r="DT196">
        <v>22.8</v>
      </c>
      <c r="DU196">
        <v>29.2</v>
      </c>
      <c r="DV196">
        <v>9.4140999999999995</v>
      </c>
      <c r="DW196">
        <v>60.8123</v>
      </c>
      <c r="DX196">
        <v>37.4559</v>
      </c>
      <c r="DY196">
        <v>1</v>
      </c>
      <c r="DZ196">
        <v>-0.119502</v>
      </c>
      <c r="EA196">
        <v>8.2156900000000005E-2</v>
      </c>
      <c r="EB196">
        <v>20.1904</v>
      </c>
      <c r="EC196">
        <v>5.2411000000000003</v>
      </c>
      <c r="ED196">
        <v>12.039899999999999</v>
      </c>
      <c r="EE196">
        <v>5.0166000000000004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1.8692</v>
      </c>
      <c r="EN196">
        <v>1.8672200000000001</v>
      </c>
      <c r="EO196">
        <v>1.86337</v>
      </c>
      <c r="EP196">
        <v>1.8644700000000001</v>
      </c>
      <c r="EQ196">
        <v>1.8701300000000001</v>
      </c>
      <c r="ER196">
        <v>1.8693599999999999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0.436</v>
      </c>
      <c r="FG196">
        <v>0.19850000000000001</v>
      </c>
      <c r="FH196">
        <v>0.69281559908863044</v>
      </c>
      <c r="FI196">
        <v>-6.1462078757559423E-4</v>
      </c>
      <c r="FJ196">
        <v>-1.8861989874597051E-7</v>
      </c>
      <c r="FK196">
        <v>1.1980462299894961E-10</v>
      </c>
      <c r="FL196">
        <v>0.19840465858211129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40.6</v>
      </c>
      <c r="FU196">
        <v>40.6</v>
      </c>
      <c r="FV196">
        <v>1.7639199999999999</v>
      </c>
      <c r="FW196">
        <v>2.5878899999999998</v>
      </c>
      <c r="FX196">
        <v>1.5490699999999999</v>
      </c>
      <c r="FY196">
        <v>2.33521</v>
      </c>
      <c r="FZ196">
        <v>1.50146</v>
      </c>
      <c r="GA196">
        <v>2.32422</v>
      </c>
      <c r="GB196">
        <v>33.602899999999998</v>
      </c>
      <c r="GC196">
        <v>23.982399999999998</v>
      </c>
      <c r="GD196">
        <v>19</v>
      </c>
      <c r="GE196">
        <v>281.73200000000003</v>
      </c>
      <c r="GF196">
        <v>575.43799999999999</v>
      </c>
      <c r="GG196">
        <v>24.087700000000002</v>
      </c>
      <c r="GH196">
        <v>25.903600000000001</v>
      </c>
      <c r="GI196">
        <v>30.000399999999999</v>
      </c>
      <c r="GJ196">
        <v>26.033899999999999</v>
      </c>
      <c r="GK196">
        <v>26.013300000000001</v>
      </c>
      <c r="GL196">
        <v>35.269199999999998</v>
      </c>
      <c r="GM196">
        <v>100</v>
      </c>
      <c r="GN196">
        <v>6.8194299999999997</v>
      </c>
      <c r="GO196">
        <v>24.0913</v>
      </c>
      <c r="GP196">
        <v>800</v>
      </c>
      <c r="GQ196">
        <v>0</v>
      </c>
      <c r="GR196">
        <v>99.822800000000001</v>
      </c>
      <c r="GS196">
        <v>99.705500000000001</v>
      </c>
    </row>
    <row r="197" spans="1:201" x14ac:dyDescent="0.25">
      <c r="A197">
        <v>181</v>
      </c>
      <c r="B197">
        <v>1690390086</v>
      </c>
      <c r="C197">
        <v>1827.5</v>
      </c>
      <c r="D197" t="s">
        <v>695</v>
      </c>
      <c r="E197" t="s">
        <v>696</v>
      </c>
      <c r="F197" t="s">
        <v>330</v>
      </c>
      <c r="H197">
        <v>1690390086</v>
      </c>
      <c r="I197">
        <f t="shared" si="60"/>
        <v>2.4920526525600371E-3</v>
      </c>
      <c r="J197">
        <f t="shared" si="61"/>
        <v>2.4920526525600373</v>
      </c>
      <c r="K197">
        <f t="shared" si="62"/>
        <v>38.357052798029933</v>
      </c>
      <c r="L197">
        <f t="shared" si="63"/>
        <v>383.37200000000001</v>
      </c>
      <c r="M197">
        <f t="shared" si="64"/>
        <v>107.74011066842198</v>
      </c>
      <c r="N197">
        <f t="shared" si="65"/>
        <v>10.627562961907723</v>
      </c>
      <c r="O197">
        <f t="shared" si="66"/>
        <v>37.816093213153202</v>
      </c>
      <c r="P197">
        <f t="shared" si="67"/>
        <v>0.238021059908744</v>
      </c>
      <c r="Q197">
        <f t="shared" si="68"/>
        <v>2.1595936024879752</v>
      </c>
      <c r="R197">
        <f t="shared" si="69"/>
        <v>0.2243481618586794</v>
      </c>
      <c r="S197">
        <f t="shared" si="70"/>
        <v>0.14138056199367788</v>
      </c>
      <c r="T197">
        <f t="shared" si="71"/>
        <v>276.11802302649471</v>
      </c>
      <c r="U197">
        <f t="shared" si="72"/>
        <v>27.175366432052609</v>
      </c>
      <c r="V197">
        <f t="shared" si="73"/>
        <v>27.175366432052609</v>
      </c>
      <c r="W197">
        <f t="shared" si="74"/>
        <v>3.616190120891877</v>
      </c>
      <c r="X197">
        <f t="shared" si="75"/>
        <v>76.270782030673672</v>
      </c>
      <c r="Y197">
        <f t="shared" si="76"/>
        <v>2.5547652655715702</v>
      </c>
      <c r="Z197">
        <f t="shared" si="77"/>
        <v>3.3495988864308814</v>
      </c>
      <c r="AA197">
        <f t="shared" si="78"/>
        <v>1.0614248553203067</v>
      </c>
      <c r="AB197">
        <f t="shared" si="79"/>
        <v>-109.89952197789763</v>
      </c>
      <c r="AC197">
        <f t="shared" si="80"/>
        <v>-151.27100552999852</v>
      </c>
      <c r="AD197">
        <f t="shared" si="81"/>
        <v>-15.045247349596519</v>
      </c>
      <c r="AE197">
        <f t="shared" si="82"/>
        <v>-9.7751830997964362E-2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52432.905645499122</v>
      </c>
      <c r="AK197">
        <f t="shared" si="86"/>
        <v>1800.01</v>
      </c>
      <c r="AL197">
        <f t="shared" si="87"/>
        <v>1499.1187839914201</v>
      </c>
      <c r="AM197">
        <f t="shared" si="88"/>
        <v>0.83283914200000009</v>
      </c>
      <c r="AN197">
        <f t="shared" si="89"/>
        <v>0.15339804946999999</v>
      </c>
      <c r="AO197">
        <v>31.8</v>
      </c>
      <c r="AP197">
        <v>0.5</v>
      </c>
      <c r="AQ197" t="s">
        <v>331</v>
      </c>
      <c r="AR197">
        <v>2</v>
      </c>
      <c r="AS197">
        <v>1690390086</v>
      </c>
      <c r="AT197">
        <v>383.37200000000001</v>
      </c>
      <c r="AU197">
        <v>799.98800000000006</v>
      </c>
      <c r="AV197">
        <v>25.899699999999999</v>
      </c>
      <c r="AW197">
        <v>0.17401900000000001</v>
      </c>
      <c r="AX197">
        <v>382.93599999999998</v>
      </c>
      <c r="AY197">
        <v>25.7013</v>
      </c>
      <c r="AZ197">
        <v>300.06900000000002</v>
      </c>
      <c r="BA197">
        <v>98.540800000000004</v>
      </c>
      <c r="BB197">
        <v>9.9928100000000006E-2</v>
      </c>
      <c r="BC197">
        <v>25.876100000000001</v>
      </c>
      <c r="BD197">
        <v>27.025300000000001</v>
      </c>
      <c r="BE197">
        <v>27.012899999999998</v>
      </c>
      <c r="BF197">
        <v>0</v>
      </c>
      <c r="BG197">
        <v>0</v>
      </c>
      <c r="BH197">
        <v>10026.200000000001</v>
      </c>
      <c r="BI197">
        <v>1068.04</v>
      </c>
      <c r="BJ197">
        <v>1.3595999999999999</v>
      </c>
      <c r="BK197">
        <v>-416.61599999999999</v>
      </c>
      <c r="BL197">
        <v>393.565</v>
      </c>
      <c r="BM197">
        <v>800.12800000000004</v>
      </c>
      <c r="BN197">
        <v>25.7257</v>
      </c>
      <c r="BO197">
        <v>799.98800000000006</v>
      </c>
      <c r="BP197">
        <v>0.17401900000000001</v>
      </c>
      <c r="BQ197">
        <v>2.5521699999999998</v>
      </c>
      <c r="BR197">
        <v>1.7147900000000001E-2</v>
      </c>
      <c r="BS197">
        <v>21.363099999999999</v>
      </c>
      <c r="BT197">
        <v>-40.896599999999999</v>
      </c>
      <c r="BU197">
        <v>1800.01</v>
      </c>
      <c r="BV197">
        <v>0.90998100000000004</v>
      </c>
      <c r="BW197">
        <v>3.4002999999999999E-2</v>
      </c>
      <c r="BX197">
        <v>2.2007100000000002E-2</v>
      </c>
      <c r="BY197">
        <v>3.40091E-2</v>
      </c>
      <c r="BZ197">
        <v>25</v>
      </c>
      <c r="CA197">
        <v>33528.300000000003</v>
      </c>
      <c r="CB197">
        <v>1690387638</v>
      </c>
      <c r="CC197" t="s">
        <v>332</v>
      </c>
      <c r="CD197">
        <v>1690387638</v>
      </c>
      <c r="CE197">
        <v>1690387638</v>
      </c>
      <c r="CF197">
        <v>6</v>
      </c>
      <c r="CG197">
        <v>0.43</v>
      </c>
      <c r="CH197">
        <v>-8.1000000000000003E-2</v>
      </c>
      <c r="CI197">
        <v>0.14199999999999999</v>
      </c>
      <c r="CJ197">
        <v>-2.7E-2</v>
      </c>
      <c r="CK197">
        <v>800</v>
      </c>
      <c r="CL197">
        <v>0</v>
      </c>
      <c r="CM197">
        <v>0.01</v>
      </c>
      <c r="CN197">
        <v>0.01</v>
      </c>
      <c r="CO197">
        <v>-416.10750000000002</v>
      </c>
      <c r="CP197">
        <v>-2.7808930581605971</v>
      </c>
      <c r="CQ197">
        <v>0.27341973227987398</v>
      </c>
      <c r="CR197">
        <v>-1</v>
      </c>
      <c r="CS197">
        <v>25.698065</v>
      </c>
      <c r="CT197">
        <v>0.15421463414621661</v>
      </c>
      <c r="CU197">
        <v>1.5091629302364939E-2</v>
      </c>
      <c r="CV197">
        <v>-1</v>
      </c>
      <c r="CW197">
        <v>0</v>
      </c>
      <c r="CX197">
        <v>0</v>
      </c>
      <c r="CY197" t="s">
        <v>333</v>
      </c>
      <c r="CZ197">
        <v>2.36469</v>
      </c>
      <c r="DA197">
        <v>2.71374</v>
      </c>
      <c r="DB197">
        <v>8.61402E-2</v>
      </c>
      <c r="DC197">
        <v>0.14530199999999999</v>
      </c>
      <c r="DD197">
        <v>0.119588</v>
      </c>
      <c r="DE197">
        <v>1.45732E-3</v>
      </c>
      <c r="DF197">
        <v>33396.699999999997</v>
      </c>
      <c r="DG197">
        <v>27582.400000000001</v>
      </c>
      <c r="DH197">
        <v>31197</v>
      </c>
      <c r="DI197">
        <v>28119.7</v>
      </c>
      <c r="DJ197">
        <v>37283.300000000003</v>
      </c>
      <c r="DK197">
        <v>39937.599999999999</v>
      </c>
      <c r="DL197">
        <v>44400.800000000003</v>
      </c>
      <c r="DM197">
        <v>42622.3</v>
      </c>
      <c r="DN197">
        <v>1.47627</v>
      </c>
      <c r="DO197">
        <v>2.0315300000000001</v>
      </c>
      <c r="DP197">
        <v>0.146151</v>
      </c>
      <c r="DQ197">
        <v>0.14791599999999999</v>
      </c>
      <c r="DR197">
        <v>24.630600000000001</v>
      </c>
      <c r="DS197">
        <v>24.589099999999998</v>
      </c>
      <c r="DT197">
        <v>22.7</v>
      </c>
      <c r="DU197">
        <v>29.2</v>
      </c>
      <c r="DV197">
        <v>9.37364</v>
      </c>
      <c r="DW197">
        <v>61.042299999999997</v>
      </c>
      <c r="DX197">
        <v>37.572099999999999</v>
      </c>
      <c r="DY197">
        <v>1</v>
      </c>
      <c r="DZ197">
        <v>-0.119342</v>
      </c>
      <c r="EA197">
        <v>0.187726</v>
      </c>
      <c r="EB197">
        <v>20.190100000000001</v>
      </c>
      <c r="EC197">
        <v>5.24125</v>
      </c>
      <c r="ED197">
        <v>12.039899999999999</v>
      </c>
      <c r="EE197">
        <v>5.0167000000000002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1.8692</v>
      </c>
      <c r="EN197">
        <v>1.8672200000000001</v>
      </c>
      <c r="EO197">
        <v>1.8633599999999999</v>
      </c>
      <c r="EP197">
        <v>1.8644700000000001</v>
      </c>
      <c r="EQ197">
        <v>1.8701300000000001</v>
      </c>
      <c r="ER197">
        <v>1.8693599999999999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0.436</v>
      </c>
      <c r="FG197">
        <v>0.19839999999999999</v>
      </c>
      <c r="FH197">
        <v>0.69281559908863044</v>
      </c>
      <c r="FI197">
        <v>-6.1462078757559423E-4</v>
      </c>
      <c r="FJ197">
        <v>-1.8861989874597051E-7</v>
      </c>
      <c r="FK197">
        <v>1.1980462299894961E-10</v>
      </c>
      <c r="FL197">
        <v>0.19840465858211129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40.799999999999997</v>
      </c>
      <c r="FU197">
        <v>40.799999999999997</v>
      </c>
      <c r="FV197">
        <v>1.7639199999999999</v>
      </c>
      <c r="FW197">
        <v>2.5939899999999998</v>
      </c>
      <c r="FX197">
        <v>1.5490699999999999</v>
      </c>
      <c r="FY197">
        <v>2.33521</v>
      </c>
      <c r="FZ197">
        <v>1.50146</v>
      </c>
      <c r="GA197">
        <v>2.2900399999999999</v>
      </c>
      <c r="GB197">
        <v>33.602899999999998</v>
      </c>
      <c r="GC197">
        <v>23.982399999999998</v>
      </c>
      <c r="GD197">
        <v>19</v>
      </c>
      <c r="GE197">
        <v>281.51</v>
      </c>
      <c r="GF197">
        <v>575.51900000000001</v>
      </c>
      <c r="GG197">
        <v>24.076699999999999</v>
      </c>
      <c r="GH197">
        <v>25.901800000000001</v>
      </c>
      <c r="GI197">
        <v>30.0001</v>
      </c>
      <c r="GJ197">
        <v>26.033899999999999</v>
      </c>
      <c r="GK197">
        <v>26.013300000000001</v>
      </c>
      <c r="GL197">
        <v>35.269100000000002</v>
      </c>
      <c r="GM197">
        <v>100</v>
      </c>
      <c r="GN197">
        <v>6.4295799999999996</v>
      </c>
      <c r="GO197">
        <v>24.0685</v>
      </c>
      <c r="GP197">
        <v>800</v>
      </c>
      <c r="GQ197">
        <v>0</v>
      </c>
      <c r="GR197">
        <v>99.823099999999997</v>
      </c>
      <c r="GS197">
        <v>99.7059</v>
      </c>
    </row>
    <row r="198" spans="1:201" x14ac:dyDescent="0.25">
      <c r="A198">
        <v>182</v>
      </c>
      <c r="B198">
        <v>1690390096</v>
      </c>
      <c r="C198">
        <v>1837.5</v>
      </c>
      <c r="D198" t="s">
        <v>697</v>
      </c>
      <c r="E198" t="s">
        <v>698</v>
      </c>
      <c r="F198" t="s">
        <v>330</v>
      </c>
      <c r="H198">
        <v>1690390096</v>
      </c>
      <c r="I198">
        <f t="shared" si="60"/>
        <v>2.4944931806984059E-3</v>
      </c>
      <c r="J198">
        <f t="shared" si="61"/>
        <v>2.4944931806984059</v>
      </c>
      <c r="K198">
        <f t="shared" si="62"/>
        <v>38.417405538740219</v>
      </c>
      <c r="L198">
        <f t="shared" si="63"/>
        <v>382.93099999999998</v>
      </c>
      <c r="M198">
        <f t="shared" si="64"/>
        <v>107.32769608917968</v>
      </c>
      <c r="N198">
        <f t="shared" si="65"/>
        <v>10.586899141903116</v>
      </c>
      <c r="O198">
        <f t="shared" si="66"/>
        <v>37.772653499797002</v>
      </c>
      <c r="P198">
        <f t="shared" si="67"/>
        <v>0.23845817714252521</v>
      </c>
      <c r="Q198">
        <f t="shared" si="68"/>
        <v>2.1550384183336893</v>
      </c>
      <c r="R198">
        <f t="shared" si="69"/>
        <v>0.22470935826543401</v>
      </c>
      <c r="S198">
        <f t="shared" si="70"/>
        <v>0.14161252231742277</v>
      </c>
      <c r="T198">
        <f t="shared" si="71"/>
        <v>276.11629507799995</v>
      </c>
      <c r="U198">
        <f t="shared" si="72"/>
        <v>27.178606983308889</v>
      </c>
      <c r="V198">
        <f t="shared" si="73"/>
        <v>27.178606983308889</v>
      </c>
      <c r="W198">
        <f t="shared" si="74"/>
        <v>3.6168775315169532</v>
      </c>
      <c r="X198">
        <f t="shared" si="75"/>
        <v>76.30431262404386</v>
      </c>
      <c r="Y198">
        <f t="shared" si="76"/>
        <v>2.5561306252745002</v>
      </c>
      <c r="Z198">
        <f t="shared" si="77"/>
        <v>3.3499163250034325</v>
      </c>
      <c r="AA198">
        <f t="shared" si="78"/>
        <v>1.060746906242453</v>
      </c>
      <c r="AB198">
        <f t="shared" si="79"/>
        <v>-110.00714926879969</v>
      </c>
      <c r="AC198">
        <f t="shared" si="80"/>
        <v>-151.14253609786041</v>
      </c>
      <c r="AD198">
        <f t="shared" si="81"/>
        <v>-15.06460996186928</v>
      </c>
      <c r="AE198">
        <f t="shared" si="82"/>
        <v>-9.800025052945216E-2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52241.642049671078</v>
      </c>
      <c r="AK198">
        <f t="shared" si="86"/>
        <v>1800</v>
      </c>
      <c r="AL198">
        <f t="shared" si="87"/>
        <v>1499.1099317999999</v>
      </c>
      <c r="AM198">
        <f t="shared" si="88"/>
        <v>0.83283885099999999</v>
      </c>
      <c r="AN198">
        <f t="shared" si="89"/>
        <v>0.15339794170999999</v>
      </c>
      <c r="AO198">
        <v>31.8</v>
      </c>
      <c r="AP198">
        <v>0.5</v>
      </c>
      <c r="AQ198" t="s">
        <v>331</v>
      </c>
      <c r="AR198">
        <v>2</v>
      </c>
      <c r="AS198">
        <v>1690390096</v>
      </c>
      <c r="AT198">
        <v>382.93099999999998</v>
      </c>
      <c r="AU198">
        <v>800.02499999999998</v>
      </c>
      <c r="AV198">
        <v>25.913499999999999</v>
      </c>
      <c r="AW198">
        <v>0.17285500000000001</v>
      </c>
      <c r="AX198">
        <v>382.49400000000003</v>
      </c>
      <c r="AY198">
        <v>25.7151</v>
      </c>
      <c r="AZ198">
        <v>300.18400000000003</v>
      </c>
      <c r="BA198">
        <v>98.540800000000004</v>
      </c>
      <c r="BB198">
        <v>0.100087</v>
      </c>
      <c r="BC198">
        <v>25.877700000000001</v>
      </c>
      <c r="BD198">
        <v>27.004100000000001</v>
      </c>
      <c r="BE198">
        <v>27.009499999999999</v>
      </c>
      <c r="BF198">
        <v>0</v>
      </c>
      <c r="BG198">
        <v>0</v>
      </c>
      <c r="BH198">
        <v>9988.1200000000008</v>
      </c>
      <c r="BI198">
        <v>1068.04</v>
      </c>
      <c r="BJ198">
        <v>1.3736200000000001</v>
      </c>
      <c r="BK198">
        <v>-417.09300000000002</v>
      </c>
      <c r="BL198">
        <v>393.11799999999999</v>
      </c>
      <c r="BM198">
        <v>800.16300000000001</v>
      </c>
      <c r="BN198">
        <v>25.740600000000001</v>
      </c>
      <c r="BO198">
        <v>800.02499999999998</v>
      </c>
      <c r="BP198">
        <v>0.17285500000000001</v>
      </c>
      <c r="BQ198">
        <v>2.5535399999999999</v>
      </c>
      <c r="BR198">
        <v>1.7033300000000001E-2</v>
      </c>
      <c r="BS198">
        <v>21.3718</v>
      </c>
      <c r="BT198">
        <v>-40.9602</v>
      </c>
      <c r="BU198">
        <v>1800</v>
      </c>
      <c r="BV198">
        <v>0.90998199999999996</v>
      </c>
      <c r="BW198">
        <v>3.4002400000000002E-2</v>
      </c>
      <c r="BX198">
        <v>2.20068E-2</v>
      </c>
      <c r="BY198">
        <v>3.4008499999999997E-2</v>
      </c>
      <c r="BZ198">
        <v>25</v>
      </c>
      <c r="CA198">
        <v>33528.199999999997</v>
      </c>
      <c r="CB198">
        <v>1690387638</v>
      </c>
      <c r="CC198" t="s">
        <v>332</v>
      </c>
      <c r="CD198">
        <v>1690387638</v>
      </c>
      <c r="CE198">
        <v>1690387638</v>
      </c>
      <c r="CF198">
        <v>6</v>
      </c>
      <c r="CG198">
        <v>0.43</v>
      </c>
      <c r="CH198">
        <v>-8.1000000000000003E-2</v>
      </c>
      <c r="CI198">
        <v>0.14199999999999999</v>
      </c>
      <c r="CJ198">
        <v>-2.7E-2</v>
      </c>
      <c r="CK198">
        <v>800</v>
      </c>
      <c r="CL198">
        <v>0</v>
      </c>
      <c r="CM198">
        <v>0.01</v>
      </c>
      <c r="CN198">
        <v>0.01</v>
      </c>
      <c r="CO198">
        <v>-416.55265000000003</v>
      </c>
      <c r="CP198">
        <v>-2.7166153846142622</v>
      </c>
      <c r="CQ198">
        <v>0.26579790725286051</v>
      </c>
      <c r="CR198">
        <v>-1</v>
      </c>
      <c r="CS198">
        <v>25.721182500000001</v>
      </c>
      <c r="CT198">
        <v>0.1227861163226575</v>
      </c>
      <c r="CU198">
        <v>1.194882604066207E-2</v>
      </c>
      <c r="CV198">
        <v>-1</v>
      </c>
      <c r="CW198">
        <v>0</v>
      </c>
      <c r="CX198">
        <v>0</v>
      </c>
      <c r="CY198" t="s">
        <v>333</v>
      </c>
      <c r="CZ198">
        <v>2.3650500000000001</v>
      </c>
      <c r="DA198">
        <v>2.71387</v>
      </c>
      <c r="DB198">
        <v>8.6063700000000007E-2</v>
      </c>
      <c r="DC198">
        <v>0.14530699999999999</v>
      </c>
      <c r="DD198">
        <v>0.119632</v>
      </c>
      <c r="DE198">
        <v>1.44768E-3</v>
      </c>
      <c r="DF198">
        <v>33399.599999999999</v>
      </c>
      <c r="DG198">
        <v>27581.7</v>
      </c>
      <c r="DH198">
        <v>31197.1</v>
      </c>
      <c r="DI198">
        <v>28119.200000000001</v>
      </c>
      <c r="DJ198">
        <v>37281.599999999999</v>
      </c>
      <c r="DK198">
        <v>39937.4</v>
      </c>
      <c r="DL198">
        <v>44401.1</v>
      </c>
      <c r="DM198">
        <v>42621.599999999999</v>
      </c>
      <c r="DN198">
        <v>1.4765999999999999</v>
      </c>
      <c r="DO198">
        <v>2.0314199999999998</v>
      </c>
      <c r="DP198">
        <v>0.14488400000000001</v>
      </c>
      <c r="DQ198">
        <v>0.14770800000000001</v>
      </c>
      <c r="DR198">
        <v>24.630099999999999</v>
      </c>
      <c r="DS198">
        <v>24.589099999999998</v>
      </c>
      <c r="DT198">
        <v>22.6</v>
      </c>
      <c r="DU198">
        <v>29.2</v>
      </c>
      <c r="DV198">
        <v>9.3304100000000005</v>
      </c>
      <c r="DW198">
        <v>61.122300000000003</v>
      </c>
      <c r="DX198">
        <v>36.738799999999998</v>
      </c>
      <c r="DY198">
        <v>1</v>
      </c>
      <c r="DZ198">
        <v>-0.119121</v>
      </c>
      <c r="EA198">
        <v>0.27405800000000002</v>
      </c>
      <c r="EB198">
        <v>20.189699999999998</v>
      </c>
      <c r="EC198">
        <v>5.2404999999999999</v>
      </c>
      <c r="ED198">
        <v>12.039899999999999</v>
      </c>
      <c r="EE198">
        <v>5.01675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1.8646199999999999</v>
      </c>
      <c r="EM198">
        <v>1.8692</v>
      </c>
      <c r="EN198">
        <v>1.8672200000000001</v>
      </c>
      <c r="EO198">
        <v>1.86337</v>
      </c>
      <c r="EP198">
        <v>1.8644700000000001</v>
      </c>
      <c r="EQ198">
        <v>1.8701399999999999</v>
      </c>
      <c r="ER198">
        <v>1.8693599999999999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0.437</v>
      </c>
      <c r="FG198">
        <v>0.19839999999999999</v>
      </c>
      <c r="FH198">
        <v>0.69281559908863044</v>
      </c>
      <c r="FI198">
        <v>-6.1462078757559423E-4</v>
      </c>
      <c r="FJ198">
        <v>-1.8861989874597051E-7</v>
      </c>
      <c r="FK198">
        <v>1.1980462299894961E-10</v>
      </c>
      <c r="FL198">
        <v>0.19840465858211129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41</v>
      </c>
      <c r="FU198">
        <v>41</v>
      </c>
      <c r="FV198">
        <v>1.7639199999999999</v>
      </c>
      <c r="FW198">
        <v>2.5854499999999998</v>
      </c>
      <c r="FX198">
        <v>1.5490699999999999</v>
      </c>
      <c r="FY198">
        <v>2.33521</v>
      </c>
      <c r="FZ198">
        <v>1.50146</v>
      </c>
      <c r="GA198">
        <v>2.34985</v>
      </c>
      <c r="GB198">
        <v>33.602899999999998</v>
      </c>
      <c r="GC198">
        <v>23.982399999999998</v>
      </c>
      <c r="GD198">
        <v>19</v>
      </c>
      <c r="GE198">
        <v>281.64800000000002</v>
      </c>
      <c r="GF198">
        <v>575.43799999999999</v>
      </c>
      <c r="GG198">
        <v>24.044</v>
      </c>
      <c r="GH198">
        <v>25.901399999999999</v>
      </c>
      <c r="GI198">
        <v>30.000299999999999</v>
      </c>
      <c r="GJ198">
        <v>26.033899999999999</v>
      </c>
      <c r="GK198">
        <v>26.013300000000001</v>
      </c>
      <c r="GL198">
        <v>35.265099999999997</v>
      </c>
      <c r="GM198">
        <v>100</v>
      </c>
      <c r="GN198">
        <v>6.0423</v>
      </c>
      <c r="GO198">
        <v>24.024100000000001</v>
      </c>
      <c r="GP198">
        <v>800</v>
      </c>
      <c r="GQ198">
        <v>0</v>
      </c>
      <c r="GR198">
        <v>99.823700000000002</v>
      </c>
      <c r="GS198">
        <v>99.704300000000003</v>
      </c>
    </row>
    <row r="199" spans="1:201" x14ac:dyDescent="0.25">
      <c r="A199">
        <v>183</v>
      </c>
      <c r="B199">
        <v>1690390106</v>
      </c>
      <c r="C199">
        <v>1847.5</v>
      </c>
      <c r="D199" t="s">
        <v>699</v>
      </c>
      <c r="E199" t="s">
        <v>700</v>
      </c>
      <c r="F199" t="s">
        <v>330</v>
      </c>
      <c r="H199">
        <v>1690390106</v>
      </c>
      <c r="I199">
        <f t="shared" si="60"/>
        <v>2.4957565265913183E-3</v>
      </c>
      <c r="J199">
        <f t="shared" si="61"/>
        <v>2.4957565265913182</v>
      </c>
      <c r="K199">
        <f t="shared" si="62"/>
        <v>38.449312355893682</v>
      </c>
      <c r="L199">
        <f t="shared" si="63"/>
        <v>382.61099999999999</v>
      </c>
      <c r="M199">
        <f t="shared" si="64"/>
        <v>107.83214755057922</v>
      </c>
      <c r="N199">
        <f t="shared" si="65"/>
        <v>10.636823449025469</v>
      </c>
      <c r="O199">
        <f t="shared" si="66"/>
        <v>37.741673045564994</v>
      </c>
      <c r="P199">
        <f t="shared" si="67"/>
        <v>0.23940854415655138</v>
      </c>
      <c r="Q199">
        <f t="shared" si="68"/>
        <v>2.1570789590581221</v>
      </c>
      <c r="R199">
        <f t="shared" si="69"/>
        <v>0.22556562655997839</v>
      </c>
      <c r="S199">
        <f t="shared" si="70"/>
        <v>0.14215550196423676</v>
      </c>
      <c r="T199">
        <f t="shared" si="71"/>
        <v>276.11637114600001</v>
      </c>
      <c r="U199">
        <f t="shared" si="72"/>
        <v>27.169260944414763</v>
      </c>
      <c r="V199">
        <f t="shared" si="73"/>
        <v>27.169260944414763</v>
      </c>
      <c r="W199">
        <f t="shared" si="74"/>
        <v>3.6148952877719349</v>
      </c>
      <c r="X199">
        <f t="shared" si="75"/>
        <v>76.384060976693988</v>
      </c>
      <c r="Y199">
        <f t="shared" si="76"/>
        <v>2.557620264603</v>
      </c>
      <c r="Z199">
        <f t="shared" si="77"/>
        <v>3.3483690601150036</v>
      </c>
      <c r="AA199">
        <f t="shared" si="78"/>
        <v>1.057275023168935</v>
      </c>
      <c r="AB199">
        <f t="shared" si="79"/>
        <v>-110.06286282267713</v>
      </c>
      <c r="AC199">
        <f t="shared" si="80"/>
        <v>-151.10585575912364</v>
      </c>
      <c r="AD199">
        <f t="shared" si="81"/>
        <v>-15.045414587528862</v>
      </c>
      <c r="AE199">
        <f t="shared" si="82"/>
        <v>-9.7762023329607928E-2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52328.541901137585</v>
      </c>
      <c r="AK199">
        <f t="shared" si="86"/>
        <v>1800</v>
      </c>
      <c r="AL199">
        <f t="shared" si="87"/>
        <v>1499.1106085999998</v>
      </c>
      <c r="AM199">
        <f t="shared" si="88"/>
        <v>0.8328392269999999</v>
      </c>
      <c r="AN199">
        <f t="shared" si="89"/>
        <v>0.15339798397000001</v>
      </c>
      <c r="AO199">
        <v>31.8</v>
      </c>
      <c r="AP199">
        <v>0.5</v>
      </c>
      <c r="AQ199" t="s">
        <v>331</v>
      </c>
      <c r="AR199">
        <v>2</v>
      </c>
      <c r="AS199">
        <v>1690390106</v>
      </c>
      <c r="AT199">
        <v>382.61099999999999</v>
      </c>
      <c r="AU199">
        <v>800.08</v>
      </c>
      <c r="AV199">
        <v>25.9282</v>
      </c>
      <c r="AW199">
        <v>0.17241899999999999</v>
      </c>
      <c r="AX199">
        <v>382.17399999999998</v>
      </c>
      <c r="AY199">
        <v>25.729800000000001</v>
      </c>
      <c r="AZ199">
        <v>300.15499999999997</v>
      </c>
      <c r="BA199">
        <v>98.542400000000001</v>
      </c>
      <c r="BB199">
        <v>0.10001500000000001</v>
      </c>
      <c r="BC199">
        <v>25.869900000000001</v>
      </c>
      <c r="BD199">
        <v>26.982800000000001</v>
      </c>
      <c r="BE199">
        <v>26.982600000000001</v>
      </c>
      <c r="BF199">
        <v>0</v>
      </c>
      <c r="BG199">
        <v>0</v>
      </c>
      <c r="BH199">
        <v>10005</v>
      </c>
      <c r="BI199">
        <v>1068.08</v>
      </c>
      <c r="BJ199">
        <v>1.3736200000000001</v>
      </c>
      <c r="BK199">
        <v>-417.47</v>
      </c>
      <c r="BL199">
        <v>392.79500000000002</v>
      </c>
      <c r="BM199">
        <v>800.21799999999996</v>
      </c>
      <c r="BN199">
        <v>25.755800000000001</v>
      </c>
      <c r="BO199">
        <v>800.08</v>
      </c>
      <c r="BP199">
        <v>0.17241899999999999</v>
      </c>
      <c r="BQ199">
        <v>2.5550299999999999</v>
      </c>
      <c r="BR199">
        <v>1.6990600000000002E-2</v>
      </c>
      <c r="BS199">
        <v>21.3813</v>
      </c>
      <c r="BT199">
        <v>-40.984000000000002</v>
      </c>
      <c r="BU199">
        <v>1800</v>
      </c>
      <c r="BV199">
        <v>0.90998299999999999</v>
      </c>
      <c r="BW199">
        <v>3.4002200000000003E-2</v>
      </c>
      <c r="BX199">
        <v>2.2006600000000001E-2</v>
      </c>
      <c r="BY199">
        <v>3.4008299999999998E-2</v>
      </c>
      <c r="BZ199">
        <v>25</v>
      </c>
      <c r="CA199">
        <v>33528.199999999997</v>
      </c>
      <c r="CB199">
        <v>1690387638</v>
      </c>
      <c r="CC199" t="s">
        <v>332</v>
      </c>
      <c r="CD199">
        <v>1690387638</v>
      </c>
      <c r="CE199">
        <v>1690387638</v>
      </c>
      <c r="CF199">
        <v>6</v>
      </c>
      <c r="CG199">
        <v>0.43</v>
      </c>
      <c r="CH199">
        <v>-8.1000000000000003E-2</v>
      </c>
      <c r="CI199">
        <v>0.14199999999999999</v>
      </c>
      <c r="CJ199">
        <v>-2.7E-2</v>
      </c>
      <c r="CK199">
        <v>800</v>
      </c>
      <c r="CL199">
        <v>0</v>
      </c>
      <c r="CM199">
        <v>0.01</v>
      </c>
      <c r="CN199">
        <v>0.01</v>
      </c>
      <c r="CO199">
        <v>-417.02102500000001</v>
      </c>
      <c r="CP199">
        <v>-2.3619624765473248</v>
      </c>
      <c r="CQ199">
        <v>0.23285333232530819</v>
      </c>
      <c r="CR199">
        <v>-1</v>
      </c>
      <c r="CS199">
        <v>25.740385</v>
      </c>
      <c r="CT199">
        <v>8.3997748592829533E-2</v>
      </c>
      <c r="CU199">
        <v>8.131468194612643E-3</v>
      </c>
      <c r="CV199">
        <v>-1</v>
      </c>
      <c r="CW199">
        <v>0</v>
      </c>
      <c r="CX199">
        <v>0</v>
      </c>
      <c r="CY199" t="s">
        <v>333</v>
      </c>
      <c r="CZ199">
        <v>2.3649900000000001</v>
      </c>
      <c r="DA199">
        <v>2.7138100000000001</v>
      </c>
      <c r="DB199">
        <v>8.6009699999999994E-2</v>
      </c>
      <c r="DC199">
        <v>0.145316</v>
      </c>
      <c r="DD199">
        <v>0.119682</v>
      </c>
      <c r="DE199">
        <v>1.4440900000000001E-3</v>
      </c>
      <c r="DF199">
        <v>33401.699999999997</v>
      </c>
      <c r="DG199">
        <v>27581.8</v>
      </c>
      <c r="DH199">
        <v>31197.200000000001</v>
      </c>
      <c r="DI199">
        <v>28119.5</v>
      </c>
      <c r="DJ199">
        <v>37279.699999999997</v>
      </c>
      <c r="DK199">
        <v>39938.199999999997</v>
      </c>
      <c r="DL199">
        <v>44401.3</v>
      </c>
      <c r="DM199">
        <v>42622.3</v>
      </c>
      <c r="DN199">
        <v>1.47668</v>
      </c>
      <c r="DO199">
        <v>2.0315699999999999</v>
      </c>
      <c r="DP199">
        <v>0.14355000000000001</v>
      </c>
      <c r="DQ199">
        <v>0.14618800000000001</v>
      </c>
      <c r="DR199">
        <v>24.630600000000001</v>
      </c>
      <c r="DS199">
        <v>24.5871</v>
      </c>
      <c r="DT199">
        <v>22.5</v>
      </c>
      <c r="DU199">
        <v>29.2</v>
      </c>
      <c r="DV199">
        <v>9.29115</v>
      </c>
      <c r="DW199">
        <v>61.052300000000002</v>
      </c>
      <c r="DX199">
        <v>37.6723</v>
      </c>
      <c r="DY199">
        <v>1</v>
      </c>
      <c r="DZ199">
        <v>-0.119743</v>
      </c>
      <c r="EA199">
        <v>7.8101900000000002E-2</v>
      </c>
      <c r="EB199">
        <v>20.190300000000001</v>
      </c>
      <c r="EC199">
        <v>5.2411000000000003</v>
      </c>
      <c r="ED199">
        <v>12.039899999999999</v>
      </c>
      <c r="EE199">
        <v>5.0166500000000003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1.8692</v>
      </c>
      <c r="EN199">
        <v>1.8672200000000001</v>
      </c>
      <c r="EO199">
        <v>1.8633500000000001</v>
      </c>
      <c r="EP199">
        <v>1.8644700000000001</v>
      </c>
      <c r="EQ199">
        <v>1.8701300000000001</v>
      </c>
      <c r="ER199">
        <v>1.8693599999999999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0.437</v>
      </c>
      <c r="FG199">
        <v>0.19839999999999999</v>
      </c>
      <c r="FH199">
        <v>0.69281559908863044</v>
      </c>
      <c r="FI199">
        <v>-6.1462078757559423E-4</v>
      </c>
      <c r="FJ199">
        <v>-1.8861989874597051E-7</v>
      </c>
      <c r="FK199">
        <v>1.1980462299894961E-10</v>
      </c>
      <c r="FL199">
        <v>0.19840465858211129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41.1</v>
      </c>
      <c r="FU199">
        <v>41.1</v>
      </c>
      <c r="FV199">
        <v>1.7639199999999999</v>
      </c>
      <c r="FW199">
        <v>2.5830099999999998</v>
      </c>
      <c r="FX199">
        <v>1.5490699999999999</v>
      </c>
      <c r="FY199">
        <v>2.33521</v>
      </c>
      <c r="FZ199">
        <v>1.50146</v>
      </c>
      <c r="GA199">
        <v>2.2973599999999998</v>
      </c>
      <c r="GB199">
        <v>33.602899999999998</v>
      </c>
      <c r="GC199">
        <v>23.982399999999998</v>
      </c>
      <c r="GD199">
        <v>19</v>
      </c>
      <c r="GE199">
        <v>281.67200000000003</v>
      </c>
      <c r="GF199">
        <v>575.55999999999995</v>
      </c>
      <c r="GG199">
        <v>24.043299999999999</v>
      </c>
      <c r="GH199">
        <v>25.901399999999999</v>
      </c>
      <c r="GI199">
        <v>29.999700000000001</v>
      </c>
      <c r="GJ199">
        <v>26.0322</v>
      </c>
      <c r="GK199">
        <v>26.013300000000001</v>
      </c>
      <c r="GL199">
        <v>35.264699999999998</v>
      </c>
      <c r="GM199">
        <v>100</v>
      </c>
      <c r="GN199">
        <v>5.2754500000000002</v>
      </c>
      <c r="GO199">
        <v>24.0715</v>
      </c>
      <c r="GP199">
        <v>800</v>
      </c>
      <c r="GQ199">
        <v>0</v>
      </c>
      <c r="GR199">
        <v>99.824100000000001</v>
      </c>
      <c r="GS199">
        <v>99.705699999999993</v>
      </c>
    </row>
    <row r="200" spans="1:201" x14ac:dyDescent="0.25">
      <c r="A200">
        <v>184</v>
      </c>
      <c r="B200">
        <v>1690390116</v>
      </c>
      <c r="C200">
        <v>1857.5</v>
      </c>
      <c r="D200" t="s">
        <v>701</v>
      </c>
      <c r="E200" t="s">
        <v>702</v>
      </c>
      <c r="F200" t="s">
        <v>330</v>
      </c>
      <c r="H200">
        <v>1690390116</v>
      </c>
      <c r="I200">
        <f t="shared" si="60"/>
        <v>2.4966790289230162E-3</v>
      </c>
      <c r="J200">
        <f t="shared" si="61"/>
        <v>2.4966790289230163</v>
      </c>
      <c r="K200">
        <f t="shared" si="62"/>
        <v>38.452613714971626</v>
      </c>
      <c r="L200">
        <f t="shared" si="63"/>
        <v>382.32600000000002</v>
      </c>
      <c r="M200">
        <f t="shared" si="64"/>
        <v>107.89663444459092</v>
      </c>
      <c r="N200">
        <f t="shared" si="65"/>
        <v>10.643122918270382</v>
      </c>
      <c r="O200">
        <f t="shared" si="66"/>
        <v>37.713341419748403</v>
      </c>
      <c r="P200">
        <f t="shared" si="67"/>
        <v>0.23973042954391635</v>
      </c>
      <c r="Q200">
        <f t="shared" si="68"/>
        <v>2.1605154689834909</v>
      </c>
      <c r="R200">
        <f t="shared" si="69"/>
        <v>0.22587212750343527</v>
      </c>
      <c r="S200">
        <f t="shared" si="70"/>
        <v>0.14234838870603603</v>
      </c>
      <c r="T200">
        <f t="shared" si="71"/>
        <v>276.11649817199998</v>
      </c>
      <c r="U200">
        <f t="shared" si="72"/>
        <v>27.170658861299039</v>
      </c>
      <c r="V200">
        <f t="shared" si="73"/>
        <v>27.170658861299039</v>
      </c>
      <c r="W200">
        <f t="shared" si="74"/>
        <v>3.6151917179773849</v>
      </c>
      <c r="X200">
        <f t="shared" si="75"/>
        <v>76.408273118358125</v>
      </c>
      <c r="Y200">
        <f t="shared" si="76"/>
        <v>2.5589765656671397</v>
      </c>
      <c r="Z200">
        <f t="shared" si="77"/>
        <v>3.3490831047879168</v>
      </c>
      <c r="AA200">
        <f t="shared" si="78"/>
        <v>1.0562151523102452</v>
      </c>
      <c r="AB200">
        <f t="shared" si="79"/>
        <v>-110.10354517550502</v>
      </c>
      <c r="AC200">
        <f t="shared" si="80"/>
        <v>-151.09009362341178</v>
      </c>
      <c r="AD200">
        <f t="shared" si="81"/>
        <v>-15.020292179712717</v>
      </c>
      <c r="AE200">
        <f t="shared" si="82"/>
        <v>-9.7432806629541346E-2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52472.092228651316</v>
      </c>
      <c r="AK200">
        <f t="shared" si="86"/>
        <v>1800</v>
      </c>
      <c r="AL200">
        <f t="shared" si="87"/>
        <v>1499.1111521999999</v>
      </c>
      <c r="AM200">
        <f t="shared" si="88"/>
        <v>0.83283952899999991</v>
      </c>
      <c r="AN200">
        <f t="shared" si="89"/>
        <v>0.15339805454</v>
      </c>
      <c r="AO200">
        <v>31.8</v>
      </c>
      <c r="AP200">
        <v>0.5</v>
      </c>
      <c r="AQ200" t="s">
        <v>331</v>
      </c>
      <c r="AR200">
        <v>2</v>
      </c>
      <c r="AS200">
        <v>1690390116</v>
      </c>
      <c r="AT200">
        <v>382.32600000000002</v>
      </c>
      <c r="AU200">
        <v>799.91800000000001</v>
      </c>
      <c r="AV200">
        <v>25.9421</v>
      </c>
      <c r="AW200">
        <v>0.17150000000000001</v>
      </c>
      <c r="AX200">
        <v>381.88799999999998</v>
      </c>
      <c r="AY200">
        <v>25.7437</v>
      </c>
      <c r="AZ200">
        <v>300.089</v>
      </c>
      <c r="BA200">
        <v>98.542000000000002</v>
      </c>
      <c r="BB200">
        <v>9.9843399999999999E-2</v>
      </c>
      <c r="BC200">
        <v>25.8735</v>
      </c>
      <c r="BD200">
        <v>26.9695</v>
      </c>
      <c r="BE200">
        <v>27.014299999999999</v>
      </c>
      <c r="BF200">
        <v>0</v>
      </c>
      <c r="BG200">
        <v>0</v>
      </c>
      <c r="BH200">
        <v>10033.799999999999</v>
      </c>
      <c r="BI200">
        <v>1068.1300000000001</v>
      </c>
      <c r="BJ200">
        <v>1.3455900000000001</v>
      </c>
      <c r="BK200">
        <v>-417.59300000000002</v>
      </c>
      <c r="BL200">
        <v>392.50799999999998</v>
      </c>
      <c r="BM200">
        <v>800.05600000000004</v>
      </c>
      <c r="BN200">
        <v>25.770600000000002</v>
      </c>
      <c r="BO200">
        <v>799.91800000000001</v>
      </c>
      <c r="BP200">
        <v>0.17150000000000001</v>
      </c>
      <c r="BQ200">
        <v>2.5563799999999999</v>
      </c>
      <c r="BR200">
        <v>1.6899999999999998E-2</v>
      </c>
      <c r="BS200">
        <v>21.39</v>
      </c>
      <c r="BT200">
        <v>-41.034700000000001</v>
      </c>
      <c r="BU200">
        <v>1800</v>
      </c>
      <c r="BV200">
        <v>0.90998299999999999</v>
      </c>
      <c r="BW200">
        <v>3.4002400000000002E-2</v>
      </c>
      <c r="BX200">
        <v>2.2006700000000001E-2</v>
      </c>
      <c r="BY200">
        <v>3.4008400000000001E-2</v>
      </c>
      <c r="BZ200">
        <v>25</v>
      </c>
      <c r="CA200">
        <v>33528.300000000003</v>
      </c>
      <c r="CB200">
        <v>1690387638</v>
      </c>
      <c r="CC200" t="s">
        <v>332</v>
      </c>
      <c r="CD200">
        <v>1690387638</v>
      </c>
      <c r="CE200">
        <v>1690387638</v>
      </c>
      <c r="CF200">
        <v>6</v>
      </c>
      <c r="CG200">
        <v>0.43</v>
      </c>
      <c r="CH200">
        <v>-8.1000000000000003E-2</v>
      </c>
      <c r="CI200">
        <v>0.14199999999999999</v>
      </c>
      <c r="CJ200">
        <v>-2.7E-2</v>
      </c>
      <c r="CK200">
        <v>800</v>
      </c>
      <c r="CL200">
        <v>0</v>
      </c>
      <c r="CM200">
        <v>0.01</v>
      </c>
      <c r="CN200">
        <v>0.01</v>
      </c>
      <c r="CO200">
        <v>-417.36292500000002</v>
      </c>
      <c r="CP200">
        <v>-2.0877861163221989</v>
      </c>
      <c r="CQ200">
        <v>0.21244227304140709</v>
      </c>
      <c r="CR200">
        <v>-1</v>
      </c>
      <c r="CS200">
        <v>25.752984999999999</v>
      </c>
      <c r="CT200">
        <v>8.5920450281378666E-2</v>
      </c>
      <c r="CU200">
        <v>8.3051655612635406E-3</v>
      </c>
      <c r="CV200">
        <v>-1</v>
      </c>
      <c r="CW200">
        <v>0</v>
      </c>
      <c r="CX200">
        <v>0</v>
      </c>
      <c r="CY200" t="s">
        <v>333</v>
      </c>
      <c r="CZ200">
        <v>2.3647499999999999</v>
      </c>
      <c r="DA200">
        <v>2.71366</v>
      </c>
      <c r="DB200">
        <v>8.5959900000000006E-2</v>
      </c>
      <c r="DC200">
        <v>0.14529600000000001</v>
      </c>
      <c r="DD200">
        <v>0.119727</v>
      </c>
      <c r="DE200">
        <v>1.43647E-3</v>
      </c>
      <c r="DF200">
        <v>33404.1</v>
      </c>
      <c r="DG200">
        <v>27582.400000000001</v>
      </c>
      <c r="DH200">
        <v>31197.8</v>
      </c>
      <c r="DI200">
        <v>28119.5</v>
      </c>
      <c r="DJ200">
        <v>37278.400000000001</v>
      </c>
      <c r="DK200">
        <v>39938.400000000001</v>
      </c>
      <c r="DL200">
        <v>44402.1</v>
      </c>
      <c r="DM200">
        <v>42622.2</v>
      </c>
      <c r="DN200">
        <v>1.4761</v>
      </c>
      <c r="DO200">
        <v>2.0315699999999999</v>
      </c>
      <c r="DP200">
        <v>0.14261199999999999</v>
      </c>
      <c r="DQ200">
        <v>0.148095</v>
      </c>
      <c r="DR200">
        <v>24.6327</v>
      </c>
      <c r="DS200">
        <v>24.587599999999998</v>
      </c>
      <c r="DT200">
        <v>22.4</v>
      </c>
      <c r="DU200">
        <v>29.2</v>
      </c>
      <c r="DV200">
        <v>9.2478800000000003</v>
      </c>
      <c r="DW200">
        <v>60.712299999999999</v>
      </c>
      <c r="DX200">
        <v>37.167499999999997</v>
      </c>
      <c r="DY200">
        <v>1</v>
      </c>
      <c r="DZ200">
        <v>-0.120188</v>
      </c>
      <c r="EA200">
        <v>2.0822400000000001E-2</v>
      </c>
      <c r="EB200">
        <v>20.190100000000001</v>
      </c>
      <c r="EC200">
        <v>5.2413999999999996</v>
      </c>
      <c r="ED200">
        <v>12.039899999999999</v>
      </c>
      <c r="EE200">
        <v>5.01675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1.8692</v>
      </c>
      <c r="EN200">
        <v>1.8672200000000001</v>
      </c>
      <c r="EO200">
        <v>1.8633500000000001</v>
      </c>
      <c r="EP200">
        <v>1.8644700000000001</v>
      </c>
      <c r="EQ200">
        <v>1.8701300000000001</v>
      </c>
      <c r="ER200">
        <v>1.8693599999999999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0.438</v>
      </c>
      <c r="FG200">
        <v>0.19839999999999999</v>
      </c>
      <c r="FH200">
        <v>0.69281559908863044</v>
      </c>
      <c r="FI200">
        <v>-6.1462078757559423E-4</v>
      </c>
      <c r="FJ200">
        <v>-1.8861989874597051E-7</v>
      </c>
      <c r="FK200">
        <v>1.1980462299894961E-10</v>
      </c>
      <c r="FL200">
        <v>0.19840465858211129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41.3</v>
      </c>
      <c r="FU200">
        <v>41.3</v>
      </c>
      <c r="FV200">
        <v>1.7639199999999999</v>
      </c>
      <c r="FW200">
        <v>2.5854499999999998</v>
      </c>
      <c r="FX200">
        <v>1.5490699999999999</v>
      </c>
      <c r="FY200">
        <v>2.33521</v>
      </c>
      <c r="FZ200">
        <v>1.50146</v>
      </c>
      <c r="GA200">
        <v>2.2912599999999999</v>
      </c>
      <c r="GB200">
        <v>33.602899999999998</v>
      </c>
      <c r="GC200">
        <v>23.982399999999998</v>
      </c>
      <c r="GD200">
        <v>19</v>
      </c>
      <c r="GE200">
        <v>281.42700000000002</v>
      </c>
      <c r="GF200">
        <v>575.54200000000003</v>
      </c>
      <c r="GG200">
        <v>24.088699999999999</v>
      </c>
      <c r="GH200">
        <v>25.901399999999999</v>
      </c>
      <c r="GI200">
        <v>29.9998</v>
      </c>
      <c r="GJ200">
        <v>26.031700000000001</v>
      </c>
      <c r="GK200">
        <v>26.011700000000001</v>
      </c>
      <c r="GL200">
        <v>35.267000000000003</v>
      </c>
      <c r="GM200">
        <v>100</v>
      </c>
      <c r="GN200">
        <v>4.8948600000000004</v>
      </c>
      <c r="GO200">
        <v>24.110700000000001</v>
      </c>
      <c r="GP200">
        <v>800</v>
      </c>
      <c r="GQ200">
        <v>0</v>
      </c>
      <c r="GR200">
        <v>99.825800000000001</v>
      </c>
      <c r="GS200">
        <v>99.705600000000004</v>
      </c>
    </row>
    <row r="201" spans="1:201" x14ac:dyDescent="0.25">
      <c r="A201">
        <v>185</v>
      </c>
      <c r="B201">
        <v>1690390126</v>
      </c>
      <c r="C201">
        <v>1867.5</v>
      </c>
      <c r="D201" t="s">
        <v>703</v>
      </c>
      <c r="E201" t="s">
        <v>704</v>
      </c>
      <c r="F201" t="s">
        <v>330</v>
      </c>
      <c r="H201">
        <v>1690390126</v>
      </c>
      <c r="I201">
        <f t="shared" si="60"/>
        <v>2.4990004341891186E-3</v>
      </c>
      <c r="J201">
        <f t="shared" si="61"/>
        <v>2.4990004341891185</v>
      </c>
      <c r="K201">
        <f t="shared" si="62"/>
        <v>38.480755490564796</v>
      </c>
      <c r="L201">
        <f t="shared" si="63"/>
        <v>382.06400000000002</v>
      </c>
      <c r="M201">
        <f t="shared" si="64"/>
        <v>107.76230393372515</v>
      </c>
      <c r="N201">
        <f t="shared" si="65"/>
        <v>10.63030706529271</v>
      </c>
      <c r="O201">
        <f t="shared" si="66"/>
        <v>37.689038655779207</v>
      </c>
      <c r="P201">
        <f t="shared" si="67"/>
        <v>0.24004822142427926</v>
      </c>
      <c r="Q201">
        <f t="shared" si="68"/>
        <v>2.157420554070022</v>
      </c>
      <c r="R201">
        <f t="shared" si="69"/>
        <v>0.22613560453559869</v>
      </c>
      <c r="S201">
        <f t="shared" si="70"/>
        <v>0.14251750581310033</v>
      </c>
      <c r="T201">
        <f t="shared" si="71"/>
        <v>276.11646919200001</v>
      </c>
      <c r="U201">
        <f t="shared" si="72"/>
        <v>27.181039883318881</v>
      </c>
      <c r="V201">
        <f t="shared" si="73"/>
        <v>27.181039883318881</v>
      </c>
      <c r="W201">
        <f t="shared" si="74"/>
        <v>3.6173936919111158</v>
      </c>
      <c r="X201">
        <f t="shared" si="75"/>
        <v>76.437890419000183</v>
      </c>
      <c r="Y201">
        <f t="shared" si="76"/>
        <v>2.5614092691914601</v>
      </c>
      <c r="Z201">
        <f t="shared" si="77"/>
        <v>3.3509680279647935</v>
      </c>
      <c r="AA201">
        <f t="shared" si="78"/>
        <v>1.0559844227196558</v>
      </c>
      <c r="AB201">
        <f t="shared" si="79"/>
        <v>-110.20591914774013</v>
      </c>
      <c r="AC201">
        <f t="shared" si="80"/>
        <v>-150.97613113350354</v>
      </c>
      <c r="AD201">
        <f t="shared" si="81"/>
        <v>-15.031990498967344</v>
      </c>
      <c r="AE201">
        <f t="shared" si="82"/>
        <v>-9.7571588210996651E-2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52340.64588380311</v>
      </c>
      <c r="AK201">
        <f t="shared" si="86"/>
        <v>1800</v>
      </c>
      <c r="AL201">
        <f t="shared" si="87"/>
        <v>1499.1110261999997</v>
      </c>
      <c r="AM201">
        <f t="shared" si="88"/>
        <v>0.83283945899999989</v>
      </c>
      <c r="AN201">
        <f t="shared" si="89"/>
        <v>0.15339803844</v>
      </c>
      <c r="AO201">
        <v>31.8</v>
      </c>
      <c r="AP201">
        <v>0.5</v>
      </c>
      <c r="AQ201" t="s">
        <v>331</v>
      </c>
      <c r="AR201">
        <v>2</v>
      </c>
      <c r="AS201">
        <v>1690390126</v>
      </c>
      <c r="AT201">
        <v>382.06400000000002</v>
      </c>
      <c r="AU201">
        <v>799.97199999999998</v>
      </c>
      <c r="AV201">
        <v>25.965699999999998</v>
      </c>
      <c r="AW201">
        <v>0.170818</v>
      </c>
      <c r="AX201">
        <v>381.62700000000001</v>
      </c>
      <c r="AY201">
        <v>25.767199999999999</v>
      </c>
      <c r="AZ201">
        <v>300.07799999999997</v>
      </c>
      <c r="BA201">
        <v>98.545900000000003</v>
      </c>
      <c r="BB201">
        <v>9.9977800000000006E-2</v>
      </c>
      <c r="BC201">
        <v>25.882999999999999</v>
      </c>
      <c r="BD201">
        <v>26.977</v>
      </c>
      <c r="BE201">
        <v>27.007100000000001</v>
      </c>
      <c r="BF201">
        <v>0</v>
      </c>
      <c r="BG201">
        <v>0</v>
      </c>
      <c r="BH201">
        <v>10007.5</v>
      </c>
      <c r="BI201">
        <v>1068.1600000000001</v>
      </c>
      <c r="BJ201">
        <v>1.38764</v>
      </c>
      <c r="BK201">
        <v>-417.90699999999998</v>
      </c>
      <c r="BL201">
        <v>392.24900000000002</v>
      </c>
      <c r="BM201">
        <v>800.10799999999995</v>
      </c>
      <c r="BN201">
        <v>25.794799999999999</v>
      </c>
      <c r="BO201">
        <v>799.97199999999998</v>
      </c>
      <c r="BP201">
        <v>0.170818</v>
      </c>
      <c r="BQ201">
        <v>2.5588099999999998</v>
      </c>
      <c r="BR201">
        <v>1.6833399999999998E-2</v>
      </c>
      <c r="BS201">
        <v>21.4055</v>
      </c>
      <c r="BT201">
        <v>-41.072099999999999</v>
      </c>
      <c r="BU201">
        <v>1800</v>
      </c>
      <c r="BV201">
        <v>0.90998299999999999</v>
      </c>
      <c r="BW201">
        <v>3.4002299999999999E-2</v>
      </c>
      <c r="BX201">
        <v>2.2006700000000001E-2</v>
      </c>
      <c r="BY201">
        <v>3.4008400000000001E-2</v>
      </c>
      <c r="BZ201">
        <v>25</v>
      </c>
      <c r="CA201">
        <v>33528.199999999997</v>
      </c>
      <c r="CB201">
        <v>1690387638</v>
      </c>
      <c r="CC201" t="s">
        <v>332</v>
      </c>
      <c r="CD201">
        <v>1690387638</v>
      </c>
      <c r="CE201">
        <v>1690387638</v>
      </c>
      <c r="CF201">
        <v>6</v>
      </c>
      <c r="CG201">
        <v>0.43</v>
      </c>
      <c r="CH201">
        <v>-8.1000000000000003E-2</v>
      </c>
      <c r="CI201">
        <v>0.14199999999999999</v>
      </c>
      <c r="CJ201">
        <v>-2.7E-2</v>
      </c>
      <c r="CK201">
        <v>800</v>
      </c>
      <c r="CL201">
        <v>0</v>
      </c>
      <c r="CM201">
        <v>0.01</v>
      </c>
      <c r="CN201">
        <v>0.01</v>
      </c>
      <c r="CO201">
        <v>-417.67180487804882</v>
      </c>
      <c r="CP201">
        <v>-1.4039163763070639</v>
      </c>
      <c r="CQ201">
        <v>0.15022994075135321</v>
      </c>
      <c r="CR201">
        <v>-1</v>
      </c>
      <c r="CS201">
        <v>25.771241463414629</v>
      </c>
      <c r="CT201">
        <v>0.1239344947735507</v>
      </c>
      <c r="CU201">
        <v>1.240501424208071E-2</v>
      </c>
      <c r="CV201">
        <v>-1</v>
      </c>
      <c r="CW201">
        <v>0</v>
      </c>
      <c r="CX201">
        <v>0</v>
      </c>
      <c r="CY201" t="s">
        <v>333</v>
      </c>
      <c r="CZ201">
        <v>2.3647399999999998</v>
      </c>
      <c r="DA201">
        <v>2.7137699999999998</v>
      </c>
      <c r="DB201">
        <v>8.5917999999999994E-2</v>
      </c>
      <c r="DC201">
        <v>0.14530799999999999</v>
      </c>
      <c r="DD201">
        <v>0.119808</v>
      </c>
      <c r="DE201">
        <v>1.43088E-3</v>
      </c>
      <c r="DF201">
        <v>33405.4</v>
      </c>
      <c r="DG201">
        <v>27582.400000000001</v>
      </c>
      <c r="DH201">
        <v>31197.5</v>
      </c>
      <c r="DI201">
        <v>28119.9</v>
      </c>
      <c r="DJ201">
        <v>37274.5</v>
      </c>
      <c r="DK201">
        <v>39939.300000000003</v>
      </c>
      <c r="DL201">
        <v>44401.599999999999</v>
      </c>
      <c r="DM201">
        <v>42622.9</v>
      </c>
      <c r="DN201">
        <v>1.47637</v>
      </c>
      <c r="DO201">
        <v>2.0315699999999999</v>
      </c>
      <c r="DP201">
        <v>0.14294699999999999</v>
      </c>
      <c r="DQ201">
        <v>0.147559</v>
      </c>
      <c r="DR201">
        <v>24.634699999999999</v>
      </c>
      <c r="DS201">
        <v>24.589099999999998</v>
      </c>
      <c r="DT201">
        <v>22.2</v>
      </c>
      <c r="DU201">
        <v>29.2</v>
      </c>
      <c r="DV201">
        <v>9.1645500000000002</v>
      </c>
      <c r="DW201">
        <v>61.332299999999996</v>
      </c>
      <c r="DX201">
        <v>37.1875</v>
      </c>
      <c r="DY201">
        <v>1</v>
      </c>
      <c r="DZ201">
        <v>-0.120356</v>
      </c>
      <c r="EA201">
        <v>2.50844E-2</v>
      </c>
      <c r="EB201">
        <v>20.1905</v>
      </c>
      <c r="EC201">
        <v>5.2413999999999996</v>
      </c>
      <c r="ED201">
        <v>12.039899999999999</v>
      </c>
      <c r="EE201">
        <v>5.0172499999999998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1.8692</v>
      </c>
      <c r="EN201">
        <v>1.8672200000000001</v>
      </c>
      <c r="EO201">
        <v>1.86337</v>
      </c>
      <c r="EP201">
        <v>1.8644499999999999</v>
      </c>
      <c r="EQ201">
        <v>1.8701399999999999</v>
      </c>
      <c r="ER201">
        <v>1.8693500000000001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0.437</v>
      </c>
      <c r="FG201">
        <v>0.19850000000000001</v>
      </c>
      <c r="FH201">
        <v>0.69281559908863044</v>
      </c>
      <c r="FI201">
        <v>-6.1462078757559423E-4</v>
      </c>
      <c r="FJ201">
        <v>-1.8861989874597051E-7</v>
      </c>
      <c r="FK201">
        <v>1.1980462299894961E-10</v>
      </c>
      <c r="FL201">
        <v>0.19840465858211129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41.5</v>
      </c>
      <c r="FU201">
        <v>41.5</v>
      </c>
      <c r="FV201">
        <v>1.7639199999999999</v>
      </c>
      <c r="FW201">
        <v>2.5866699999999998</v>
      </c>
      <c r="FX201">
        <v>1.5490699999999999</v>
      </c>
      <c r="FY201">
        <v>2.33521</v>
      </c>
      <c r="FZ201">
        <v>1.50146</v>
      </c>
      <c r="GA201">
        <v>2.3156699999999999</v>
      </c>
      <c r="GB201">
        <v>33.602899999999998</v>
      </c>
      <c r="GC201">
        <v>23.982399999999998</v>
      </c>
      <c r="GD201">
        <v>19</v>
      </c>
      <c r="GE201">
        <v>281.54300000000001</v>
      </c>
      <c r="GF201">
        <v>575.53599999999994</v>
      </c>
      <c r="GG201">
        <v>24.134599999999999</v>
      </c>
      <c r="GH201">
        <v>25.901399999999999</v>
      </c>
      <c r="GI201">
        <v>29.9998</v>
      </c>
      <c r="GJ201">
        <v>26.031700000000001</v>
      </c>
      <c r="GK201">
        <v>26.011099999999999</v>
      </c>
      <c r="GL201">
        <v>35.265999999999998</v>
      </c>
      <c r="GM201">
        <v>100</v>
      </c>
      <c r="GN201">
        <v>4.5165699999999998</v>
      </c>
      <c r="GO201">
        <v>24.1389</v>
      </c>
      <c r="GP201">
        <v>800</v>
      </c>
      <c r="GQ201">
        <v>0</v>
      </c>
      <c r="GR201">
        <v>99.824799999999996</v>
      </c>
      <c r="GS201">
        <v>99.707099999999997</v>
      </c>
    </row>
    <row r="202" spans="1:201" x14ac:dyDescent="0.25">
      <c r="A202">
        <v>186</v>
      </c>
      <c r="B202">
        <v>1690390136</v>
      </c>
      <c r="C202">
        <v>1877.5</v>
      </c>
      <c r="D202" t="s">
        <v>705</v>
      </c>
      <c r="E202" t="s">
        <v>706</v>
      </c>
      <c r="F202" t="s">
        <v>330</v>
      </c>
      <c r="H202">
        <v>1690390136</v>
      </c>
      <c r="I202">
        <f t="shared" si="60"/>
        <v>2.5029467365352371E-3</v>
      </c>
      <c r="J202">
        <f t="shared" si="61"/>
        <v>2.5029467365352369</v>
      </c>
      <c r="K202">
        <f t="shared" si="62"/>
        <v>38.540836636588544</v>
      </c>
      <c r="L202">
        <f t="shared" si="63"/>
        <v>381.60599999999999</v>
      </c>
      <c r="M202">
        <f t="shared" si="64"/>
        <v>107.92128980253857</v>
      </c>
      <c r="N202">
        <f t="shared" si="65"/>
        <v>10.645864119554796</v>
      </c>
      <c r="O202">
        <f t="shared" si="66"/>
        <v>37.643412441048</v>
      </c>
      <c r="P202">
        <f t="shared" si="67"/>
        <v>0.24099834637149481</v>
      </c>
      <c r="Q202">
        <f t="shared" si="68"/>
        <v>2.1595693347722946</v>
      </c>
      <c r="R202">
        <f t="shared" si="69"/>
        <v>0.22699190880138936</v>
      </c>
      <c r="S202">
        <f t="shared" si="70"/>
        <v>0.14306048362938403</v>
      </c>
      <c r="T202">
        <f t="shared" si="71"/>
        <v>276.11462122136004</v>
      </c>
      <c r="U202">
        <f t="shared" si="72"/>
        <v>27.184482673901353</v>
      </c>
      <c r="V202">
        <f t="shared" si="73"/>
        <v>27.184482673901353</v>
      </c>
      <c r="W202">
        <f t="shared" si="74"/>
        <v>3.6181242190296814</v>
      </c>
      <c r="X202">
        <f t="shared" si="75"/>
        <v>76.50281744377601</v>
      </c>
      <c r="Y202">
        <f t="shared" si="76"/>
        <v>2.5644960672884003</v>
      </c>
      <c r="Z202">
        <f t="shared" si="77"/>
        <v>3.352158983129109</v>
      </c>
      <c r="AA202">
        <f t="shared" si="78"/>
        <v>1.0536281517412811</v>
      </c>
      <c r="AB202">
        <f t="shared" si="79"/>
        <v>-110.37995108120396</v>
      </c>
      <c r="AC202">
        <f t="shared" si="80"/>
        <v>-150.82877518970056</v>
      </c>
      <c r="AD202">
        <f t="shared" si="81"/>
        <v>-15.003085817109518</v>
      </c>
      <c r="AE202">
        <f t="shared" si="82"/>
        <v>-9.7190866654017327E-2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52429.71018029371</v>
      </c>
      <c r="AK202">
        <f t="shared" si="86"/>
        <v>1799.99</v>
      </c>
      <c r="AL202">
        <f t="shared" si="87"/>
        <v>1499.1020156092</v>
      </c>
      <c r="AM202">
        <f t="shared" si="88"/>
        <v>0.83283907999999995</v>
      </c>
      <c r="AN202">
        <f t="shared" si="89"/>
        <v>0.15339786400000002</v>
      </c>
      <c r="AO202">
        <v>31.8</v>
      </c>
      <c r="AP202">
        <v>0.5</v>
      </c>
      <c r="AQ202" t="s">
        <v>331</v>
      </c>
      <c r="AR202">
        <v>2</v>
      </c>
      <c r="AS202">
        <v>1690390136</v>
      </c>
      <c r="AT202">
        <v>381.60599999999999</v>
      </c>
      <c r="AU202">
        <v>800.03599999999994</v>
      </c>
      <c r="AV202">
        <v>25.997299999999999</v>
      </c>
      <c r="AW202">
        <v>0.16983799999999999</v>
      </c>
      <c r="AX202">
        <v>381.16800000000001</v>
      </c>
      <c r="AY202">
        <v>25.7989</v>
      </c>
      <c r="AZ202">
        <v>300.16300000000001</v>
      </c>
      <c r="BA202">
        <v>98.544700000000006</v>
      </c>
      <c r="BB202">
        <v>0.100008</v>
      </c>
      <c r="BC202">
        <v>25.888999999999999</v>
      </c>
      <c r="BD202">
        <v>26.991399999999999</v>
      </c>
      <c r="BE202">
        <v>27.021000000000001</v>
      </c>
      <c r="BF202">
        <v>0</v>
      </c>
      <c r="BG202">
        <v>0</v>
      </c>
      <c r="BH202">
        <v>10025.6</v>
      </c>
      <c r="BI202">
        <v>1068.1099999999999</v>
      </c>
      <c r="BJ202">
        <v>1.38764</v>
      </c>
      <c r="BK202">
        <v>-418.43</v>
      </c>
      <c r="BL202">
        <v>391.791</v>
      </c>
      <c r="BM202">
        <v>800.17200000000003</v>
      </c>
      <c r="BN202">
        <v>25.827500000000001</v>
      </c>
      <c r="BO202">
        <v>800.03599999999994</v>
      </c>
      <c r="BP202">
        <v>0.16983799999999999</v>
      </c>
      <c r="BQ202">
        <v>2.5619000000000001</v>
      </c>
      <c r="BR202">
        <v>1.67367E-2</v>
      </c>
      <c r="BS202">
        <v>21.4252</v>
      </c>
      <c r="BT202">
        <v>-41.1267</v>
      </c>
      <c r="BU202">
        <v>1799.99</v>
      </c>
      <c r="BV202">
        <v>0.90998500000000004</v>
      </c>
      <c r="BW202">
        <v>3.4001299999999998E-2</v>
      </c>
      <c r="BX202">
        <v>2.2006000000000001E-2</v>
      </c>
      <c r="BY202">
        <v>3.40074E-2</v>
      </c>
      <c r="BZ202">
        <v>25</v>
      </c>
      <c r="CA202">
        <v>33528.1</v>
      </c>
      <c r="CB202">
        <v>1690387638</v>
      </c>
      <c r="CC202" t="s">
        <v>332</v>
      </c>
      <c r="CD202">
        <v>1690387638</v>
      </c>
      <c r="CE202">
        <v>1690387638</v>
      </c>
      <c r="CF202">
        <v>6</v>
      </c>
      <c r="CG202">
        <v>0.43</v>
      </c>
      <c r="CH202">
        <v>-8.1000000000000003E-2</v>
      </c>
      <c r="CI202">
        <v>0.14199999999999999</v>
      </c>
      <c r="CJ202">
        <v>-2.7E-2</v>
      </c>
      <c r="CK202">
        <v>800</v>
      </c>
      <c r="CL202">
        <v>0</v>
      </c>
      <c r="CM202">
        <v>0.01</v>
      </c>
      <c r="CN202">
        <v>0.01</v>
      </c>
      <c r="CO202">
        <v>-417.99536585365848</v>
      </c>
      <c r="CP202">
        <v>-2.5760696864118349</v>
      </c>
      <c r="CQ202">
        <v>0.26301180128373658</v>
      </c>
      <c r="CR202">
        <v>-1</v>
      </c>
      <c r="CS202">
        <v>25.795807317073169</v>
      </c>
      <c r="CT202">
        <v>0.17300278745645981</v>
      </c>
      <c r="CU202">
        <v>1.7197140860547449E-2</v>
      </c>
      <c r="CV202">
        <v>-1</v>
      </c>
      <c r="CW202">
        <v>0</v>
      </c>
      <c r="CX202">
        <v>0</v>
      </c>
      <c r="CY202" t="s">
        <v>333</v>
      </c>
      <c r="CZ202">
        <v>2.3649900000000001</v>
      </c>
      <c r="DA202">
        <v>2.7138200000000001</v>
      </c>
      <c r="DB202">
        <v>8.5837300000000005E-2</v>
      </c>
      <c r="DC202">
        <v>0.145314</v>
      </c>
      <c r="DD202">
        <v>0.119908</v>
      </c>
      <c r="DE202">
        <v>1.42274E-3</v>
      </c>
      <c r="DF202">
        <v>33408.400000000001</v>
      </c>
      <c r="DG202">
        <v>27582.6</v>
      </c>
      <c r="DH202">
        <v>31197.599999999999</v>
      </c>
      <c r="DI202">
        <v>28120.3</v>
      </c>
      <c r="DJ202">
        <v>37270.400000000001</v>
      </c>
      <c r="DK202">
        <v>39939.9</v>
      </c>
      <c r="DL202">
        <v>44401.8</v>
      </c>
      <c r="DM202">
        <v>42623.3</v>
      </c>
      <c r="DN202">
        <v>1.47672</v>
      </c>
      <c r="DO202">
        <v>2.03125</v>
      </c>
      <c r="DP202">
        <v>0.14363200000000001</v>
      </c>
      <c r="DQ202">
        <v>0.148281</v>
      </c>
      <c r="DR202">
        <v>24.637799999999999</v>
      </c>
      <c r="DS202">
        <v>24.591200000000001</v>
      </c>
      <c r="DT202">
        <v>22.2</v>
      </c>
      <c r="DU202">
        <v>29.2</v>
      </c>
      <c r="DV202">
        <v>9.1650799999999997</v>
      </c>
      <c r="DW202">
        <v>60.662300000000002</v>
      </c>
      <c r="DX202">
        <v>37.9848</v>
      </c>
      <c r="DY202">
        <v>1</v>
      </c>
      <c r="DZ202">
        <v>-0.12013500000000001</v>
      </c>
      <c r="EA202">
        <v>2.8221699999999999E-2</v>
      </c>
      <c r="EB202">
        <v>20.190300000000001</v>
      </c>
      <c r="EC202">
        <v>5.2418500000000003</v>
      </c>
      <c r="ED202">
        <v>12.039899999999999</v>
      </c>
      <c r="EE202">
        <v>5.0166500000000003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1.8672200000000001</v>
      </c>
      <c r="EO202">
        <v>1.8633599999999999</v>
      </c>
      <c r="EP202">
        <v>1.86446</v>
      </c>
      <c r="EQ202">
        <v>1.8701399999999999</v>
      </c>
      <c r="ER202">
        <v>1.8693599999999999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0.438</v>
      </c>
      <c r="FG202">
        <v>0.19839999999999999</v>
      </c>
      <c r="FH202">
        <v>0.69281559908863044</v>
      </c>
      <c r="FI202">
        <v>-6.1462078757559423E-4</v>
      </c>
      <c r="FJ202">
        <v>-1.8861989874597051E-7</v>
      </c>
      <c r="FK202">
        <v>1.1980462299894961E-10</v>
      </c>
      <c r="FL202">
        <v>0.19840465858211129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41.6</v>
      </c>
      <c r="FU202">
        <v>41.6</v>
      </c>
      <c r="FV202">
        <v>1.7639199999999999</v>
      </c>
      <c r="FW202">
        <v>2.5830099999999998</v>
      </c>
      <c r="FX202">
        <v>1.5490699999999999</v>
      </c>
      <c r="FY202">
        <v>2.33521</v>
      </c>
      <c r="FZ202">
        <v>1.50146</v>
      </c>
      <c r="GA202">
        <v>2.33887</v>
      </c>
      <c r="GB202">
        <v>33.602899999999998</v>
      </c>
      <c r="GC202">
        <v>23.991199999999999</v>
      </c>
      <c r="GD202">
        <v>19</v>
      </c>
      <c r="GE202">
        <v>281.69200000000001</v>
      </c>
      <c r="GF202">
        <v>575.27099999999996</v>
      </c>
      <c r="GG202">
        <v>24.157900000000001</v>
      </c>
      <c r="GH202">
        <v>25.8996</v>
      </c>
      <c r="GI202">
        <v>30.0002</v>
      </c>
      <c r="GJ202">
        <v>26.031700000000001</v>
      </c>
      <c r="GK202">
        <v>26.011099999999999</v>
      </c>
      <c r="GL202">
        <v>35.264000000000003</v>
      </c>
      <c r="GM202">
        <v>100</v>
      </c>
      <c r="GN202">
        <v>4.1344000000000003</v>
      </c>
      <c r="GO202">
        <v>24.163399999999999</v>
      </c>
      <c r="GP202">
        <v>800</v>
      </c>
      <c r="GQ202">
        <v>0</v>
      </c>
      <c r="GR202">
        <v>99.825199999999995</v>
      </c>
      <c r="GS202">
        <v>99.708200000000005</v>
      </c>
    </row>
    <row r="203" spans="1:201" x14ac:dyDescent="0.25">
      <c r="A203">
        <v>187</v>
      </c>
      <c r="B203">
        <v>1690390146</v>
      </c>
      <c r="C203">
        <v>1887.5</v>
      </c>
      <c r="D203" t="s">
        <v>707</v>
      </c>
      <c r="E203" t="s">
        <v>708</v>
      </c>
      <c r="F203" t="s">
        <v>330</v>
      </c>
      <c r="H203">
        <v>1690390146</v>
      </c>
      <c r="I203">
        <f t="shared" si="60"/>
        <v>2.505039927314958E-3</v>
      </c>
      <c r="J203">
        <f t="shared" si="61"/>
        <v>2.5050399273149582</v>
      </c>
      <c r="K203">
        <f t="shared" si="62"/>
        <v>38.55162854673582</v>
      </c>
      <c r="L203">
        <f t="shared" si="63"/>
        <v>381.45400000000001</v>
      </c>
      <c r="M203">
        <f t="shared" si="64"/>
        <v>108.18363173509752</v>
      </c>
      <c r="N203">
        <f t="shared" si="65"/>
        <v>10.671957345121776</v>
      </c>
      <c r="O203">
        <f t="shared" si="66"/>
        <v>37.629175059441003</v>
      </c>
      <c r="P203">
        <f t="shared" si="67"/>
        <v>0.24146109382050282</v>
      </c>
      <c r="Q203">
        <f t="shared" si="68"/>
        <v>2.1589246776846447</v>
      </c>
      <c r="R203">
        <f t="shared" si="69"/>
        <v>0.2273985646905444</v>
      </c>
      <c r="S203">
        <f t="shared" si="70"/>
        <v>0.14331926913303811</v>
      </c>
      <c r="T203">
        <f t="shared" si="71"/>
        <v>276.11627198400004</v>
      </c>
      <c r="U203">
        <f t="shared" si="72"/>
        <v>27.18921990360451</v>
      </c>
      <c r="V203">
        <f t="shared" si="73"/>
        <v>27.18921990360451</v>
      </c>
      <c r="W203">
        <f t="shared" si="74"/>
        <v>3.619129624197222</v>
      </c>
      <c r="X203">
        <f t="shared" si="75"/>
        <v>76.539502135276564</v>
      </c>
      <c r="Y203">
        <f t="shared" si="76"/>
        <v>2.5665008374246501</v>
      </c>
      <c r="Z203">
        <f t="shared" si="77"/>
        <v>3.3531715856847288</v>
      </c>
      <c r="AA203">
        <f t="shared" si="78"/>
        <v>1.0526287867725719</v>
      </c>
      <c r="AB203">
        <f t="shared" si="79"/>
        <v>-110.47226079458964</v>
      </c>
      <c r="AC203">
        <f t="shared" si="80"/>
        <v>-150.74152746822608</v>
      </c>
      <c r="AD203">
        <f t="shared" si="81"/>
        <v>-14.999623394915744</v>
      </c>
      <c r="AE203">
        <f t="shared" si="82"/>
        <v>-9.7139673731419407E-2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52401.806596441653</v>
      </c>
      <c r="AK203">
        <f t="shared" si="86"/>
        <v>1800</v>
      </c>
      <c r="AL203">
        <f t="shared" si="87"/>
        <v>1499.1111773999999</v>
      </c>
      <c r="AM203">
        <f t="shared" si="88"/>
        <v>0.83283954299999996</v>
      </c>
      <c r="AN203">
        <f t="shared" si="89"/>
        <v>0.15339792888000001</v>
      </c>
      <c r="AO203">
        <v>31.8</v>
      </c>
      <c r="AP203">
        <v>0.5</v>
      </c>
      <c r="AQ203" t="s">
        <v>331</v>
      </c>
      <c r="AR203">
        <v>2</v>
      </c>
      <c r="AS203">
        <v>1690390146</v>
      </c>
      <c r="AT203">
        <v>381.45400000000001</v>
      </c>
      <c r="AU203">
        <v>799.99300000000005</v>
      </c>
      <c r="AV203">
        <v>26.017099999999999</v>
      </c>
      <c r="AW203">
        <v>0.16916700000000001</v>
      </c>
      <c r="AX203">
        <v>381.01600000000002</v>
      </c>
      <c r="AY203">
        <v>25.8187</v>
      </c>
      <c r="AZ203">
        <v>300.17</v>
      </c>
      <c r="BA203">
        <v>98.546700000000001</v>
      </c>
      <c r="BB203">
        <v>9.9991499999999997E-2</v>
      </c>
      <c r="BC203">
        <v>25.894100000000002</v>
      </c>
      <c r="BD203">
        <v>26.9937</v>
      </c>
      <c r="BE203">
        <v>27.0215</v>
      </c>
      <c r="BF203">
        <v>0</v>
      </c>
      <c r="BG203">
        <v>0</v>
      </c>
      <c r="BH203">
        <v>10020</v>
      </c>
      <c r="BI203">
        <v>1068.23</v>
      </c>
      <c r="BJ203">
        <v>1.38764</v>
      </c>
      <c r="BK203">
        <v>-418.53899999999999</v>
      </c>
      <c r="BL203">
        <v>391.64400000000001</v>
      </c>
      <c r="BM203">
        <v>800.12800000000004</v>
      </c>
      <c r="BN203">
        <v>25.847999999999999</v>
      </c>
      <c r="BO203">
        <v>799.99300000000005</v>
      </c>
      <c r="BP203">
        <v>0.16916700000000001</v>
      </c>
      <c r="BQ203">
        <v>2.5638999999999998</v>
      </c>
      <c r="BR203">
        <v>1.66708E-2</v>
      </c>
      <c r="BS203">
        <v>21.437999999999999</v>
      </c>
      <c r="BT203">
        <v>-41.164099999999998</v>
      </c>
      <c r="BU203">
        <v>1800</v>
      </c>
      <c r="BV203">
        <v>0.90998599999999996</v>
      </c>
      <c r="BW203">
        <v>3.4001099999999999E-2</v>
      </c>
      <c r="BX203">
        <v>2.2005899999999998E-2</v>
      </c>
      <c r="BY203">
        <v>3.4007200000000001E-2</v>
      </c>
      <c r="BZ203">
        <v>25</v>
      </c>
      <c r="CA203">
        <v>33528.300000000003</v>
      </c>
      <c r="CB203">
        <v>1690387638</v>
      </c>
      <c r="CC203" t="s">
        <v>332</v>
      </c>
      <c r="CD203">
        <v>1690387638</v>
      </c>
      <c r="CE203">
        <v>1690387638</v>
      </c>
      <c r="CF203">
        <v>6</v>
      </c>
      <c r="CG203">
        <v>0.43</v>
      </c>
      <c r="CH203">
        <v>-8.1000000000000003E-2</v>
      </c>
      <c r="CI203">
        <v>0.14199999999999999</v>
      </c>
      <c r="CJ203">
        <v>-2.7E-2</v>
      </c>
      <c r="CK203">
        <v>800</v>
      </c>
      <c r="CL203">
        <v>0</v>
      </c>
      <c r="CM203">
        <v>0.01</v>
      </c>
      <c r="CN203">
        <v>0.01</v>
      </c>
      <c r="CO203">
        <v>-418.36753658536583</v>
      </c>
      <c r="CP203">
        <v>-2.1017770034854109</v>
      </c>
      <c r="CQ203">
        <v>0.22689775257794861</v>
      </c>
      <c r="CR203">
        <v>-1</v>
      </c>
      <c r="CS203">
        <v>25.82312682926829</v>
      </c>
      <c r="CT203">
        <v>0.166277351916368</v>
      </c>
      <c r="CU203">
        <v>1.6579564623873801E-2</v>
      </c>
      <c r="CV203">
        <v>-1</v>
      </c>
      <c r="CW203">
        <v>0</v>
      </c>
      <c r="CX203">
        <v>0</v>
      </c>
      <c r="CY203" t="s">
        <v>333</v>
      </c>
      <c r="CZ203">
        <v>2.3650199999999999</v>
      </c>
      <c r="DA203">
        <v>2.7138</v>
      </c>
      <c r="DB203">
        <v>8.5812799999999995E-2</v>
      </c>
      <c r="DC203">
        <v>0.145312</v>
      </c>
      <c r="DD203">
        <v>0.119975</v>
      </c>
      <c r="DE203">
        <v>1.4172E-3</v>
      </c>
      <c r="DF203">
        <v>33409.199999999997</v>
      </c>
      <c r="DG203">
        <v>27582.799999999999</v>
      </c>
      <c r="DH203">
        <v>31197.599999999999</v>
      </c>
      <c r="DI203">
        <v>28120.400000000001</v>
      </c>
      <c r="DJ203">
        <v>37267.4</v>
      </c>
      <c r="DK203">
        <v>39940.300000000003</v>
      </c>
      <c r="DL203">
        <v>44401.7</v>
      </c>
      <c r="DM203">
        <v>42623.4</v>
      </c>
      <c r="DN203">
        <v>1.47685</v>
      </c>
      <c r="DO203">
        <v>2.0314199999999998</v>
      </c>
      <c r="DP203">
        <v>0.14371400000000001</v>
      </c>
      <c r="DQ203">
        <v>0.148281</v>
      </c>
      <c r="DR203">
        <v>24.6389</v>
      </c>
      <c r="DS203">
        <v>24.591799999999999</v>
      </c>
      <c r="DT203">
        <v>22.1</v>
      </c>
      <c r="DU203">
        <v>29.2</v>
      </c>
      <c r="DV203">
        <v>9.1229200000000006</v>
      </c>
      <c r="DW203">
        <v>60.862299999999998</v>
      </c>
      <c r="DX203">
        <v>36.967100000000002</v>
      </c>
      <c r="DY203">
        <v>1</v>
      </c>
      <c r="DZ203">
        <v>-0.119782</v>
      </c>
      <c r="EA203">
        <v>0.212478</v>
      </c>
      <c r="EB203">
        <v>20.190000000000001</v>
      </c>
      <c r="EC203">
        <v>5.2413999999999996</v>
      </c>
      <c r="ED203">
        <v>12.039899999999999</v>
      </c>
      <c r="EE203">
        <v>5.0164999999999997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1.8692</v>
      </c>
      <c r="EN203">
        <v>1.8672299999999999</v>
      </c>
      <c r="EO203">
        <v>1.8633599999999999</v>
      </c>
      <c r="EP203">
        <v>1.8644799999999999</v>
      </c>
      <c r="EQ203">
        <v>1.87015</v>
      </c>
      <c r="ER203">
        <v>1.86937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0.438</v>
      </c>
      <c r="FG203">
        <v>0.19839999999999999</v>
      </c>
      <c r="FH203">
        <v>0.69281559908863044</v>
      </c>
      <c r="FI203">
        <v>-6.1462078757559423E-4</v>
      </c>
      <c r="FJ203">
        <v>-1.8861989874597051E-7</v>
      </c>
      <c r="FK203">
        <v>1.1980462299894961E-10</v>
      </c>
      <c r="FL203">
        <v>0.19840465858211129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41.8</v>
      </c>
      <c r="FU203">
        <v>41.8</v>
      </c>
      <c r="FV203">
        <v>1.7639199999999999</v>
      </c>
      <c r="FW203">
        <v>2.5817899999999998</v>
      </c>
      <c r="FX203">
        <v>1.5490699999999999</v>
      </c>
      <c r="FY203">
        <v>2.33521</v>
      </c>
      <c r="FZ203">
        <v>1.50146</v>
      </c>
      <c r="GA203">
        <v>2.31934</v>
      </c>
      <c r="GB203">
        <v>33.602899999999998</v>
      </c>
      <c r="GC203">
        <v>23.982399999999998</v>
      </c>
      <c r="GD203">
        <v>19</v>
      </c>
      <c r="GE203">
        <v>281.745</v>
      </c>
      <c r="GF203">
        <v>575.41399999999999</v>
      </c>
      <c r="GG203">
        <v>24.167100000000001</v>
      </c>
      <c r="GH203">
        <v>25.8992</v>
      </c>
      <c r="GI203">
        <v>30.000299999999999</v>
      </c>
      <c r="GJ203">
        <v>26.031700000000001</v>
      </c>
      <c r="GK203">
        <v>26.011099999999999</v>
      </c>
      <c r="GL203">
        <v>35.2624</v>
      </c>
      <c r="GM203">
        <v>100</v>
      </c>
      <c r="GN203">
        <v>3.3867600000000002</v>
      </c>
      <c r="GO203">
        <v>24.110099999999999</v>
      </c>
      <c r="GP203">
        <v>800</v>
      </c>
      <c r="GQ203">
        <v>0</v>
      </c>
      <c r="GR203">
        <v>99.825000000000003</v>
      </c>
      <c r="GS203">
        <v>99.708500000000001</v>
      </c>
    </row>
    <row r="204" spans="1:201" x14ac:dyDescent="0.25">
      <c r="A204">
        <v>188</v>
      </c>
      <c r="B204">
        <v>1690390156</v>
      </c>
      <c r="C204">
        <v>1897.5</v>
      </c>
      <c r="D204" t="s">
        <v>709</v>
      </c>
      <c r="E204" t="s">
        <v>710</v>
      </c>
      <c r="F204" t="s">
        <v>330</v>
      </c>
      <c r="H204">
        <v>1690390156</v>
      </c>
      <c r="I204">
        <f t="shared" si="60"/>
        <v>2.5057350819339139E-3</v>
      </c>
      <c r="J204">
        <f t="shared" si="61"/>
        <v>2.5057350819339139</v>
      </c>
      <c r="K204">
        <f t="shared" si="62"/>
        <v>38.60345737022282</v>
      </c>
      <c r="L204">
        <f t="shared" si="63"/>
        <v>380.95</v>
      </c>
      <c r="M204">
        <f t="shared" si="64"/>
        <v>107.40252677258691</v>
      </c>
      <c r="N204">
        <f t="shared" si="65"/>
        <v>10.59462827627091</v>
      </c>
      <c r="O204">
        <f t="shared" si="66"/>
        <v>37.57847941875</v>
      </c>
      <c r="P204">
        <f t="shared" si="67"/>
        <v>0.2415557191220247</v>
      </c>
      <c r="Q204">
        <f t="shared" si="68"/>
        <v>2.1546302831373678</v>
      </c>
      <c r="R204">
        <f t="shared" si="69"/>
        <v>0.22745621863904467</v>
      </c>
      <c r="S204">
        <f t="shared" si="70"/>
        <v>0.1433582914763897</v>
      </c>
      <c r="T204">
        <f t="shared" si="71"/>
        <v>276.11472839276462</v>
      </c>
      <c r="U204">
        <f t="shared" si="72"/>
        <v>27.190916806078544</v>
      </c>
      <c r="V204">
        <f t="shared" si="73"/>
        <v>27.190916806078544</v>
      </c>
      <c r="W204">
        <f t="shared" si="74"/>
        <v>3.619489825329842</v>
      </c>
      <c r="X204">
        <f t="shared" si="75"/>
        <v>76.552268148204789</v>
      </c>
      <c r="Y204">
        <f t="shared" si="76"/>
        <v>2.5668680986875003</v>
      </c>
      <c r="Z204">
        <f t="shared" si="77"/>
        <v>3.3530921562220173</v>
      </c>
      <c r="AA204">
        <f t="shared" si="78"/>
        <v>1.0526217266423417</v>
      </c>
      <c r="AB204">
        <f t="shared" si="79"/>
        <v>-110.5029171132856</v>
      </c>
      <c r="AC204">
        <f t="shared" si="80"/>
        <v>-150.68525917521754</v>
      </c>
      <c r="AD204">
        <f t="shared" si="81"/>
        <v>-15.024006781407035</v>
      </c>
      <c r="AE204">
        <f t="shared" si="82"/>
        <v>-9.745467714554934E-2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52221.826600278691</v>
      </c>
      <c r="AK204">
        <f t="shared" si="86"/>
        <v>1799.99</v>
      </c>
      <c r="AL204">
        <f t="shared" si="87"/>
        <v>1499.1031298030098</v>
      </c>
      <c r="AM204">
        <f t="shared" si="88"/>
        <v>0.83283969899999988</v>
      </c>
      <c r="AN204">
        <f t="shared" si="89"/>
        <v>0.15339792354000001</v>
      </c>
      <c r="AO204">
        <v>31.8</v>
      </c>
      <c r="AP204">
        <v>0.5</v>
      </c>
      <c r="AQ204" t="s">
        <v>331</v>
      </c>
      <c r="AR204">
        <v>2</v>
      </c>
      <c r="AS204">
        <v>1690390156</v>
      </c>
      <c r="AT204">
        <v>380.95</v>
      </c>
      <c r="AU204">
        <v>799.99400000000003</v>
      </c>
      <c r="AV204">
        <v>26.0215</v>
      </c>
      <c r="AW204">
        <v>0.16857800000000001</v>
      </c>
      <c r="AX204">
        <v>380.512</v>
      </c>
      <c r="AY204">
        <v>25.8231</v>
      </c>
      <c r="AZ204">
        <v>300.19400000000002</v>
      </c>
      <c r="BA204">
        <v>98.5441</v>
      </c>
      <c r="BB204">
        <v>0.100025</v>
      </c>
      <c r="BC204">
        <v>25.893699999999999</v>
      </c>
      <c r="BD204">
        <v>27.013100000000001</v>
      </c>
      <c r="BE204">
        <v>27.028600000000001</v>
      </c>
      <c r="BF204">
        <v>0</v>
      </c>
      <c r="BG204">
        <v>0</v>
      </c>
      <c r="BH204">
        <v>9984.3799999999992</v>
      </c>
      <c r="BI204">
        <v>1068.17</v>
      </c>
      <c r="BJ204">
        <v>1.3455900000000001</v>
      </c>
      <c r="BK204">
        <v>-419.04399999999998</v>
      </c>
      <c r="BL204">
        <v>391.12799999999999</v>
      </c>
      <c r="BM204">
        <v>800.12900000000002</v>
      </c>
      <c r="BN204">
        <v>25.853000000000002</v>
      </c>
      <c r="BO204">
        <v>799.99400000000003</v>
      </c>
      <c r="BP204">
        <v>0.16857800000000001</v>
      </c>
      <c r="BQ204">
        <v>2.56427</v>
      </c>
      <c r="BR204">
        <v>1.6612399999999999E-2</v>
      </c>
      <c r="BS204">
        <v>21.440300000000001</v>
      </c>
      <c r="BT204">
        <v>-41.197299999999998</v>
      </c>
      <c r="BU204">
        <v>1799.99</v>
      </c>
      <c r="BV204">
        <v>0.90998699999999999</v>
      </c>
      <c r="BW204">
        <v>3.4000799999999998E-2</v>
      </c>
      <c r="BX204">
        <v>2.20057E-2</v>
      </c>
      <c r="BY204">
        <v>3.4006799999999997E-2</v>
      </c>
      <c r="BZ204">
        <v>25</v>
      </c>
      <c r="CA204">
        <v>33528.199999999997</v>
      </c>
      <c r="CB204">
        <v>1690387638</v>
      </c>
      <c r="CC204" t="s">
        <v>332</v>
      </c>
      <c r="CD204">
        <v>1690387638</v>
      </c>
      <c r="CE204">
        <v>1690387638</v>
      </c>
      <c r="CF204">
        <v>6</v>
      </c>
      <c r="CG204">
        <v>0.43</v>
      </c>
      <c r="CH204">
        <v>-8.1000000000000003E-2</v>
      </c>
      <c r="CI204">
        <v>0.14199999999999999</v>
      </c>
      <c r="CJ204">
        <v>-2.7E-2</v>
      </c>
      <c r="CK204">
        <v>800</v>
      </c>
      <c r="CL204">
        <v>0</v>
      </c>
      <c r="CM204">
        <v>0.01</v>
      </c>
      <c r="CN204">
        <v>0.01</v>
      </c>
      <c r="CO204">
        <v>-418.66849999999988</v>
      </c>
      <c r="CP204">
        <v>-1.660457786114327</v>
      </c>
      <c r="CQ204">
        <v>0.17930713873128701</v>
      </c>
      <c r="CR204">
        <v>-1</v>
      </c>
      <c r="CS204">
        <v>25.844082499999999</v>
      </c>
      <c r="CT204">
        <v>9.540450281422018E-2</v>
      </c>
      <c r="CU204">
        <v>9.4373960259170157E-3</v>
      </c>
      <c r="CV204">
        <v>-1</v>
      </c>
      <c r="CW204">
        <v>0</v>
      </c>
      <c r="CX204">
        <v>0</v>
      </c>
      <c r="CY204" t="s">
        <v>333</v>
      </c>
      <c r="CZ204">
        <v>2.36511</v>
      </c>
      <c r="DA204">
        <v>2.7138</v>
      </c>
      <c r="DB204">
        <v>8.5723099999999997E-2</v>
      </c>
      <c r="DC204">
        <v>0.14530799999999999</v>
      </c>
      <c r="DD204">
        <v>0.119986</v>
      </c>
      <c r="DE204">
        <v>1.4122900000000001E-3</v>
      </c>
      <c r="DF204">
        <v>33412.6</v>
      </c>
      <c r="DG204">
        <v>27583.1</v>
      </c>
      <c r="DH204">
        <v>31197.599999999999</v>
      </c>
      <c r="DI204">
        <v>28120.6</v>
      </c>
      <c r="DJ204">
        <v>37267.1</v>
      </c>
      <c r="DK204">
        <v>39940.699999999997</v>
      </c>
      <c r="DL204">
        <v>44401.9</v>
      </c>
      <c r="DM204">
        <v>42623.6</v>
      </c>
      <c r="DN204">
        <v>1.47665</v>
      </c>
      <c r="DO204">
        <v>2.0314000000000001</v>
      </c>
      <c r="DP204">
        <v>0.144899</v>
      </c>
      <c r="DQ204">
        <v>0.14862400000000001</v>
      </c>
      <c r="DR204">
        <v>24.6389</v>
      </c>
      <c r="DS204">
        <v>24.593299999999999</v>
      </c>
      <c r="DT204">
        <v>22</v>
      </c>
      <c r="DU204">
        <v>29.3</v>
      </c>
      <c r="DV204">
        <v>9.1355400000000007</v>
      </c>
      <c r="DW204">
        <v>61.272300000000001</v>
      </c>
      <c r="DX204">
        <v>37.1554</v>
      </c>
      <c r="DY204">
        <v>1</v>
      </c>
      <c r="DZ204">
        <v>-0.119533</v>
      </c>
      <c r="EA204">
        <v>0.14877699999999999</v>
      </c>
      <c r="EB204">
        <v>20.190000000000001</v>
      </c>
      <c r="EC204">
        <v>5.24125</v>
      </c>
      <c r="ED204">
        <v>12.039899999999999</v>
      </c>
      <c r="EE204">
        <v>5.0170500000000002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1.86921</v>
      </c>
      <c r="EN204">
        <v>1.8672200000000001</v>
      </c>
      <c r="EO204">
        <v>1.86338</v>
      </c>
      <c r="EP204">
        <v>1.86446</v>
      </c>
      <c r="EQ204">
        <v>1.87019</v>
      </c>
      <c r="ER204">
        <v>1.86937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0.438</v>
      </c>
      <c r="FG204">
        <v>0.19839999999999999</v>
      </c>
      <c r="FH204">
        <v>0.69281559908863044</v>
      </c>
      <c r="FI204">
        <v>-6.1462078757559423E-4</v>
      </c>
      <c r="FJ204">
        <v>-1.8861989874597051E-7</v>
      </c>
      <c r="FK204">
        <v>1.1980462299894961E-10</v>
      </c>
      <c r="FL204">
        <v>0.19840465858211129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42</v>
      </c>
      <c r="FU204">
        <v>42</v>
      </c>
      <c r="FV204">
        <v>1.7639199999999999</v>
      </c>
      <c r="FW204">
        <v>2.5903299999999998</v>
      </c>
      <c r="FX204">
        <v>1.5490699999999999</v>
      </c>
      <c r="FY204">
        <v>2.33521</v>
      </c>
      <c r="FZ204">
        <v>1.50146</v>
      </c>
      <c r="GA204">
        <v>2.31812</v>
      </c>
      <c r="GB204">
        <v>33.602899999999998</v>
      </c>
      <c r="GC204">
        <v>23.982399999999998</v>
      </c>
      <c r="GD204">
        <v>19</v>
      </c>
      <c r="GE204">
        <v>281.65199999999999</v>
      </c>
      <c r="GF204">
        <v>575.39300000000003</v>
      </c>
      <c r="GG204">
        <v>24.116499999999998</v>
      </c>
      <c r="GH204">
        <v>25.8992</v>
      </c>
      <c r="GI204">
        <v>30</v>
      </c>
      <c r="GJ204">
        <v>26.03</v>
      </c>
      <c r="GK204">
        <v>26.011099999999999</v>
      </c>
      <c r="GL204">
        <v>35.261899999999997</v>
      </c>
      <c r="GM204">
        <v>100</v>
      </c>
      <c r="GN204">
        <v>3.0046300000000001</v>
      </c>
      <c r="GO204">
        <v>24.119199999999999</v>
      </c>
      <c r="GP204">
        <v>800</v>
      </c>
      <c r="GQ204">
        <v>0</v>
      </c>
      <c r="GR204">
        <v>99.825299999999999</v>
      </c>
      <c r="GS204">
        <v>99.709100000000007</v>
      </c>
    </row>
    <row r="205" spans="1:201" x14ac:dyDescent="0.25">
      <c r="A205">
        <v>189</v>
      </c>
      <c r="B205">
        <v>1690390166</v>
      </c>
      <c r="C205">
        <v>1907.5</v>
      </c>
      <c r="D205" t="s">
        <v>711</v>
      </c>
      <c r="E205" t="s">
        <v>712</v>
      </c>
      <c r="F205" t="s">
        <v>330</v>
      </c>
      <c r="H205">
        <v>1690390166</v>
      </c>
      <c r="I205">
        <f t="shared" si="60"/>
        <v>2.5059481339416195E-3</v>
      </c>
      <c r="J205">
        <f t="shared" si="61"/>
        <v>2.5059481339416196</v>
      </c>
      <c r="K205">
        <f t="shared" si="62"/>
        <v>38.627797329123318</v>
      </c>
      <c r="L205">
        <f t="shared" si="63"/>
        <v>380.57299999999998</v>
      </c>
      <c r="M205">
        <f t="shared" si="64"/>
        <v>107.27293767141232</v>
      </c>
      <c r="N205">
        <f t="shared" si="65"/>
        <v>10.582185020715487</v>
      </c>
      <c r="O205">
        <f t="shared" si="66"/>
        <v>37.542496619462</v>
      </c>
      <c r="P205">
        <f t="shared" si="67"/>
        <v>0.24193686884137031</v>
      </c>
      <c r="Q205">
        <f t="shared" si="68"/>
        <v>2.1551916329976235</v>
      </c>
      <c r="R205">
        <f t="shared" si="69"/>
        <v>0.22779768876443193</v>
      </c>
      <c r="S205">
        <f t="shared" si="70"/>
        <v>0.14357499703211074</v>
      </c>
      <c r="T205">
        <f t="shared" si="71"/>
        <v>276.11615408400002</v>
      </c>
      <c r="U205">
        <f t="shared" si="72"/>
        <v>27.188948837614326</v>
      </c>
      <c r="V205">
        <f t="shared" si="73"/>
        <v>27.188948837614326</v>
      </c>
      <c r="W205">
        <f t="shared" si="74"/>
        <v>3.6190720879745446</v>
      </c>
      <c r="X205">
        <f t="shared" si="75"/>
        <v>76.590521497580582</v>
      </c>
      <c r="Y205">
        <f t="shared" si="76"/>
        <v>2.5679074395727999</v>
      </c>
      <c r="Z205">
        <f t="shared" si="77"/>
        <v>3.3527744548049818</v>
      </c>
      <c r="AA205">
        <f t="shared" si="78"/>
        <v>1.0511646484017447</v>
      </c>
      <c r="AB205">
        <f t="shared" si="79"/>
        <v>-110.51231270682543</v>
      </c>
      <c r="AC205">
        <f t="shared" si="80"/>
        <v>-150.68176297757108</v>
      </c>
      <c r="AD205">
        <f t="shared" si="81"/>
        <v>-15.019476675468118</v>
      </c>
      <c r="AE205">
        <f t="shared" si="82"/>
        <v>-9.7398275864605921E-2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52245.679391879617</v>
      </c>
      <c r="AK205">
        <f t="shared" si="86"/>
        <v>1800</v>
      </c>
      <c r="AL205">
        <f t="shared" si="87"/>
        <v>1499.1113303999998</v>
      </c>
      <c r="AM205">
        <f t="shared" si="88"/>
        <v>0.83283962799999989</v>
      </c>
      <c r="AN205">
        <f t="shared" si="89"/>
        <v>0.15339786338</v>
      </c>
      <c r="AO205">
        <v>31.8</v>
      </c>
      <c r="AP205">
        <v>0.5</v>
      </c>
      <c r="AQ205" t="s">
        <v>331</v>
      </c>
      <c r="AR205">
        <v>2</v>
      </c>
      <c r="AS205">
        <v>1690390166</v>
      </c>
      <c r="AT205">
        <v>380.57299999999998</v>
      </c>
      <c r="AU205">
        <v>800.01099999999997</v>
      </c>
      <c r="AV205">
        <v>26.031199999999998</v>
      </c>
      <c r="AW205">
        <v>0.167377</v>
      </c>
      <c r="AX205">
        <v>380.13499999999999</v>
      </c>
      <c r="AY205">
        <v>25.832799999999999</v>
      </c>
      <c r="AZ205">
        <v>300.08999999999997</v>
      </c>
      <c r="BA205">
        <v>98.547200000000004</v>
      </c>
      <c r="BB205">
        <v>0.100094</v>
      </c>
      <c r="BC205">
        <v>25.892099999999999</v>
      </c>
      <c r="BD205">
        <v>26.990500000000001</v>
      </c>
      <c r="BE205">
        <v>27.018899999999999</v>
      </c>
      <c r="BF205">
        <v>0</v>
      </c>
      <c r="BG205">
        <v>0</v>
      </c>
      <c r="BH205">
        <v>9988.75</v>
      </c>
      <c r="BI205">
        <v>1068.1500000000001</v>
      </c>
      <c r="BJ205">
        <v>1.3736200000000001</v>
      </c>
      <c r="BK205">
        <v>-419.43799999999999</v>
      </c>
      <c r="BL205">
        <v>390.745</v>
      </c>
      <c r="BM205">
        <v>800.14499999999998</v>
      </c>
      <c r="BN205">
        <v>25.863800000000001</v>
      </c>
      <c r="BO205">
        <v>800.01099999999997</v>
      </c>
      <c r="BP205">
        <v>0.167377</v>
      </c>
      <c r="BQ205">
        <v>2.5653000000000001</v>
      </c>
      <c r="BR205">
        <v>1.6494499999999999E-2</v>
      </c>
      <c r="BS205">
        <v>21.4468</v>
      </c>
      <c r="BT205">
        <v>-41.264600000000002</v>
      </c>
      <c r="BU205">
        <v>1800</v>
      </c>
      <c r="BV205">
        <v>0.90998800000000002</v>
      </c>
      <c r="BW205">
        <v>3.4000299999999997E-2</v>
      </c>
      <c r="BX205">
        <v>2.2005400000000001E-2</v>
      </c>
      <c r="BY205">
        <v>3.4006399999999999E-2</v>
      </c>
      <c r="BZ205">
        <v>25</v>
      </c>
      <c r="CA205">
        <v>33528.199999999997</v>
      </c>
      <c r="CB205">
        <v>1690387638</v>
      </c>
      <c r="CC205" t="s">
        <v>332</v>
      </c>
      <c r="CD205">
        <v>1690387638</v>
      </c>
      <c r="CE205">
        <v>1690387638</v>
      </c>
      <c r="CF205">
        <v>6</v>
      </c>
      <c r="CG205">
        <v>0.43</v>
      </c>
      <c r="CH205">
        <v>-8.1000000000000003E-2</v>
      </c>
      <c r="CI205">
        <v>0.14199999999999999</v>
      </c>
      <c r="CJ205">
        <v>-2.7E-2</v>
      </c>
      <c r="CK205">
        <v>800</v>
      </c>
      <c r="CL205">
        <v>0</v>
      </c>
      <c r="CM205">
        <v>0.01</v>
      </c>
      <c r="CN205">
        <v>0.01</v>
      </c>
      <c r="CO205">
        <v>-419.002275</v>
      </c>
      <c r="CP205">
        <v>-1.9139774859283201</v>
      </c>
      <c r="CQ205">
        <v>0.19819056328443241</v>
      </c>
      <c r="CR205">
        <v>-1</v>
      </c>
      <c r="CS205">
        <v>25.855374999999999</v>
      </c>
      <c r="CT205">
        <v>3.7418386491523757E-2</v>
      </c>
      <c r="CU205">
        <v>3.8927336153402321E-3</v>
      </c>
      <c r="CV205">
        <v>-1</v>
      </c>
      <c r="CW205">
        <v>0</v>
      </c>
      <c r="CX205">
        <v>0</v>
      </c>
      <c r="CY205" t="s">
        <v>333</v>
      </c>
      <c r="CZ205">
        <v>2.36476</v>
      </c>
      <c r="DA205">
        <v>2.71387</v>
      </c>
      <c r="DB205">
        <v>8.5660100000000003E-2</v>
      </c>
      <c r="DC205">
        <v>0.145315</v>
      </c>
      <c r="DD205">
        <v>0.120021</v>
      </c>
      <c r="DE205">
        <v>1.40237E-3</v>
      </c>
      <c r="DF205">
        <v>33415.199999999997</v>
      </c>
      <c r="DG205">
        <v>27582.9</v>
      </c>
      <c r="DH205">
        <v>31197.9</v>
      </c>
      <c r="DI205">
        <v>28120.6</v>
      </c>
      <c r="DJ205">
        <v>37265.9</v>
      </c>
      <c r="DK205">
        <v>39941.1</v>
      </c>
      <c r="DL205">
        <v>44402.3</v>
      </c>
      <c r="DM205">
        <v>42623.6</v>
      </c>
      <c r="DN205">
        <v>1.4765999999999999</v>
      </c>
      <c r="DO205">
        <v>2.0315300000000001</v>
      </c>
      <c r="DP205">
        <v>0.14352100000000001</v>
      </c>
      <c r="DQ205">
        <v>0.14802799999999999</v>
      </c>
      <c r="DR205">
        <v>24.6389</v>
      </c>
      <c r="DS205">
        <v>24.593299999999999</v>
      </c>
      <c r="DT205">
        <v>21.9</v>
      </c>
      <c r="DU205">
        <v>29.3</v>
      </c>
      <c r="DV205">
        <v>9.0947600000000008</v>
      </c>
      <c r="DW205">
        <v>61.412300000000002</v>
      </c>
      <c r="DX205">
        <v>37.988799999999998</v>
      </c>
      <c r="DY205">
        <v>1</v>
      </c>
      <c r="DZ205">
        <v>-0.119454</v>
      </c>
      <c r="EA205">
        <v>0.140599</v>
      </c>
      <c r="EB205">
        <v>20.190100000000001</v>
      </c>
      <c r="EC205">
        <v>5.2416999999999998</v>
      </c>
      <c r="ED205">
        <v>12.039899999999999</v>
      </c>
      <c r="EE205">
        <v>5.0168499999999998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1.8692</v>
      </c>
      <c r="EN205">
        <v>1.8672200000000001</v>
      </c>
      <c r="EO205">
        <v>1.86338</v>
      </c>
      <c r="EP205">
        <v>1.8644700000000001</v>
      </c>
      <c r="EQ205">
        <v>1.8701399999999999</v>
      </c>
      <c r="ER205">
        <v>1.8693500000000001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0.438</v>
      </c>
      <c r="FG205">
        <v>0.19839999999999999</v>
      </c>
      <c r="FH205">
        <v>0.69281559908863044</v>
      </c>
      <c r="FI205">
        <v>-6.1462078757559423E-4</v>
      </c>
      <c r="FJ205">
        <v>-1.8861989874597051E-7</v>
      </c>
      <c r="FK205">
        <v>1.1980462299894961E-10</v>
      </c>
      <c r="FL205">
        <v>0.19840465858211129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42.1</v>
      </c>
      <c r="FU205">
        <v>42.1</v>
      </c>
      <c r="FV205">
        <v>1.7639199999999999</v>
      </c>
      <c r="FW205">
        <v>2.5817899999999998</v>
      </c>
      <c r="FX205">
        <v>1.5490699999999999</v>
      </c>
      <c r="FY205">
        <v>2.33521</v>
      </c>
      <c r="FZ205">
        <v>1.50146</v>
      </c>
      <c r="GA205">
        <v>2.3059099999999999</v>
      </c>
      <c r="GB205">
        <v>33.602899999999998</v>
      </c>
      <c r="GC205">
        <v>23.991199999999999</v>
      </c>
      <c r="GD205">
        <v>19</v>
      </c>
      <c r="GE205">
        <v>281.62900000000002</v>
      </c>
      <c r="GF205">
        <v>575.49599999999998</v>
      </c>
      <c r="GG205">
        <v>24.104299999999999</v>
      </c>
      <c r="GH205">
        <v>25.8992</v>
      </c>
      <c r="GI205">
        <v>30</v>
      </c>
      <c r="GJ205">
        <v>26.029499999999999</v>
      </c>
      <c r="GK205">
        <v>26.011099999999999</v>
      </c>
      <c r="GL205">
        <v>35.262500000000003</v>
      </c>
      <c r="GM205">
        <v>100</v>
      </c>
      <c r="GN205">
        <v>2.6260400000000002</v>
      </c>
      <c r="GO205">
        <v>24.113199999999999</v>
      </c>
      <c r="GP205">
        <v>800</v>
      </c>
      <c r="GQ205">
        <v>0</v>
      </c>
      <c r="GR205">
        <v>99.826300000000003</v>
      </c>
      <c r="GS205">
        <v>99.709199999999996</v>
      </c>
    </row>
    <row r="206" spans="1:201" x14ac:dyDescent="0.25">
      <c r="A206">
        <v>190</v>
      </c>
      <c r="B206">
        <v>1690390176</v>
      </c>
      <c r="C206">
        <v>1917.5</v>
      </c>
      <c r="D206" t="s">
        <v>713</v>
      </c>
      <c r="E206" t="s">
        <v>714</v>
      </c>
      <c r="F206" t="s">
        <v>330</v>
      </c>
      <c r="H206">
        <v>1690390176</v>
      </c>
      <c r="I206">
        <f t="shared" si="60"/>
        <v>2.5064478288404943E-3</v>
      </c>
      <c r="J206">
        <f t="shared" si="61"/>
        <v>2.5064478288404941</v>
      </c>
      <c r="K206">
        <f t="shared" si="62"/>
        <v>38.632687772548472</v>
      </c>
      <c r="L206">
        <f t="shared" si="63"/>
        <v>380.47</v>
      </c>
      <c r="M206">
        <f t="shared" si="64"/>
        <v>107.69098196466229</v>
      </c>
      <c r="N206">
        <f t="shared" si="65"/>
        <v>10.623674146706039</v>
      </c>
      <c r="O206">
        <f t="shared" si="66"/>
        <v>37.533219856083996</v>
      </c>
      <c r="P206">
        <f t="shared" si="67"/>
        <v>0.24243225932130308</v>
      </c>
      <c r="Q206">
        <f t="shared" si="68"/>
        <v>2.1596300837083247</v>
      </c>
      <c r="R206">
        <f t="shared" si="69"/>
        <v>0.22826428447457497</v>
      </c>
      <c r="S206">
        <f t="shared" si="70"/>
        <v>0.14386906688017131</v>
      </c>
      <c r="T206">
        <f t="shared" si="71"/>
        <v>276.11613423</v>
      </c>
      <c r="U206">
        <f t="shared" si="72"/>
        <v>27.18435321251264</v>
      </c>
      <c r="V206">
        <f t="shared" si="73"/>
        <v>27.18435321251264</v>
      </c>
      <c r="W206">
        <f t="shared" si="74"/>
        <v>3.6180967462356746</v>
      </c>
      <c r="X206">
        <f t="shared" si="75"/>
        <v>76.627587444765226</v>
      </c>
      <c r="Y206">
        <f t="shared" si="76"/>
        <v>2.5688458968497199</v>
      </c>
      <c r="Z206">
        <f t="shared" si="77"/>
        <v>3.3523773650076061</v>
      </c>
      <c r="AA206">
        <f t="shared" si="78"/>
        <v>1.0492508493859547</v>
      </c>
      <c r="AB206">
        <f t="shared" si="79"/>
        <v>-110.53434925186579</v>
      </c>
      <c r="AC206">
        <f t="shared" si="80"/>
        <v>-150.68987185935208</v>
      </c>
      <c r="AD206">
        <f t="shared" si="81"/>
        <v>-14.988920044623372</v>
      </c>
      <c r="AE206">
        <f t="shared" si="82"/>
        <v>-9.7006925841270686E-2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52432.177413750091</v>
      </c>
      <c r="AK206">
        <f t="shared" si="86"/>
        <v>1800</v>
      </c>
      <c r="AL206">
        <f t="shared" si="87"/>
        <v>1499.1119009999998</v>
      </c>
      <c r="AM206">
        <f t="shared" si="88"/>
        <v>0.83283994499999991</v>
      </c>
      <c r="AN206">
        <f t="shared" si="89"/>
        <v>0.15339785235</v>
      </c>
      <c r="AO206">
        <v>31.8</v>
      </c>
      <c r="AP206">
        <v>0.5</v>
      </c>
      <c r="AQ206" t="s">
        <v>331</v>
      </c>
      <c r="AR206">
        <v>2</v>
      </c>
      <c r="AS206">
        <v>1690390176</v>
      </c>
      <c r="AT206">
        <v>380.47</v>
      </c>
      <c r="AU206">
        <v>800.03599999999994</v>
      </c>
      <c r="AV206">
        <v>26.040099999999999</v>
      </c>
      <c r="AW206">
        <v>0.16661400000000001</v>
      </c>
      <c r="AX206">
        <v>380.03199999999998</v>
      </c>
      <c r="AY206">
        <v>25.841699999999999</v>
      </c>
      <c r="AZ206">
        <v>300.03500000000003</v>
      </c>
      <c r="BA206">
        <v>98.549700000000001</v>
      </c>
      <c r="BB206">
        <v>9.9917199999999998E-2</v>
      </c>
      <c r="BC206">
        <v>25.8901</v>
      </c>
      <c r="BD206">
        <v>27.017499999999998</v>
      </c>
      <c r="BE206">
        <v>27.03</v>
      </c>
      <c r="BF206">
        <v>0</v>
      </c>
      <c r="BG206">
        <v>0</v>
      </c>
      <c r="BH206">
        <v>10025.6</v>
      </c>
      <c r="BI206">
        <v>1068.1300000000001</v>
      </c>
      <c r="BJ206">
        <v>1.38764</v>
      </c>
      <c r="BK206">
        <v>-419.565</v>
      </c>
      <c r="BL206">
        <v>390.642</v>
      </c>
      <c r="BM206">
        <v>800.16899999999998</v>
      </c>
      <c r="BN206">
        <v>25.8735</v>
      </c>
      <c r="BO206">
        <v>800.03599999999994</v>
      </c>
      <c r="BP206">
        <v>0.16661400000000001</v>
      </c>
      <c r="BQ206">
        <v>2.5662500000000001</v>
      </c>
      <c r="BR206">
        <v>1.6419799999999998E-2</v>
      </c>
      <c r="BS206">
        <v>21.4529</v>
      </c>
      <c r="BT206">
        <v>-41.307600000000001</v>
      </c>
      <c r="BU206">
        <v>1800</v>
      </c>
      <c r="BV206">
        <v>0.90998999999999997</v>
      </c>
      <c r="BW206">
        <v>3.3999599999999998E-2</v>
      </c>
      <c r="BX206">
        <v>2.2005E-2</v>
      </c>
      <c r="BY206">
        <v>3.40057E-2</v>
      </c>
      <c r="BZ206">
        <v>25</v>
      </c>
      <c r="CA206">
        <v>33528.300000000003</v>
      </c>
      <c r="CB206">
        <v>1690387638</v>
      </c>
      <c r="CC206" t="s">
        <v>332</v>
      </c>
      <c r="CD206">
        <v>1690387638</v>
      </c>
      <c r="CE206">
        <v>1690387638</v>
      </c>
      <c r="CF206">
        <v>6</v>
      </c>
      <c r="CG206">
        <v>0.43</v>
      </c>
      <c r="CH206">
        <v>-8.1000000000000003E-2</v>
      </c>
      <c r="CI206">
        <v>0.14199999999999999</v>
      </c>
      <c r="CJ206">
        <v>-2.7E-2</v>
      </c>
      <c r="CK206">
        <v>800</v>
      </c>
      <c r="CL206">
        <v>0</v>
      </c>
      <c r="CM206">
        <v>0.01</v>
      </c>
      <c r="CN206">
        <v>0.01</v>
      </c>
      <c r="CO206">
        <v>-419.29655000000002</v>
      </c>
      <c r="CP206">
        <v>-1.640983114445659</v>
      </c>
      <c r="CQ206">
        <v>0.1816296988380442</v>
      </c>
      <c r="CR206">
        <v>-1</v>
      </c>
      <c r="CS206">
        <v>25.863677500000001</v>
      </c>
      <c r="CT206">
        <v>7.3856285178154332E-2</v>
      </c>
      <c r="CU206">
        <v>7.2696797556700121E-3</v>
      </c>
      <c r="CV206">
        <v>-1</v>
      </c>
      <c r="CW206">
        <v>0</v>
      </c>
      <c r="CX206">
        <v>0</v>
      </c>
      <c r="CY206" t="s">
        <v>333</v>
      </c>
      <c r="CZ206">
        <v>2.3645700000000001</v>
      </c>
      <c r="DA206">
        <v>2.71373</v>
      </c>
      <c r="DB206">
        <v>8.5644399999999996E-2</v>
      </c>
      <c r="DC206">
        <v>0.14532100000000001</v>
      </c>
      <c r="DD206">
        <v>0.12005300000000001</v>
      </c>
      <c r="DE206">
        <v>1.3960800000000001E-3</v>
      </c>
      <c r="DF206">
        <v>33416</v>
      </c>
      <c r="DG206">
        <v>27582.7</v>
      </c>
      <c r="DH206">
        <v>31198.1</v>
      </c>
      <c r="DI206">
        <v>28120.7</v>
      </c>
      <c r="DJ206">
        <v>37264.6</v>
      </c>
      <c r="DK206">
        <v>39941.4</v>
      </c>
      <c r="DL206">
        <v>44402.400000000001</v>
      </c>
      <c r="DM206">
        <v>42623.6</v>
      </c>
      <c r="DN206">
        <v>1.4764200000000001</v>
      </c>
      <c r="DO206">
        <v>2.0316299999999998</v>
      </c>
      <c r="DP206">
        <v>0.14529400000000001</v>
      </c>
      <c r="DQ206">
        <v>0.148706</v>
      </c>
      <c r="DR206">
        <v>24.636800000000001</v>
      </c>
      <c r="DS206">
        <v>24.593299999999999</v>
      </c>
      <c r="DT206">
        <v>21.8</v>
      </c>
      <c r="DU206">
        <v>29.3</v>
      </c>
      <c r="DV206">
        <v>9.0520600000000009</v>
      </c>
      <c r="DW206">
        <v>60.9223</v>
      </c>
      <c r="DX206">
        <v>36.887</v>
      </c>
      <c r="DY206">
        <v>1</v>
      </c>
      <c r="DZ206">
        <v>-0.11990099999999999</v>
      </c>
      <c r="EA206">
        <v>0.11308799999999999</v>
      </c>
      <c r="EB206">
        <v>20.190100000000001</v>
      </c>
      <c r="EC206">
        <v>5.2411000000000003</v>
      </c>
      <c r="ED206">
        <v>12.039899999999999</v>
      </c>
      <c r="EE206">
        <v>5.0167000000000002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1.8646199999999999</v>
      </c>
      <c r="EM206">
        <v>1.8692</v>
      </c>
      <c r="EN206">
        <v>1.8672200000000001</v>
      </c>
      <c r="EO206">
        <v>1.86338</v>
      </c>
      <c r="EP206">
        <v>1.8644700000000001</v>
      </c>
      <c r="EQ206">
        <v>1.8701399999999999</v>
      </c>
      <c r="ER206">
        <v>1.8693500000000001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0.438</v>
      </c>
      <c r="FG206">
        <v>0.19839999999999999</v>
      </c>
      <c r="FH206">
        <v>0.69281559908863044</v>
      </c>
      <c r="FI206">
        <v>-6.1462078757559423E-4</v>
      </c>
      <c r="FJ206">
        <v>-1.8861989874597051E-7</v>
      </c>
      <c r="FK206">
        <v>1.1980462299894961E-10</v>
      </c>
      <c r="FL206">
        <v>0.19840465858211129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42.3</v>
      </c>
      <c r="FU206">
        <v>42.3</v>
      </c>
      <c r="FV206">
        <v>1.7639199999999999</v>
      </c>
      <c r="FW206">
        <v>2.5830099999999998</v>
      </c>
      <c r="FX206">
        <v>1.5490699999999999</v>
      </c>
      <c r="FY206">
        <v>2.33521</v>
      </c>
      <c r="FZ206">
        <v>1.50146</v>
      </c>
      <c r="GA206">
        <v>2.3901400000000002</v>
      </c>
      <c r="GB206">
        <v>33.602899999999998</v>
      </c>
      <c r="GC206">
        <v>23.991199999999999</v>
      </c>
      <c r="GD206">
        <v>19</v>
      </c>
      <c r="GE206">
        <v>281.55500000000001</v>
      </c>
      <c r="GF206">
        <v>575.577</v>
      </c>
      <c r="GG206">
        <v>24.114899999999999</v>
      </c>
      <c r="GH206">
        <v>25.8992</v>
      </c>
      <c r="GI206">
        <v>30.0001</v>
      </c>
      <c r="GJ206">
        <v>26.029499999999999</v>
      </c>
      <c r="GK206">
        <v>26.011099999999999</v>
      </c>
      <c r="GL206">
        <v>35.258099999999999</v>
      </c>
      <c r="GM206">
        <v>100</v>
      </c>
      <c r="GN206">
        <v>2.23278</v>
      </c>
      <c r="GO206">
        <v>24.113099999999999</v>
      </c>
      <c r="GP206">
        <v>800</v>
      </c>
      <c r="GQ206">
        <v>0</v>
      </c>
      <c r="GR206">
        <v>99.826700000000002</v>
      </c>
      <c r="GS206">
        <v>99.709199999999996</v>
      </c>
    </row>
    <row r="207" spans="1:201" x14ac:dyDescent="0.25">
      <c r="A207">
        <v>191</v>
      </c>
      <c r="B207">
        <v>1690390186</v>
      </c>
      <c r="C207">
        <v>1927.5</v>
      </c>
      <c r="D207" t="s">
        <v>715</v>
      </c>
      <c r="E207" t="s">
        <v>716</v>
      </c>
      <c r="F207" t="s">
        <v>330</v>
      </c>
      <c r="H207">
        <v>1690390186</v>
      </c>
      <c r="I207">
        <f t="shared" si="60"/>
        <v>2.5086252437216548E-3</v>
      </c>
      <c r="J207">
        <f t="shared" si="61"/>
        <v>2.5086252437216547</v>
      </c>
      <c r="K207">
        <f t="shared" si="62"/>
        <v>38.670816517919334</v>
      </c>
      <c r="L207">
        <f t="shared" si="63"/>
        <v>380.23</v>
      </c>
      <c r="M207">
        <f t="shared" si="64"/>
        <v>107.57468744092709</v>
      </c>
      <c r="N207">
        <f t="shared" si="65"/>
        <v>10.61225635212592</v>
      </c>
      <c r="O207">
        <f t="shared" si="66"/>
        <v>37.509736990727006</v>
      </c>
      <c r="P207">
        <f t="shared" si="67"/>
        <v>0.24281058864741137</v>
      </c>
      <c r="Q207">
        <f t="shared" si="68"/>
        <v>2.1573172733222035</v>
      </c>
      <c r="R207">
        <f t="shared" si="69"/>
        <v>0.228585473253965</v>
      </c>
      <c r="S207">
        <f t="shared" si="70"/>
        <v>0.14407449363697419</v>
      </c>
      <c r="T207">
        <f t="shared" si="71"/>
        <v>276.11600783400002</v>
      </c>
      <c r="U207">
        <f t="shared" si="72"/>
        <v>27.187360631167177</v>
      </c>
      <c r="V207">
        <f t="shared" si="73"/>
        <v>27.187360631167177</v>
      </c>
      <c r="W207">
        <f t="shared" si="74"/>
        <v>3.618734992748565</v>
      </c>
      <c r="X207">
        <f t="shared" si="75"/>
        <v>76.652238887150375</v>
      </c>
      <c r="Y207">
        <f t="shared" si="76"/>
        <v>2.5700527839197802</v>
      </c>
      <c r="Z207">
        <f t="shared" si="77"/>
        <v>3.3528737336733059</v>
      </c>
      <c r="AA207">
        <f t="shared" si="78"/>
        <v>1.0486822088287848</v>
      </c>
      <c r="AB207">
        <f t="shared" si="79"/>
        <v>-110.63037324812498</v>
      </c>
      <c r="AC207">
        <f t="shared" si="80"/>
        <v>-150.58750918571312</v>
      </c>
      <c r="AD207">
        <f t="shared" si="81"/>
        <v>-14.995210136567731</v>
      </c>
      <c r="AE207">
        <f t="shared" si="82"/>
        <v>-9.7084736405804506E-2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52334.728306666919</v>
      </c>
      <c r="AK207">
        <f t="shared" si="86"/>
        <v>1800</v>
      </c>
      <c r="AL207">
        <f t="shared" si="87"/>
        <v>1499.1113484</v>
      </c>
      <c r="AM207">
        <f t="shared" si="88"/>
        <v>0.83283963799999994</v>
      </c>
      <c r="AN207">
        <f t="shared" si="89"/>
        <v>0.15339778212999999</v>
      </c>
      <c r="AO207">
        <v>31.8</v>
      </c>
      <c r="AP207">
        <v>0.5</v>
      </c>
      <c r="AQ207" t="s">
        <v>331</v>
      </c>
      <c r="AR207">
        <v>2</v>
      </c>
      <c r="AS207">
        <v>1690390186</v>
      </c>
      <c r="AT207">
        <v>380.23</v>
      </c>
      <c r="AU207">
        <v>800.05</v>
      </c>
      <c r="AV207">
        <v>26.052199999999999</v>
      </c>
      <c r="AW207">
        <v>0.165963</v>
      </c>
      <c r="AX207">
        <v>379.79199999999997</v>
      </c>
      <c r="AY207">
        <v>25.8538</v>
      </c>
      <c r="AZ207">
        <v>300.14400000000001</v>
      </c>
      <c r="BA207">
        <v>98.550200000000004</v>
      </c>
      <c r="BB207">
        <v>9.9924899999999997E-2</v>
      </c>
      <c r="BC207">
        <v>25.892600000000002</v>
      </c>
      <c r="BD207">
        <v>26.9572</v>
      </c>
      <c r="BE207">
        <v>27.0121</v>
      </c>
      <c r="BF207">
        <v>0</v>
      </c>
      <c r="BG207">
        <v>0</v>
      </c>
      <c r="BH207">
        <v>10006.200000000001</v>
      </c>
      <c r="BI207">
        <v>1068.1199999999999</v>
      </c>
      <c r="BJ207">
        <v>1.3455900000000001</v>
      </c>
      <c r="BK207">
        <v>-419.82</v>
      </c>
      <c r="BL207">
        <v>390.40100000000001</v>
      </c>
      <c r="BM207">
        <v>800.18299999999999</v>
      </c>
      <c r="BN207">
        <v>25.886199999999999</v>
      </c>
      <c r="BO207">
        <v>800.05</v>
      </c>
      <c r="BP207">
        <v>0.165963</v>
      </c>
      <c r="BQ207">
        <v>2.56745</v>
      </c>
      <c r="BR207">
        <v>1.6355700000000001E-2</v>
      </c>
      <c r="BS207">
        <v>21.4605</v>
      </c>
      <c r="BT207">
        <v>-41.3446</v>
      </c>
      <c r="BU207">
        <v>1800</v>
      </c>
      <c r="BV207">
        <v>0.90998999999999997</v>
      </c>
      <c r="BW207">
        <v>3.3999500000000002E-2</v>
      </c>
      <c r="BX207">
        <v>2.2004900000000001E-2</v>
      </c>
      <c r="BY207">
        <v>3.4005500000000001E-2</v>
      </c>
      <c r="BZ207">
        <v>25</v>
      </c>
      <c r="CA207">
        <v>33528.300000000003</v>
      </c>
      <c r="CB207">
        <v>1690387638</v>
      </c>
      <c r="CC207" t="s">
        <v>332</v>
      </c>
      <c r="CD207">
        <v>1690387638</v>
      </c>
      <c r="CE207">
        <v>1690387638</v>
      </c>
      <c r="CF207">
        <v>6</v>
      </c>
      <c r="CG207">
        <v>0.43</v>
      </c>
      <c r="CH207">
        <v>-8.1000000000000003E-2</v>
      </c>
      <c r="CI207">
        <v>0.14199999999999999</v>
      </c>
      <c r="CJ207">
        <v>-2.7E-2</v>
      </c>
      <c r="CK207">
        <v>800</v>
      </c>
      <c r="CL207">
        <v>0</v>
      </c>
      <c r="CM207">
        <v>0.01</v>
      </c>
      <c r="CN207">
        <v>0.01</v>
      </c>
      <c r="CO207">
        <v>-419.53973170731712</v>
      </c>
      <c r="CP207">
        <v>-0.7690662020912038</v>
      </c>
      <c r="CQ207">
        <v>9.8493536841380888E-2</v>
      </c>
      <c r="CR207">
        <v>-1</v>
      </c>
      <c r="CS207">
        <v>25.874917073170739</v>
      </c>
      <c r="CT207">
        <v>5.9859930313610699E-2</v>
      </c>
      <c r="CU207">
        <v>6.135339553249507E-3</v>
      </c>
      <c r="CV207">
        <v>-1</v>
      </c>
      <c r="CW207">
        <v>0</v>
      </c>
      <c r="CX207">
        <v>0</v>
      </c>
      <c r="CY207" t="s">
        <v>333</v>
      </c>
      <c r="CZ207">
        <v>2.36496</v>
      </c>
      <c r="DA207">
        <v>2.7137199999999999</v>
      </c>
      <c r="DB207">
        <v>8.5602999999999999E-2</v>
      </c>
      <c r="DC207">
        <v>0.14532400000000001</v>
      </c>
      <c r="DD207">
        <v>0.12009300000000001</v>
      </c>
      <c r="DE207">
        <v>1.39068E-3</v>
      </c>
      <c r="DF207">
        <v>33417.4</v>
      </c>
      <c r="DG207">
        <v>27582.6</v>
      </c>
      <c r="DH207">
        <v>31198</v>
      </c>
      <c r="DI207">
        <v>28120.6</v>
      </c>
      <c r="DJ207">
        <v>37262.800000000003</v>
      </c>
      <c r="DK207">
        <v>39941.800000000003</v>
      </c>
      <c r="DL207">
        <v>44402.2</v>
      </c>
      <c r="DM207">
        <v>42623.8</v>
      </c>
      <c r="DN207">
        <v>1.4765299999999999</v>
      </c>
      <c r="DO207">
        <v>2.03165</v>
      </c>
      <c r="DP207">
        <v>0.14160600000000001</v>
      </c>
      <c r="DQ207">
        <v>0.14761099999999999</v>
      </c>
      <c r="DR207">
        <v>24.636800000000001</v>
      </c>
      <c r="DS207">
        <v>24.593299999999999</v>
      </c>
      <c r="DT207">
        <v>21.8</v>
      </c>
      <c r="DU207">
        <v>29.3</v>
      </c>
      <c r="DV207">
        <v>9.0529299999999999</v>
      </c>
      <c r="DW207">
        <v>60.732300000000002</v>
      </c>
      <c r="DX207">
        <v>37.179499999999997</v>
      </c>
      <c r="DY207">
        <v>1</v>
      </c>
      <c r="DZ207">
        <v>-0.11971</v>
      </c>
      <c r="EA207">
        <v>0.139766</v>
      </c>
      <c r="EB207">
        <v>20.190100000000001</v>
      </c>
      <c r="EC207">
        <v>5.24125</v>
      </c>
      <c r="ED207">
        <v>12.039899999999999</v>
      </c>
      <c r="EE207">
        <v>5.0171000000000001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1.8692</v>
      </c>
      <c r="EN207">
        <v>1.8672200000000001</v>
      </c>
      <c r="EO207">
        <v>1.8633299999999999</v>
      </c>
      <c r="EP207">
        <v>1.86446</v>
      </c>
      <c r="EQ207">
        <v>1.8701399999999999</v>
      </c>
      <c r="ER207">
        <v>1.8693500000000001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0.438</v>
      </c>
      <c r="FG207">
        <v>0.19839999999999999</v>
      </c>
      <c r="FH207">
        <v>0.69281559908863044</v>
      </c>
      <c r="FI207">
        <v>-6.1462078757559423E-4</v>
      </c>
      <c r="FJ207">
        <v>-1.8861989874597051E-7</v>
      </c>
      <c r="FK207">
        <v>1.1980462299894961E-10</v>
      </c>
      <c r="FL207">
        <v>0.19840465858211129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42.5</v>
      </c>
      <c r="FU207">
        <v>42.5</v>
      </c>
      <c r="FV207">
        <v>1.7639199999999999</v>
      </c>
      <c r="FW207">
        <v>2.5866699999999998</v>
      </c>
      <c r="FX207">
        <v>1.5490699999999999</v>
      </c>
      <c r="FY207">
        <v>2.33521</v>
      </c>
      <c r="FZ207">
        <v>1.50146</v>
      </c>
      <c r="GA207">
        <v>2.3315399999999999</v>
      </c>
      <c r="GB207">
        <v>33.602899999999998</v>
      </c>
      <c r="GC207">
        <v>23.973700000000001</v>
      </c>
      <c r="GD207">
        <v>19</v>
      </c>
      <c r="GE207">
        <v>281.59699999999998</v>
      </c>
      <c r="GF207">
        <v>575.59699999999998</v>
      </c>
      <c r="GG207">
        <v>24.1023</v>
      </c>
      <c r="GH207">
        <v>25.8992</v>
      </c>
      <c r="GI207">
        <v>30.0002</v>
      </c>
      <c r="GJ207">
        <v>26.029499999999999</v>
      </c>
      <c r="GK207">
        <v>26.011099999999999</v>
      </c>
      <c r="GL207">
        <v>35.259099999999997</v>
      </c>
      <c r="GM207">
        <v>100</v>
      </c>
      <c r="GN207">
        <v>1.4667300000000001</v>
      </c>
      <c r="GO207">
        <v>24.109500000000001</v>
      </c>
      <c r="GP207">
        <v>800</v>
      </c>
      <c r="GQ207">
        <v>0</v>
      </c>
      <c r="GR207">
        <v>99.826300000000003</v>
      </c>
      <c r="GS207">
        <v>99.709400000000002</v>
      </c>
    </row>
    <row r="208" spans="1:201" x14ac:dyDescent="0.25">
      <c r="A208">
        <v>192</v>
      </c>
      <c r="B208">
        <v>1690390196</v>
      </c>
      <c r="C208">
        <v>1937.5</v>
      </c>
      <c r="D208" t="s">
        <v>717</v>
      </c>
      <c r="E208" t="s">
        <v>718</v>
      </c>
      <c r="F208" t="s">
        <v>330</v>
      </c>
      <c r="H208">
        <v>1690390196</v>
      </c>
      <c r="I208">
        <f t="shared" si="60"/>
        <v>2.5103455025816857E-3</v>
      </c>
      <c r="J208">
        <f t="shared" si="61"/>
        <v>2.5103455025816857</v>
      </c>
      <c r="K208">
        <f t="shared" si="62"/>
        <v>38.685509034860644</v>
      </c>
      <c r="L208">
        <f t="shared" si="63"/>
        <v>379.98200000000003</v>
      </c>
      <c r="M208">
        <f t="shared" si="64"/>
        <v>107.97382000778516</v>
      </c>
      <c r="N208">
        <f t="shared" si="65"/>
        <v>10.651612053050824</v>
      </c>
      <c r="O208">
        <f t="shared" si="66"/>
        <v>37.485205680881997</v>
      </c>
      <c r="P208">
        <f t="shared" si="67"/>
        <v>0.243519329095397</v>
      </c>
      <c r="Q208">
        <f t="shared" si="68"/>
        <v>2.1572418476511364</v>
      </c>
      <c r="R208">
        <f t="shared" si="69"/>
        <v>0.22921320592442343</v>
      </c>
      <c r="S208">
        <f t="shared" si="70"/>
        <v>0.14447351504316133</v>
      </c>
      <c r="T208">
        <f t="shared" si="71"/>
        <v>276.116036184</v>
      </c>
      <c r="U208">
        <f t="shared" si="72"/>
        <v>27.18491069457928</v>
      </c>
      <c r="V208">
        <f t="shared" si="73"/>
        <v>27.18491069457928</v>
      </c>
      <c r="W208">
        <f t="shared" si="74"/>
        <v>3.6182150499085202</v>
      </c>
      <c r="X208">
        <f t="shared" si="75"/>
        <v>76.709870304422864</v>
      </c>
      <c r="Y208">
        <f t="shared" si="76"/>
        <v>2.5716957076238995</v>
      </c>
      <c r="Z208">
        <f t="shared" si="77"/>
        <v>3.3524964876333825</v>
      </c>
      <c r="AA208">
        <f t="shared" si="78"/>
        <v>1.0465193422846206</v>
      </c>
      <c r="AB208">
        <f t="shared" si="79"/>
        <v>-110.70623666385234</v>
      </c>
      <c r="AC208">
        <f t="shared" si="80"/>
        <v>-150.51828593993758</v>
      </c>
      <c r="AD208">
        <f t="shared" si="81"/>
        <v>-14.98851451223406</v>
      </c>
      <c r="AE208">
        <f t="shared" si="82"/>
        <v>-9.7000932024002395E-2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52331.892233320468</v>
      </c>
      <c r="AK208">
        <f t="shared" si="86"/>
        <v>1800</v>
      </c>
      <c r="AL208">
        <f t="shared" si="87"/>
        <v>1499.1114833999998</v>
      </c>
      <c r="AM208">
        <f t="shared" si="88"/>
        <v>0.83283971299999993</v>
      </c>
      <c r="AN208">
        <f t="shared" si="89"/>
        <v>0.15339779787999999</v>
      </c>
      <c r="AO208">
        <v>31.8</v>
      </c>
      <c r="AP208">
        <v>0.5</v>
      </c>
      <c r="AQ208" t="s">
        <v>331</v>
      </c>
      <c r="AR208">
        <v>2</v>
      </c>
      <c r="AS208">
        <v>1690390196</v>
      </c>
      <c r="AT208">
        <v>379.98200000000003</v>
      </c>
      <c r="AU208">
        <v>799.95799999999997</v>
      </c>
      <c r="AV208">
        <v>26.068899999999999</v>
      </c>
      <c r="AW208">
        <v>0.165356</v>
      </c>
      <c r="AX208">
        <v>379.54300000000001</v>
      </c>
      <c r="AY208">
        <v>25.8705</v>
      </c>
      <c r="AZ208">
        <v>300.14400000000001</v>
      </c>
      <c r="BA208">
        <v>98.549899999999994</v>
      </c>
      <c r="BB208">
        <v>0.100051</v>
      </c>
      <c r="BC208">
        <v>25.890699999999999</v>
      </c>
      <c r="BD208">
        <v>26.9861</v>
      </c>
      <c r="BE208">
        <v>27.0121</v>
      </c>
      <c r="BF208">
        <v>0</v>
      </c>
      <c r="BG208">
        <v>0</v>
      </c>
      <c r="BH208">
        <v>10005.6</v>
      </c>
      <c r="BI208">
        <v>1068.19</v>
      </c>
      <c r="BJ208">
        <v>1.38764</v>
      </c>
      <c r="BK208">
        <v>-419.976</v>
      </c>
      <c r="BL208">
        <v>390.15300000000002</v>
      </c>
      <c r="BM208">
        <v>800.09</v>
      </c>
      <c r="BN208">
        <v>25.903500000000001</v>
      </c>
      <c r="BO208">
        <v>799.95799999999997</v>
      </c>
      <c r="BP208">
        <v>0.165356</v>
      </c>
      <c r="BQ208">
        <v>2.5690900000000001</v>
      </c>
      <c r="BR208">
        <v>1.6295799999999999E-2</v>
      </c>
      <c r="BS208">
        <v>21.4709</v>
      </c>
      <c r="BT208">
        <v>-41.379199999999997</v>
      </c>
      <c r="BU208">
        <v>1800</v>
      </c>
      <c r="BV208">
        <v>0.90998999999999997</v>
      </c>
      <c r="BW208">
        <v>3.3999500000000002E-2</v>
      </c>
      <c r="BX208">
        <v>2.2004900000000001E-2</v>
      </c>
      <c r="BY208">
        <v>3.4005599999999997E-2</v>
      </c>
      <c r="BZ208">
        <v>25</v>
      </c>
      <c r="CA208">
        <v>33528.300000000003</v>
      </c>
      <c r="CB208">
        <v>1690387638</v>
      </c>
      <c r="CC208" t="s">
        <v>332</v>
      </c>
      <c r="CD208">
        <v>1690387638</v>
      </c>
      <c r="CE208">
        <v>1690387638</v>
      </c>
      <c r="CF208">
        <v>6</v>
      </c>
      <c r="CG208">
        <v>0.43</v>
      </c>
      <c r="CH208">
        <v>-8.1000000000000003E-2</v>
      </c>
      <c r="CI208">
        <v>0.14199999999999999</v>
      </c>
      <c r="CJ208">
        <v>-2.7E-2</v>
      </c>
      <c r="CK208">
        <v>800</v>
      </c>
      <c r="CL208">
        <v>0</v>
      </c>
      <c r="CM208">
        <v>0.01</v>
      </c>
      <c r="CN208">
        <v>0.01</v>
      </c>
      <c r="CO208">
        <v>-419.77605000000011</v>
      </c>
      <c r="CP208">
        <v>-1.684457786115249</v>
      </c>
      <c r="CQ208">
        <v>0.17122192470592201</v>
      </c>
      <c r="CR208">
        <v>-1</v>
      </c>
      <c r="CS208">
        <v>25.886220000000002</v>
      </c>
      <c r="CT208">
        <v>7.0860787992501117E-2</v>
      </c>
      <c r="CU208">
        <v>6.9147017289252141E-3</v>
      </c>
      <c r="CV208">
        <v>-1</v>
      </c>
      <c r="CW208">
        <v>0</v>
      </c>
      <c r="CX208">
        <v>0</v>
      </c>
      <c r="CY208" t="s">
        <v>333</v>
      </c>
      <c r="CZ208">
        <v>2.3649499999999999</v>
      </c>
      <c r="DA208">
        <v>2.7138499999999999</v>
      </c>
      <c r="DB208">
        <v>8.55596E-2</v>
      </c>
      <c r="DC208">
        <v>0.145312</v>
      </c>
      <c r="DD208">
        <v>0.120146</v>
      </c>
      <c r="DE208">
        <v>1.38565E-3</v>
      </c>
      <c r="DF208">
        <v>33419.199999999997</v>
      </c>
      <c r="DG208">
        <v>27583.200000000001</v>
      </c>
      <c r="DH208">
        <v>31198.2</v>
      </c>
      <c r="DI208">
        <v>28120.799999999999</v>
      </c>
      <c r="DJ208">
        <v>37260.800000000003</v>
      </c>
      <c r="DK208">
        <v>39942.1</v>
      </c>
      <c r="DL208">
        <v>44402.6</v>
      </c>
      <c r="DM208">
        <v>42624</v>
      </c>
      <c r="DN208">
        <v>1.47675</v>
      </c>
      <c r="DO208">
        <v>2.0314999999999999</v>
      </c>
      <c r="DP208">
        <v>0.14328199999999999</v>
      </c>
      <c r="DQ208">
        <v>0.14770800000000001</v>
      </c>
      <c r="DR208">
        <v>24.638300000000001</v>
      </c>
      <c r="DS208">
        <v>24.591799999999999</v>
      </c>
      <c r="DT208">
        <v>21.7</v>
      </c>
      <c r="DU208">
        <v>29.3</v>
      </c>
      <c r="DV208">
        <v>9.0113099999999999</v>
      </c>
      <c r="DW208">
        <v>60.9923</v>
      </c>
      <c r="DX208">
        <v>37.660299999999999</v>
      </c>
      <c r="DY208">
        <v>1</v>
      </c>
      <c r="DZ208">
        <v>-0.120076</v>
      </c>
      <c r="EA208">
        <v>2.5081700000000001E-3</v>
      </c>
      <c r="EB208">
        <v>20.190200000000001</v>
      </c>
      <c r="EC208">
        <v>5.2415500000000002</v>
      </c>
      <c r="ED208">
        <v>12.039899999999999</v>
      </c>
      <c r="EE208">
        <v>5.0170000000000003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1.8692</v>
      </c>
      <c r="EN208">
        <v>1.8672200000000001</v>
      </c>
      <c r="EO208">
        <v>1.8633599999999999</v>
      </c>
      <c r="EP208">
        <v>1.8644499999999999</v>
      </c>
      <c r="EQ208">
        <v>1.8701399999999999</v>
      </c>
      <c r="ER208">
        <v>1.8693500000000001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0.439</v>
      </c>
      <c r="FG208">
        <v>0.19839999999999999</v>
      </c>
      <c r="FH208">
        <v>0.69281559908863044</v>
      </c>
      <c r="FI208">
        <v>-6.1462078757559423E-4</v>
      </c>
      <c r="FJ208">
        <v>-1.8861989874597051E-7</v>
      </c>
      <c r="FK208">
        <v>1.1980462299894961E-10</v>
      </c>
      <c r="FL208">
        <v>0.19840465858211129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42.6</v>
      </c>
      <c r="FU208">
        <v>42.6</v>
      </c>
      <c r="FV208">
        <v>1.7639199999999999</v>
      </c>
      <c r="FW208">
        <v>2.5817899999999998</v>
      </c>
      <c r="FX208">
        <v>1.5490699999999999</v>
      </c>
      <c r="FY208">
        <v>2.33521</v>
      </c>
      <c r="FZ208">
        <v>1.50146</v>
      </c>
      <c r="GA208">
        <v>2.3986800000000001</v>
      </c>
      <c r="GB208">
        <v>33.602899999999998</v>
      </c>
      <c r="GC208">
        <v>23.991199999999999</v>
      </c>
      <c r="GD208">
        <v>19</v>
      </c>
      <c r="GE208">
        <v>281.69200000000001</v>
      </c>
      <c r="GF208">
        <v>575.47500000000002</v>
      </c>
      <c r="GG208">
        <v>24.133099999999999</v>
      </c>
      <c r="GH208">
        <v>25.8992</v>
      </c>
      <c r="GI208">
        <v>30</v>
      </c>
      <c r="GJ208">
        <v>26.029499999999999</v>
      </c>
      <c r="GK208">
        <v>26.011099999999999</v>
      </c>
      <c r="GL208">
        <v>35.259300000000003</v>
      </c>
      <c r="GM208">
        <v>100</v>
      </c>
      <c r="GN208">
        <v>1.07894</v>
      </c>
      <c r="GO208">
        <v>24.1541</v>
      </c>
      <c r="GP208">
        <v>800</v>
      </c>
      <c r="GQ208">
        <v>0</v>
      </c>
      <c r="GR208">
        <v>99.826999999999998</v>
      </c>
      <c r="GS208">
        <v>99.71</v>
      </c>
    </row>
    <row r="209" spans="1:201" x14ac:dyDescent="0.25">
      <c r="A209">
        <v>193</v>
      </c>
      <c r="B209">
        <v>1690390206</v>
      </c>
      <c r="C209">
        <v>1947.5</v>
      </c>
      <c r="D209" t="s">
        <v>719</v>
      </c>
      <c r="E209" t="s">
        <v>720</v>
      </c>
      <c r="F209" t="s">
        <v>330</v>
      </c>
      <c r="H209">
        <v>1690390206</v>
      </c>
      <c r="I209">
        <f t="shared" ref="I209:I272" si="90">(J209)/1000</f>
        <v>2.5127281837897799E-3</v>
      </c>
      <c r="J209">
        <f t="shared" ref="J209:J259" si="91">1000*AZ209*AH209*(AV209-AW209)/(100*AO209*(1000-AH209*AV209))</f>
        <v>2.5127281837897799</v>
      </c>
      <c r="K209">
        <f t="shared" ref="K209:K259" si="92">AZ209*AH209*(AU209-AT209*(1000-AH209*AW209)/(1000-AH209*AV209))/(100*AO209)</f>
        <v>38.705900438523635</v>
      </c>
      <c r="L209">
        <f t="shared" ref="L209:L272" si="93">AT209 - IF(AH209&gt;1, K209*AO209*100/(AJ209*BH209), 0)</f>
        <v>379.72500000000002</v>
      </c>
      <c r="M209">
        <f t="shared" ref="M209:M272" si="94">((S209-I209/2)*L209-K209)/(S209+I209/2)</f>
        <v>108.19525224729645</v>
      </c>
      <c r="N209">
        <f t="shared" ref="N209:N272" si="95">M209*(BA209+BB209)/1000</f>
        <v>10.672934182341091</v>
      </c>
      <c r="O209">
        <f t="shared" ref="O209:O259" si="96">(AT209 - IF(AH209&gt;1, K209*AO209*100/(AJ209*BH209), 0))*(BA209+BB209)/1000</f>
        <v>37.458020090625006</v>
      </c>
      <c r="P209">
        <f t="shared" ref="P209:P272" si="97">2/((1/R209-1/Q209)+SIGN(R209)*SQRT((1/R209-1/Q209)*(1/R209-1/Q209) + 4*AP209/((AP209+1)*(AP209+1))*(2*1/R209*1/Q209-1/Q209*1/Q209)))</f>
        <v>0.24409632099567802</v>
      </c>
      <c r="Q209">
        <f t="shared" ref="Q209:Q259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2.159203921019595</v>
      </c>
      <c r="R209">
        <f t="shared" ref="R209:R259" si="99">I209*(1000-(1000*0.61365*EXP(17.502*V209/(240.97+V209))/(BA209+BB209)+AV209)/2)/(1000*0.61365*EXP(17.502*V209/(240.97+V209))/(BA209+BB209)-AV209)</f>
        <v>0.22973670617411981</v>
      </c>
      <c r="S209">
        <f t="shared" ref="S209:S259" si="100">1/((AP209+1)/(P209/1.6)+1/(Q209/1.37)) + AP209/((AP209+1)/(P209/1.6) + AP209/(Q209/1.37))</f>
        <v>0.14480515025913562</v>
      </c>
      <c r="T209">
        <f t="shared" ref="T209:T259" si="101">(AK209*AN209)</f>
        <v>276.11447385617868</v>
      </c>
      <c r="U209">
        <f t="shared" ref="U209:U272" si="102">(BC209+(T209+2*0.95*0.0000000567*(((BC209+$B$7)+273)^4-(BC209+273)^4)-44100*I209)/(1.84*29.3*Q209+8*0.95*0.0000000567*(BC209+273)^3))</f>
        <v>27.189499169458774</v>
      </c>
      <c r="V209">
        <f t="shared" ref="V209:V272" si="103">($C$7*BD209+$D$7*BE209+$E$7*U209)</f>
        <v>27.189499169458774</v>
      </c>
      <c r="W209">
        <f t="shared" ref="W209:W272" si="104">0.61365*EXP(17.502*V209/(240.97+V209))</f>
        <v>3.6191889017506385</v>
      </c>
      <c r="X209">
        <f t="shared" ref="X209:X272" si="105">(Y209/Z209*100)</f>
        <v>76.753070594551048</v>
      </c>
      <c r="Y209">
        <f t="shared" ref="Y209:Y259" si="106">AV209*(BA209+BB209)/1000</f>
        <v>2.5741346723625003</v>
      </c>
      <c r="Z209">
        <f t="shared" ref="Z209:Z259" si="107">0.61365*EXP(17.502*BC209/(240.97+BC209))</f>
        <v>3.3537872197457683</v>
      </c>
      <c r="AA209">
        <f t="shared" ref="AA209:AA259" si="108">(W209-AV209*(BA209+BB209)/1000)</f>
        <v>1.0450542293881382</v>
      </c>
      <c r="AB209">
        <f t="shared" ref="AB209:AB259" si="109">(-I209*44100)</f>
        <v>-110.8113129051293</v>
      </c>
      <c r="AC209">
        <f t="shared" ref="AC209:AC259" si="110">2*29.3*Q209*0.92*(BC209-V209)</f>
        <v>-150.4326717324137</v>
      </c>
      <c r="AD209">
        <f t="shared" ref="AD209:AD259" si="111">2*0.95*0.0000000567*(((BC209+$B$7)+273)^4-(V209+273)^4)</f>
        <v>-14.967207613556443</v>
      </c>
      <c r="AE209">
        <f t="shared" ref="AE209:AE272" si="112">T209+AD209+AB209+AC209</f>
        <v>-9.6718394920770834E-2</v>
      </c>
      <c r="AF209">
        <v>0</v>
      </c>
      <c r="AG209">
        <v>0</v>
      </c>
      <c r="AH209">
        <f t="shared" ref="AH209:AH259" si="113">IF(AF209*$H$13&gt;=AJ209,1,(AJ209/(AJ209-AF209*$H$13)))</f>
        <v>1</v>
      </c>
      <c r="AI209">
        <f t="shared" ref="AI209:AI272" si="114">(AH209-1)*100</f>
        <v>0</v>
      </c>
      <c r="AJ209">
        <f t="shared" ref="AJ209:AJ259" si="115">MAX(0,($B$13+$C$13*BH209)/(1+$D$13*BH209)*BA209/(BC209+273)*$E$13)</f>
        <v>52412.945170287414</v>
      </c>
      <c r="AK209">
        <f t="shared" ref="AK209:AK259" si="116">$B$11*BI209+$C$11*BJ209+$D$11*BU209</f>
        <v>1799.99</v>
      </c>
      <c r="AL209">
        <f t="shared" ref="AL209:AL272" si="117">AK209*AM209</f>
        <v>1499.1030200036198</v>
      </c>
      <c r="AM209">
        <f t="shared" ref="AM209:AM259" si="118">($B$11*$D$9+$C$11*$D$9+$D$11*(BV209*$E$9+BW209*$F$9+BX209*$G$9+BY209*$H$9))/($B$11+$C$11+$D$11)</f>
        <v>0.83283963799999994</v>
      </c>
      <c r="AN209">
        <f t="shared" ref="AN209:AN259" si="119">($B$11*$K$9+$C$11*$K$9+$D$11*(BV209*$L$9+BW209*$M$9+BX209*$N$9+BY209*$O$9))/($B$11+$C$11+$D$11)</f>
        <v>0.15339778212999999</v>
      </c>
      <c r="AO209">
        <v>31.8</v>
      </c>
      <c r="AP209">
        <v>0.5</v>
      </c>
      <c r="AQ209" t="s">
        <v>331</v>
      </c>
      <c r="AR209">
        <v>2</v>
      </c>
      <c r="AS209">
        <v>1690390206</v>
      </c>
      <c r="AT209">
        <v>379.72500000000002</v>
      </c>
      <c r="AU209">
        <v>799.96600000000001</v>
      </c>
      <c r="AV209">
        <v>26.094899999999999</v>
      </c>
      <c r="AW209">
        <v>0.16461100000000001</v>
      </c>
      <c r="AX209">
        <v>379.286</v>
      </c>
      <c r="AY209">
        <v>25.8965</v>
      </c>
      <c r="AZ209">
        <v>300.11099999999999</v>
      </c>
      <c r="BA209">
        <v>98.545100000000005</v>
      </c>
      <c r="BB209">
        <v>0.100025</v>
      </c>
      <c r="BC209">
        <v>25.897200000000002</v>
      </c>
      <c r="BD209">
        <v>26.9879</v>
      </c>
      <c r="BE209">
        <v>27.034600000000001</v>
      </c>
      <c r="BF209">
        <v>0</v>
      </c>
      <c r="BG209">
        <v>0</v>
      </c>
      <c r="BH209">
        <v>10022.5</v>
      </c>
      <c r="BI209">
        <v>1068.1300000000001</v>
      </c>
      <c r="BJ209">
        <v>1.38764</v>
      </c>
      <c r="BK209">
        <v>-420.24200000000002</v>
      </c>
      <c r="BL209">
        <v>389.899</v>
      </c>
      <c r="BM209">
        <v>800.09799999999996</v>
      </c>
      <c r="BN209">
        <v>25.930299999999999</v>
      </c>
      <c r="BO209">
        <v>799.96600000000001</v>
      </c>
      <c r="BP209">
        <v>0.16461100000000001</v>
      </c>
      <c r="BQ209">
        <v>2.5715300000000001</v>
      </c>
      <c r="BR209">
        <v>1.6221599999999999E-2</v>
      </c>
      <c r="BS209">
        <v>21.4864</v>
      </c>
      <c r="BT209">
        <v>-41.4223</v>
      </c>
      <c r="BU209">
        <v>1799.99</v>
      </c>
      <c r="BV209">
        <v>0.90998999999999997</v>
      </c>
      <c r="BW209">
        <v>3.3999500000000002E-2</v>
      </c>
      <c r="BX209">
        <v>2.2004900000000001E-2</v>
      </c>
      <c r="BY209">
        <v>3.4005500000000001E-2</v>
      </c>
      <c r="BZ209">
        <v>25</v>
      </c>
      <c r="CA209">
        <v>33528.199999999997</v>
      </c>
      <c r="CB209">
        <v>1690387638</v>
      </c>
      <c r="CC209" t="s">
        <v>332</v>
      </c>
      <c r="CD209">
        <v>1690387638</v>
      </c>
      <c r="CE209">
        <v>1690387638</v>
      </c>
      <c r="CF209">
        <v>6</v>
      </c>
      <c r="CG209">
        <v>0.43</v>
      </c>
      <c r="CH209">
        <v>-8.1000000000000003E-2</v>
      </c>
      <c r="CI209">
        <v>0.14199999999999999</v>
      </c>
      <c r="CJ209">
        <v>-2.7E-2</v>
      </c>
      <c r="CK209">
        <v>800</v>
      </c>
      <c r="CL209">
        <v>0</v>
      </c>
      <c r="CM209">
        <v>0.01</v>
      </c>
      <c r="CN209">
        <v>0.01</v>
      </c>
      <c r="CO209">
        <v>-420.0093</v>
      </c>
      <c r="CP209">
        <v>-1.0991594746708631</v>
      </c>
      <c r="CQ209">
        <v>0.11831487649488411</v>
      </c>
      <c r="CR209">
        <v>-1</v>
      </c>
      <c r="CS209">
        <v>25.904567499999999</v>
      </c>
      <c r="CT209">
        <v>0.14479136960601791</v>
      </c>
      <c r="CU209">
        <v>1.4213926049828849E-2</v>
      </c>
      <c r="CV209">
        <v>-1</v>
      </c>
      <c r="CW209">
        <v>0</v>
      </c>
      <c r="CX209">
        <v>0</v>
      </c>
      <c r="CY209" t="s">
        <v>333</v>
      </c>
      <c r="CZ209">
        <v>2.3648500000000001</v>
      </c>
      <c r="DA209">
        <v>2.7138399999999998</v>
      </c>
      <c r="DB209">
        <v>8.5510699999999995E-2</v>
      </c>
      <c r="DC209">
        <v>0.14530699999999999</v>
      </c>
      <c r="DD209">
        <v>0.120224</v>
      </c>
      <c r="DE209">
        <v>1.37941E-3</v>
      </c>
      <c r="DF209">
        <v>33421.1</v>
      </c>
      <c r="DG209">
        <v>27583.4</v>
      </c>
      <c r="DH209">
        <v>31198.3</v>
      </c>
      <c r="DI209">
        <v>28120.799999999999</v>
      </c>
      <c r="DJ209">
        <v>37257.599999999999</v>
      </c>
      <c r="DK209">
        <v>39942.300000000003</v>
      </c>
      <c r="DL209">
        <v>44402.8</v>
      </c>
      <c r="DM209">
        <v>42623.9</v>
      </c>
      <c r="DN209">
        <v>1.4771000000000001</v>
      </c>
      <c r="DO209">
        <v>2.0316700000000001</v>
      </c>
      <c r="DP209">
        <v>0.14329700000000001</v>
      </c>
      <c r="DQ209">
        <v>0.14893000000000001</v>
      </c>
      <c r="DR209">
        <v>24.639900000000001</v>
      </c>
      <c r="DS209">
        <v>24.5943</v>
      </c>
      <c r="DT209">
        <v>21.6</v>
      </c>
      <c r="DU209">
        <v>29.3</v>
      </c>
      <c r="DV209">
        <v>8.9694199999999995</v>
      </c>
      <c r="DW209">
        <v>60.802300000000002</v>
      </c>
      <c r="DX209">
        <v>36.766800000000003</v>
      </c>
      <c r="DY209">
        <v>1</v>
      </c>
      <c r="DZ209">
        <v>-0.12021800000000001</v>
      </c>
      <c r="EA209">
        <v>4.1015799999999998E-2</v>
      </c>
      <c r="EB209">
        <v>20.190000000000001</v>
      </c>
      <c r="EC209">
        <v>5.2413999999999996</v>
      </c>
      <c r="ED209">
        <v>12.039899999999999</v>
      </c>
      <c r="EE209">
        <v>5.0167999999999999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1.8692</v>
      </c>
      <c r="EN209">
        <v>1.8672200000000001</v>
      </c>
      <c r="EO209">
        <v>1.8633599999999999</v>
      </c>
      <c r="EP209">
        <v>1.8644700000000001</v>
      </c>
      <c r="EQ209">
        <v>1.87015</v>
      </c>
      <c r="ER209">
        <v>1.8693500000000001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0.439</v>
      </c>
      <c r="FG209">
        <v>0.19839999999999999</v>
      </c>
      <c r="FH209">
        <v>0.69281559908863044</v>
      </c>
      <c r="FI209">
        <v>-6.1462078757559423E-4</v>
      </c>
      <c r="FJ209">
        <v>-1.8861989874597051E-7</v>
      </c>
      <c r="FK209">
        <v>1.1980462299894961E-10</v>
      </c>
      <c r="FL209">
        <v>0.19840465858211129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42.8</v>
      </c>
      <c r="FU209">
        <v>42.8</v>
      </c>
      <c r="FV209">
        <v>1.7639199999999999</v>
      </c>
      <c r="FW209">
        <v>2.5842299999999998</v>
      </c>
      <c r="FX209">
        <v>1.5490699999999999</v>
      </c>
      <c r="FY209">
        <v>2.33521</v>
      </c>
      <c r="FZ209">
        <v>1.50146</v>
      </c>
      <c r="GA209">
        <v>2.3547400000000001</v>
      </c>
      <c r="GB209">
        <v>33.602899999999998</v>
      </c>
      <c r="GC209">
        <v>23.991199999999999</v>
      </c>
      <c r="GD209">
        <v>19</v>
      </c>
      <c r="GE209">
        <v>281.84100000000001</v>
      </c>
      <c r="GF209">
        <v>575.59299999999996</v>
      </c>
      <c r="GG209">
        <v>24.165500000000002</v>
      </c>
      <c r="GH209">
        <v>25.897400000000001</v>
      </c>
      <c r="GI209">
        <v>29.9999</v>
      </c>
      <c r="GJ209">
        <v>26.029499999999999</v>
      </c>
      <c r="GK209">
        <v>26.009</v>
      </c>
      <c r="GL209">
        <v>35.261200000000002</v>
      </c>
      <c r="GM209">
        <v>100</v>
      </c>
      <c r="GN209">
        <v>0.70757199999999998</v>
      </c>
      <c r="GO209">
        <v>24.166699999999999</v>
      </c>
      <c r="GP209">
        <v>800</v>
      </c>
      <c r="GQ209">
        <v>0</v>
      </c>
      <c r="GR209">
        <v>99.827399999999997</v>
      </c>
      <c r="GS209">
        <v>99.709900000000005</v>
      </c>
    </row>
    <row r="210" spans="1:201" x14ac:dyDescent="0.25">
      <c r="A210">
        <v>194</v>
      </c>
      <c r="B210">
        <v>1690390216</v>
      </c>
      <c r="C210">
        <v>1957.5</v>
      </c>
      <c r="D210" t="s">
        <v>721</v>
      </c>
      <c r="E210" t="s">
        <v>722</v>
      </c>
      <c r="F210" t="s">
        <v>330</v>
      </c>
      <c r="H210">
        <v>1690390216</v>
      </c>
      <c r="I210">
        <f t="shared" si="90"/>
        <v>2.5147501057111448E-3</v>
      </c>
      <c r="J210">
        <f t="shared" si="91"/>
        <v>2.5147501057111445</v>
      </c>
      <c r="K210">
        <f t="shared" si="92"/>
        <v>38.720828418189406</v>
      </c>
      <c r="L210">
        <f t="shared" si="93"/>
        <v>379.64699999999999</v>
      </c>
      <c r="M210">
        <f t="shared" si="94"/>
        <v>108.26704605959068</v>
      </c>
      <c r="N210">
        <f t="shared" si="95"/>
        <v>10.680474889482781</v>
      </c>
      <c r="O210">
        <f t="shared" si="96"/>
        <v>37.4519338796376</v>
      </c>
      <c r="P210">
        <f t="shared" si="97"/>
        <v>0.24434600798597275</v>
      </c>
      <c r="Q210">
        <f t="shared" si="98"/>
        <v>2.1580610322295235</v>
      </c>
      <c r="R210">
        <f t="shared" si="99"/>
        <v>0.22995079232348839</v>
      </c>
      <c r="S210">
        <f t="shared" si="100"/>
        <v>0.14494187502249983</v>
      </c>
      <c r="T210">
        <f t="shared" si="101"/>
        <v>276.11585883000004</v>
      </c>
      <c r="U210">
        <f t="shared" si="102"/>
        <v>27.196227437383758</v>
      </c>
      <c r="V210">
        <f t="shared" si="103"/>
        <v>27.196227437383758</v>
      </c>
      <c r="W210">
        <f t="shared" si="104"/>
        <v>3.620617314133904</v>
      </c>
      <c r="X210">
        <f t="shared" si="105"/>
        <v>76.767804026172485</v>
      </c>
      <c r="Y210">
        <f t="shared" si="106"/>
        <v>2.5756657559354403</v>
      </c>
      <c r="Z210">
        <f t="shared" si="107"/>
        <v>3.3551379886512285</v>
      </c>
      <c r="AA210">
        <f t="shared" si="108"/>
        <v>1.0449515581984636</v>
      </c>
      <c r="AB210">
        <f t="shared" si="109"/>
        <v>-110.90047966186148</v>
      </c>
      <c r="AC210">
        <f t="shared" si="110"/>
        <v>-150.34470047975728</v>
      </c>
      <c r="AD210">
        <f t="shared" si="111"/>
        <v>-14.967390724947276</v>
      </c>
      <c r="AE210">
        <f t="shared" si="112"/>
        <v>-9.671203656600369E-2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52363.901865432621</v>
      </c>
      <c r="AK210">
        <f t="shared" si="116"/>
        <v>1800</v>
      </c>
      <c r="AL210">
        <f t="shared" si="117"/>
        <v>1499.1110639999999</v>
      </c>
      <c r="AM210">
        <f t="shared" si="118"/>
        <v>0.83283947999999997</v>
      </c>
      <c r="AN210">
        <f t="shared" si="119"/>
        <v>0.15339769935000003</v>
      </c>
      <c r="AO210">
        <v>31.8</v>
      </c>
      <c r="AP210">
        <v>0.5</v>
      </c>
      <c r="AQ210" t="s">
        <v>331</v>
      </c>
      <c r="AR210">
        <v>2</v>
      </c>
      <c r="AS210">
        <v>1690390216</v>
      </c>
      <c r="AT210">
        <v>379.64699999999999</v>
      </c>
      <c r="AU210">
        <v>799.95699999999999</v>
      </c>
      <c r="AV210">
        <v>26.109300000000001</v>
      </c>
      <c r="AW210">
        <v>0.164408</v>
      </c>
      <c r="AX210">
        <v>379.20699999999999</v>
      </c>
      <c r="AY210">
        <v>25.910900000000002</v>
      </c>
      <c r="AZ210">
        <v>300.17899999999997</v>
      </c>
      <c r="BA210">
        <v>98.549400000000006</v>
      </c>
      <c r="BB210">
        <v>9.9960800000000002E-2</v>
      </c>
      <c r="BC210">
        <v>25.904</v>
      </c>
      <c r="BD210">
        <v>26.9908</v>
      </c>
      <c r="BE210">
        <v>27.009799999999998</v>
      </c>
      <c r="BF210">
        <v>0</v>
      </c>
      <c r="BG210">
        <v>0</v>
      </c>
      <c r="BH210">
        <v>10012.5</v>
      </c>
      <c r="BI210">
        <v>1068.3</v>
      </c>
      <c r="BJ210">
        <v>1.38764</v>
      </c>
      <c r="BK210">
        <v>-420.31099999999998</v>
      </c>
      <c r="BL210">
        <v>389.82499999999999</v>
      </c>
      <c r="BM210">
        <v>800.08900000000006</v>
      </c>
      <c r="BN210">
        <v>25.944900000000001</v>
      </c>
      <c r="BO210">
        <v>799.95699999999999</v>
      </c>
      <c r="BP210">
        <v>0.164408</v>
      </c>
      <c r="BQ210">
        <v>2.5730599999999999</v>
      </c>
      <c r="BR210">
        <v>1.6202299999999999E-2</v>
      </c>
      <c r="BS210">
        <v>21.496099999999998</v>
      </c>
      <c r="BT210">
        <v>-41.433500000000002</v>
      </c>
      <c r="BU210">
        <v>1800</v>
      </c>
      <c r="BV210">
        <v>0.90999099999999999</v>
      </c>
      <c r="BW210">
        <v>3.3999000000000001E-2</v>
      </c>
      <c r="BX210">
        <v>2.20045E-2</v>
      </c>
      <c r="BY210">
        <v>3.4005100000000003E-2</v>
      </c>
      <c r="BZ210">
        <v>25</v>
      </c>
      <c r="CA210">
        <v>33528.300000000003</v>
      </c>
      <c r="CB210">
        <v>1690387638</v>
      </c>
      <c r="CC210" t="s">
        <v>332</v>
      </c>
      <c r="CD210">
        <v>1690387638</v>
      </c>
      <c r="CE210">
        <v>1690387638</v>
      </c>
      <c r="CF210">
        <v>6</v>
      </c>
      <c r="CG210">
        <v>0.43</v>
      </c>
      <c r="CH210">
        <v>-8.1000000000000003E-2</v>
      </c>
      <c r="CI210">
        <v>0.14199999999999999</v>
      </c>
      <c r="CJ210">
        <v>-2.7E-2</v>
      </c>
      <c r="CK210">
        <v>800</v>
      </c>
      <c r="CL210">
        <v>0</v>
      </c>
      <c r="CM210">
        <v>0.01</v>
      </c>
      <c r="CN210">
        <v>0.01</v>
      </c>
      <c r="CO210">
        <v>-420.22417073170737</v>
      </c>
      <c r="CP210">
        <v>-1.672682926830465</v>
      </c>
      <c r="CQ210">
        <v>0.16988703598870089</v>
      </c>
      <c r="CR210">
        <v>-1</v>
      </c>
      <c r="CS210">
        <v>25.925609756097561</v>
      </c>
      <c r="CT210">
        <v>0.13013101045301931</v>
      </c>
      <c r="CU210">
        <v>1.304373141431572E-2</v>
      </c>
      <c r="CV210">
        <v>-1</v>
      </c>
      <c r="CW210">
        <v>0</v>
      </c>
      <c r="CX210">
        <v>0</v>
      </c>
      <c r="CY210" t="s">
        <v>333</v>
      </c>
      <c r="CZ210">
        <v>2.3650500000000001</v>
      </c>
      <c r="DA210">
        <v>2.7137600000000002</v>
      </c>
      <c r="DB210">
        <v>8.5500900000000005E-2</v>
      </c>
      <c r="DC210">
        <v>0.145312</v>
      </c>
      <c r="DD210">
        <v>0.12027599999999999</v>
      </c>
      <c r="DE210">
        <v>1.37779E-3</v>
      </c>
      <c r="DF210">
        <v>33421.4</v>
      </c>
      <c r="DG210">
        <v>27583.200000000001</v>
      </c>
      <c r="DH210">
        <v>31198.3</v>
      </c>
      <c r="DI210">
        <v>28120.799999999999</v>
      </c>
      <c r="DJ210">
        <v>37255.5</v>
      </c>
      <c r="DK210">
        <v>39942.699999999997</v>
      </c>
      <c r="DL210">
        <v>44402.9</v>
      </c>
      <c r="DM210">
        <v>42624.2</v>
      </c>
      <c r="DN210">
        <v>1.47672</v>
      </c>
      <c r="DO210">
        <v>2.0316000000000001</v>
      </c>
      <c r="DP210">
        <v>0.14328199999999999</v>
      </c>
      <c r="DQ210">
        <v>0.14718600000000001</v>
      </c>
      <c r="DR210">
        <v>24.643000000000001</v>
      </c>
      <c r="DS210">
        <v>24.597999999999999</v>
      </c>
      <c r="DT210">
        <v>21.6</v>
      </c>
      <c r="DU210">
        <v>29.3</v>
      </c>
      <c r="DV210">
        <v>8.9699600000000004</v>
      </c>
      <c r="DW210">
        <v>60.942300000000003</v>
      </c>
      <c r="DX210">
        <v>37.668300000000002</v>
      </c>
      <c r="DY210">
        <v>1</v>
      </c>
      <c r="DZ210">
        <v>-0.120147</v>
      </c>
      <c r="EA210">
        <v>4.76035E-2</v>
      </c>
      <c r="EB210">
        <v>20.190000000000001</v>
      </c>
      <c r="EC210">
        <v>5.24125</v>
      </c>
      <c r="ED210">
        <v>12.039899999999999</v>
      </c>
      <c r="EE210">
        <v>5.0168499999999998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1.8692</v>
      </c>
      <c r="EN210">
        <v>1.8672299999999999</v>
      </c>
      <c r="EO210">
        <v>1.86338</v>
      </c>
      <c r="EP210">
        <v>1.86446</v>
      </c>
      <c r="EQ210">
        <v>1.8701399999999999</v>
      </c>
      <c r="ER210">
        <v>1.8693500000000001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0.44</v>
      </c>
      <c r="FG210">
        <v>0.19839999999999999</v>
      </c>
      <c r="FH210">
        <v>0.69281559908863044</v>
      </c>
      <c r="FI210">
        <v>-6.1462078757559423E-4</v>
      </c>
      <c r="FJ210">
        <v>-1.8861989874597051E-7</v>
      </c>
      <c r="FK210">
        <v>1.1980462299894961E-10</v>
      </c>
      <c r="FL210">
        <v>0.19840465858211129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43</v>
      </c>
      <c r="FU210">
        <v>43</v>
      </c>
      <c r="FV210">
        <v>1.7639199999999999</v>
      </c>
      <c r="FW210">
        <v>2.5878899999999998</v>
      </c>
      <c r="FX210">
        <v>1.5490699999999999</v>
      </c>
      <c r="FY210">
        <v>2.33521</v>
      </c>
      <c r="FZ210">
        <v>1.50146</v>
      </c>
      <c r="GA210">
        <v>2.2924799999999999</v>
      </c>
      <c r="GB210">
        <v>33.602899999999998</v>
      </c>
      <c r="GC210">
        <v>23.982399999999998</v>
      </c>
      <c r="GD210">
        <v>19</v>
      </c>
      <c r="GE210">
        <v>281.68200000000002</v>
      </c>
      <c r="GF210">
        <v>575.53200000000004</v>
      </c>
      <c r="GG210">
        <v>24.1785</v>
      </c>
      <c r="GH210">
        <v>25.896999999999998</v>
      </c>
      <c r="GI210">
        <v>30.0002</v>
      </c>
      <c r="GJ210">
        <v>26.029499999999999</v>
      </c>
      <c r="GK210">
        <v>26.009</v>
      </c>
      <c r="GL210">
        <v>35.260399999999997</v>
      </c>
      <c r="GM210">
        <v>100</v>
      </c>
      <c r="GN210">
        <v>0.32261499999999999</v>
      </c>
      <c r="GO210">
        <v>24.181899999999999</v>
      </c>
      <c r="GP210">
        <v>800</v>
      </c>
      <c r="GQ210">
        <v>0</v>
      </c>
      <c r="GR210">
        <v>99.827600000000004</v>
      </c>
      <c r="GS210">
        <v>99.710300000000004</v>
      </c>
    </row>
    <row r="211" spans="1:201" x14ac:dyDescent="0.25">
      <c r="A211">
        <v>195</v>
      </c>
      <c r="B211">
        <v>1690390226</v>
      </c>
      <c r="C211">
        <v>1967.5</v>
      </c>
      <c r="D211" t="s">
        <v>723</v>
      </c>
      <c r="E211" t="s">
        <v>724</v>
      </c>
      <c r="F211" t="s">
        <v>330</v>
      </c>
      <c r="H211">
        <v>1690390226</v>
      </c>
      <c r="I211">
        <f t="shared" si="90"/>
        <v>2.5156032244355018E-3</v>
      </c>
      <c r="J211">
        <f t="shared" si="91"/>
        <v>2.5156032244355018</v>
      </c>
      <c r="K211">
        <f t="shared" si="92"/>
        <v>38.748447768961981</v>
      </c>
      <c r="L211">
        <f t="shared" si="93"/>
        <v>379.27100000000002</v>
      </c>
      <c r="M211">
        <f t="shared" si="94"/>
        <v>107.93782047738941</v>
      </c>
      <c r="N211">
        <f t="shared" si="95"/>
        <v>10.648100141620864</v>
      </c>
      <c r="O211">
        <f t="shared" si="96"/>
        <v>37.415204151344398</v>
      </c>
      <c r="P211">
        <f t="shared" si="97"/>
        <v>0.2445575973726738</v>
      </c>
      <c r="Q211">
        <f t="shared" si="98"/>
        <v>2.1595669299654952</v>
      </c>
      <c r="R211">
        <f t="shared" si="99"/>
        <v>0.23014764855435918</v>
      </c>
      <c r="S211">
        <f t="shared" si="100"/>
        <v>0.14506615032521342</v>
      </c>
      <c r="T211">
        <f t="shared" si="101"/>
        <v>276.11597561399998</v>
      </c>
      <c r="U211">
        <f t="shared" si="102"/>
        <v>27.201906311425763</v>
      </c>
      <c r="V211">
        <f t="shared" si="103"/>
        <v>27.201906311425763</v>
      </c>
      <c r="W211">
        <f t="shared" si="104"/>
        <v>3.6218233229322099</v>
      </c>
      <c r="X211">
        <f t="shared" si="105"/>
        <v>76.789076556459975</v>
      </c>
      <c r="Y211">
        <f t="shared" si="106"/>
        <v>2.5774170865195196</v>
      </c>
      <c r="Z211">
        <f t="shared" si="107"/>
        <v>3.3564892327158624</v>
      </c>
      <c r="AA211">
        <f t="shared" si="108"/>
        <v>1.0444062364126903</v>
      </c>
      <c r="AB211">
        <f t="shared" si="109"/>
        <v>-110.93810219760563</v>
      </c>
      <c r="AC211">
        <f t="shared" si="110"/>
        <v>-150.3190823507361</v>
      </c>
      <c r="AD211">
        <f t="shared" si="111"/>
        <v>-14.955339507081323</v>
      </c>
      <c r="AE211">
        <f t="shared" si="112"/>
        <v>-9.6548441423067288E-2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52425.911259851593</v>
      </c>
      <c r="AK211">
        <f t="shared" si="116"/>
        <v>1800</v>
      </c>
      <c r="AL211">
        <f t="shared" si="117"/>
        <v>1499.1118973999999</v>
      </c>
      <c r="AM211">
        <f t="shared" si="118"/>
        <v>0.83283994299999997</v>
      </c>
      <c r="AN211">
        <f t="shared" si="119"/>
        <v>0.15339776422999998</v>
      </c>
      <c r="AO211">
        <v>31.8</v>
      </c>
      <c r="AP211">
        <v>0.5</v>
      </c>
      <c r="AQ211" t="s">
        <v>331</v>
      </c>
      <c r="AR211">
        <v>2</v>
      </c>
      <c r="AS211">
        <v>1690390226</v>
      </c>
      <c r="AT211">
        <v>379.27100000000002</v>
      </c>
      <c r="AU211">
        <v>800.03099999999995</v>
      </c>
      <c r="AV211">
        <v>26.126799999999999</v>
      </c>
      <c r="AW211">
        <v>0.16345299999999999</v>
      </c>
      <c r="AX211">
        <v>378.83100000000002</v>
      </c>
      <c r="AY211">
        <v>25.9284</v>
      </c>
      <c r="AZ211">
        <v>300.06200000000001</v>
      </c>
      <c r="BA211">
        <v>98.550399999999996</v>
      </c>
      <c r="BB211">
        <v>9.9916400000000002E-2</v>
      </c>
      <c r="BC211">
        <v>25.910799999999998</v>
      </c>
      <c r="BD211">
        <v>27.011099999999999</v>
      </c>
      <c r="BE211">
        <v>27.0443</v>
      </c>
      <c r="BF211">
        <v>0</v>
      </c>
      <c r="BG211">
        <v>0</v>
      </c>
      <c r="BH211">
        <v>10025</v>
      </c>
      <c r="BI211">
        <v>1068.27</v>
      </c>
      <c r="BJ211">
        <v>1.3455900000000001</v>
      </c>
      <c r="BK211">
        <v>-420.76100000000002</v>
      </c>
      <c r="BL211">
        <v>389.44499999999999</v>
      </c>
      <c r="BM211">
        <v>800.16200000000003</v>
      </c>
      <c r="BN211">
        <v>25.9633</v>
      </c>
      <c r="BO211">
        <v>800.03099999999995</v>
      </c>
      <c r="BP211">
        <v>0.16345299999999999</v>
      </c>
      <c r="BQ211">
        <v>2.5748099999999998</v>
      </c>
      <c r="BR211">
        <v>1.6108399999999998E-2</v>
      </c>
      <c r="BS211">
        <v>21.507200000000001</v>
      </c>
      <c r="BT211">
        <v>-41.488399999999999</v>
      </c>
      <c r="BU211">
        <v>1800</v>
      </c>
      <c r="BV211">
        <v>0.90999200000000002</v>
      </c>
      <c r="BW211">
        <v>3.3998800000000003E-2</v>
      </c>
      <c r="BX211">
        <v>2.20044E-2</v>
      </c>
      <c r="BY211">
        <v>3.4004899999999998E-2</v>
      </c>
      <c r="BZ211">
        <v>25</v>
      </c>
      <c r="CA211">
        <v>33528.300000000003</v>
      </c>
      <c r="CB211">
        <v>1690387638</v>
      </c>
      <c r="CC211" t="s">
        <v>332</v>
      </c>
      <c r="CD211">
        <v>1690387638</v>
      </c>
      <c r="CE211">
        <v>1690387638</v>
      </c>
      <c r="CF211">
        <v>6</v>
      </c>
      <c r="CG211">
        <v>0.43</v>
      </c>
      <c r="CH211">
        <v>-8.1000000000000003E-2</v>
      </c>
      <c r="CI211">
        <v>0.14199999999999999</v>
      </c>
      <c r="CJ211">
        <v>-2.7E-2</v>
      </c>
      <c r="CK211">
        <v>800</v>
      </c>
      <c r="CL211">
        <v>0</v>
      </c>
      <c r="CM211">
        <v>0.01</v>
      </c>
      <c r="CN211">
        <v>0.01</v>
      </c>
      <c r="CO211">
        <v>-420.44436585365861</v>
      </c>
      <c r="CP211">
        <v>-1.407470383275031</v>
      </c>
      <c r="CQ211">
        <v>0.19118255304845419</v>
      </c>
      <c r="CR211">
        <v>-1</v>
      </c>
      <c r="CS211">
        <v>25.94363414634147</v>
      </c>
      <c r="CT211">
        <v>8.8467595818835107E-2</v>
      </c>
      <c r="CU211">
        <v>8.7558652051514512E-3</v>
      </c>
      <c r="CV211">
        <v>-1</v>
      </c>
      <c r="CW211">
        <v>0</v>
      </c>
      <c r="CX211">
        <v>0</v>
      </c>
      <c r="CY211" t="s">
        <v>333</v>
      </c>
      <c r="CZ211">
        <v>2.3646699999999998</v>
      </c>
      <c r="DA211">
        <v>2.71373</v>
      </c>
      <c r="DB211">
        <v>8.5436200000000004E-2</v>
      </c>
      <c r="DC211">
        <v>0.14532300000000001</v>
      </c>
      <c r="DD211">
        <v>0.120333</v>
      </c>
      <c r="DE211">
        <v>1.36988E-3</v>
      </c>
      <c r="DF211">
        <v>33424.6</v>
      </c>
      <c r="DG211">
        <v>27582.799999999999</v>
      </c>
      <c r="DH211">
        <v>31199.1</v>
      </c>
      <c r="DI211">
        <v>28120.7</v>
      </c>
      <c r="DJ211">
        <v>37254</v>
      </c>
      <c r="DK211">
        <v>39942.699999999997</v>
      </c>
      <c r="DL211">
        <v>44404</v>
      </c>
      <c r="DM211">
        <v>42623.9</v>
      </c>
      <c r="DN211">
        <v>1.47627</v>
      </c>
      <c r="DO211">
        <v>2.0316700000000001</v>
      </c>
      <c r="DP211">
        <v>0.1444</v>
      </c>
      <c r="DQ211">
        <v>0.149205</v>
      </c>
      <c r="DR211">
        <v>24.645099999999999</v>
      </c>
      <c r="DS211">
        <v>24.599499999999999</v>
      </c>
      <c r="DT211">
        <v>21.6</v>
      </c>
      <c r="DU211">
        <v>29.3</v>
      </c>
      <c r="DV211">
        <v>8.9686199999999996</v>
      </c>
      <c r="DW211">
        <v>60.962299999999999</v>
      </c>
      <c r="DX211">
        <v>37.203499999999998</v>
      </c>
      <c r="DY211">
        <v>1</v>
      </c>
      <c r="DZ211">
        <v>-0.12001299999999999</v>
      </c>
      <c r="EA211">
        <v>0.15784000000000001</v>
      </c>
      <c r="EB211">
        <v>20.189900000000002</v>
      </c>
      <c r="EC211">
        <v>5.2411000000000003</v>
      </c>
      <c r="ED211">
        <v>12.039899999999999</v>
      </c>
      <c r="EE211">
        <v>5.01715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1.8692</v>
      </c>
      <c r="EN211">
        <v>1.8672200000000001</v>
      </c>
      <c r="EO211">
        <v>1.86337</v>
      </c>
      <c r="EP211">
        <v>1.8644700000000001</v>
      </c>
      <c r="EQ211">
        <v>1.8701399999999999</v>
      </c>
      <c r="ER211">
        <v>1.8693500000000001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0.44</v>
      </c>
      <c r="FG211">
        <v>0.19839999999999999</v>
      </c>
      <c r="FH211">
        <v>0.69281559908863044</v>
      </c>
      <c r="FI211">
        <v>-6.1462078757559423E-4</v>
      </c>
      <c r="FJ211">
        <v>-1.8861989874597051E-7</v>
      </c>
      <c r="FK211">
        <v>1.1980462299894961E-10</v>
      </c>
      <c r="FL211">
        <v>0.19840465858211129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43.1</v>
      </c>
      <c r="FU211">
        <v>43.1</v>
      </c>
      <c r="FV211">
        <v>1.7639199999999999</v>
      </c>
      <c r="FW211">
        <v>2.5817899999999998</v>
      </c>
      <c r="FX211">
        <v>1.5490699999999999</v>
      </c>
      <c r="FY211">
        <v>2.33521</v>
      </c>
      <c r="FZ211">
        <v>1.50146</v>
      </c>
      <c r="GA211">
        <v>2.3767100000000001</v>
      </c>
      <c r="GB211">
        <v>33.602899999999998</v>
      </c>
      <c r="GC211">
        <v>23.991199999999999</v>
      </c>
      <c r="GD211">
        <v>19</v>
      </c>
      <c r="GE211">
        <v>281.49099999999999</v>
      </c>
      <c r="GF211">
        <v>575.59299999999996</v>
      </c>
      <c r="GG211">
        <v>24.188199999999998</v>
      </c>
      <c r="GH211">
        <v>25.896999999999998</v>
      </c>
      <c r="GI211">
        <v>30.0001</v>
      </c>
      <c r="GJ211">
        <v>26.029499999999999</v>
      </c>
      <c r="GK211">
        <v>26.009</v>
      </c>
      <c r="GL211">
        <v>35.257399999999997</v>
      </c>
      <c r="GM211">
        <v>100</v>
      </c>
      <c r="GN211">
        <v>0</v>
      </c>
      <c r="GO211">
        <v>24.1493</v>
      </c>
      <c r="GP211">
        <v>800</v>
      </c>
      <c r="GQ211">
        <v>0</v>
      </c>
      <c r="GR211">
        <v>99.830100000000002</v>
      </c>
      <c r="GS211">
        <v>99.709699999999998</v>
      </c>
    </row>
    <row r="212" spans="1:201" x14ac:dyDescent="0.25">
      <c r="A212">
        <v>196</v>
      </c>
      <c r="B212">
        <v>1690390236</v>
      </c>
      <c r="C212">
        <v>1977.5</v>
      </c>
      <c r="D212" t="s">
        <v>725</v>
      </c>
      <c r="E212" t="s">
        <v>726</v>
      </c>
      <c r="F212" t="s">
        <v>330</v>
      </c>
      <c r="H212">
        <v>1690390236</v>
      </c>
      <c r="I212">
        <f t="shared" si="90"/>
        <v>2.5171195850798101E-3</v>
      </c>
      <c r="J212">
        <f t="shared" si="91"/>
        <v>2.51711958507981</v>
      </c>
      <c r="K212">
        <f t="shared" si="92"/>
        <v>38.76847587029971</v>
      </c>
      <c r="L212">
        <f t="shared" si="93"/>
        <v>379.13200000000001</v>
      </c>
      <c r="M212">
        <f t="shared" si="94"/>
        <v>107.97212418788089</v>
      </c>
      <c r="N212">
        <f t="shared" si="95"/>
        <v>10.651566930958882</v>
      </c>
      <c r="O212">
        <f t="shared" si="96"/>
        <v>37.401782210390003</v>
      </c>
      <c r="P212">
        <f t="shared" si="97"/>
        <v>0.24486763893304284</v>
      </c>
      <c r="Q212">
        <f t="shared" si="98"/>
        <v>2.1574837193926673</v>
      </c>
      <c r="R212">
        <f t="shared" si="99"/>
        <v>0.23040922397230457</v>
      </c>
      <c r="S212">
        <f t="shared" si="100"/>
        <v>0.14523360219809794</v>
      </c>
      <c r="T212">
        <f t="shared" si="101"/>
        <v>276.115947264</v>
      </c>
      <c r="U212">
        <f t="shared" si="102"/>
        <v>27.202417464181163</v>
      </c>
      <c r="V212">
        <f t="shared" si="103"/>
        <v>27.202417464181163</v>
      </c>
      <c r="W212">
        <f t="shared" si="104"/>
        <v>3.6219318924096395</v>
      </c>
      <c r="X212">
        <f t="shared" si="105"/>
        <v>76.809231942620698</v>
      </c>
      <c r="Y212">
        <f t="shared" si="106"/>
        <v>2.57807833429725</v>
      </c>
      <c r="Z212">
        <f t="shared" si="107"/>
        <v>3.3564693580365033</v>
      </c>
      <c r="AA212">
        <f t="shared" si="108"/>
        <v>1.0438535581123896</v>
      </c>
      <c r="AB212">
        <f t="shared" si="109"/>
        <v>-111.00497370201963</v>
      </c>
      <c r="AC212">
        <f t="shared" si="110"/>
        <v>-150.2451639202921</v>
      </c>
      <c r="AD212">
        <f t="shared" si="111"/>
        <v>-14.962449575350961</v>
      </c>
      <c r="AE212">
        <f t="shared" si="112"/>
        <v>-9.6639933662686417E-2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52338.55710375771</v>
      </c>
      <c r="AK212">
        <f t="shared" si="116"/>
        <v>1800</v>
      </c>
      <c r="AL212">
        <f t="shared" si="117"/>
        <v>1499.1117623999999</v>
      </c>
      <c r="AM212">
        <f t="shared" si="118"/>
        <v>0.83283986799999998</v>
      </c>
      <c r="AN212">
        <f t="shared" si="119"/>
        <v>0.15339774847999998</v>
      </c>
      <c r="AO212">
        <v>31.8</v>
      </c>
      <c r="AP212">
        <v>0.5</v>
      </c>
      <c r="AQ212" t="s">
        <v>331</v>
      </c>
      <c r="AR212">
        <v>2</v>
      </c>
      <c r="AS212">
        <v>1690390236</v>
      </c>
      <c r="AT212">
        <v>379.13200000000001</v>
      </c>
      <c r="AU212">
        <v>799.97199999999998</v>
      </c>
      <c r="AV212">
        <v>26.133299999999998</v>
      </c>
      <c r="AW212">
        <v>0.16278500000000001</v>
      </c>
      <c r="AX212">
        <v>378.69200000000001</v>
      </c>
      <c r="AY212">
        <v>25.934899999999999</v>
      </c>
      <c r="AZ212">
        <v>300.15800000000002</v>
      </c>
      <c r="BA212">
        <v>98.551100000000005</v>
      </c>
      <c r="BB212">
        <v>9.9982500000000002E-2</v>
      </c>
      <c r="BC212">
        <v>25.910699999999999</v>
      </c>
      <c r="BD212">
        <v>27.031099999999999</v>
      </c>
      <c r="BE212">
        <v>27.026700000000002</v>
      </c>
      <c r="BF212">
        <v>0</v>
      </c>
      <c r="BG212">
        <v>0</v>
      </c>
      <c r="BH212">
        <v>10007.5</v>
      </c>
      <c r="BI212">
        <v>1068.33</v>
      </c>
      <c r="BJ212">
        <v>1.3736200000000001</v>
      </c>
      <c r="BK212">
        <v>-420.84100000000001</v>
      </c>
      <c r="BL212">
        <v>389.30500000000001</v>
      </c>
      <c r="BM212">
        <v>800.10299999999995</v>
      </c>
      <c r="BN212">
        <v>25.970500000000001</v>
      </c>
      <c r="BO212">
        <v>799.97199999999998</v>
      </c>
      <c r="BP212">
        <v>0.16278500000000001</v>
      </c>
      <c r="BQ212">
        <v>2.5754600000000001</v>
      </c>
      <c r="BR212">
        <v>1.60427E-2</v>
      </c>
      <c r="BS212">
        <v>21.511399999999998</v>
      </c>
      <c r="BT212">
        <v>-41.527000000000001</v>
      </c>
      <c r="BU212">
        <v>1800</v>
      </c>
      <c r="BV212">
        <v>0.90999200000000002</v>
      </c>
      <c r="BW212">
        <v>3.3998800000000003E-2</v>
      </c>
      <c r="BX212">
        <v>2.20044E-2</v>
      </c>
      <c r="BY212">
        <v>3.4004800000000002E-2</v>
      </c>
      <c r="BZ212">
        <v>25</v>
      </c>
      <c r="CA212">
        <v>33528.300000000003</v>
      </c>
      <c r="CB212">
        <v>1690387638</v>
      </c>
      <c r="CC212" t="s">
        <v>332</v>
      </c>
      <c r="CD212">
        <v>1690387638</v>
      </c>
      <c r="CE212">
        <v>1690387638</v>
      </c>
      <c r="CF212">
        <v>6</v>
      </c>
      <c r="CG212">
        <v>0.43</v>
      </c>
      <c r="CH212">
        <v>-8.1000000000000003E-2</v>
      </c>
      <c r="CI212">
        <v>0.14199999999999999</v>
      </c>
      <c r="CJ212">
        <v>-2.7E-2</v>
      </c>
      <c r="CK212">
        <v>800</v>
      </c>
      <c r="CL212">
        <v>0</v>
      </c>
      <c r="CM212">
        <v>0.01</v>
      </c>
      <c r="CN212">
        <v>0.01</v>
      </c>
      <c r="CO212">
        <v>-420.63407500000011</v>
      </c>
      <c r="CP212">
        <v>-1.687643527204342</v>
      </c>
      <c r="CQ212">
        <v>0.20756064023557361</v>
      </c>
      <c r="CR212">
        <v>-1</v>
      </c>
      <c r="CS212">
        <v>25.958320000000001</v>
      </c>
      <c r="CT212">
        <v>8.760675422135869E-2</v>
      </c>
      <c r="CU212">
        <v>8.6277227586427103E-3</v>
      </c>
      <c r="CV212">
        <v>-1</v>
      </c>
      <c r="CW212">
        <v>0</v>
      </c>
      <c r="CX212">
        <v>0</v>
      </c>
      <c r="CY212" t="s">
        <v>333</v>
      </c>
      <c r="CZ212">
        <v>2.3649900000000001</v>
      </c>
      <c r="DA212">
        <v>2.7137799999999999</v>
      </c>
      <c r="DB212">
        <v>8.5413000000000003E-2</v>
      </c>
      <c r="DC212">
        <v>0.145316</v>
      </c>
      <c r="DD212">
        <v>0.120356</v>
      </c>
      <c r="DE212">
        <v>1.3643500000000001E-3</v>
      </c>
      <c r="DF212">
        <v>33424.9</v>
      </c>
      <c r="DG212">
        <v>27583.200000000001</v>
      </c>
      <c r="DH212">
        <v>31198.5</v>
      </c>
      <c r="DI212">
        <v>28121</v>
      </c>
      <c r="DJ212">
        <v>37252.300000000003</v>
      </c>
      <c r="DK212">
        <v>39943.199999999997</v>
      </c>
      <c r="DL212">
        <v>44403.199999999997</v>
      </c>
      <c r="DM212">
        <v>42624.2</v>
      </c>
      <c r="DN212">
        <v>1.47672</v>
      </c>
      <c r="DO212">
        <v>2.0314800000000002</v>
      </c>
      <c r="DP212">
        <v>0.14574799999999999</v>
      </c>
      <c r="DQ212">
        <v>0.14799799999999999</v>
      </c>
      <c r="DR212">
        <v>24.643000000000001</v>
      </c>
      <c r="DS212">
        <v>24.601600000000001</v>
      </c>
      <c r="DT212">
        <v>21.5</v>
      </c>
      <c r="DU212">
        <v>29.3</v>
      </c>
      <c r="DV212">
        <v>8.9280299999999997</v>
      </c>
      <c r="DW212">
        <v>60.982300000000002</v>
      </c>
      <c r="DX212">
        <v>36.915100000000002</v>
      </c>
      <c r="DY212">
        <v>1</v>
      </c>
      <c r="DZ212">
        <v>-0.119395</v>
      </c>
      <c r="EA212">
        <v>0.245923</v>
      </c>
      <c r="EB212">
        <v>20.189599999999999</v>
      </c>
      <c r="EC212">
        <v>5.2413999999999996</v>
      </c>
      <c r="ED212">
        <v>12.039899999999999</v>
      </c>
      <c r="EE212">
        <v>5.0169499999999996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1.8692</v>
      </c>
      <c r="EN212">
        <v>1.8672299999999999</v>
      </c>
      <c r="EO212">
        <v>1.86338</v>
      </c>
      <c r="EP212">
        <v>1.8644700000000001</v>
      </c>
      <c r="EQ212">
        <v>1.87015</v>
      </c>
      <c r="ER212">
        <v>1.86937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0.44</v>
      </c>
      <c r="FG212">
        <v>0.19839999999999999</v>
      </c>
      <c r="FH212">
        <v>0.69281559908863044</v>
      </c>
      <c r="FI212">
        <v>-6.1462078757559423E-4</v>
      </c>
      <c r="FJ212">
        <v>-1.8861989874597051E-7</v>
      </c>
      <c r="FK212">
        <v>1.1980462299894961E-10</v>
      </c>
      <c r="FL212">
        <v>0.19840465858211129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43.3</v>
      </c>
      <c r="FU212">
        <v>43.3</v>
      </c>
      <c r="FV212">
        <v>1.7639199999999999</v>
      </c>
      <c r="FW212">
        <v>2.5891099999999998</v>
      </c>
      <c r="FX212">
        <v>1.5490699999999999</v>
      </c>
      <c r="FY212">
        <v>2.33521</v>
      </c>
      <c r="FZ212">
        <v>1.50146</v>
      </c>
      <c r="GA212">
        <v>2.33765</v>
      </c>
      <c r="GB212">
        <v>33.602899999999998</v>
      </c>
      <c r="GC212">
        <v>23.982399999999998</v>
      </c>
      <c r="GD212">
        <v>19</v>
      </c>
      <c r="GE212">
        <v>281.67200000000003</v>
      </c>
      <c r="GF212">
        <v>575.43100000000004</v>
      </c>
      <c r="GG212">
        <v>24.130700000000001</v>
      </c>
      <c r="GH212">
        <v>25.896999999999998</v>
      </c>
      <c r="GI212">
        <v>30.000499999999999</v>
      </c>
      <c r="GJ212">
        <v>26.0273</v>
      </c>
      <c r="GK212">
        <v>26.009</v>
      </c>
      <c r="GL212">
        <v>35.258899999999997</v>
      </c>
      <c r="GM212">
        <v>100</v>
      </c>
      <c r="GN212">
        <v>0</v>
      </c>
      <c r="GO212">
        <v>24.1067</v>
      </c>
      <c r="GP212">
        <v>800</v>
      </c>
      <c r="GQ212">
        <v>0</v>
      </c>
      <c r="GR212">
        <v>99.828199999999995</v>
      </c>
      <c r="GS212">
        <v>99.710499999999996</v>
      </c>
    </row>
    <row r="213" spans="1:201" x14ac:dyDescent="0.25">
      <c r="A213">
        <v>197</v>
      </c>
      <c r="B213">
        <v>1690390246</v>
      </c>
      <c r="C213">
        <v>1987.5</v>
      </c>
      <c r="D213" t="s">
        <v>727</v>
      </c>
      <c r="E213" t="s">
        <v>728</v>
      </c>
      <c r="F213" t="s">
        <v>330</v>
      </c>
      <c r="H213">
        <v>1690390246</v>
      </c>
      <c r="I213">
        <f t="shared" si="90"/>
        <v>2.5157899093287252E-3</v>
      </c>
      <c r="J213">
        <f t="shared" si="91"/>
        <v>2.515789909328725</v>
      </c>
      <c r="K213">
        <f t="shared" si="92"/>
        <v>38.773643454973836</v>
      </c>
      <c r="L213">
        <f t="shared" si="93"/>
        <v>379.02199999999999</v>
      </c>
      <c r="M213">
        <f t="shared" si="94"/>
        <v>107.94641119183551</v>
      </c>
      <c r="N213">
        <f t="shared" si="95"/>
        <v>10.649317291598843</v>
      </c>
      <c r="O213">
        <f t="shared" si="96"/>
        <v>37.391938221301999</v>
      </c>
      <c r="P213">
        <f t="shared" si="97"/>
        <v>0.24500567245292643</v>
      </c>
      <c r="Q213">
        <f t="shared" si="98"/>
        <v>2.1530221174635975</v>
      </c>
      <c r="R213">
        <f t="shared" si="99"/>
        <v>0.2305033804923195</v>
      </c>
      <c r="S213">
        <f t="shared" si="100"/>
        <v>0.14529599930285828</v>
      </c>
      <c r="T213">
        <f t="shared" si="101"/>
        <v>276.11585883000004</v>
      </c>
      <c r="U213">
        <f t="shared" si="102"/>
        <v>27.194024934914644</v>
      </c>
      <c r="V213">
        <f t="shared" si="103"/>
        <v>27.194024934914644</v>
      </c>
      <c r="W213">
        <f t="shared" si="104"/>
        <v>3.6201496683335468</v>
      </c>
      <c r="X213">
        <f t="shared" si="105"/>
        <v>76.835363131297257</v>
      </c>
      <c r="Y213">
        <f t="shared" si="106"/>
        <v>2.5772303298840002</v>
      </c>
      <c r="Z213">
        <f t="shared" si="107"/>
        <v>3.3542241812275893</v>
      </c>
      <c r="AA213">
        <f t="shared" si="108"/>
        <v>1.0429193384495465</v>
      </c>
      <c r="AB213">
        <f t="shared" si="109"/>
        <v>-110.94633500139678</v>
      </c>
      <c r="AC213">
        <f t="shared" si="110"/>
        <v>-150.27194307087456</v>
      </c>
      <c r="AD213">
        <f t="shared" si="111"/>
        <v>-14.994649526314722</v>
      </c>
      <c r="AE213">
        <f t="shared" si="112"/>
        <v>-9.7068768586041188E-2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52153.730544252619</v>
      </c>
      <c r="AK213">
        <f t="shared" si="116"/>
        <v>1800</v>
      </c>
      <c r="AL213">
        <f t="shared" si="117"/>
        <v>1499.1110639999999</v>
      </c>
      <c r="AM213">
        <f t="shared" si="118"/>
        <v>0.83283947999999997</v>
      </c>
      <c r="AN213">
        <f t="shared" si="119"/>
        <v>0.15339769935000003</v>
      </c>
      <c r="AO213">
        <v>31.8</v>
      </c>
      <c r="AP213">
        <v>0.5</v>
      </c>
      <c r="AQ213" t="s">
        <v>331</v>
      </c>
      <c r="AR213">
        <v>2</v>
      </c>
      <c r="AS213">
        <v>1690390246</v>
      </c>
      <c r="AT213">
        <v>379.02199999999999</v>
      </c>
      <c r="AU213">
        <v>799.98</v>
      </c>
      <c r="AV213">
        <v>26.123999999999999</v>
      </c>
      <c r="AW213">
        <v>0.162545</v>
      </c>
      <c r="AX213">
        <v>378.58300000000003</v>
      </c>
      <c r="AY213">
        <v>25.925599999999999</v>
      </c>
      <c r="AZ213">
        <v>300.10700000000003</v>
      </c>
      <c r="BA213">
        <v>98.553700000000006</v>
      </c>
      <c r="BB213">
        <v>0.100041</v>
      </c>
      <c r="BC213">
        <v>25.8994</v>
      </c>
      <c r="BD213">
        <v>26.991099999999999</v>
      </c>
      <c r="BE213">
        <v>27.023099999999999</v>
      </c>
      <c r="BF213">
        <v>0</v>
      </c>
      <c r="BG213">
        <v>0</v>
      </c>
      <c r="BH213">
        <v>9970</v>
      </c>
      <c r="BI213">
        <v>1068.33</v>
      </c>
      <c r="BJ213">
        <v>1.3595999999999999</v>
      </c>
      <c r="BK213">
        <v>-420.95800000000003</v>
      </c>
      <c r="BL213">
        <v>389.18900000000002</v>
      </c>
      <c r="BM213">
        <v>800.11099999999999</v>
      </c>
      <c r="BN213">
        <v>25.961400000000001</v>
      </c>
      <c r="BO213">
        <v>799.98</v>
      </c>
      <c r="BP213">
        <v>0.162545</v>
      </c>
      <c r="BQ213">
        <v>2.5746199999999999</v>
      </c>
      <c r="BR213">
        <v>1.60194E-2</v>
      </c>
      <c r="BS213">
        <v>21.506</v>
      </c>
      <c r="BT213">
        <v>-41.540599999999998</v>
      </c>
      <c r="BU213">
        <v>1800</v>
      </c>
      <c r="BV213">
        <v>0.90999099999999999</v>
      </c>
      <c r="BW213">
        <v>3.3999000000000001E-2</v>
      </c>
      <c r="BX213">
        <v>2.20045E-2</v>
      </c>
      <c r="BY213">
        <v>3.4005100000000003E-2</v>
      </c>
      <c r="BZ213">
        <v>25</v>
      </c>
      <c r="CA213">
        <v>33528.300000000003</v>
      </c>
      <c r="CB213">
        <v>1690387638</v>
      </c>
      <c r="CC213" t="s">
        <v>332</v>
      </c>
      <c r="CD213">
        <v>1690387638</v>
      </c>
      <c r="CE213">
        <v>1690387638</v>
      </c>
      <c r="CF213">
        <v>6</v>
      </c>
      <c r="CG213">
        <v>0.43</v>
      </c>
      <c r="CH213">
        <v>-8.1000000000000003E-2</v>
      </c>
      <c r="CI213">
        <v>0.14199999999999999</v>
      </c>
      <c r="CJ213">
        <v>-2.7E-2</v>
      </c>
      <c r="CK213">
        <v>800</v>
      </c>
      <c r="CL213">
        <v>0</v>
      </c>
      <c r="CM213">
        <v>0.01</v>
      </c>
      <c r="CN213">
        <v>0.01</v>
      </c>
      <c r="CO213">
        <v>-420.85758536585371</v>
      </c>
      <c r="CP213">
        <v>-0.89634146341367005</v>
      </c>
      <c r="CQ213">
        <v>0.1122657942844998</v>
      </c>
      <c r="CR213">
        <v>-1</v>
      </c>
      <c r="CS213">
        <v>25.967978048780481</v>
      </c>
      <c r="CT213">
        <v>1.484529616728208E-2</v>
      </c>
      <c r="CU213">
        <v>3.2555777423744908E-3</v>
      </c>
      <c r="CV213">
        <v>-1</v>
      </c>
      <c r="CW213">
        <v>0</v>
      </c>
      <c r="CX213">
        <v>0</v>
      </c>
      <c r="CY213" t="s">
        <v>333</v>
      </c>
      <c r="CZ213">
        <v>2.3648400000000001</v>
      </c>
      <c r="DA213">
        <v>2.7138100000000001</v>
      </c>
      <c r="DB213">
        <v>8.5396E-2</v>
      </c>
      <c r="DC213">
        <v>0.14532100000000001</v>
      </c>
      <c r="DD213">
        <v>0.12032900000000001</v>
      </c>
      <c r="DE213">
        <v>1.36239E-3</v>
      </c>
      <c r="DF213">
        <v>33425.199999999997</v>
      </c>
      <c r="DG213">
        <v>27582.7</v>
      </c>
      <c r="DH213">
        <v>31198.2</v>
      </c>
      <c r="DI213">
        <v>28120.6</v>
      </c>
      <c r="DJ213">
        <v>37253</v>
      </c>
      <c r="DK213">
        <v>39942.699999999997</v>
      </c>
      <c r="DL213">
        <v>44402.6</v>
      </c>
      <c r="DM213">
        <v>42623.6</v>
      </c>
      <c r="DN213">
        <v>1.4764200000000001</v>
      </c>
      <c r="DO213">
        <v>2.03145</v>
      </c>
      <c r="DP213">
        <v>0.14330399999999999</v>
      </c>
      <c r="DQ213">
        <v>0.14765600000000001</v>
      </c>
      <c r="DR213">
        <v>24.643000000000001</v>
      </c>
      <c r="DS213">
        <v>24.6036</v>
      </c>
      <c r="DT213">
        <v>21.5</v>
      </c>
      <c r="DU213">
        <v>29.3</v>
      </c>
      <c r="DV213">
        <v>8.9259500000000003</v>
      </c>
      <c r="DW213">
        <v>61.0623</v>
      </c>
      <c r="DX213">
        <v>37.784500000000001</v>
      </c>
      <c r="DY213">
        <v>1</v>
      </c>
      <c r="DZ213">
        <v>-0.119009</v>
      </c>
      <c r="EA213">
        <v>0.237399</v>
      </c>
      <c r="EB213">
        <v>20.189699999999998</v>
      </c>
      <c r="EC213">
        <v>5.2413999999999996</v>
      </c>
      <c r="ED213">
        <v>12.039899999999999</v>
      </c>
      <c r="EE213">
        <v>5.0170500000000002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1.8692</v>
      </c>
      <c r="EN213">
        <v>1.8672200000000001</v>
      </c>
      <c r="EO213">
        <v>1.86338</v>
      </c>
      <c r="EP213">
        <v>1.8644700000000001</v>
      </c>
      <c r="EQ213">
        <v>1.87016</v>
      </c>
      <c r="ER213">
        <v>1.86937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0.439</v>
      </c>
      <c r="FG213">
        <v>0.19839999999999999</v>
      </c>
      <c r="FH213">
        <v>0.69281559908863044</v>
      </c>
      <c r="FI213">
        <v>-6.1462078757559423E-4</v>
      </c>
      <c r="FJ213">
        <v>-1.8861989874597051E-7</v>
      </c>
      <c r="FK213">
        <v>1.1980462299894961E-10</v>
      </c>
      <c r="FL213">
        <v>0.19840465858211129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43.5</v>
      </c>
      <c r="FU213">
        <v>43.5</v>
      </c>
      <c r="FV213">
        <v>1.7626999999999999</v>
      </c>
      <c r="FW213">
        <v>2.5854499999999998</v>
      </c>
      <c r="FX213">
        <v>1.5490699999999999</v>
      </c>
      <c r="FY213">
        <v>2.33521</v>
      </c>
      <c r="FZ213">
        <v>1.50146</v>
      </c>
      <c r="GA213">
        <v>2.34863</v>
      </c>
      <c r="GB213">
        <v>33.602899999999998</v>
      </c>
      <c r="GC213">
        <v>23.991199999999999</v>
      </c>
      <c r="GD213">
        <v>19</v>
      </c>
      <c r="GE213">
        <v>281.54500000000002</v>
      </c>
      <c r="GF213">
        <v>575.41</v>
      </c>
      <c r="GG213">
        <v>24.071100000000001</v>
      </c>
      <c r="GH213">
        <v>25.896999999999998</v>
      </c>
      <c r="GI213">
        <v>30.000299999999999</v>
      </c>
      <c r="GJ213">
        <v>26.0273</v>
      </c>
      <c r="GK213">
        <v>26.009</v>
      </c>
      <c r="GL213">
        <v>35.255899999999997</v>
      </c>
      <c r="GM213">
        <v>100</v>
      </c>
      <c r="GN213">
        <v>0</v>
      </c>
      <c r="GO213">
        <v>24.075600000000001</v>
      </c>
      <c r="GP213">
        <v>800</v>
      </c>
      <c r="GQ213">
        <v>0</v>
      </c>
      <c r="GR213">
        <v>99.826999999999998</v>
      </c>
      <c r="GS213">
        <v>99.709100000000007</v>
      </c>
    </row>
    <row r="214" spans="1:201" x14ac:dyDescent="0.25">
      <c r="A214">
        <v>198</v>
      </c>
      <c r="B214">
        <v>1690390256</v>
      </c>
      <c r="C214">
        <v>1997.5</v>
      </c>
      <c r="D214" t="s">
        <v>729</v>
      </c>
      <c r="E214" t="s">
        <v>730</v>
      </c>
      <c r="F214" t="s">
        <v>330</v>
      </c>
      <c r="H214">
        <v>1690390256</v>
      </c>
      <c r="I214">
        <f t="shared" si="90"/>
        <v>2.5168443119359929E-3</v>
      </c>
      <c r="J214">
        <f t="shared" si="91"/>
        <v>2.5168443119359929</v>
      </c>
      <c r="K214">
        <f t="shared" si="92"/>
        <v>38.817482962483716</v>
      </c>
      <c r="L214">
        <f t="shared" si="93"/>
        <v>378.65600000000001</v>
      </c>
      <c r="M214">
        <f t="shared" si="94"/>
        <v>107.64434526628416</v>
      </c>
      <c r="N214">
        <f t="shared" si="95"/>
        <v>10.619996848986128</v>
      </c>
      <c r="O214">
        <f t="shared" si="96"/>
        <v>37.357517637382401</v>
      </c>
      <c r="P214">
        <f t="shared" si="97"/>
        <v>0.24534434083619294</v>
      </c>
      <c r="Q214">
        <f t="shared" si="98"/>
        <v>2.153976585380037</v>
      </c>
      <c r="R214">
        <f t="shared" si="99"/>
        <v>0.23080923908652967</v>
      </c>
      <c r="S214">
        <f t="shared" si="100"/>
        <v>0.14548988356299047</v>
      </c>
      <c r="T214">
        <f t="shared" si="101"/>
        <v>276.11591828399997</v>
      </c>
      <c r="U214">
        <f t="shared" si="102"/>
        <v>27.192939363148032</v>
      </c>
      <c r="V214">
        <f t="shared" si="103"/>
        <v>27.192939363148032</v>
      </c>
      <c r="W214">
        <f t="shared" si="104"/>
        <v>3.619919193969523</v>
      </c>
      <c r="X214">
        <f t="shared" si="105"/>
        <v>76.856213985853131</v>
      </c>
      <c r="Y214">
        <f t="shared" si="106"/>
        <v>2.57789918252384</v>
      </c>
      <c r="Z214">
        <f t="shared" si="107"/>
        <v>3.3541844554018132</v>
      </c>
      <c r="AA214">
        <f t="shared" si="108"/>
        <v>1.042020011445683</v>
      </c>
      <c r="AB214">
        <f t="shared" si="109"/>
        <v>-110.99283415637728</v>
      </c>
      <c r="AC214">
        <f t="shared" si="110"/>
        <v>-150.23572375545749</v>
      </c>
      <c r="AD214">
        <f t="shared" si="111"/>
        <v>-14.984296067985969</v>
      </c>
      <c r="AE214">
        <f t="shared" si="112"/>
        <v>-9.6935695820747014E-2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52193.802252329828</v>
      </c>
      <c r="AK214">
        <f t="shared" si="116"/>
        <v>1800</v>
      </c>
      <c r="AL214">
        <f t="shared" si="117"/>
        <v>1499.1116364</v>
      </c>
      <c r="AM214">
        <f t="shared" si="118"/>
        <v>0.83283979799999996</v>
      </c>
      <c r="AN214">
        <f t="shared" si="119"/>
        <v>0.15339773237999998</v>
      </c>
      <c r="AO214">
        <v>31.8</v>
      </c>
      <c r="AP214">
        <v>0.5</v>
      </c>
      <c r="AQ214" t="s">
        <v>331</v>
      </c>
      <c r="AR214">
        <v>2</v>
      </c>
      <c r="AS214">
        <v>1690390256</v>
      </c>
      <c r="AT214">
        <v>378.65600000000001</v>
      </c>
      <c r="AU214">
        <v>800</v>
      </c>
      <c r="AV214">
        <v>26.1296</v>
      </c>
      <c r="AW214">
        <v>0.161913</v>
      </c>
      <c r="AX214">
        <v>378.21600000000001</v>
      </c>
      <c r="AY214">
        <v>25.9312</v>
      </c>
      <c r="AZ214">
        <v>300.15899999999999</v>
      </c>
      <c r="BA214">
        <v>98.558199999999999</v>
      </c>
      <c r="BB214">
        <v>9.9995399999999998E-2</v>
      </c>
      <c r="BC214">
        <v>25.8992</v>
      </c>
      <c r="BD214">
        <v>26.9863</v>
      </c>
      <c r="BE214">
        <v>27.029499999999999</v>
      </c>
      <c r="BF214">
        <v>0</v>
      </c>
      <c r="BG214">
        <v>0</v>
      </c>
      <c r="BH214">
        <v>9977.5</v>
      </c>
      <c r="BI214">
        <v>1068.3</v>
      </c>
      <c r="BJ214">
        <v>1.3736200000000001</v>
      </c>
      <c r="BK214">
        <v>-421.34399999999999</v>
      </c>
      <c r="BL214">
        <v>388.815</v>
      </c>
      <c r="BM214">
        <v>800.12900000000002</v>
      </c>
      <c r="BN214">
        <v>25.967600000000001</v>
      </c>
      <c r="BO214">
        <v>800</v>
      </c>
      <c r="BP214">
        <v>0.161913</v>
      </c>
      <c r="BQ214">
        <v>2.5752799999999998</v>
      </c>
      <c r="BR214">
        <v>1.5957900000000001E-2</v>
      </c>
      <c r="BS214">
        <v>21.510300000000001</v>
      </c>
      <c r="BT214">
        <v>-41.576900000000002</v>
      </c>
      <c r="BU214">
        <v>1800</v>
      </c>
      <c r="BV214">
        <v>0.90999200000000002</v>
      </c>
      <c r="BW214">
        <v>3.39987E-2</v>
      </c>
      <c r="BX214">
        <v>2.20044E-2</v>
      </c>
      <c r="BY214">
        <v>3.4004800000000002E-2</v>
      </c>
      <c r="BZ214">
        <v>25</v>
      </c>
      <c r="CA214">
        <v>33528.199999999997</v>
      </c>
      <c r="CB214">
        <v>1690387638</v>
      </c>
      <c r="CC214" t="s">
        <v>332</v>
      </c>
      <c r="CD214">
        <v>1690387638</v>
      </c>
      <c r="CE214">
        <v>1690387638</v>
      </c>
      <c r="CF214">
        <v>6</v>
      </c>
      <c r="CG214">
        <v>0.43</v>
      </c>
      <c r="CH214">
        <v>-8.1000000000000003E-2</v>
      </c>
      <c r="CI214">
        <v>0.14199999999999999</v>
      </c>
      <c r="CJ214">
        <v>-2.7E-2</v>
      </c>
      <c r="CK214">
        <v>800</v>
      </c>
      <c r="CL214">
        <v>0</v>
      </c>
      <c r="CM214">
        <v>0.01</v>
      </c>
      <c r="CN214">
        <v>0.01</v>
      </c>
      <c r="CO214">
        <v>-421.05551219512199</v>
      </c>
      <c r="CP214">
        <v>-1.340864111499271</v>
      </c>
      <c r="CQ214">
        <v>0.1521645646309526</v>
      </c>
      <c r="CR214">
        <v>-1</v>
      </c>
      <c r="CS214">
        <v>25.966012195121959</v>
      </c>
      <c r="CT214">
        <v>-3.5019512195049077E-2</v>
      </c>
      <c r="CU214">
        <v>4.5948643188093857E-3</v>
      </c>
      <c r="CV214">
        <v>-1</v>
      </c>
      <c r="CW214">
        <v>0</v>
      </c>
      <c r="CX214">
        <v>0</v>
      </c>
      <c r="CY214" t="s">
        <v>333</v>
      </c>
      <c r="CZ214">
        <v>2.3650000000000002</v>
      </c>
      <c r="DA214">
        <v>2.7137699999999998</v>
      </c>
      <c r="DB214">
        <v>8.53357E-2</v>
      </c>
      <c r="DC214">
        <v>0.14532999999999999</v>
      </c>
      <c r="DD214">
        <v>0.120352</v>
      </c>
      <c r="DE214">
        <v>1.35721E-3</v>
      </c>
      <c r="DF214">
        <v>33427.699999999997</v>
      </c>
      <c r="DG214">
        <v>27583.1</v>
      </c>
      <c r="DH214">
        <v>31198.5</v>
      </c>
      <c r="DI214">
        <v>28121.3</v>
      </c>
      <c r="DJ214">
        <v>37252.5</v>
      </c>
      <c r="DK214">
        <v>39943.9</v>
      </c>
      <c r="DL214">
        <v>44403.199999999997</v>
      </c>
      <c r="DM214">
        <v>42624.7</v>
      </c>
      <c r="DN214">
        <v>1.4772799999999999</v>
      </c>
      <c r="DO214">
        <v>2.0314199999999998</v>
      </c>
      <c r="DP214">
        <v>0.14300599999999999</v>
      </c>
      <c r="DQ214">
        <v>0.14817</v>
      </c>
      <c r="DR214">
        <v>24.643000000000001</v>
      </c>
      <c r="DS214">
        <v>24.601600000000001</v>
      </c>
      <c r="DT214">
        <v>21.4</v>
      </c>
      <c r="DU214">
        <v>29.3</v>
      </c>
      <c r="DV214">
        <v>8.8855299999999993</v>
      </c>
      <c r="DW214">
        <v>61.142299999999999</v>
      </c>
      <c r="DX214">
        <v>36.9191</v>
      </c>
      <c r="DY214">
        <v>1</v>
      </c>
      <c r="DZ214">
        <v>-0.11994199999999999</v>
      </c>
      <c r="EA214">
        <v>9.8341499999999998E-2</v>
      </c>
      <c r="EB214">
        <v>20.190300000000001</v>
      </c>
      <c r="EC214">
        <v>5.24125</v>
      </c>
      <c r="ED214">
        <v>12.039899999999999</v>
      </c>
      <c r="EE214">
        <v>5.0167999999999999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1.8646199999999999</v>
      </c>
      <c r="EM214">
        <v>1.8692</v>
      </c>
      <c r="EN214">
        <v>1.86724</v>
      </c>
      <c r="EO214">
        <v>1.8633999999999999</v>
      </c>
      <c r="EP214">
        <v>1.8644700000000001</v>
      </c>
      <c r="EQ214">
        <v>1.8701700000000001</v>
      </c>
      <c r="ER214">
        <v>1.8693599999999999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0.44</v>
      </c>
      <c r="FG214">
        <v>0.19839999999999999</v>
      </c>
      <c r="FH214">
        <v>0.69281559908863044</v>
      </c>
      <c r="FI214">
        <v>-6.1462078757559423E-4</v>
      </c>
      <c r="FJ214">
        <v>-1.8861989874597051E-7</v>
      </c>
      <c r="FK214">
        <v>1.1980462299894961E-10</v>
      </c>
      <c r="FL214">
        <v>0.19840465858211129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43.6</v>
      </c>
      <c r="FU214">
        <v>43.6</v>
      </c>
      <c r="FV214">
        <v>1.7639199999999999</v>
      </c>
      <c r="FW214">
        <v>2.5793499999999998</v>
      </c>
      <c r="FX214">
        <v>1.5490699999999999</v>
      </c>
      <c r="FY214">
        <v>2.33521</v>
      </c>
      <c r="FZ214">
        <v>1.50146</v>
      </c>
      <c r="GA214">
        <v>2.3645</v>
      </c>
      <c r="GB214">
        <v>33.602899999999998</v>
      </c>
      <c r="GC214">
        <v>23.982399999999998</v>
      </c>
      <c r="GD214">
        <v>19</v>
      </c>
      <c r="GE214">
        <v>281.90499999999997</v>
      </c>
      <c r="GF214">
        <v>575.39</v>
      </c>
      <c r="GG214">
        <v>24.098700000000001</v>
      </c>
      <c r="GH214">
        <v>25.896999999999998</v>
      </c>
      <c r="GI214">
        <v>30.0002</v>
      </c>
      <c r="GJ214">
        <v>26.0273</v>
      </c>
      <c r="GK214">
        <v>26.009</v>
      </c>
      <c r="GL214">
        <v>35.257100000000001</v>
      </c>
      <c r="GM214">
        <v>100</v>
      </c>
      <c r="GN214">
        <v>0</v>
      </c>
      <c r="GO214">
        <v>24.098099999999999</v>
      </c>
      <c r="GP214">
        <v>800</v>
      </c>
      <c r="GQ214">
        <v>0</v>
      </c>
      <c r="GR214">
        <v>99.828199999999995</v>
      </c>
      <c r="GS214">
        <v>99.711699999999993</v>
      </c>
    </row>
    <row r="215" spans="1:201" x14ac:dyDescent="0.25">
      <c r="A215">
        <v>199</v>
      </c>
      <c r="B215">
        <v>1690390266</v>
      </c>
      <c r="C215">
        <v>2007.5</v>
      </c>
      <c r="D215" t="s">
        <v>731</v>
      </c>
      <c r="E215" t="s">
        <v>732</v>
      </c>
      <c r="F215" t="s">
        <v>330</v>
      </c>
      <c r="H215">
        <v>1690390266</v>
      </c>
      <c r="I215">
        <f t="shared" si="90"/>
        <v>2.5172902018860059E-3</v>
      </c>
      <c r="J215">
        <f t="shared" si="91"/>
        <v>2.5172902018860057</v>
      </c>
      <c r="K215">
        <f t="shared" si="92"/>
        <v>38.813540075208124</v>
      </c>
      <c r="L215">
        <f t="shared" si="93"/>
        <v>378.55</v>
      </c>
      <c r="M215">
        <f t="shared" si="94"/>
        <v>107.94373287710772</v>
      </c>
      <c r="N215">
        <f t="shared" si="95"/>
        <v>10.649289732465702</v>
      </c>
      <c r="O215">
        <f t="shared" si="96"/>
        <v>37.346203626425009</v>
      </c>
      <c r="P215">
        <f t="shared" si="97"/>
        <v>0.24569676188028272</v>
      </c>
      <c r="Q215">
        <f t="shared" si="98"/>
        <v>2.1558220079756341</v>
      </c>
      <c r="R215">
        <f t="shared" si="99"/>
        <v>0.23113288708257979</v>
      </c>
      <c r="S215">
        <f t="shared" si="100"/>
        <v>0.14569456741675768</v>
      </c>
      <c r="T215">
        <f t="shared" si="101"/>
        <v>276.11582936400004</v>
      </c>
      <c r="U215">
        <f t="shared" si="102"/>
        <v>27.192276443184294</v>
      </c>
      <c r="V215">
        <f t="shared" si="103"/>
        <v>27.192276443184294</v>
      </c>
      <c r="W215">
        <f t="shared" si="104"/>
        <v>3.6197784577931338</v>
      </c>
      <c r="X215">
        <f t="shared" si="105"/>
        <v>76.888647169839444</v>
      </c>
      <c r="Y215">
        <f t="shared" si="106"/>
        <v>2.5790634135569999</v>
      </c>
      <c r="Z215">
        <f t="shared" si="107"/>
        <v>3.3542837707367941</v>
      </c>
      <c r="AA215">
        <f t="shared" si="108"/>
        <v>1.0407150442361339</v>
      </c>
      <c r="AB215">
        <f t="shared" si="109"/>
        <v>-111.01249790317286</v>
      </c>
      <c r="AC215">
        <f t="shared" si="110"/>
        <v>-150.22927843580652</v>
      </c>
      <c r="AD215">
        <f t="shared" si="111"/>
        <v>-14.970814603982808</v>
      </c>
      <c r="AE215">
        <f t="shared" si="112"/>
        <v>-9.6761578962173189E-2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52270.945285099995</v>
      </c>
      <c r="AK215">
        <f t="shared" si="116"/>
        <v>1800</v>
      </c>
      <c r="AL215">
        <f t="shared" si="117"/>
        <v>1499.1119153999998</v>
      </c>
      <c r="AM215">
        <f t="shared" si="118"/>
        <v>0.83283995299999991</v>
      </c>
      <c r="AN215">
        <f t="shared" si="119"/>
        <v>0.15339768298000001</v>
      </c>
      <c r="AO215">
        <v>31.8</v>
      </c>
      <c r="AP215">
        <v>0.5</v>
      </c>
      <c r="AQ215" t="s">
        <v>331</v>
      </c>
      <c r="AR215">
        <v>2</v>
      </c>
      <c r="AS215">
        <v>1690390266</v>
      </c>
      <c r="AT215">
        <v>378.55</v>
      </c>
      <c r="AU215">
        <v>799.99300000000005</v>
      </c>
      <c r="AV215">
        <v>26.141999999999999</v>
      </c>
      <c r="AW215">
        <v>0.161301</v>
      </c>
      <c r="AX215">
        <v>378.11</v>
      </c>
      <c r="AY215">
        <v>25.9435</v>
      </c>
      <c r="AZ215">
        <v>300.05799999999999</v>
      </c>
      <c r="BA215">
        <v>98.555999999999997</v>
      </c>
      <c r="BB215">
        <v>9.9933499999999995E-2</v>
      </c>
      <c r="BC215">
        <v>25.899699999999999</v>
      </c>
      <c r="BD215">
        <v>27.012599999999999</v>
      </c>
      <c r="BE215">
        <v>27.028700000000001</v>
      </c>
      <c r="BF215">
        <v>0</v>
      </c>
      <c r="BG215">
        <v>0</v>
      </c>
      <c r="BH215">
        <v>9993.1200000000008</v>
      </c>
      <c r="BI215">
        <v>1068.3900000000001</v>
      </c>
      <c r="BJ215">
        <v>1.3595999999999999</v>
      </c>
      <c r="BK215">
        <v>-421.44200000000001</v>
      </c>
      <c r="BL215">
        <v>388.71199999999999</v>
      </c>
      <c r="BM215">
        <v>800.12199999999996</v>
      </c>
      <c r="BN215">
        <v>25.980599999999999</v>
      </c>
      <c r="BO215">
        <v>799.99300000000005</v>
      </c>
      <c r="BP215">
        <v>0.161301</v>
      </c>
      <c r="BQ215">
        <v>2.5764499999999999</v>
      </c>
      <c r="BR215">
        <v>1.58972E-2</v>
      </c>
      <c r="BS215">
        <v>21.517600000000002</v>
      </c>
      <c r="BT215">
        <v>-41.6128</v>
      </c>
      <c r="BU215">
        <v>1800</v>
      </c>
      <c r="BV215">
        <v>0.90999399999999997</v>
      </c>
      <c r="BW215">
        <v>3.3998E-2</v>
      </c>
      <c r="BX215">
        <v>2.20039E-2</v>
      </c>
      <c r="BY215">
        <v>3.4004E-2</v>
      </c>
      <c r="BZ215">
        <v>25</v>
      </c>
      <c r="CA215">
        <v>33528.300000000003</v>
      </c>
      <c r="CB215">
        <v>1690387638</v>
      </c>
      <c r="CC215" t="s">
        <v>332</v>
      </c>
      <c r="CD215">
        <v>1690387638</v>
      </c>
      <c r="CE215">
        <v>1690387638</v>
      </c>
      <c r="CF215">
        <v>6</v>
      </c>
      <c r="CG215">
        <v>0.43</v>
      </c>
      <c r="CH215">
        <v>-8.1000000000000003E-2</v>
      </c>
      <c r="CI215">
        <v>0.14199999999999999</v>
      </c>
      <c r="CJ215">
        <v>-2.7E-2</v>
      </c>
      <c r="CK215">
        <v>800</v>
      </c>
      <c r="CL215">
        <v>0</v>
      </c>
      <c r="CM215">
        <v>0.01</v>
      </c>
      <c r="CN215">
        <v>0.01</v>
      </c>
      <c r="CO215">
        <v>-421.26236585365848</v>
      </c>
      <c r="CP215">
        <v>-1.386000000001234</v>
      </c>
      <c r="CQ215">
        <v>0.14811395680313791</v>
      </c>
      <c r="CR215">
        <v>-1</v>
      </c>
      <c r="CS215">
        <v>25.967639024390241</v>
      </c>
      <c r="CT215">
        <v>5.9774216027878198E-2</v>
      </c>
      <c r="CU215">
        <v>6.1460230269814002E-3</v>
      </c>
      <c r="CV215">
        <v>-1</v>
      </c>
      <c r="CW215">
        <v>0</v>
      </c>
      <c r="CX215">
        <v>0</v>
      </c>
      <c r="CY215" t="s">
        <v>333</v>
      </c>
      <c r="CZ215">
        <v>2.3646799999999999</v>
      </c>
      <c r="DA215">
        <v>2.7137199999999999</v>
      </c>
      <c r="DB215">
        <v>8.5315500000000002E-2</v>
      </c>
      <c r="DC215">
        <v>0.14532600000000001</v>
      </c>
      <c r="DD215">
        <v>0.120389</v>
      </c>
      <c r="DE215">
        <v>1.3521E-3</v>
      </c>
      <c r="DF215">
        <v>33428.699999999997</v>
      </c>
      <c r="DG215">
        <v>27583.4</v>
      </c>
      <c r="DH215">
        <v>31198.7</v>
      </c>
      <c r="DI215">
        <v>28121.4</v>
      </c>
      <c r="DJ215">
        <v>37251.300000000003</v>
      </c>
      <c r="DK215">
        <v>39944.400000000001</v>
      </c>
      <c r="DL215">
        <v>44403.7</v>
      </c>
      <c r="DM215">
        <v>42624.9</v>
      </c>
      <c r="DN215">
        <v>1.4763500000000001</v>
      </c>
      <c r="DO215">
        <v>2.0316700000000001</v>
      </c>
      <c r="DP215">
        <v>0.14448900000000001</v>
      </c>
      <c r="DQ215">
        <v>0.14799799999999999</v>
      </c>
      <c r="DR215">
        <v>24.645099999999999</v>
      </c>
      <c r="DS215">
        <v>24.6036</v>
      </c>
      <c r="DT215">
        <v>21.4</v>
      </c>
      <c r="DU215">
        <v>29.3</v>
      </c>
      <c r="DV215">
        <v>8.8858499999999996</v>
      </c>
      <c r="DW215">
        <v>61.252299999999998</v>
      </c>
      <c r="DX215">
        <v>37.524000000000001</v>
      </c>
      <c r="DY215">
        <v>1</v>
      </c>
      <c r="DZ215">
        <v>-0.11980399999999999</v>
      </c>
      <c r="EA215">
        <v>0.13406299999999999</v>
      </c>
      <c r="EB215">
        <v>20.190100000000001</v>
      </c>
      <c r="EC215">
        <v>5.24125</v>
      </c>
      <c r="ED215">
        <v>12.039899999999999</v>
      </c>
      <c r="EE215">
        <v>5.0169499999999996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1.8646199999999999</v>
      </c>
      <c r="EM215">
        <v>1.8692</v>
      </c>
      <c r="EN215">
        <v>1.8672500000000001</v>
      </c>
      <c r="EO215">
        <v>1.8633999999999999</v>
      </c>
      <c r="EP215">
        <v>1.8644700000000001</v>
      </c>
      <c r="EQ215">
        <v>1.87018</v>
      </c>
      <c r="ER215">
        <v>1.8693599999999999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0.44</v>
      </c>
      <c r="FG215">
        <v>0.19850000000000001</v>
      </c>
      <c r="FH215">
        <v>0.69281559908863044</v>
      </c>
      <c r="FI215">
        <v>-6.1462078757559423E-4</v>
      </c>
      <c r="FJ215">
        <v>-1.8861989874597051E-7</v>
      </c>
      <c r="FK215">
        <v>1.1980462299894961E-10</v>
      </c>
      <c r="FL215">
        <v>0.19840465858211129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43.8</v>
      </c>
      <c r="FU215">
        <v>43.8</v>
      </c>
      <c r="FV215">
        <v>1.7639199999999999</v>
      </c>
      <c r="FW215">
        <v>2.5866699999999998</v>
      </c>
      <c r="FX215">
        <v>1.5490699999999999</v>
      </c>
      <c r="FY215">
        <v>2.33521</v>
      </c>
      <c r="FZ215">
        <v>1.50146</v>
      </c>
      <c r="GA215">
        <v>2.323</v>
      </c>
      <c r="GB215">
        <v>33.602899999999998</v>
      </c>
      <c r="GC215">
        <v>23.982399999999998</v>
      </c>
      <c r="GD215">
        <v>19</v>
      </c>
      <c r="GE215">
        <v>281.51299999999998</v>
      </c>
      <c r="GF215">
        <v>575.59400000000005</v>
      </c>
      <c r="GG215">
        <v>24.1007</v>
      </c>
      <c r="GH215">
        <v>25.896999999999998</v>
      </c>
      <c r="GI215">
        <v>30.0002</v>
      </c>
      <c r="GJ215">
        <v>26.0273</v>
      </c>
      <c r="GK215">
        <v>26.009</v>
      </c>
      <c r="GL215">
        <v>35.258299999999998</v>
      </c>
      <c r="GM215">
        <v>100</v>
      </c>
      <c r="GN215">
        <v>0</v>
      </c>
      <c r="GO215">
        <v>24.099799999999998</v>
      </c>
      <c r="GP215">
        <v>800</v>
      </c>
      <c r="GQ215">
        <v>0</v>
      </c>
      <c r="GR215">
        <v>99.8292</v>
      </c>
      <c r="GS215">
        <v>99.712199999999996</v>
      </c>
    </row>
    <row r="216" spans="1:201" x14ac:dyDescent="0.25">
      <c r="A216">
        <v>200</v>
      </c>
      <c r="B216">
        <v>1690390276</v>
      </c>
      <c r="C216">
        <v>2017.5</v>
      </c>
      <c r="D216" t="s">
        <v>733</v>
      </c>
      <c r="E216" t="s">
        <v>734</v>
      </c>
      <c r="F216" t="s">
        <v>330</v>
      </c>
      <c r="H216">
        <v>1690390276</v>
      </c>
      <c r="I216">
        <f t="shared" si="90"/>
        <v>2.5175106365263504E-3</v>
      </c>
      <c r="J216">
        <f t="shared" si="91"/>
        <v>2.5175106365263504</v>
      </c>
      <c r="K216">
        <f t="shared" si="92"/>
        <v>38.819661625931509</v>
      </c>
      <c r="L216">
        <f t="shared" si="93"/>
        <v>378.52499999999998</v>
      </c>
      <c r="M216">
        <f t="shared" si="94"/>
        <v>107.94493349333749</v>
      </c>
      <c r="N216">
        <f t="shared" si="95"/>
        <v>10.64976764780365</v>
      </c>
      <c r="O216">
        <f t="shared" si="96"/>
        <v>37.344997754189997</v>
      </c>
      <c r="P216">
        <f t="shared" si="97"/>
        <v>0.24575462612360752</v>
      </c>
      <c r="Q216">
        <f t="shared" si="98"/>
        <v>2.1570568879867755</v>
      </c>
      <c r="R216">
        <f t="shared" si="99"/>
        <v>0.23119191983627449</v>
      </c>
      <c r="S216">
        <f t="shared" si="100"/>
        <v>0.14573138646530875</v>
      </c>
      <c r="T216">
        <f t="shared" si="101"/>
        <v>276.11575966800001</v>
      </c>
      <c r="U216">
        <f t="shared" si="102"/>
        <v>27.192125781497214</v>
      </c>
      <c r="V216">
        <f t="shared" si="103"/>
        <v>27.192125781497214</v>
      </c>
      <c r="W216">
        <f t="shared" si="104"/>
        <v>3.619746473376618</v>
      </c>
      <c r="X216">
        <f t="shared" si="105"/>
        <v>76.889098816802573</v>
      </c>
      <c r="Y216">
        <f t="shared" si="106"/>
        <v>2.5791702008839197</v>
      </c>
      <c r="Z216">
        <f t="shared" si="107"/>
        <v>3.3544029525292003</v>
      </c>
      <c r="AA216">
        <f t="shared" si="108"/>
        <v>1.0405762724926984</v>
      </c>
      <c r="AB216">
        <f t="shared" si="109"/>
        <v>-111.02221907081206</v>
      </c>
      <c r="AC216">
        <f t="shared" si="110"/>
        <v>-150.22803613349791</v>
      </c>
      <c r="AD216">
        <f t="shared" si="111"/>
        <v>-14.962153912784341</v>
      </c>
      <c r="AE216">
        <f t="shared" si="112"/>
        <v>-9.6649449094314832E-2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52322.662170379117</v>
      </c>
      <c r="AK216">
        <f t="shared" si="116"/>
        <v>1800</v>
      </c>
      <c r="AL216">
        <f t="shared" si="117"/>
        <v>1499.1116328000001</v>
      </c>
      <c r="AM216">
        <f t="shared" si="118"/>
        <v>0.83283979600000002</v>
      </c>
      <c r="AN216">
        <f t="shared" si="119"/>
        <v>0.15339764426000002</v>
      </c>
      <c r="AO216">
        <v>31.8</v>
      </c>
      <c r="AP216">
        <v>0.5</v>
      </c>
      <c r="AQ216" t="s">
        <v>331</v>
      </c>
      <c r="AR216">
        <v>2</v>
      </c>
      <c r="AS216">
        <v>1690390276</v>
      </c>
      <c r="AT216">
        <v>378.52499999999998</v>
      </c>
      <c r="AU216">
        <v>800.005</v>
      </c>
      <c r="AV216">
        <v>26.142199999999999</v>
      </c>
      <c r="AW216">
        <v>0.16096299999999999</v>
      </c>
      <c r="AX216">
        <v>378.08499999999998</v>
      </c>
      <c r="AY216">
        <v>25.9438</v>
      </c>
      <c r="AZ216">
        <v>300.07799999999997</v>
      </c>
      <c r="BA216">
        <v>98.559299999999993</v>
      </c>
      <c r="BB216">
        <v>9.99636E-2</v>
      </c>
      <c r="BC216">
        <v>25.900300000000001</v>
      </c>
      <c r="BD216">
        <v>27.0047</v>
      </c>
      <c r="BE216">
        <v>27.026499999999999</v>
      </c>
      <c r="BF216">
        <v>0</v>
      </c>
      <c r="BG216">
        <v>0</v>
      </c>
      <c r="BH216">
        <v>10003.1</v>
      </c>
      <c r="BI216">
        <v>1068.47</v>
      </c>
      <c r="BJ216">
        <v>1.3736200000000001</v>
      </c>
      <c r="BK216">
        <v>-421.48099999999999</v>
      </c>
      <c r="BL216">
        <v>388.68599999999998</v>
      </c>
      <c r="BM216">
        <v>800.13400000000001</v>
      </c>
      <c r="BN216">
        <v>25.981200000000001</v>
      </c>
      <c r="BO216">
        <v>800.005</v>
      </c>
      <c r="BP216">
        <v>0.16096299999999999</v>
      </c>
      <c r="BQ216">
        <v>2.5765600000000002</v>
      </c>
      <c r="BR216">
        <v>1.5864400000000001E-2</v>
      </c>
      <c r="BS216">
        <v>21.5184</v>
      </c>
      <c r="BT216">
        <v>-41.632300000000001</v>
      </c>
      <c r="BU216">
        <v>1800</v>
      </c>
      <c r="BV216">
        <v>0.90999399999999997</v>
      </c>
      <c r="BW216">
        <v>3.3997899999999998E-2</v>
      </c>
      <c r="BX216">
        <v>2.20038E-2</v>
      </c>
      <c r="BY216">
        <v>3.4004E-2</v>
      </c>
      <c r="BZ216">
        <v>25</v>
      </c>
      <c r="CA216">
        <v>33528.300000000003</v>
      </c>
      <c r="CB216">
        <v>1690387638</v>
      </c>
      <c r="CC216" t="s">
        <v>332</v>
      </c>
      <c r="CD216">
        <v>1690387638</v>
      </c>
      <c r="CE216">
        <v>1690387638</v>
      </c>
      <c r="CF216">
        <v>6</v>
      </c>
      <c r="CG216">
        <v>0.43</v>
      </c>
      <c r="CH216">
        <v>-8.1000000000000003E-2</v>
      </c>
      <c r="CI216">
        <v>0.14199999999999999</v>
      </c>
      <c r="CJ216">
        <v>-2.7E-2</v>
      </c>
      <c r="CK216">
        <v>800</v>
      </c>
      <c r="CL216">
        <v>0</v>
      </c>
      <c r="CM216">
        <v>0.01</v>
      </c>
      <c r="CN216">
        <v>0.01</v>
      </c>
      <c r="CO216">
        <v>-421.39457499999997</v>
      </c>
      <c r="CP216">
        <v>-0.29300938086239853</v>
      </c>
      <c r="CQ216">
        <v>3.6958008266135309E-2</v>
      </c>
      <c r="CR216">
        <v>-1</v>
      </c>
      <c r="CS216">
        <v>25.9762825</v>
      </c>
      <c r="CT216">
        <v>4.0179737335767483E-2</v>
      </c>
      <c r="CU216">
        <v>4.3081833468407932E-3</v>
      </c>
      <c r="CV216">
        <v>-1</v>
      </c>
      <c r="CW216">
        <v>0</v>
      </c>
      <c r="CX216">
        <v>0</v>
      </c>
      <c r="CY216" t="s">
        <v>333</v>
      </c>
      <c r="CZ216">
        <v>2.3647300000000002</v>
      </c>
      <c r="DA216">
        <v>2.7137600000000002</v>
      </c>
      <c r="DB216">
        <v>8.5313799999999995E-2</v>
      </c>
      <c r="DC216">
        <v>0.14533199999999999</v>
      </c>
      <c r="DD216">
        <v>0.120394</v>
      </c>
      <c r="DE216">
        <v>1.3493400000000001E-3</v>
      </c>
      <c r="DF216">
        <v>33428.9</v>
      </c>
      <c r="DG216">
        <v>27583</v>
      </c>
      <c r="DH216">
        <v>31198.9</v>
      </c>
      <c r="DI216">
        <v>28121.3</v>
      </c>
      <c r="DJ216">
        <v>37251.199999999997</v>
      </c>
      <c r="DK216">
        <v>39944.300000000003</v>
      </c>
      <c r="DL216">
        <v>44403.8</v>
      </c>
      <c r="DM216">
        <v>42624.800000000003</v>
      </c>
      <c r="DN216">
        <v>1.47658</v>
      </c>
      <c r="DO216">
        <v>2.03172</v>
      </c>
      <c r="DP216">
        <v>0.14387800000000001</v>
      </c>
      <c r="DQ216">
        <v>0.147864</v>
      </c>
      <c r="DR216">
        <v>24.647200000000002</v>
      </c>
      <c r="DS216">
        <v>24.6036</v>
      </c>
      <c r="DT216">
        <v>21.3</v>
      </c>
      <c r="DU216">
        <v>29.3</v>
      </c>
      <c r="DV216">
        <v>8.8443699999999996</v>
      </c>
      <c r="DW216">
        <v>61.092300000000002</v>
      </c>
      <c r="DX216">
        <v>37.624200000000002</v>
      </c>
      <c r="DY216">
        <v>1</v>
      </c>
      <c r="DZ216">
        <v>-0.11956600000000001</v>
      </c>
      <c r="EA216">
        <v>0.230961</v>
      </c>
      <c r="EB216">
        <v>20.190100000000001</v>
      </c>
      <c r="EC216">
        <v>5.2411000000000003</v>
      </c>
      <c r="ED216">
        <v>12.039899999999999</v>
      </c>
      <c r="EE216">
        <v>5.0170500000000002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1.8692</v>
      </c>
      <c r="EN216">
        <v>1.8672299999999999</v>
      </c>
      <c r="EO216">
        <v>1.86338</v>
      </c>
      <c r="EP216">
        <v>1.86446</v>
      </c>
      <c r="EQ216">
        <v>1.8702000000000001</v>
      </c>
      <c r="ER216">
        <v>1.8693599999999999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0.44</v>
      </c>
      <c r="FG216">
        <v>0.19839999999999999</v>
      </c>
      <c r="FH216">
        <v>0.69281559908863044</v>
      </c>
      <c r="FI216">
        <v>-6.1462078757559423E-4</v>
      </c>
      <c r="FJ216">
        <v>-1.8861989874597051E-7</v>
      </c>
      <c r="FK216">
        <v>1.1980462299894961E-10</v>
      </c>
      <c r="FL216">
        <v>0.19840465858211129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44</v>
      </c>
      <c r="FU216">
        <v>44</v>
      </c>
      <c r="FV216">
        <v>1.7639199999999999</v>
      </c>
      <c r="FW216">
        <v>2.5817899999999998</v>
      </c>
      <c r="FX216">
        <v>1.5490699999999999</v>
      </c>
      <c r="FY216">
        <v>2.33521</v>
      </c>
      <c r="FZ216">
        <v>1.50146</v>
      </c>
      <c r="GA216">
        <v>2.3767100000000001</v>
      </c>
      <c r="GB216">
        <v>33.602899999999998</v>
      </c>
      <c r="GC216">
        <v>23.991199999999999</v>
      </c>
      <c r="GD216">
        <v>19</v>
      </c>
      <c r="GE216">
        <v>281.608</v>
      </c>
      <c r="GF216">
        <v>575.63400000000001</v>
      </c>
      <c r="GG216">
        <v>24.0824</v>
      </c>
      <c r="GH216">
        <v>25.896999999999998</v>
      </c>
      <c r="GI216">
        <v>30.000299999999999</v>
      </c>
      <c r="GJ216">
        <v>26.0273</v>
      </c>
      <c r="GK216">
        <v>26.009</v>
      </c>
      <c r="GL216">
        <v>35.2577</v>
      </c>
      <c r="GM216">
        <v>100</v>
      </c>
      <c r="GN216">
        <v>0</v>
      </c>
      <c r="GO216">
        <v>24.063099999999999</v>
      </c>
      <c r="GP216">
        <v>800</v>
      </c>
      <c r="GQ216">
        <v>0</v>
      </c>
      <c r="GR216">
        <v>99.829499999999996</v>
      </c>
      <c r="GS216">
        <v>99.711699999999993</v>
      </c>
    </row>
    <row r="217" spans="1:201" x14ac:dyDescent="0.25">
      <c r="A217">
        <v>201</v>
      </c>
      <c r="B217">
        <v>1690390286</v>
      </c>
      <c r="C217">
        <v>2027.5</v>
      </c>
      <c r="D217" t="s">
        <v>735</v>
      </c>
      <c r="E217" t="s">
        <v>736</v>
      </c>
      <c r="F217" t="s">
        <v>330</v>
      </c>
      <c r="H217">
        <v>1690390286</v>
      </c>
      <c r="I217">
        <f t="shared" si="90"/>
        <v>2.5185162678533477E-3</v>
      </c>
      <c r="J217">
        <f t="shared" si="91"/>
        <v>2.5185162678533479</v>
      </c>
      <c r="K217">
        <f t="shared" si="92"/>
        <v>38.84755562127836</v>
      </c>
      <c r="L217">
        <f t="shared" si="93"/>
        <v>378.34899999999999</v>
      </c>
      <c r="M217">
        <f t="shared" si="94"/>
        <v>108.02795369265667</v>
      </c>
      <c r="N217">
        <f t="shared" si="95"/>
        <v>10.658147019550738</v>
      </c>
      <c r="O217">
        <f t="shared" si="96"/>
        <v>37.328294472490001</v>
      </c>
      <c r="P217">
        <f t="shared" si="97"/>
        <v>0.24620990570145435</v>
      </c>
      <c r="Q217">
        <f t="shared" si="98"/>
        <v>2.1533363608398215</v>
      </c>
      <c r="R217">
        <f t="shared" si="99"/>
        <v>0.23157127362223601</v>
      </c>
      <c r="S217">
        <f t="shared" si="100"/>
        <v>0.14597468563918609</v>
      </c>
      <c r="T217">
        <f t="shared" si="101"/>
        <v>276.115819122</v>
      </c>
      <c r="U217">
        <f t="shared" si="102"/>
        <v>27.188315843371907</v>
      </c>
      <c r="V217">
        <f t="shared" si="103"/>
        <v>27.188315843371907</v>
      </c>
      <c r="W217">
        <f t="shared" si="104"/>
        <v>3.6189377322964096</v>
      </c>
      <c r="X217">
        <f t="shared" si="105"/>
        <v>76.927864619352874</v>
      </c>
      <c r="Y217">
        <f t="shared" si="106"/>
        <v>2.5796302318639999</v>
      </c>
      <c r="Z217">
        <f t="shared" si="107"/>
        <v>3.3533105911990151</v>
      </c>
      <c r="AA217">
        <f t="shared" si="108"/>
        <v>1.0393075004324097</v>
      </c>
      <c r="AB217">
        <f t="shared" si="109"/>
        <v>-111.06656741233263</v>
      </c>
      <c r="AC217">
        <f t="shared" si="110"/>
        <v>-150.16512076467694</v>
      </c>
      <c r="AD217">
        <f t="shared" si="111"/>
        <v>-14.981030251408331</v>
      </c>
      <c r="AE217">
        <f t="shared" si="112"/>
        <v>-9.6899306417924436E-2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52167.836493256204</v>
      </c>
      <c r="AK217">
        <f t="shared" si="116"/>
        <v>1800</v>
      </c>
      <c r="AL217">
        <f t="shared" si="117"/>
        <v>1499.1122052000001</v>
      </c>
      <c r="AM217">
        <f t="shared" si="118"/>
        <v>0.83284011400000002</v>
      </c>
      <c r="AN217">
        <f t="shared" si="119"/>
        <v>0.15339767729000001</v>
      </c>
      <c r="AO217">
        <v>31.8</v>
      </c>
      <c r="AP217">
        <v>0.5</v>
      </c>
      <c r="AQ217" t="s">
        <v>331</v>
      </c>
      <c r="AR217">
        <v>2</v>
      </c>
      <c r="AS217">
        <v>1690390286</v>
      </c>
      <c r="AT217">
        <v>378.34899999999999</v>
      </c>
      <c r="AU217">
        <v>800.03399999999999</v>
      </c>
      <c r="AV217">
        <v>26.1464</v>
      </c>
      <c r="AW217">
        <v>0.160439</v>
      </c>
      <c r="AX217">
        <v>377.90899999999999</v>
      </c>
      <c r="AY217">
        <v>25.948</v>
      </c>
      <c r="AZ217">
        <v>300.142</v>
      </c>
      <c r="BA217">
        <v>98.561000000000007</v>
      </c>
      <c r="BB217">
        <v>0.10001</v>
      </c>
      <c r="BC217">
        <v>25.8948</v>
      </c>
      <c r="BD217">
        <v>26.980399999999999</v>
      </c>
      <c r="BE217">
        <v>27.031500000000001</v>
      </c>
      <c r="BF217">
        <v>0</v>
      </c>
      <c r="BG217">
        <v>0</v>
      </c>
      <c r="BH217">
        <v>9971.8799999999992</v>
      </c>
      <c r="BI217">
        <v>1068.53</v>
      </c>
      <c r="BJ217">
        <v>1.3595999999999999</v>
      </c>
      <c r="BK217">
        <v>-421.685</v>
      </c>
      <c r="BL217">
        <v>388.50700000000001</v>
      </c>
      <c r="BM217">
        <v>800.16200000000003</v>
      </c>
      <c r="BN217">
        <v>25.986000000000001</v>
      </c>
      <c r="BO217">
        <v>800.03399999999999</v>
      </c>
      <c r="BP217">
        <v>0.160439</v>
      </c>
      <c r="BQ217">
        <v>2.5770200000000001</v>
      </c>
      <c r="BR217">
        <v>1.5813000000000001E-2</v>
      </c>
      <c r="BS217">
        <v>21.5213</v>
      </c>
      <c r="BT217">
        <v>-41.6629</v>
      </c>
      <c r="BU217">
        <v>1800</v>
      </c>
      <c r="BV217">
        <v>0.909995</v>
      </c>
      <c r="BW217">
        <v>3.3997600000000003E-2</v>
      </c>
      <c r="BX217">
        <v>2.2003700000000001E-2</v>
      </c>
      <c r="BY217">
        <v>3.4003699999999998E-2</v>
      </c>
      <c r="BZ217">
        <v>25</v>
      </c>
      <c r="CA217">
        <v>33528.400000000001</v>
      </c>
      <c r="CB217">
        <v>1690387638</v>
      </c>
      <c r="CC217" t="s">
        <v>332</v>
      </c>
      <c r="CD217">
        <v>1690387638</v>
      </c>
      <c r="CE217">
        <v>1690387638</v>
      </c>
      <c r="CF217">
        <v>6</v>
      </c>
      <c r="CG217">
        <v>0.43</v>
      </c>
      <c r="CH217">
        <v>-8.1000000000000003E-2</v>
      </c>
      <c r="CI217">
        <v>0.14199999999999999</v>
      </c>
      <c r="CJ217">
        <v>-2.7E-2</v>
      </c>
      <c r="CK217">
        <v>800</v>
      </c>
      <c r="CL217">
        <v>0</v>
      </c>
      <c r="CM217">
        <v>0.01</v>
      </c>
      <c r="CN217">
        <v>0.01</v>
      </c>
      <c r="CO217">
        <v>-421.49975609756098</v>
      </c>
      <c r="CP217">
        <v>-0.89686411149823553</v>
      </c>
      <c r="CQ217">
        <v>9.7890875154069537E-2</v>
      </c>
      <c r="CR217">
        <v>-1</v>
      </c>
      <c r="CS217">
        <v>25.981795121951219</v>
      </c>
      <c r="CT217">
        <v>1.940069686418211E-2</v>
      </c>
      <c r="CU217">
        <v>2.186984918537378E-3</v>
      </c>
      <c r="CV217">
        <v>-1</v>
      </c>
      <c r="CW217">
        <v>0</v>
      </c>
      <c r="CX217">
        <v>0</v>
      </c>
      <c r="CY217" t="s">
        <v>333</v>
      </c>
      <c r="CZ217">
        <v>2.3649100000000001</v>
      </c>
      <c r="DA217">
        <v>2.7137799999999999</v>
      </c>
      <c r="DB217">
        <v>8.5284600000000002E-2</v>
      </c>
      <c r="DC217">
        <v>0.14533799999999999</v>
      </c>
      <c r="DD217">
        <v>0.12041</v>
      </c>
      <c r="DE217">
        <v>1.34501E-3</v>
      </c>
      <c r="DF217">
        <v>33430.1</v>
      </c>
      <c r="DG217">
        <v>27583.1</v>
      </c>
      <c r="DH217">
        <v>31199</v>
      </c>
      <c r="DI217">
        <v>28121.599999999999</v>
      </c>
      <c r="DJ217">
        <v>37250.5</v>
      </c>
      <c r="DK217">
        <v>39944.9</v>
      </c>
      <c r="DL217">
        <v>44403.8</v>
      </c>
      <c r="DM217">
        <v>42625.2</v>
      </c>
      <c r="DN217">
        <v>1.4766999999999999</v>
      </c>
      <c r="DO217">
        <v>2.0314999999999999</v>
      </c>
      <c r="DP217">
        <v>0.14226900000000001</v>
      </c>
      <c r="DQ217">
        <v>0.14817</v>
      </c>
      <c r="DR217">
        <v>24.6492</v>
      </c>
      <c r="DS217">
        <v>24.6036</v>
      </c>
      <c r="DT217">
        <v>21.3</v>
      </c>
      <c r="DU217">
        <v>29.3</v>
      </c>
      <c r="DV217">
        <v>8.8427600000000002</v>
      </c>
      <c r="DW217">
        <v>60.9923</v>
      </c>
      <c r="DX217">
        <v>36.8429</v>
      </c>
      <c r="DY217">
        <v>1</v>
      </c>
      <c r="DZ217">
        <v>-0.119799</v>
      </c>
      <c r="EA217">
        <v>9.0495599999999995E-2</v>
      </c>
      <c r="EB217">
        <v>20.190100000000001</v>
      </c>
      <c r="EC217">
        <v>5.24125</v>
      </c>
      <c r="ED217">
        <v>12.039899999999999</v>
      </c>
      <c r="EE217">
        <v>5.0170500000000002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1.8692</v>
      </c>
      <c r="EN217">
        <v>1.8672299999999999</v>
      </c>
      <c r="EO217">
        <v>1.8633900000000001</v>
      </c>
      <c r="EP217">
        <v>1.8644700000000001</v>
      </c>
      <c r="EQ217">
        <v>1.8701399999999999</v>
      </c>
      <c r="ER217">
        <v>1.8693500000000001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0.44</v>
      </c>
      <c r="FG217">
        <v>0.19839999999999999</v>
      </c>
      <c r="FH217">
        <v>0.69281559908863044</v>
      </c>
      <c r="FI217">
        <v>-6.1462078757559423E-4</v>
      </c>
      <c r="FJ217">
        <v>-1.8861989874597051E-7</v>
      </c>
      <c r="FK217">
        <v>1.1980462299894961E-10</v>
      </c>
      <c r="FL217">
        <v>0.19840465858211129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44.1</v>
      </c>
      <c r="FU217">
        <v>44.1</v>
      </c>
      <c r="FV217">
        <v>1.7639199999999999</v>
      </c>
      <c r="FW217">
        <v>2.5830099999999998</v>
      </c>
      <c r="FX217">
        <v>1.5490699999999999</v>
      </c>
      <c r="FY217">
        <v>2.33521</v>
      </c>
      <c r="FZ217">
        <v>1.50146</v>
      </c>
      <c r="GA217">
        <v>2.36694</v>
      </c>
      <c r="GB217">
        <v>33.602899999999998</v>
      </c>
      <c r="GC217">
        <v>23.982399999999998</v>
      </c>
      <c r="GD217">
        <v>19</v>
      </c>
      <c r="GE217">
        <v>281.661</v>
      </c>
      <c r="GF217">
        <v>575.45100000000002</v>
      </c>
      <c r="GG217">
        <v>24.079000000000001</v>
      </c>
      <c r="GH217">
        <v>25.896999999999998</v>
      </c>
      <c r="GI217">
        <v>29.9998</v>
      </c>
      <c r="GJ217">
        <v>26.0273</v>
      </c>
      <c r="GK217">
        <v>26.009</v>
      </c>
      <c r="GL217">
        <v>35.2547</v>
      </c>
      <c r="GM217">
        <v>100</v>
      </c>
      <c r="GN217">
        <v>0</v>
      </c>
      <c r="GO217">
        <v>24.0974</v>
      </c>
      <c r="GP217">
        <v>800</v>
      </c>
      <c r="GQ217">
        <v>0</v>
      </c>
      <c r="GR217">
        <v>99.829700000000003</v>
      </c>
      <c r="GS217">
        <v>99.712800000000001</v>
      </c>
    </row>
    <row r="218" spans="1:201" x14ac:dyDescent="0.25">
      <c r="A218">
        <v>202</v>
      </c>
      <c r="B218">
        <v>1690390296</v>
      </c>
      <c r="C218">
        <v>2037.5</v>
      </c>
      <c r="D218" t="s">
        <v>737</v>
      </c>
      <c r="E218" t="s">
        <v>738</v>
      </c>
      <c r="F218" t="s">
        <v>330</v>
      </c>
      <c r="H218">
        <v>1690390296</v>
      </c>
      <c r="I218">
        <f t="shared" si="90"/>
        <v>2.5202611061473316E-3</v>
      </c>
      <c r="J218">
        <f t="shared" si="91"/>
        <v>2.5202611061473315</v>
      </c>
      <c r="K218">
        <f t="shared" si="92"/>
        <v>38.848111545738497</v>
      </c>
      <c r="L218">
        <f t="shared" si="93"/>
        <v>378.21499999999997</v>
      </c>
      <c r="M218">
        <f t="shared" si="94"/>
        <v>108.69272249451967</v>
      </c>
      <c r="N218">
        <f t="shared" si="95"/>
        <v>10.723294358020528</v>
      </c>
      <c r="O218">
        <f t="shared" si="96"/>
        <v>37.313544849547995</v>
      </c>
      <c r="P218">
        <f t="shared" si="97"/>
        <v>0.24694633486874476</v>
      </c>
      <c r="Q218">
        <f t="shared" si="98"/>
        <v>2.160387404800999</v>
      </c>
      <c r="R218">
        <f t="shared" si="99"/>
        <v>0.23226780074797912</v>
      </c>
      <c r="S218">
        <f t="shared" si="100"/>
        <v>0.14641342158656612</v>
      </c>
      <c r="T218">
        <f t="shared" si="101"/>
        <v>276.11590543200003</v>
      </c>
      <c r="U218">
        <f t="shared" si="102"/>
        <v>27.186170412486305</v>
      </c>
      <c r="V218">
        <f t="shared" si="103"/>
        <v>27.186170412486305</v>
      </c>
      <c r="W218">
        <f t="shared" si="104"/>
        <v>3.6184823879920103</v>
      </c>
      <c r="X218">
        <f t="shared" si="105"/>
        <v>76.976893273156193</v>
      </c>
      <c r="Y218">
        <f t="shared" si="106"/>
        <v>2.5816259205994396</v>
      </c>
      <c r="Z218">
        <f t="shared" si="107"/>
        <v>3.3537673590416492</v>
      </c>
      <c r="AA218">
        <f t="shared" si="108"/>
        <v>1.0368564673925706</v>
      </c>
      <c r="AB218">
        <f t="shared" si="109"/>
        <v>-111.14351478109732</v>
      </c>
      <c r="AC218">
        <f t="shared" si="110"/>
        <v>-150.13906963349325</v>
      </c>
      <c r="AD218">
        <f t="shared" si="111"/>
        <v>-14.929555965275021</v>
      </c>
      <c r="AE218">
        <f t="shared" si="112"/>
        <v>-9.6234947865582399E-2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52462.904375325408</v>
      </c>
      <c r="AK218">
        <f t="shared" si="116"/>
        <v>1800</v>
      </c>
      <c r="AL218">
        <f t="shared" si="117"/>
        <v>1499.1125921999999</v>
      </c>
      <c r="AM218">
        <f t="shared" si="118"/>
        <v>0.83284032899999993</v>
      </c>
      <c r="AN218">
        <f t="shared" si="119"/>
        <v>0.15339772524</v>
      </c>
      <c r="AO218">
        <v>31.8</v>
      </c>
      <c r="AP218">
        <v>0.5</v>
      </c>
      <c r="AQ218" t="s">
        <v>331</v>
      </c>
      <c r="AR218">
        <v>2</v>
      </c>
      <c r="AS218">
        <v>1690390296</v>
      </c>
      <c r="AT218">
        <v>378.21499999999997</v>
      </c>
      <c r="AU218">
        <v>799.98800000000006</v>
      </c>
      <c r="AV218">
        <v>26.1677</v>
      </c>
      <c r="AW218">
        <v>0.15945200000000001</v>
      </c>
      <c r="AX218">
        <v>377.77499999999998</v>
      </c>
      <c r="AY218">
        <v>25.9693</v>
      </c>
      <c r="AZ218">
        <v>300.08600000000001</v>
      </c>
      <c r="BA218">
        <v>98.557000000000002</v>
      </c>
      <c r="BB218">
        <v>9.9967200000000006E-2</v>
      </c>
      <c r="BC218">
        <v>25.897099999999998</v>
      </c>
      <c r="BD218">
        <v>26.9758</v>
      </c>
      <c r="BE218">
        <v>27.040099999999999</v>
      </c>
      <c r="BF218">
        <v>0</v>
      </c>
      <c r="BG218">
        <v>0</v>
      </c>
      <c r="BH218">
        <v>10031.200000000001</v>
      </c>
      <c r="BI218">
        <v>1068.46</v>
      </c>
      <c r="BJ218">
        <v>1.3736200000000001</v>
      </c>
      <c r="BK218">
        <v>-421.774</v>
      </c>
      <c r="BL218">
        <v>388.37799999999999</v>
      </c>
      <c r="BM218">
        <v>800.11599999999999</v>
      </c>
      <c r="BN218">
        <v>26.008199999999999</v>
      </c>
      <c r="BO218">
        <v>799.98800000000006</v>
      </c>
      <c r="BP218">
        <v>0.15945200000000001</v>
      </c>
      <c r="BQ218">
        <v>2.5790099999999998</v>
      </c>
      <c r="BR218">
        <v>1.5715099999999999E-2</v>
      </c>
      <c r="BS218">
        <v>21.533899999999999</v>
      </c>
      <c r="BT218">
        <v>-41.721299999999999</v>
      </c>
      <c r="BU218">
        <v>1800</v>
      </c>
      <c r="BV218">
        <v>0.909995</v>
      </c>
      <c r="BW218">
        <v>3.3997800000000002E-2</v>
      </c>
      <c r="BX218">
        <v>2.2003700000000001E-2</v>
      </c>
      <c r="BY218">
        <v>3.4003800000000001E-2</v>
      </c>
      <c r="BZ218">
        <v>25</v>
      </c>
      <c r="CA218">
        <v>33528.400000000001</v>
      </c>
      <c r="CB218">
        <v>1690387638</v>
      </c>
      <c r="CC218" t="s">
        <v>332</v>
      </c>
      <c r="CD218">
        <v>1690387638</v>
      </c>
      <c r="CE218">
        <v>1690387638</v>
      </c>
      <c r="CF218">
        <v>6</v>
      </c>
      <c r="CG218">
        <v>0.43</v>
      </c>
      <c r="CH218">
        <v>-8.1000000000000003E-2</v>
      </c>
      <c r="CI218">
        <v>0.14199999999999999</v>
      </c>
      <c r="CJ218">
        <v>-2.7E-2</v>
      </c>
      <c r="CK218">
        <v>800</v>
      </c>
      <c r="CL218">
        <v>0</v>
      </c>
      <c r="CM218">
        <v>0.01</v>
      </c>
      <c r="CN218">
        <v>0.01</v>
      </c>
      <c r="CO218">
        <v>-421.65497560975609</v>
      </c>
      <c r="CP218">
        <v>-1.0143763066208531</v>
      </c>
      <c r="CQ218">
        <v>0.1038816136234845</v>
      </c>
      <c r="CR218">
        <v>-1</v>
      </c>
      <c r="CS218">
        <v>25.9888756097561</v>
      </c>
      <c r="CT218">
        <v>6.4988153310093846E-2</v>
      </c>
      <c r="CU218">
        <v>6.9618395553222266E-3</v>
      </c>
      <c r="CV218">
        <v>-1</v>
      </c>
      <c r="CW218">
        <v>0</v>
      </c>
      <c r="CX218">
        <v>0</v>
      </c>
      <c r="CY218" t="s">
        <v>333</v>
      </c>
      <c r="CZ218">
        <v>2.3647499999999999</v>
      </c>
      <c r="DA218">
        <v>2.7137799999999999</v>
      </c>
      <c r="DB218">
        <v>8.5257899999999998E-2</v>
      </c>
      <c r="DC218">
        <v>0.14532700000000001</v>
      </c>
      <c r="DD218">
        <v>0.120474</v>
      </c>
      <c r="DE218">
        <v>1.3367699999999999E-3</v>
      </c>
      <c r="DF218">
        <v>33430.800000000003</v>
      </c>
      <c r="DG218">
        <v>27583.200000000001</v>
      </c>
      <c r="DH218">
        <v>31198.799999999999</v>
      </c>
      <c r="DI218">
        <v>28121.3</v>
      </c>
      <c r="DJ218">
        <v>37247.699999999997</v>
      </c>
      <c r="DK218">
        <v>39944.800000000003</v>
      </c>
      <c r="DL218">
        <v>44403.7</v>
      </c>
      <c r="DM218">
        <v>42624.800000000003</v>
      </c>
      <c r="DN218">
        <v>1.47648</v>
      </c>
      <c r="DO218">
        <v>2.0316700000000001</v>
      </c>
      <c r="DP218">
        <v>0.14185900000000001</v>
      </c>
      <c r="DQ218">
        <v>0.148699</v>
      </c>
      <c r="DR218">
        <v>24.651299999999999</v>
      </c>
      <c r="DS218">
        <v>24.6036</v>
      </c>
      <c r="DT218">
        <v>21.3</v>
      </c>
      <c r="DU218">
        <v>29.3</v>
      </c>
      <c r="DV218">
        <v>8.8433200000000003</v>
      </c>
      <c r="DW218">
        <v>60.802300000000002</v>
      </c>
      <c r="DX218">
        <v>37.6402</v>
      </c>
      <c r="DY218">
        <v>1</v>
      </c>
      <c r="DZ218">
        <v>-0.120292</v>
      </c>
      <c r="EA218">
        <v>2.84395E-2</v>
      </c>
      <c r="EB218">
        <v>20.190200000000001</v>
      </c>
      <c r="EC218">
        <v>5.2411000000000003</v>
      </c>
      <c r="ED218">
        <v>12.039899999999999</v>
      </c>
      <c r="EE218">
        <v>5.0170500000000002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1.8646199999999999</v>
      </c>
      <c r="EM218">
        <v>1.86921</v>
      </c>
      <c r="EN218">
        <v>1.8672200000000001</v>
      </c>
      <c r="EO218">
        <v>1.86338</v>
      </c>
      <c r="EP218">
        <v>1.86446</v>
      </c>
      <c r="EQ218">
        <v>1.8701700000000001</v>
      </c>
      <c r="ER218">
        <v>1.8693599999999999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0.44</v>
      </c>
      <c r="FG218">
        <v>0.19839999999999999</v>
      </c>
      <c r="FH218">
        <v>0.69281559908863044</v>
      </c>
      <c r="FI218">
        <v>-6.1462078757559423E-4</v>
      </c>
      <c r="FJ218">
        <v>-1.8861989874597051E-7</v>
      </c>
      <c r="FK218">
        <v>1.1980462299894961E-10</v>
      </c>
      <c r="FL218">
        <v>0.19840465858211129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44.3</v>
      </c>
      <c r="FU218">
        <v>44.3</v>
      </c>
      <c r="FV218">
        <v>1.7639199999999999</v>
      </c>
      <c r="FW218">
        <v>2.5866699999999998</v>
      </c>
      <c r="FX218">
        <v>1.5490699999999999</v>
      </c>
      <c r="FY218">
        <v>2.33521</v>
      </c>
      <c r="FZ218">
        <v>1.50146</v>
      </c>
      <c r="GA218">
        <v>2.2961399999999998</v>
      </c>
      <c r="GB218">
        <v>33.602899999999998</v>
      </c>
      <c r="GC218">
        <v>23.982399999999998</v>
      </c>
      <c r="GD218">
        <v>19</v>
      </c>
      <c r="GE218">
        <v>281.56599999999997</v>
      </c>
      <c r="GF218">
        <v>575.59400000000005</v>
      </c>
      <c r="GG218">
        <v>24.1129</v>
      </c>
      <c r="GH218">
        <v>25.896999999999998</v>
      </c>
      <c r="GI218">
        <v>30.0002</v>
      </c>
      <c r="GJ218">
        <v>26.0273</v>
      </c>
      <c r="GK218">
        <v>26.009</v>
      </c>
      <c r="GL218">
        <v>35.2545</v>
      </c>
      <c r="GM218">
        <v>100</v>
      </c>
      <c r="GN218">
        <v>0</v>
      </c>
      <c r="GO218">
        <v>24.131599999999999</v>
      </c>
      <c r="GP218">
        <v>800</v>
      </c>
      <c r="GQ218">
        <v>0</v>
      </c>
      <c r="GR218">
        <v>99.829300000000003</v>
      </c>
      <c r="GS218">
        <v>99.711799999999997</v>
      </c>
    </row>
    <row r="219" spans="1:201" x14ac:dyDescent="0.25">
      <c r="A219">
        <v>203</v>
      </c>
      <c r="B219">
        <v>1690390306</v>
      </c>
      <c r="C219">
        <v>2047.5</v>
      </c>
      <c r="D219" t="s">
        <v>739</v>
      </c>
      <c r="E219" t="s">
        <v>740</v>
      </c>
      <c r="F219" t="s">
        <v>330</v>
      </c>
      <c r="H219">
        <v>1690390306</v>
      </c>
      <c r="I219">
        <f t="shared" si="90"/>
        <v>2.5215932211867628E-3</v>
      </c>
      <c r="J219">
        <f t="shared" si="91"/>
        <v>2.5215932211867629</v>
      </c>
      <c r="K219">
        <f t="shared" si="92"/>
        <v>38.85648267183295</v>
      </c>
      <c r="L219">
        <f t="shared" si="93"/>
        <v>378.108</v>
      </c>
      <c r="M219">
        <f t="shared" si="94"/>
        <v>108.76645972029499</v>
      </c>
      <c r="N219">
        <f t="shared" si="95"/>
        <v>10.730973203496291</v>
      </c>
      <c r="O219">
        <f t="shared" si="96"/>
        <v>37.304393527763999</v>
      </c>
      <c r="P219">
        <f t="shared" si="97"/>
        <v>0.24720228797417199</v>
      </c>
      <c r="Q219">
        <f t="shared" si="98"/>
        <v>2.1564778174178172</v>
      </c>
      <c r="R219">
        <f t="shared" si="99"/>
        <v>0.23246932326038874</v>
      </c>
      <c r="S219">
        <f t="shared" si="100"/>
        <v>0.14654379825497305</v>
      </c>
      <c r="T219">
        <f t="shared" si="101"/>
        <v>276.11422569155746</v>
      </c>
      <c r="U219">
        <f t="shared" si="102"/>
        <v>27.191419816440238</v>
      </c>
      <c r="V219">
        <f t="shared" si="103"/>
        <v>27.191419816440238</v>
      </c>
      <c r="W219">
        <f t="shared" si="104"/>
        <v>3.6195966052462554</v>
      </c>
      <c r="X219">
        <f t="shared" si="105"/>
        <v>77.00338307964013</v>
      </c>
      <c r="Y219">
        <f t="shared" si="106"/>
        <v>2.5830649398278998</v>
      </c>
      <c r="Z219">
        <f t="shared" si="107"/>
        <v>3.3544824091123187</v>
      </c>
      <c r="AA219">
        <f t="shared" si="108"/>
        <v>1.0365316654183556</v>
      </c>
      <c r="AB219">
        <f t="shared" si="109"/>
        <v>-111.20226105433625</v>
      </c>
      <c r="AC219">
        <f t="shared" si="110"/>
        <v>-150.05912728193468</v>
      </c>
      <c r="AD219">
        <f t="shared" si="111"/>
        <v>-14.949321407131002</v>
      </c>
      <c r="AE219">
        <f t="shared" si="112"/>
        <v>-9.6484051844441865E-2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52298.351247605628</v>
      </c>
      <c r="AK219">
        <f t="shared" si="116"/>
        <v>1799.99</v>
      </c>
      <c r="AL219">
        <f t="shared" si="117"/>
        <v>1499.1033044020401</v>
      </c>
      <c r="AM219">
        <f t="shared" si="118"/>
        <v>0.83283979600000002</v>
      </c>
      <c r="AN219">
        <f t="shared" si="119"/>
        <v>0.15339764426000002</v>
      </c>
      <c r="AO219">
        <v>31.8</v>
      </c>
      <c r="AP219">
        <v>0.5</v>
      </c>
      <c r="AQ219" t="s">
        <v>331</v>
      </c>
      <c r="AR219">
        <v>2</v>
      </c>
      <c r="AS219">
        <v>1690390306</v>
      </c>
      <c r="AT219">
        <v>378.108</v>
      </c>
      <c r="AU219">
        <v>799.97500000000002</v>
      </c>
      <c r="AV219">
        <v>26.1813</v>
      </c>
      <c r="AW219">
        <v>0.159495</v>
      </c>
      <c r="AX219">
        <v>377.66800000000001</v>
      </c>
      <c r="AY219">
        <v>25.982900000000001</v>
      </c>
      <c r="AZ219">
        <v>300.084</v>
      </c>
      <c r="BA219">
        <v>98.560699999999997</v>
      </c>
      <c r="BB219">
        <v>9.9983000000000002E-2</v>
      </c>
      <c r="BC219">
        <v>25.900700000000001</v>
      </c>
      <c r="BD219">
        <v>26.992799999999999</v>
      </c>
      <c r="BE219">
        <v>27.0336</v>
      </c>
      <c r="BF219">
        <v>0</v>
      </c>
      <c r="BG219">
        <v>0</v>
      </c>
      <c r="BH219">
        <v>9998.1200000000008</v>
      </c>
      <c r="BI219">
        <v>1068.57</v>
      </c>
      <c r="BJ219">
        <v>1.38764</v>
      </c>
      <c r="BK219">
        <v>-421.86599999999999</v>
      </c>
      <c r="BL219">
        <v>388.274</v>
      </c>
      <c r="BM219">
        <v>800.10199999999998</v>
      </c>
      <c r="BN219">
        <v>26.021799999999999</v>
      </c>
      <c r="BO219">
        <v>799.97500000000002</v>
      </c>
      <c r="BP219">
        <v>0.159495</v>
      </c>
      <c r="BQ219">
        <v>2.5804499999999999</v>
      </c>
      <c r="BR219">
        <v>1.5720000000000001E-2</v>
      </c>
      <c r="BS219">
        <v>21.542999999999999</v>
      </c>
      <c r="BT219">
        <v>-41.718400000000003</v>
      </c>
      <c r="BU219">
        <v>1799.99</v>
      </c>
      <c r="BV219">
        <v>0.90999399999999997</v>
      </c>
      <c r="BW219">
        <v>3.3997899999999998E-2</v>
      </c>
      <c r="BX219">
        <v>2.20038E-2</v>
      </c>
      <c r="BY219">
        <v>3.4004E-2</v>
      </c>
      <c r="BZ219">
        <v>25</v>
      </c>
      <c r="CA219">
        <v>33528.199999999997</v>
      </c>
      <c r="CB219">
        <v>1690387638</v>
      </c>
      <c r="CC219" t="s">
        <v>332</v>
      </c>
      <c r="CD219">
        <v>1690387638</v>
      </c>
      <c r="CE219">
        <v>1690387638</v>
      </c>
      <c r="CF219">
        <v>6</v>
      </c>
      <c r="CG219">
        <v>0.43</v>
      </c>
      <c r="CH219">
        <v>-8.1000000000000003E-2</v>
      </c>
      <c r="CI219">
        <v>0.14199999999999999</v>
      </c>
      <c r="CJ219">
        <v>-2.7E-2</v>
      </c>
      <c r="CK219">
        <v>800</v>
      </c>
      <c r="CL219">
        <v>0</v>
      </c>
      <c r="CM219">
        <v>0.01</v>
      </c>
      <c r="CN219">
        <v>0.01</v>
      </c>
      <c r="CO219">
        <v>-421.79319512195121</v>
      </c>
      <c r="CP219">
        <v>-0.70940069686428786</v>
      </c>
      <c r="CQ219">
        <v>7.7381922484671281E-2</v>
      </c>
      <c r="CR219">
        <v>-1</v>
      </c>
      <c r="CS219">
        <v>26.003943902439019</v>
      </c>
      <c r="CT219">
        <v>0.1171045296167338</v>
      </c>
      <c r="CU219">
        <v>1.161680970395032E-2</v>
      </c>
      <c r="CV219">
        <v>-1</v>
      </c>
      <c r="CW219">
        <v>0</v>
      </c>
      <c r="CX219">
        <v>0</v>
      </c>
      <c r="CY219" t="s">
        <v>333</v>
      </c>
      <c r="CZ219">
        <v>2.3647499999999999</v>
      </c>
      <c r="DA219">
        <v>2.7137699999999998</v>
      </c>
      <c r="DB219">
        <v>8.5242499999999999E-2</v>
      </c>
      <c r="DC219">
        <v>0.14533099999999999</v>
      </c>
      <c r="DD219">
        <v>0.120522</v>
      </c>
      <c r="DE219">
        <v>1.3371800000000001E-3</v>
      </c>
      <c r="DF219">
        <v>33431.5</v>
      </c>
      <c r="DG219">
        <v>27583.4</v>
      </c>
      <c r="DH219">
        <v>31198.799999999999</v>
      </c>
      <c r="DI219">
        <v>28121.599999999999</v>
      </c>
      <c r="DJ219">
        <v>37245.699999999997</v>
      </c>
      <c r="DK219">
        <v>39945.5</v>
      </c>
      <c r="DL219">
        <v>44403.8</v>
      </c>
      <c r="DM219">
        <v>42625.599999999999</v>
      </c>
      <c r="DN219">
        <v>1.47672</v>
      </c>
      <c r="DO219">
        <v>2.0317699999999999</v>
      </c>
      <c r="DP219">
        <v>0.14302899999999999</v>
      </c>
      <c r="DQ219">
        <v>0.14829600000000001</v>
      </c>
      <c r="DR219">
        <v>24.6492</v>
      </c>
      <c r="DS219">
        <v>24.6036</v>
      </c>
      <c r="DT219">
        <v>21.2</v>
      </c>
      <c r="DU219">
        <v>29.3</v>
      </c>
      <c r="DV219">
        <v>8.8031199999999998</v>
      </c>
      <c r="DW219">
        <v>60.702300000000001</v>
      </c>
      <c r="DX219">
        <v>37.3157</v>
      </c>
      <c r="DY219">
        <v>1</v>
      </c>
      <c r="DZ219">
        <v>-0.120694</v>
      </c>
      <c r="EA219">
        <v>5.1636700000000001E-2</v>
      </c>
      <c r="EB219">
        <v>20.190100000000001</v>
      </c>
      <c r="EC219">
        <v>5.2413999999999996</v>
      </c>
      <c r="ED219">
        <v>12.039899999999999</v>
      </c>
      <c r="EE219">
        <v>5.0167000000000002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1.8692</v>
      </c>
      <c r="EN219">
        <v>1.8672200000000001</v>
      </c>
      <c r="EO219">
        <v>1.86338</v>
      </c>
      <c r="EP219">
        <v>1.86446</v>
      </c>
      <c r="EQ219">
        <v>1.8701399999999999</v>
      </c>
      <c r="ER219">
        <v>1.86937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0.44</v>
      </c>
      <c r="FG219">
        <v>0.19839999999999999</v>
      </c>
      <c r="FH219">
        <v>0.69281559908863044</v>
      </c>
      <c r="FI219">
        <v>-6.1462078757559423E-4</v>
      </c>
      <c r="FJ219">
        <v>-1.8861989874597051E-7</v>
      </c>
      <c r="FK219">
        <v>1.1980462299894961E-10</v>
      </c>
      <c r="FL219">
        <v>0.19840465858211129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44.5</v>
      </c>
      <c r="FU219">
        <v>44.5</v>
      </c>
      <c r="FV219">
        <v>1.7626999999999999</v>
      </c>
      <c r="FW219">
        <v>2.5769000000000002</v>
      </c>
      <c r="FX219">
        <v>1.5490699999999999</v>
      </c>
      <c r="FY219">
        <v>2.33521</v>
      </c>
      <c r="FZ219">
        <v>1.50146</v>
      </c>
      <c r="GA219">
        <v>2.3974600000000001</v>
      </c>
      <c r="GB219">
        <v>33.602899999999998</v>
      </c>
      <c r="GC219">
        <v>23.991199999999999</v>
      </c>
      <c r="GD219">
        <v>19</v>
      </c>
      <c r="GE219">
        <v>281.67200000000003</v>
      </c>
      <c r="GF219">
        <v>575.65700000000004</v>
      </c>
      <c r="GG219">
        <v>24.149100000000001</v>
      </c>
      <c r="GH219">
        <v>25.896999999999998</v>
      </c>
      <c r="GI219">
        <v>29.9999</v>
      </c>
      <c r="GJ219">
        <v>26.0273</v>
      </c>
      <c r="GK219">
        <v>26.007300000000001</v>
      </c>
      <c r="GL219">
        <v>35.255899999999997</v>
      </c>
      <c r="GM219">
        <v>100</v>
      </c>
      <c r="GN219">
        <v>0</v>
      </c>
      <c r="GO219">
        <v>24.1496</v>
      </c>
      <c r="GP219">
        <v>800</v>
      </c>
      <c r="GQ219">
        <v>0</v>
      </c>
      <c r="GR219">
        <v>99.829499999999996</v>
      </c>
      <c r="GS219">
        <v>99.713300000000004</v>
      </c>
    </row>
    <row r="220" spans="1:201" x14ac:dyDescent="0.25">
      <c r="A220">
        <v>204</v>
      </c>
      <c r="B220">
        <v>1690390316</v>
      </c>
      <c r="C220">
        <v>2057.5</v>
      </c>
      <c r="D220" t="s">
        <v>741</v>
      </c>
      <c r="E220" t="s">
        <v>742</v>
      </c>
      <c r="F220" t="s">
        <v>330</v>
      </c>
      <c r="H220">
        <v>1690390316</v>
      </c>
      <c r="I220">
        <f t="shared" si="90"/>
        <v>2.5230353008303288E-3</v>
      </c>
      <c r="J220">
        <f t="shared" si="91"/>
        <v>2.5230353008303288</v>
      </c>
      <c r="K220">
        <f t="shared" si="92"/>
        <v>38.872541733004333</v>
      </c>
      <c r="L220">
        <f t="shared" si="93"/>
        <v>378.01600000000002</v>
      </c>
      <c r="M220">
        <f t="shared" si="94"/>
        <v>108.79639971306212</v>
      </c>
      <c r="N220">
        <f t="shared" si="95"/>
        <v>10.73398443933436</v>
      </c>
      <c r="O220">
        <f t="shared" si="96"/>
        <v>37.295515959360003</v>
      </c>
      <c r="P220">
        <f t="shared" si="97"/>
        <v>0.24744351760140573</v>
      </c>
      <c r="Q220">
        <f t="shared" si="98"/>
        <v>2.1540117963750585</v>
      </c>
      <c r="R220">
        <f t="shared" si="99"/>
        <v>0.23266689014737424</v>
      </c>
      <c r="S220">
        <f t="shared" si="100"/>
        <v>0.14667083721095306</v>
      </c>
      <c r="T220">
        <f t="shared" si="101"/>
        <v>276.11576879400002</v>
      </c>
      <c r="U220">
        <f t="shared" si="102"/>
        <v>27.194575408606013</v>
      </c>
      <c r="V220">
        <f t="shared" si="103"/>
        <v>27.194575408606013</v>
      </c>
      <c r="W220">
        <f t="shared" si="104"/>
        <v>3.6202665425840643</v>
      </c>
      <c r="X220">
        <f t="shared" si="105"/>
        <v>77.021538731919136</v>
      </c>
      <c r="Y220">
        <f t="shared" si="106"/>
        <v>2.5840258849889999</v>
      </c>
      <c r="Z220">
        <f t="shared" si="107"/>
        <v>3.3549393163683083</v>
      </c>
      <c r="AA220">
        <f t="shared" si="108"/>
        <v>1.0362406575950645</v>
      </c>
      <c r="AB220">
        <f t="shared" si="109"/>
        <v>-111.2658567666175</v>
      </c>
      <c r="AC220">
        <f t="shared" si="110"/>
        <v>-149.9868859238338</v>
      </c>
      <c r="AD220">
        <f t="shared" si="111"/>
        <v>-14.959639781391159</v>
      </c>
      <c r="AE220">
        <f t="shared" si="112"/>
        <v>-9.6613677842441348E-2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52194.674447831596</v>
      </c>
      <c r="AK220">
        <f t="shared" si="116"/>
        <v>1800</v>
      </c>
      <c r="AL220">
        <f t="shared" si="117"/>
        <v>1499.1123293999999</v>
      </c>
      <c r="AM220">
        <f t="shared" si="118"/>
        <v>0.83284018299999996</v>
      </c>
      <c r="AN220">
        <f t="shared" si="119"/>
        <v>0.15339764933000002</v>
      </c>
      <c r="AO220">
        <v>31.8</v>
      </c>
      <c r="AP220">
        <v>0.5</v>
      </c>
      <c r="AQ220" t="s">
        <v>331</v>
      </c>
      <c r="AR220">
        <v>2</v>
      </c>
      <c r="AS220">
        <v>1690390316</v>
      </c>
      <c r="AT220">
        <v>378.01600000000002</v>
      </c>
      <c r="AU220">
        <v>799.98900000000003</v>
      </c>
      <c r="AV220">
        <v>26.190899999999999</v>
      </c>
      <c r="AW220">
        <v>0.158634</v>
      </c>
      <c r="AX220">
        <v>377.57600000000002</v>
      </c>
      <c r="AY220">
        <v>25.9925</v>
      </c>
      <c r="AZ220">
        <v>300.13200000000001</v>
      </c>
      <c r="BA220">
        <v>98.561099999999996</v>
      </c>
      <c r="BB220">
        <v>0.10011</v>
      </c>
      <c r="BC220">
        <v>25.902999999999999</v>
      </c>
      <c r="BD220">
        <v>27.010100000000001</v>
      </c>
      <c r="BE220">
        <v>27.0471</v>
      </c>
      <c r="BF220">
        <v>0</v>
      </c>
      <c r="BG220">
        <v>0</v>
      </c>
      <c r="BH220">
        <v>9977.5</v>
      </c>
      <c r="BI220">
        <v>1068.6199999999999</v>
      </c>
      <c r="BJ220">
        <v>1.4016500000000001</v>
      </c>
      <c r="BK220">
        <v>-421.97199999999998</v>
      </c>
      <c r="BL220">
        <v>388.18299999999999</v>
      </c>
      <c r="BM220">
        <v>800.11500000000001</v>
      </c>
      <c r="BN220">
        <v>26.0322</v>
      </c>
      <c r="BO220">
        <v>799.98900000000003</v>
      </c>
      <c r="BP220">
        <v>0.158634</v>
      </c>
      <c r="BQ220">
        <v>2.5813999999999999</v>
      </c>
      <c r="BR220">
        <v>1.5635199999999998E-2</v>
      </c>
      <c r="BS220">
        <v>21.548999999999999</v>
      </c>
      <c r="BT220">
        <v>-41.769300000000001</v>
      </c>
      <c r="BU220">
        <v>1800</v>
      </c>
      <c r="BV220">
        <v>0.90999600000000003</v>
      </c>
      <c r="BW220">
        <v>3.3997300000000001E-2</v>
      </c>
      <c r="BX220">
        <v>2.2003399999999999E-2</v>
      </c>
      <c r="BY220">
        <v>3.40033E-2</v>
      </c>
      <c r="BZ220">
        <v>25</v>
      </c>
      <c r="CA220">
        <v>33528.400000000001</v>
      </c>
      <c r="CB220">
        <v>1690387638</v>
      </c>
      <c r="CC220" t="s">
        <v>332</v>
      </c>
      <c r="CD220">
        <v>1690387638</v>
      </c>
      <c r="CE220">
        <v>1690387638</v>
      </c>
      <c r="CF220">
        <v>6</v>
      </c>
      <c r="CG220">
        <v>0.43</v>
      </c>
      <c r="CH220">
        <v>-8.1000000000000003E-2</v>
      </c>
      <c r="CI220">
        <v>0.14199999999999999</v>
      </c>
      <c r="CJ220">
        <v>-2.7E-2</v>
      </c>
      <c r="CK220">
        <v>800</v>
      </c>
      <c r="CL220">
        <v>0</v>
      </c>
      <c r="CM220">
        <v>0.01</v>
      </c>
      <c r="CN220">
        <v>0.01</v>
      </c>
      <c r="CO220">
        <v>-421.8731951219512</v>
      </c>
      <c r="CP220">
        <v>-0.1952404181184258</v>
      </c>
      <c r="CQ220">
        <v>7.3087391562926762E-2</v>
      </c>
      <c r="CR220">
        <v>-1</v>
      </c>
      <c r="CS220">
        <v>26.02043170731708</v>
      </c>
      <c r="CT220">
        <v>7.5915679442473988E-2</v>
      </c>
      <c r="CU220">
        <v>7.566790053861126E-3</v>
      </c>
      <c r="CV220">
        <v>-1</v>
      </c>
      <c r="CW220">
        <v>0</v>
      </c>
      <c r="CX220">
        <v>0</v>
      </c>
      <c r="CY220" t="s">
        <v>333</v>
      </c>
      <c r="CZ220">
        <v>2.3649200000000001</v>
      </c>
      <c r="DA220">
        <v>2.7138800000000001</v>
      </c>
      <c r="DB220">
        <v>8.5226800000000005E-2</v>
      </c>
      <c r="DC220">
        <v>0.14533299999999999</v>
      </c>
      <c r="DD220">
        <v>0.12055299999999999</v>
      </c>
      <c r="DE220">
        <v>1.33004E-3</v>
      </c>
      <c r="DF220">
        <v>33431.9</v>
      </c>
      <c r="DG220">
        <v>27583.1</v>
      </c>
      <c r="DH220">
        <v>31198.7</v>
      </c>
      <c r="DI220">
        <v>28121.4</v>
      </c>
      <c r="DJ220">
        <v>37244.199999999997</v>
      </c>
      <c r="DK220">
        <v>39945.4</v>
      </c>
      <c r="DL220">
        <v>44403.7</v>
      </c>
      <c r="DM220">
        <v>42625.1</v>
      </c>
      <c r="DN220">
        <v>1.47665</v>
      </c>
      <c r="DO220">
        <v>2.03132</v>
      </c>
      <c r="DP220">
        <v>0.14408699999999999</v>
      </c>
      <c r="DQ220">
        <v>0.14899699999999999</v>
      </c>
      <c r="DR220">
        <v>24.6492</v>
      </c>
      <c r="DS220">
        <v>24.605699999999999</v>
      </c>
      <c r="DT220">
        <v>21.2</v>
      </c>
      <c r="DU220">
        <v>29.3</v>
      </c>
      <c r="DV220">
        <v>8.8018699999999992</v>
      </c>
      <c r="DW220">
        <v>60.962299999999999</v>
      </c>
      <c r="DX220">
        <v>36.927100000000003</v>
      </c>
      <c r="DY220">
        <v>1</v>
      </c>
      <c r="DZ220">
        <v>-0.12034300000000001</v>
      </c>
      <c r="EA220">
        <v>0.17052800000000001</v>
      </c>
      <c r="EB220">
        <v>20.189900000000002</v>
      </c>
      <c r="EC220">
        <v>5.2413999999999996</v>
      </c>
      <c r="ED220">
        <v>12.039899999999999</v>
      </c>
      <c r="EE220">
        <v>5.0169499999999996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1.8672200000000001</v>
      </c>
      <c r="EO220">
        <v>1.8633599999999999</v>
      </c>
      <c r="EP220">
        <v>1.86446</v>
      </c>
      <c r="EQ220">
        <v>1.8701399999999999</v>
      </c>
      <c r="ER220">
        <v>1.8693500000000001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0.44</v>
      </c>
      <c r="FG220">
        <v>0.19839999999999999</v>
      </c>
      <c r="FH220">
        <v>0.69281559908863044</v>
      </c>
      <c r="FI220">
        <v>-6.1462078757559423E-4</v>
      </c>
      <c r="FJ220">
        <v>-1.8861989874597051E-7</v>
      </c>
      <c r="FK220">
        <v>1.1980462299894961E-10</v>
      </c>
      <c r="FL220">
        <v>0.19840465858211129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44.6</v>
      </c>
      <c r="FU220">
        <v>44.6</v>
      </c>
      <c r="FV220">
        <v>1.7639199999999999</v>
      </c>
      <c r="FW220">
        <v>2.5866699999999998</v>
      </c>
      <c r="FX220">
        <v>1.5490699999999999</v>
      </c>
      <c r="FY220">
        <v>2.33521</v>
      </c>
      <c r="FZ220">
        <v>1.50146</v>
      </c>
      <c r="GA220">
        <v>2.34985</v>
      </c>
      <c r="GB220">
        <v>33.602899999999998</v>
      </c>
      <c r="GC220">
        <v>23.982399999999998</v>
      </c>
      <c r="GD220">
        <v>19</v>
      </c>
      <c r="GE220">
        <v>281.64</v>
      </c>
      <c r="GF220">
        <v>575.29</v>
      </c>
      <c r="GG220">
        <v>24.1553</v>
      </c>
      <c r="GH220">
        <v>25.896999999999998</v>
      </c>
      <c r="GI220">
        <v>30.000299999999999</v>
      </c>
      <c r="GJ220">
        <v>26.0273</v>
      </c>
      <c r="GK220">
        <v>26.007300000000001</v>
      </c>
      <c r="GL220">
        <v>35.256100000000004</v>
      </c>
      <c r="GM220">
        <v>100</v>
      </c>
      <c r="GN220">
        <v>0</v>
      </c>
      <c r="GO220">
        <v>24.1206</v>
      </c>
      <c r="GP220">
        <v>800</v>
      </c>
      <c r="GQ220">
        <v>0</v>
      </c>
      <c r="GR220">
        <v>99.829099999999997</v>
      </c>
      <c r="GS220">
        <v>99.712199999999996</v>
      </c>
    </row>
    <row r="221" spans="1:201" x14ac:dyDescent="0.25">
      <c r="A221">
        <v>205</v>
      </c>
      <c r="B221">
        <v>1690390326</v>
      </c>
      <c r="C221">
        <v>2067.5</v>
      </c>
      <c r="D221" t="s">
        <v>743</v>
      </c>
      <c r="E221" t="s">
        <v>744</v>
      </c>
      <c r="F221" t="s">
        <v>330</v>
      </c>
      <c r="H221">
        <v>1690390326</v>
      </c>
      <c r="I221">
        <f t="shared" si="90"/>
        <v>2.524256036994211E-3</v>
      </c>
      <c r="J221">
        <f t="shared" si="91"/>
        <v>2.5242560369942111</v>
      </c>
      <c r="K221">
        <f t="shared" si="92"/>
        <v>38.889514337218969</v>
      </c>
      <c r="L221">
        <f t="shared" si="93"/>
        <v>377.92500000000001</v>
      </c>
      <c r="M221">
        <f t="shared" si="94"/>
        <v>108.95504397183701</v>
      </c>
      <c r="N221">
        <f t="shared" si="95"/>
        <v>10.749716664777008</v>
      </c>
      <c r="O221">
        <f t="shared" si="96"/>
        <v>37.286815942050005</v>
      </c>
      <c r="P221">
        <f t="shared" si="97"/>
        <v>0.2477719330690662</v>
      </c>
      <c r="Q221">
        <f t="shared" si="98"/>
        <v>2.158583479985154</v>
      </c>
      <c r="R221">
        <f t="shared" si="99"/>
        <v>0.23298668235208936</v>
      </c>
      <c r="S221">
        <f t="shared" si="100"/>
        <v>0.14687149399774072</v>
      </c>
      <c r="T221">
        <f t="shared" si="101"/>
        <v>276.11579714400006</v>
      </c>
      <c r="U221">
        <f t="shared" si="102"/>
        <v>27.194062579729358</v>
      </c>
      <c r="V221">
        <f t="shared" si="103"/>
        <v>27.194062579729358</v>
      </c>
      <c r="W221">
        <f t="shared" si="104"/>
        <v>3.6201576608167949</v>
      </c>
      <c r="X221">
        <f t="shared" si="105"/>
        <v>77.034690891767426</v>
      </c>
      <c r="Y221">
        <f t="shared" si="106"/>
        <v>2.5848344570594</v>
      </c>
      <c r="Z221">
        <f t="shared" si="107"/>
        <v>3.3554161471109856</v>
      </c>
      <c r="AA221">
        <f t="shared" si="108"/>
        <v>1.0353232037573949</v>
      </c>
      <c r="AB221">
        <f t="shared" si="109"/>
        <v>-111.31969123144471</v>
      </c>
      <c r="AC221">
        <f t="shared" si="110"/>
        <v>-149.96624247094024</v>
      </c>
      <c r="AD221">
        <f t="shared" si="111"/>
        <v>-14.926042752232293</v>
      </c>
      <c r="AE221">
        <f t="shared" si="112"/>
        <v>-9.617931061723084E-2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52385.844621701151</v>
      </c>
      <c r="AK221">
        <f t="shared" si="116"/>
        <v>1800</v>
      </c>
      <c r="AL221">
        <f t="shared" si="117"/>
        <v>1499.1124643999999</v>
      </c>
      <c r="AM221">
        <f t="shared" si="118"/>
        <v>0.83284025799999994</v>
      </c>
      <c r="AN221">
        <f t="shared" si="119"/>
        <v>0.15339766508000002</v>
      </c>
      <c r="AO221">
        <v>31.8</v>
      </c>
      <c r="AP221">
        <v>0.5</v>
      </c>
      <c r="AQ221" t="s">
        <v>331</v>
      </c>
      <c r="AR221">
        <v>2</v>
      </c>
      <c r="AS221">
        <v>1690390326</v>
      </c>
      <c r="AT221">
        <v>377.92500000000001</v>
      </c>
      <c r="AU221">
        <v>800.01700000000005</v>
      </c>
      <c r="AV221">
        <v>26.198899999999998</v>
      </c>
      <c r="AW221">
        <v>0.15815699999999999</v>
      </c>
      <c r="AX221">
        <v>377.48500000000001</v>
      </c>
      <c r="AY221">
        <v>26.000499999999999</v>
      </c>
      <c r="AZ221">
        <v>300.17700000000002</v>
      </c>
      <c r="BA221">
        <v>98.561899999999994</v>
      </c>
      <c r="BB221">
        <v>0.100046</v>
      </c>
      <c r="BC221">
        <v>25.9054</v>
      </c>
      <c r="BD221">
        <v>26.987400000000001</v>
      </c>
      <c r="BE221">
        <v>27.0229</v>
      </c>
      <c r="BF221">
        <v>0</v>
      </c>
      <c r="BG221">
        <v>0</v>
      </c>
      <c r="BH221">
        <v>10015.6</v>
      </c>
      <c r="BI221">
        <v>1068.6500000000001</v>
      </c>
      <c r="BJ221">
        <v>1.38764</v>
      </c>
      <c r="BK221">
        <v>-422.09199999999998</v>
      </c>
      <c r="BL221">
        <v>388.09300000000002</v>
      </c>
      <c r="BM221">
        <v>800.14400000000001</v>
      </c>
      <c r="BN221">
        <v>26.040800000000001</v>
      </c>
      <c r="BO221">
        <v>800.01700000000005</v>
      </c>
      <c r="BP221">
        <v>0.15815699999999999</v>
      </c>
      <c r="BQ221">
        <v>2.58222</v>
      </c>
      <c r="BR221">
        <v>1.5588299999999999E-2</v>
      </c>
      <c r="BS221">
        <v>21.554200000000002</v>
      </c>
      <c r="BT221">
        <v>-41.797600000000003</v>
      </c>
      <c r="BU221">
        <v>1800</v>
      </c>
      <c r="BV221">
        <v>0.90999600000000003</v>
      </c>
      <c r="BW221">
        <v>3.3997300000000001E-2</v>
      </c>
      <c r="BX221">
        <v>2.2003399999999999E-2</v>
      </c>
      <c r="BY221">
        <v>3.4003400000000003E-2</v>
      </c>
      <c r="BZ221">
        <v>25</v>
      </c>
      <c r="CA221">
        <v>33528.400000000001</v>
      </c>
      <c r="CB221">
        <v>1690387638</v>
      </c>
      <c r="CC221" t="s">
        <v>332</v>
      </c>
      <c r="CD221">
        <v>1690387638</v>
      </c>
      <c r="CE221">
        <v>1690387638</v>
      </c>
      <c r="CF221">
        <v>6</v>
      </c>
      <c r="CG221">
        <v>0.43</v>
      </c>
      <c r="CH221">
        <v>-8.1000000000000003E-2</v>
      </c>
      <c r="CI221">
        <v>0.14199999999999999</v>
      </c>
      <c r="CJ221">
        <v>-2.7E-2</v>
      </c>
      <c r="CK221">
        <v>800</v>
      </c>
      <c r="CL221">
        <v>0</v>
      </c>
      <c r="CM221">
        <v>0.01</v>
      </c>
      <c r="CN221">
        <v>0.01</v>
      </c>
      <c r="CO221">
        <v>-421.97687804878058</v>
      </c>
      <c r="CP221">
        <v>-0.59370731707361835</v>
      </c>
      <c r="CQ221">
        <v>0.11506269661489441</v>
      </c>
      <c r="CR221">
        <v>-1</v>
      </c>
      <c r="CS221">
        <v>26.032778048780489</v>
      </c>
      <c r="CT221">
        <v>6.9689895470342586E-2</v>
      </c>
      <c r="CU221">
        <v>7.0148453104349083E-3</v>
      </c>
      <c r="CV221">
        <v>-1</v>
      </c>
      <c r="CW221">
        <v>0</v>
      </c>
      <c r="CX221">
        <v>0</v>
      </c>
      <c r="CY221" t="s">
        <v>333</v>
      </c>
      <c r="CZ221">
        <v>2.36504</v>
      </c>
      <c r="DA221">
        <v>2.7138499999999999</v>
      </c>
      <c r="DB221">
        <v>8.5211899999999993E-2</v>
      </c>
      <c r="DC221">
        <v>0.14533799999999999</v>
      </c>
      <c r="DD221">
        <v>0.12058000000000001</v>
      </c>
      <c r="DE221">
        <v>1.32609E-3</v>
      </c>
      <c r="DF221">
        <v>33432.6</v>
      </c>
      <c r="DG221">
        <v>27582.799999999999</v>
      </c>
      <c r="DH221">
        <v>31198.799999999999</v>
      </c>
      <c r="DI221">
        <v>28121.200000000001</v>
      </c>
      <c r="DJ221">
        <v>37243.199999999997</v>
      </c>
      <c r="DK221">
        <v>39945.4</v>
      </c>
      <c r="DL221">
        <v>44403.9</v>
      </c>
      <c r="DM221">
        <v>42624.9</v>
      </c>
      <c r="DN221">
        <v>1.47682</v>
      </c>
      <c r="DO221">
        <v>2.03132</v>
      </c>
      <c r="DP221">
        <v>0.14269399999999999</v>
      </c>
      <c r="DQ221">
        <v>0.14751400000000001</v>
      </c>
      <c r="DR221">
        <v>24.6492</v>
      </c>
      <c r="DS221">
        <v>24.605699999999999</v>
      </c>
      <c r="DT221">
        <v>21.2</v>
      </c>
      <c r="DU221">
        <v>29.3</v>
      </c>
      <c r="DV221">
        <v>8.8021600000000007</v>
      </c>
      <c r="DW221">
        <v>61.012300000000003</v>
      </c>
      <c r="DX221">
        <v>37.776400000000002</v>
      </c>
      <c r="DY221">
        <v>1</v>
      </c>
      <c r="DZ221">
        <v>-0.119662</v>
      </c>
      <c r="EA221">
        <v>0.21546299999999999</v>
      </c>
      <c r="EB221">
        <v>20.190100000000001</v>
      </c>
      <c r="EC221">
        <v>5.2415500000000002</v>
      </c>
      <c r="ED221">
        <v>12.039899999999999</v>
      </c>
      <c r="EE221">
        <v>5.0174500000000002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1.8646199999999999</v>
      </c>
      <c r="EM221">
        <v>1.8692</v>
      </c>
      <c r="EN221">
        <v>1.8672299999999999</v>
      </c>
      <c r="EO221">
        <v>1.86337</v>
      </c>
      <c r="EP221">
        <v>1.8644700000000001</v>
      </c>
      <c r="EQ221">
        <v>1.8701399999999999</v>
      </c>
      <c r="ER221">
        <v>1.86937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0.44</v>
      </c>
      <c r="FG221">
        <v>0.19839999999999999</v>
      </c>
      <c r="FH221">
        <v>0.69281559908863044</v>
      </c>
      <c r="FI221">
        <v>-6.1462078757559423E-4</v>
      </c>
      <c r="FJ221">
        <v>-1.8861989874597051E-7</v>
      </c>
      <c r="FK221">
        <v>1.1980462299894961E-10</v>
      </c>
      <c r="FL221">
        <v>0.19840465858211129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44.8</v>
      </c>
      <c r="FU221">
        <v>44.8</v>
      </c>
      <c r="FV221">
        <v>1.7626999999999999</v>
      </c>
      <c r="FW221">
        <v>2.5805699999999998</v>
      </c>
      <c r="FX221">
        <v>1.5490699999999999</v>
      </c>
      <c r="FY221">
        <v>2.33521</v>
      </c>
      <c r="FZ221">
        <v>1.50146</v>
      </c>
      <c r="GA221">
        <v>2.32422</v>
      </c>
      <c r="GB221">
        <v>33.602899999999998</v>
      </c>
      <c r="GC221">
        <v>23.991199999999999</v>
      </c>
      <c r="GD221">
        <v>19</v>
      </c>
      <c r="GE221">
        <v>281.709</v>
      </c>
      <c r="GF221">
        <v>575.28300000000002</v>
      </c>
      <c r="GG221">
        <v>24.108599999999999</v>
      </c>
      <c r="GH221">
        <v>25.896999999999998</v>
      </c>
      <c r="GI221">
        <v>30.000299999999999</v>
      </c>
      <c r="GJ221">
        <v>26.026199999999999</v>
      </c>
      <c r="GK221">
        <v>26.006799999999998</v>
      </c>
      <c r="GL221">
        <v>35.254100000000001</v>
      </c>
      <c r="GM221">
        <v>100</v>
      </c>
      <c r="GN221">
        <v>0</v>
      </c>
      <c r="GO221">
        <v>24.0974</v>
      </c>
      <c r="GP221">
        <v>800</v>
      </c>
      <c r="GQ221">
        <v>0</v>
      </c>
      <c r="GR221">
        <v>99.829499999999996</v>
      </c>
      <c r="GS221">
        <v>99.711799999999997</v>
      </c>
    </row>
    <row r="222" spans="1:201" x14ac:dyDescent="0.25">
      <c r="A222">
        <v>206</v>
      </c>
      <c r="B222">
        <v>1690390336</v>
      </c>
      <c r="C222">
        <v>2077.5</v>
      </c>
      <c r="D222" t="s">
        <v>745</v>
      </c>
      <c r="E222" t="s">
        <v>746</v>
      </c>
      <c r="F222" t="s">
        <v>330</v>
      </c>
      <c r="H222">
        <v>1690390336</v>
      </c>
      <c r="I222">
        <f t="shared" si="90"/>
        <v>2.5227591443506689E-3</v>
      </c>
      <c r="J222">
        <f t="shared" si="91"/>
        <v>2.5227591443506689</v>
      </c>
      <c r="K222">
        <f t="shared" si="92"/>
        <v>38.87747930473072</v>
      </c>
      <c r="L222">
        <f t="shared" si="93"/>
        <v>377.91199999999998</v>
      </c>
      <c r="M222">
        <f t="shared" si="94"/>
        <v>108.42053149606249</v>
      </c>
      <c r="N222">
        <f t="shared" si="95"/>
        <v>10.696979647971032</v>
      </c>
      <c r="O222">
        <f t="shared" si="96"/>
        <v>37.285529935543991</v>
      </c>
      <c r="P222">
        <f t="shared" si="97"/>
        <v>0.24720473969307077</v>
      </c>
      <c r="Q222">
        <f t="shared" si="98"/>
        <v>2.1546210700498785</v>
      </c>
      <c r="R222">
        <f t="shared" si="99"/>
        <v>0.2324596083841014</v>
      </c>
      <c r="S222">
        <f t="shared" si="100"/>
        <v>0.14653869914500534</v>
      </c>
      <c r="T222">
        <f t="shared" si="101"/>
        <v>276.11575855200005</v>
      </c>
      <c r="U222">
        <f t="shared" si="102"/>
        <v>27.199232691084752</v>
      </c>
      <c r="V222">
        <f t="shared" si="103"/>
        <v>27.199232691084752</v>
      </c>
      <c r="W222">
        <f t="shared" si="104"/>
        <v>3.6212554889499331</v>
      </c>
      <c r="X222">
        <f t="shared" si="105"/>
        <v>77.004465108084915</v>
      </c>
      <c r="Y222">
        <f t="shared" si="106"/>
        <v>2.5842027848724998</v>
      </c>
      <c r="Z222">
        <f t="shared" si="107"/>
        <v>3.3559129087453097</v>
      </c>
      <c r="AA222">
        <f t="shared" si="108"/>
        <v>1.0370527040774333</v>
      </c>
      <c r="AB222">
        <f t="shared" si="109"/>
        <v>-111.25367826586449</v>
      </c>
      <c r="AC222">
        <f t="shared" si="110"/>
        <v>-150.00111646042276</v>
      </c>
      <c r="AD222">
        <f t="shared" si="111"/>
        <v>-14.957544304647504</v>
      </c>
      <c r="AE222">
        <f t="shared" si="112"/>
        <v>-9.6580478934725988E-2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52219.341730131804</v>
      </c>
      <c r="AK222">
        <f t="shared" si="116"/>
        <v>1800</v>
      </c>
      <c r="AL222">
        <f t="shared" si="117"/>
        <v>1499.1126191999999</v>
      </c>
      <c r="AM222">
        <f t="shared" si="118"/>
        <v>0.83284034399999995</v>
      </c>
      <c r="AN222">
        <f t="shared" si="119"/>
        <v>0.15339764364000003</v>
      </c>
      <c r="AO222">
        <v>31.8</v>
      </c>
      <c r="AP222">
        <v>0.5</v>
      </c>
      <c r="AQ222" t="s">
        <v>331</v>
      </c>
      <c r="AR222">
        <v>2</v>
      </c>
      <c r="AS222">
        <v>1690390336</v>
      </c>
      <c r="AT222">
        <v>377.91199999999998</v>
      </c>
      <c r="AU222">
        <v>800.01499999999999</v>
      </c>
      <c r="AV222">
        <v>26.192499999999999</v>
      </c>
      <c r="AW222">
        <v>0.15809500000000001</v>
      </c>
      <c r="AX222">
        <v>377.47199999999998</v>
      </c>
      <c r="AY222">
        <v>25.9941</v>
      </c>
      <c r="AZ222">
        <v>300.07400000000001</v>
      </c>
      <c r="BA222">
        <v>98.561899999999994</v>
      </c>
      <c r="BB222">
        <v>0.100037</v>
      </c>
      <c r="BC222">
        <v>25.907900000000001</v>
      </c>
      <c r="BD222">
        <v>27.0032</v>
      </c>
      <c r="BE222">
        <v>27.0322</v>
      </c>
      <c r="BF222">
        <v>0</v>
      </c>
      <c r="BG222">
        <v>0</v>
      </c>
      <c r="BH222">
        <v>9982.5</v>
      </c>
      <c r="BI222">
        <v>1068.6300000000001</v>
      </c>
      <c r="BJ222">
        <v>1.4016500000000001</v>
      </c>
      <c r="BK222">
        <v>-422.10300000000001</v>
      </c>
      <c r="BL222">
        <v>388.077</v>
      </c>
      <c r="BM222">
        <v>800.14200000000005</v>
      </c>
      <c r="BN222">
        <v>26.034400000000002</v>
      </c>
      <c r="BO222">
        <v>800.01499999999999</v>
      </c>
      <c r="BP222">
        <v>0.15809500000000001</v>
      </c>
      <c r="BQ222">
        <v>2.5815800000000002</v>
      </c>
      <c r="BR222">
        <v>1.55821E-2</v>
      </c>
      <c r="BS222">
        <v>21.5502</v>
      </c>
      <c r="BT222">
        <v>-41.801299999999998</v>
      </c>
      <c r="BU222">
        <v>1800</v>
      </c>
      <c r="BV222">
        <v>0.90999699999999994</v>
      </c>
      <c r="BW222">
        <v>3.3996899999999997E-2</v>
      </c>
      <c r="BX222">
        <v>2.2003200000000001E-2</v>
      </c>
      <c r="BY222">
        <v>3.4002999999999999E-2</v>
      </c>
      <c r="BZ222">
        <v>25</v>
      </c>
      <c r="CA222">
        <v>33528.300000000003</v>
      </c>
      <c r="CB222">
        <v>1690387638</v>
      </c>
      <c r="CC222" t="s">
        <v>332</v>
      </c>
      <c r="CD222">
        <v>1690387638</v>
      </c>
      <c r="CE222">
        <v>1690387638</v>
      </c>
      <c r="CF222">
        <v>6</v>
      </c>
      <c r="CG222">
        <v>0.43</v>
      </c>
      <c r="CH222">
        <v>-8.1000000000000003E-2</v>
      </c>
      <c r="CI222">
        <v>0.14199999999999999</v>
      </c>
      <c r="CJ222">
        <v>-2.7E-2</v>
      </c>
      <c r="CK222">
        <v>800</v>
      </c>
      <c r="CL222">
        <v>0</v>
      </c>
      <c r="CM222">
        <v>0.01</v>
      </c>
      <c r="CN222">
        <v>0.01</v>
      </c>
      <c r="CO222">
        <v>-422.10129999999998</v>
      </c>
      <c r="CP222">
        <v>-0.57998499061836251</v>
      </c>
      <c r="CQ222">
        <v>9.0316720489618335E-2</v>
      </c>
      <c r="CR222">
        <v>-1</v>
      </c>
      <c r="CS222">
        <v>26.039377500000001</v>
      </c>
      <c r="CT222">
        <v>1.5252157598429371E-2</v>
      </c>
      <c r="CU222">
        <v>3.1822545074207979E-3</v>
      </c>
      <c r="CV222">
        <v>-1</v>
      </c>
      <c r="CW222">
        <v>0</v>
      </c>
      <c r="CX222">
        <v>0</v>
      </c>
      <c r="CY222" t="s">
        <v>333</v>
      </c>
      <c r="CZ222">
        <v>2.3647100000000001</v>
      </c>
      <c r="DA222">
        <v>2.7138100000000001</v>
      </c>
      <c r="DB222">
        <v>8.5209699999999999E-2</v>
      </c>
      <c r="DC222">
        <v>0.14533799999999999</v>
      </c>
      <c r="DD222">
        <v>0.12056</v>
      </c>
      <c r="DE222">
        <v>1.3255700000000001E-3</v>
      </c>
      <c r="DF222">
        <v>33432.6</v>
      </c>
      <c r="DG222">
        <v>27582.2</v>
      </c>
      <c r="DH222">
        <v>31198.799999999999</v>
      </c>
      <c r="DI222">
        <v>28120.7</v>
      </c>
      <c r="DJ222">
        <v>37243.9</v>
      </c>
      <c r="DK222">
        <v>39944.800000000003</v>
      </c>
      <c r="DL222">
        <v>44403.7</v>
      </c>
      <c r="DM222">
        <v>42624.2</v>
      </c>
      <c r="DN222">
        <v>1.4769699999999999</v>
      </c>
      <c r="DO222">
        <v>2.0313699999999999</v>
      </c>
      <c r="DP222">
        <v>0.14366200000000001</v>
      </c>
      <c r="DQ222">
        <v>0.14799100000000001</v>
      </c>
      <c r="DR222">
        <v>24.6492</v>
      </c>
      <c r="DS222">
        <v>24.607299999999999</v>
      </c>
      <c r="DT222">
        <v>21.2</v>
      </c>
      <c r="DU222">
        <v>29.3</v>
      </c>
      <c r="DV222">
        <v>8.8030299999999997</v>
      </c>
      <c r="DW222">
        <v>61.272300000000001</v>
      </c>
      <c r="DX222">
        <v>37.087299999999999</v>
      </c>
      <c r="DY222">
        <v>1</v>
      </c>
      <c r="DZ222">
        <v>-0.120008</v>
      </c>
      <c r="EA222">
        <v>9.5326800000000003E-2</v>
      </c>
      <c r="EB222">
        <v>20.190300000000001</v>
      </c>
      <c r="EC222">
        <v>5.2411000000000003</v>
      </c>
      <c r="ED222">
        <v>12.039899999999999</v>
      </c>
      <c r="EE222">
        <v>5.0167000000000002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1.8692</v>
      </c>
      <c r="EN222">
        <v>1.8672299999999999</v>
      </c>
      <c r="EO222">
        <v>1.86337</v>
      </c>
      <c r="EP222">
        <v>1.8644700000000001</v>
      </c>
      <c r="EQ222">
        <v>1.87015</v>
      </c>
      <c r="ER222">
        <v>1.86937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0.44</v>
      </c>
      <c r="FG222">
        <v>0.19839999999999999</v>
      </c>
      <c r="FH222">
        <v>0.69281559908863044</v>
      </c>
      <c r="FI222">
        <v>-6.1462078757559423E-4</v>
      </c>
      <c r="FJ222">
        <v>-1.8861989874597051E-7</v>
      </c>
      <c r="FK222">
        <v>1.1980462299894961E-10</v>
      </c>
      <c r="FL222">
        <v>0.19840465858211129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45</v>
      </c>
      <c r="FU222">
        <v>45</v>
      </c>
      <c r="FV222">
        <v>1.7639199999999999</v>
      </c>
      <c r="FW222">
        <v>2.5805699999999998</v>
      </c>
      <c r="FX222">
        <v>1.5490699999999999</v>
      </c>
      <c r="FY222">
        <v>2.33521</v>
      </c>
      <c r="FZ222">
        <v>1.50146</v>
      </c>
      <c r="GA222">
        <v>2.3864700000000001</v>
      </c>
      <c r="GB222">
        <v>33.602899999999998</v>
      </c>
      <c r="GC222">
        <v>23.991199999999999</v>
      </c>
      <c r="GD222">
        <v>19</v>
      </c>
      <c r="GE222">
        <v>281.76900000000001</v>
      </c>
      <c r="GF222">
        <v>575.32399999999996</v>
      </c>
      <c r="GG222">
        <v>24.104199999999999</v>
      </c>
      <c r="GH222">
        <v>25.896999999999998</v>
      </c>
      <c r="GI222">
        <v>30</v>
      </c>
      <c r="GJ222">
        <v>26.025200000000002</v>
      </c>
      <c r="GK222">
        <v>26.006799999999998</v>
      </c>
      <c r="GL222">
        <v>35.253</v>
      </c>
      <c r="GM222">
        <v>100</v>
      </c>
      <c r="GN222">
        <v>0</v>
      </c>
      <c r="GO222">
        <v>24.120999999999999</v>
      </c>
      <c r="GP222">
        <v>800</v>
      </c>
      <c r="GQ222">
        <v>0</v>
      </c>
      <c r="GR222">
        <v>99.8292</v>
      </c>
      <c r="GS222">
        <v>99.710099999999997</v>
      </c>
    </row>
    <row r="223" spans="1:201" x14ac:dyDescent="0.25">
      <c r="A223">
        <v>207</v>
      </c>
      <c r="B223">
        <v>1690390346</v>
      </c>
      <c r="C223">
        <v>2087.5</v>
      </c>
      <c r="D223" t="s">
        <v>747</v>
      </c>
      <c r="E223" t="s">
        <v>748</v>
      </c>
      <c r="F223" t="s">
        <v>330</v>
      </c>
      <c r="H223">
        <v>1690390346</v>
      </c>
      <c r="I223">
        <f t="shared" si="90"/>
        <v>2.5240430747904504E-3</v>
      </c>
      <c r="J223">
        <f t="shared" si="91"/>
        <v>2.5240430747904505</v>
      </c>
      <c r="K223">
        <f t="shared" si="92"/>
        <v>38.908915557783438</v>
      </c>
      <c r="L223">
        <f t="shared" si="93"/>
        <v>377.66</v>
      </c>
      <c r="M223">
        <f t="shared" si="94"/>
        <v>108.60563393893763</v>
      </c>
      <c r="N223">
        <f t="shared" si="95"/>
        <v>10.715250033134168</v>
      </c>
      <c r="O223">
        <f t="shared" si="96"/>
        <v>37.260694318940004</v>
      </c>
      <c r="P223">
        <f t="shared" si="97"/>
        <v>0.24782809861591704</v>
      </c>
      <c r="Q223">
        <f t="shared" si="98"/>
        <v>2.1561188124413624</v>
      </c>
      <c r="R223">
        <f t="shared" si="99"/>
        <v>0.23302053439653095</v>
      </c>
      <c r="S223">
        <f t="shared" si="100"/>
        <v>0.14689445051317171</v>
      </c>
      <c r="T223">
        <f t="shared" si="101"/>
        <v>276.11573020200001</v>
      </c>
      <c r="U223">
        <f t="shared" si="102"/>
        <v>27.191580497494506</v>
      </c>
      <c r="V223">
        <f t="shared" si="103"/>
        <v>27.191580497494506</v>
      </c>
      <c r="W223">
        <f t="shared" si="104"/>
        <v>3.6196307154799863</v>
      </c>
      <c r="X223">
        <f t="shared" si="105"/>
        <v>77.043709579300128</v>
      </c>
      <c r="Y223">
        <f t="shared" si="106"/>
        <v>2.5845401215631001</v>
      </c>
      <c r="Z223">
        <f t="shared" si="107"/>
        <v>3.3546413272103224</v>
      </c>
      <c r="AA223">
        <f t="shared" si="108"/>
        <v>1.0350905939168862</v>
      </c>
      <c r="AB223">
        <f t="shared" si="109"/>
        <v>-111.31029959825887</v>
      </c>
      <c r="AC223">
        <f t="shared" si="110"/>
        <v>-149.95983095036885</v>
      </c>
      <c r="AD223">
        <f t="shared" si="111"/>
        <v>-14.941988525862392</v>
      </c>
      <c r="AE223">
        <f t="shared" si="112"/>
        <v>-9.6388872490081212E-2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52283.1933108093</v>
      </c>
      <c r="AK223">
        <f t="shared" si="116"/>
        <v>1800</v>
      </c>
      <c r="AL223">
        <f t="shared" si="117"/>
        <v>1499.1124841999999</v>
      </c>
      <c r="AM223">
        <f t="shared" si="118"/>
        <v>0.83284026899999997</v>
      </c>
      <c r="AN223">
        <f t="shared" si="119"/>
        <v>0.15339762789</v>
      </c>
      <c r="AO223">
        <v>31.8</v>
      </c>
      <c r="AP223">
        <v>0.5</v>
      </c>
      <c r="AQ223" t="s">
        <v>331</v>
      </c>
      <c r="AR223">
        <v>2</v>
      </c>
      <c r="AS223">
        <v>1690390346</v>
      </c>
      <c r="AT223">
        <v>377.66</v>
      </c>
      <c r="AU223">
        <v>799.95100000000002</v>
      </c>
      <c r="AV223">
        <v>26.195900000000002</v>
      </c>
      <c r="AW223">
        <v>0.15718699999999999</v>
      </c>
      <c r="AX223">
        <v>377.21899999999999</v>
      </c>
      <c r="AY223">
        <v>25.997499999999999</v>
      </c>
      <c r="AZ223">
        <v>300.17599999999999</v>
      </c>
      <c r="BA223">
        <v>98.561899999999994</v>
      </c>
      <c r="BB223">
        <v>0.100109</v>
      </c>
      <c r="BC223">
        <v>25.901499999999999</v>
      </c>
      <c r="BD223">
        <v>26.9864</v>
      </c>
      <c r="BE223">
        <v>27.025099999999998</v>
      </c>
      <c r="BF223">
        <v>0</v>
      </c>
      <c r="BG223">
        <v>0</v>
      </c>
      <c r="BH223">
        <v>9995</v>
      </c>
      <c r="BI223">
        <v>1068.68</v>
      </c>
      <c r="BJ223">
        <v>1.4016500000000001</v>
      </c>
      <c r="BK223">
        <v>-422.291</v>
      </c>
      <c r="BL223">
        <v>387.81900000000002</v>
      </c>
      <c r="BM223">
        <v>800.077</v>
      </c>
      <c r="BN223">
        <v>26.038699999999999</v>
      </c>
      <c r="BO223">
        <v>799.95100000000002</v>
      </c>
      <c r="BP223">
        <v>0.15718699999999999</v>
      </c>
      <c r="BQ223">
        <v>2.5819200000000002</v>
      </c>
      <c r="BR223">
        <v>1.54926E-2</v>
      </c>
      <c r="BS223">
        <v>21.552299999999999</v>
      </c>
      <c r="BT223">
        <v>-41.855499999999999</v>
      </c>
      <c r="BU223">
        <v>1800</v>
      </c>
      <c r="BV223">
        <v>0.90999699999999994</v>
      </c>
      <c r="BW223">
        <v>3.3996899999999997E-2</v>
      </c>
      <c r="BX223">
        <v>2.2003200000000001E-2</v>
      </c>
      <c r="BY223">
        <v>3.4002900000000003E-2</v>
      </c>
      <c r="BZ223">
        <v>25</v>
      </c>
      <c r="CA223">
        <v>33528.300000000003</v>
      </c>
      <c r="CB223">
        <v>1690387638</v>
      </c>
      <c r="CC223" t="s">
        <v>332</v>
      </c>
      <c r="CD223">
        <v>1690387638</v>
      </c>
      <c r="CE223">
        <v>1690387638</v>
      </c>
      <c r="CF223">
        <v>6</v>
      </c>
      <c r="CG223">
        <v>0.43</v>
      </c>
      <c r="CH223">
        <v>-8.1000000000000003E-2</v>
      </c>
      <c r="CI223">
        <v>0.14199999999999999</v>
      </c>
      <c r="CJ223">
        <v>-2.7E-2</v>
      </c>
      <c r="CK223">
        <v>800</v>
      </c>
      <c r="CL223">
        <v>0</v>
      </c>
      <c r="CM223">
        <v>0.01</v>
      </c>
      <c r="CN223">
        <v>0.01</v>
      </c>
      <c r="CO223">
        <v>-422.18419512195118</v>
      </c>
      <c r="CP223">
        <v>-0.57997212543605992</v>
      </c>
      <c r="CQ223">
        <v>7.4284627143594351E-2</v>
      </c>
      <c r="CR223">
        <v>-1</v>
      </c>
      <c r="CS223">
        <v>26.03732926829268</v>
      </c>
      <c r="CT223">
        <v>-2.470452961669975E-2</v>
      </c>
      <c r="CU223">
        <v>3.3448354002621919E-3</v>
      </c>
      <c r="CV223">
        <v>-1</v>
      </c>
      <c r="CW223">
        <v>0</v>
      </c>
      <c r="CX223">
        <v>0</v>
      </c>
      <c r="CY223" t="s">
        <v>333</v>
      </c>
      <c r="CZ223">
        <v>2.36504</v>
      </c>
      <c r="DA223">
        <v>2.7139000000000002</v>
      </c>
      <c r="DB223">
        <v>8.5165599999999994E-2</v>
      </c>
      <c r="DC223">
        <v>0.14532999999999999</v>
      </c>
      <c r="DD223">
        <v>0.120571</v>
      </c>
      <c r="DE223">
        <v>1.31803E-3</v>
      </c>
      <c r="DF223">
        <v>33433.800000000003</v>
      </c>
      <c r="DG223">
        <v>27582.7</v>
      </c>
      <c r="DH223">
        <v>31198.400000000001</v>
      </c>
      <c r="DI223">
        <v>28120.9</v>
      </c>
      <c r="DJ223">
        <v>37243.199999999997</v>
      </c>
      <c r="DK223">
        <v>39945</v>
      </c>
      <c r="DL223">
        <v>44403.3</v>
      </c>
      <c r="DM223">
        <v>42624.2</v>
      </c>
      <c r="DN223">
        <v>1.4769000000000001</v>
      </c>
      <c r="DO223">
        <v>2.0314199999999998</v>
      </c>
      <c r="DP223">
        <v>0.14263400000000001</v>
      </c>
      <c r="DQ223">
        <v>0.14752899999999999</v>
      </c>
      <c r="DR223">
        <v>24.6492</v>
      </c>
      <c r="DS223">
        <v>24.607800000000001</v>
      </c>
      <c r="DT223">
        <v>21.1</v>
      </c>
      <c r="DU223">
        <v>29.3</v>
      </c>
      <c r="DV223">
        <v>8.7595299999999998</v>
      </c>
      <c r="DW223">
        <v>60.8123</v>
      </c>
      <c r="DX223">
        <v>37.287700000000001</v>
      </c>
      <c r="DY223">
        <v>1</v>
      </c>
      <c r="DZ223">
        <v>-0.119878</v>
      </c>
      <c r="EA223">
        <v>0.14588200000000001</v>
      </c>
      <c r="EB223">
        <v>20.189599999999999</v>
      </c>
      <c r="EC223">
        <v>5.2413999999999996</v>
      </c>
      <c r="ED223">
        <v>12.039899999999999</v>
      </c>
      <c r="EE223">
        <v>5.0169499999999996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1.8646199999999999</v>
      </c>
      <c r="EM223">
        <v>1.8692</v>
      </c>
      <c r="EN223">
        <v>1.8672200000000001</v>
      </c>
      <c r="EO223">
        <v>1.86338</v>
      </c>
      <c r="EP223">
        <v>1.8644700000000001</v>
      </c>
      <c r="EQ223">
        <v>1.87015</v>
      </c>
      <c r="ER223">
        <v>1.8693500000000001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0.441</v>
      </c>
      <c r="FG223">
        <v>0.19839999999999999</v>
      </c>
      <c r="FH223">
        <v>0.69281559908863044</v>
      </c>
      <c r="FI223">
        <v>-6.1462078757559423E-4</v>
      </c>
      <c r="FJ223">
        <v>-1.8861989874597051E-7</v>
      </c>
      <c r="FK223">
        <v>1.1980462299894961E-10</v>
      </c>
      <c r="FL223">
        <v>0.19840465858211129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45.1</v>
      </c>
      <c r="FU223">
        <v>45.1</v>
      </c>
      <c r="FV223">
        <v>1.7639199999999999</v>
      </c>
      <c r="FW223">
        <v>2.5891099999999998</v>
      </c>
      <c r="FX223">
        <v>1.5490699999999999</v>
      </c>
      <c r="FY223">
        <v>2.33521</v>
      </c>
      <c r="FZ223">
        <v>1.50146</v>
      </c>
      <c r="GA223">
        <v>2.34131</v>
      </c>
      <c r="GB223">
        <v>33.602899999999998</v>
      </c>
      <c r="GC223">
        <v>23.982399999999998</v>
      </c>
      <c r="GD223">
        <v>19</v>
      </c>
      <c r="GE223">
        <v>281.73700000000002</v>
      </c>
      <c r="GF223">
        <v>575.36500000000001</v>
      </c>
      <c r="GG223">
        <v>24.113</v>
      </c>
      <c r="GH223">
        <v>25.896999999999998</v>
      </c>
      <c r="GI223">
        <v>30.0002</v>
      </c>
      <c r="GJ223">
        <v>26.025200000000002</v>
      </c>
      <c r="GK223">
        <v>26.006799999999998</v>
      </c>
      <c r="GL223">
        <v>35.253999999999998</v>
      </c>
      <c r="GM223">
        <v>100</v>
      </c>
      <c r="GN223">
        <v>0</v>
      </c>
      <c r="GO223">
        <v>24.107600000000001</v>
      </c>
      <c r="GP223">
        <v>800</v>
      </c>
      <c r="GQ223">
        <v>0</v>
      </c>
      <c r="GR223">
        <v>99.828299999999999</v>
      </c>
      <c r="GS223">
        <v>99.710300000000004</v>
      </c>
    </row>
    <row r="224" spans="1:201" x14ac:dyDescent="0.25">
      <c r="A224">
        <v>208</v>
      </c>
      <c r="B224">
        <v>1690390356</v>
      </c>
      <c r="C224">
        <v>2097.5</v>
      </c>
      <c r="D224" t="s">
        <v>749</v>
      </c>
      <c r="E224" t="s">
        <v>750</v>
      </c>
      <c r="F224" t="s">
        <v>330</v>
      </c>
      <c r="H224">
        <v>1690390356</v>
      </c>
      <c r="I224">
        <f t="shared" si="90"/>
        <v>2.5244993455137603E-3</v>
      </c>
      <c r="J224">
        <f t="shared" si="91"/>
        <v>2.5244993455137603</v>
      </c>
      <c r="K224">
        <f t="shared" si="92"/>
        <v>38.91123388056694</v>
      </c>
      <c r="L224">
        <f t="shared" si="93"/>
        <v>377.56</v>
      </c>
      <c r="M224">
        <f t="shared" si="94"/>
        <v>108.58714407887523</v>
      </c>
      <c r="N224">
        <f t="shared" si="95"/>
        <v>10.713268443622514</v>
      </c>
      <c r="O224">
        <f t="shared" si="96"/>
        <v>37.250281033600004</v>
      </c>
      <c r="P224">
        <f t="shared" si="97"/>
        <v>0.24793180274560944</v>
      </c>
      <c r="Q224">
        <f t="shared" si="98"/>
        <v>2.1546040708668261</v>
      </c>
      <c r="R224">
        <f t="shared" si="99"/>
        <v>0.23310249122940699</v>
      </c>
      <c r="S224">
        <f t="shared" si="100"/>
        <v>0.14694744129007092</v>
      </c>
      <c r="T224">
        <f t="shared" si="101"/>
        <v>276.11728291638298</v>
      </c>
      <c r="U224">
        <f t="shared" si="102"/>
        <v>27.196155704121068</v>
      </c>
      <c r="V224">
        <f t="shared" si="103"/>
        <v>27.196155704121068</v>
      </c>
      <c r="W224">
        <f t="shared" si="104"/>
        <v>3.6206020825557381</v>
      </c>
      <c r="X224">
        <f t="shared" si="105"/>
        <v>77.060953849742376</v>
      </c>
      <c r="Y224">
        <f t="shared" si="106"/>
        <v>2.5857156885920003</v>
      </c>
      <c r="Z224">
        <f t="shared" si="107"/>
        <v>3.3554161471109856</v>
      </c>
      <c r="AA224">
        <f t="shared" si="108"/>
        <v>1.0348863939637378</v>
      </c>
      <c r="AB224">
        <f t="shared" si="109"/>
        <v>-111.33042113715683</v>
      </c>
      <c r="AC224">
        <f t="shared" si="110"/>
        <v>-149.93291076854257</v>
      </c>
      <c r="AD224">
        <f t="shared" si="111"/>
        <v>-14.950443465795193</v>
      </c>
      <c r="AE224">
        <f t="shared" si="112"/>
        <v>-9.6492455111643949E-2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52219.03674096732</v>
      </c>
      <c r="AK224">
        <f t="shared" si="116"/>
        <v>1800.01</v>
      </c>
      <c r="AL224">
        <f t="shared" si="117"/>
        <v>1499.1212284049998</v>
      </c>
      <c r="AM224">
        <f t="shared" si="118"/>
        <v>0.83284049999999987</v>
      </c>
      <c r="AN224">
        <f t="shared" si="119"/>
        <v>0.1533976383</v>
      </c>
      <c r="AO224">
        <v>31.8</v>
      </c>
      <c r="AP224">
        <v>0.5</v>
      </c>
      <c r="AQ224" t="s">
        <v>331</v>
      </c>
      <c r="AR224">
        <v>2</v>
      </c>
      <c r="AS224">
        <v>1690390356</v>
      </c>
      <c r="AT224">
        <v>377.56</v>
      </c>
      <c r="AU224">
        <v>800.00699999999995</v>
      </c>
      <c r="AV224">
        <v>26.208200000000001</v>
      </c>
      <c r="AW224">
        <v>0.15695100000000001</v>
      </c>
      <c r="AX224">
        <v>377.12</v>
      </c>
      <c r="AY224">
        <v>26.009699999999999</v>
      </c>
      <c r="AZ224">
        <v>300.08199999999999</v>
      </c>
      <c r="BA224">
        <v>98.560500000000005</v>
      </c>
      <c r="BB224">
        <v>0.10006</v>
      </c>
      <c r="BC224">
        <v>25.9054</v>
      </c>
      <c r="BD224">
        <v>27.013200000000001</v>
      </c>
      <c r="BE224">
        <v>27.030200000000001</v>
      </c>
      <c r="BF224">
        <v>0</v>
      </c>
      <c r="BG224">
        <v>0</v>
      </c>
      <c r="BH224">
        <v>9982.5</v>
      </c>
      <c r="BI224">
        <v>1068.67</v>
      </c>
      <c r="BJ224">
        <v>1.3736200000000001</v>
      </c>
      <c r="BK224">
        <v>-422.447</v>
      </c>
      <c r="BL224">
        <v>387.72199999999998</v>
      </c>
      <c r="BM224">
        <v>800.13300000000004</v>
      </c>
      <c r="BN224">
        <v>26.051200000000001</v>
      </c>
      <c r="BO224">
        <v>800.00699999999995</v>
      </c>
      <c r="BP224">
        <v>0.15695100000000001</v>
      </c>
      <c r="BQ224">
        <v>2.5830899999999999</v>
      </c>
      <c r="BR224">
        <v>1.54691E-2</v>
      </c>
      <c r="BS224">
        <v>21.559699999999999</v>
      </c>
      <c r="BT224">
        <v>-41.869700000000002</v>
      </c>
      <c r="BU224">
        <v>1800.01</v>
      </c>
      <c r="BV224">
        <v>0.90999799999999997</v>
      </c>
      <c r="BW224">
        <v>3.3996600000000002E-2</v>
      </c>
      <c r="BX224">
        <v>2.2003000000000002E-2</v>
      </c>
      <c r="BY224">
        <v>3.4002600000000001E-2</v>
      </c>
      <c r="BZ224">
        <v>25</v>
      </c>
      <c r="CA224">
        <v>33528.5</v>
      </c>
      <c r="CB224">
        <v>1690387638</v>
      </c>
      <c r="CC224" t="s">
        <v>332</v>
      </c>
      <c r="CD224">
        <v>1690387638</v>
      </c>
      <c r="CE224">
        <v>1690387638</v>
      </c>
      <c r="CF224">
        <v>6</v>
      </c>
      <c r="CG224">
        <v>0.43</v>
      </c>
      <c r="CH224">
        <v>-8.1000000000000003E-2</v>
      </c>
      <c r="CI224">
        <v>0.14199999999999999</v>
      </c>
      <c r="CJ224">
        <v>-2.7E-2</v>
      </c>
      <c r="CK224">
        <v>800</v>
      </c>
      <c r="CL224">
        <v>0</v>
      </c>
      <c r="CM224">
        <v>0.01</v>
      </c>
      <c r="CN224">
        <v>0.01</v>
      </c>
      <c r="CO224">
        <v>-422.30739999999997</v>
      </c>
      <c r="CP224">
        <v>-0.985103189493159</v>
      </c>
      <c r="CQ224">
        <v>0.1008069442052455</v>
      </c>
      <c r="CR224">
        <v>-1</v>
      </c>
      <c r="CS224">
        <v>26.040020000000009</v>
      </c>
      <c r="CT224">
        <v>6.5376360225072427E-2</v>
      </c>
      <c r="CU224">
        <v>6.4987768079846422E-3</v>
      </c>
      <c r="CV224">
        <v>-1</v>
      </c>
      <c r="CW224">
        <v>0</v>
      </c>
      <c r="CX224">
        <v>0</v>
      </c>
      <c r="CY224" t="s">
        <v>333</v>
      </c>
      <c r="CZ224">
        <v>2.3647300000000002</v>
      </c>
      <c r="DA224">
        <v>2.7138300000000002</v>
      </c>
      <c r="DB224">
        <v>8.5147200000000006E-2</v>
      </c>
      <c r="DC224">
        <v>0.14533499999999999</v>
      </c>
      <c r="DD224">
        <v>0.12060899999999999</v>
      </c>
      <c r="DE224">
        <v>1.31605E-3</v>
      </c>
      <c r="DF224">
        <v>33435.1</v>
      </c>
      <c r="DG224">
        <v>27582.6</v>
      </c>
      <c r="DH224">
        <v>31199</v>
      </c>
      <c r="DI224">
        <v>28121</v>
      </c>
      <c r="DJ224">
        <v>37242.1</v>
      </c>
      <c r="DK224">
        <v>39945.4</v>
      </c>
      <c r="DL224">
        <v>44404</v>
      </c>
      <c r="DM224">
        <v>42624.5</v>
      </c>
      <c r="DN224">
        <v>1.47648</v>
      </c>
      <c r="DO224">
        <v>2.0316999999999998</v>
      </c>
      <c r="DP224">
        <v>0.14427300000000001</v>
      </c>
      <c r="DQ224">
        <v>0.147842</v>
      </c>
      <c r="DR224">
        <v>24.6492</v>
      </c>
      <c r="DS224">
        <v>24.607800000000001</v>
      </c>
      <c r="DT224">
        <v>21.1</v>
      </c>
      <c r="DU224">
        <v>29.3</v>
      </c>
      <c r="DV224">
        <v>8.7603299999999997</v>
      </c>
      <c r="DW224">
        <v>61.132300000000001</v>
      </c>
      <c r="DX224">
        <v>37.600200000000001</v>
      </c>
      <c r="DY224">
        <v>1</v>
      </c>
      <c r="DZ224">
        <v>-0.119947</v>
      </c>
      <c r="EA224">
        <v>0.13512299999999999</v>
      </c>
      <c r="EB224">
        <v>20.190000000000001</v>
      </c>
      <c r="EC224">
        <v>5.2409499999999998</v>
      </c>
      <c r="ED224">
        <v>12.039899999999999</v>
      </c>
      <c r="EE224">
        <v>5.0169499999999996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1.8672200000000001</v>
      </c>
      <c r="EO224">
        <v>1.8633599999999999</v>
      </c>
      <c r="EP224">
        <v>1.8644700000000001</v>
      </c>
      <c r="EQ224">
        <v>1.8701300000000001</v>
      </c>
      <c r="ER224">
        <v>1.8693500000000001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0.44</v>
      </c>
      <c r="FG224">
        <v>0.19850000000000001</v>
      </c>
      <c r="FH224">
        <v>0.69281559908863044</v>
      </c>
      <c r="FI224">
        <v>-6.1462078757559423E-4</v>
      </c>
      <c r="FJ224">
        <v>-1.8861989874597051E-7</v>
      </c>
      <c r="FK224">
        <v>1.1980462299894961E-10</v>
      </c>
      <c r="FL224">
        <v>0.19840465858211129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45.3</v>
      </c>
      <c r="FU224">
        <v>45.3</v>
      </c>
      <c r="FV224">
        <v>1.7626999999999999</v>
      </c>
      <c r="FW224">
        <v>2.5878899999999998</v>
      </c>
      <c r="FX224">
        <v>1.5490699999999999</v>
      </c>
      <c r="FY224">
        <v>2.33521</v>
      </c>
      <c r="FZ224">
        <v>1.50146</v>
      </c>
      <c r="GA224">
        <v>2.2790499999999998</v>
      </c>
      <c r="GB224">
        <v>33.602899999999998</v>
      </c>
      <c r="GC224">
        <v>23.982399999999998</v>
      </c>
      <c r="GD224">
        <v>19</v>
      </c>
      <c r="GE224">
        <v>281.55599999999998</v>
      </c>
      <c r="GF224">
        <v>575.58900000000006</v>
      </c>
      <c r="GG224">
        <v>24.110099999999999</v>
      </c>
      <c r="GH224">
        <v>25.896999999999998</v>
      </c>
      <c r="GI224">
        <v>30</v>
      </c>
      <c r="GJ224">
        <v>26.025200000000002</v>
      </c>
      <c r="GK224">
        <v>26.006799999999998</v>
      </c>
      <c r="GL224">
        <v>35.2547</v>
      </c>
      <c r="GM224">
        <v>100</v>
      </c>
      <c r="GN224">
        <v>0</v>
      </c>
      <c r="GO224">
        <v>24.11</v>
      </c>
      <c r="GP224">
        <v>800</v>
      </c>
      <c r="GQ224">
        <v>0</v>
      </c>
      <c r="GR224">
        <v>99.83</v>
      </c>
      <c r="GS224">
        <v>99.710899999999995</v>
      </c>
    </row>
    <row r="225" spans="1:201" x14ac:dyDescent="0.25">
      <c r="A225">
        <v>209</v>
      </c>
      <c r="B225">
        <v>1690390366</v>
      </c>
      <c r="C225">
        <v>2107.5</v>
      </c>
      <c r="D225" t="s">
        <v>751</v>
      </c>
      <c r="E225" t="s">
        <v>752</v>
      </c>
      <c r="F225" t="s">
        <v>330</v>
      </c>
      <c r="H225">
        <v>1690390366</v>
      </c>
      <c r="I225">
        <f t="shared" si="90"/>
        <v>2.5246950610432659E-3</v>
      </c>
      <c r="J225">
        <f t="shared" si="91"/>
        <v>2.5246950610432659</v>
      </c>
      <c r="K225">
        <f t="shared" si="92"/>
        <v>38.900726081427877</v>
      </c>
      <c r="L225">
        <f t="shared" si="93"/>
        <v>377.53399999999999</v>
      </c>
      <c r="M225">
        <f t="shared" si="94"/>
        <v>108.85265833452746</v>
      </c>
      <c r="N225">
        <f t="shared" si="95"/>
        <v>10.739642061361065</v>
      </c>
      <c r="O225">
        <f t="shared" si="96"/>
        <v>37.248332636335789</v>
      </c>
      <c r="P225">
        <f t="shared" si="97"/>
        <v>0.2481527187890388</v>
      </c>
      <c r="Q225">
        <f t="shared" si="98"/>
        <v>2.1538764346042107</v>
      </c>
      <c r="R225">
        <f t="shared" si="99"/>
        <v>0.23329312227770901</v>
      </c>
      <c r="S225">
        <f t="shared" si="100"/>
        <v>0.14706907012416878</v>
      </c>
      <c r="T225">
        <f t="shared" si="101"/>
        <v>276.115767678</v>
      </c>
      <c r="U225">
        <f t="shared" si="102"/>
        <v>27.19487480783031</v>
      </c>
      <c r="V225">
        <f t="shared" si="103"/>
        <v>27.19487480783031</v>
      </c>
      <c r="W225">
        <f t="shared" si="104"/>
        <v>3.6203301111462927</v>
      </c>
      <c r="X225">
        <f t="shared" si="105"/>
        <v>77.082470415909526</v>
      </c>
      <c r="Y225">
        <f t="shared" si="106"/>
        <v>2.5861926185806197</v>
      </c>
      <c r="Z225">
        <f t="shared" si="107"/>
        <v>3.3550982533725842</v>
      </c>
      <c r="AA225">
        <f t="shared" si="108"/>
        <v>1.034137492565673</v>
      </c>
      <c r="AB225">
        <f t="shared" si="109"/>
        <v>-111.33905219200803</v>
      </c>
      <c r="AC225">
        <f t="shared" si="110"/>
        <v>-149.9193308372877</v>
      </c>
      <c r="AD225">
        <f t="shared" si="111"/>
        <v>-14.953923856520491</v>
      </c>
      <c r="AE225">
        <f t="shared" si="112"/>
        <v>-9.6539207816192629E-2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52188.894729825843</v>
      </c>
      <c r="AK225">
        <f t="shared" si="116"/>
        <v>1800</v>
      </c>
      <c r="AL225">
        <f t="shared" si="117"/>
        <v>1499.1133158</v>
      </c>
      <c r="AM225">
        <f t="shared" si="118"/>
        <v>0.832840731</v>
      </c>
      <c r="AN225">
        <f t="shared" si="119"/>
        <v>0.15339764871</v>
      </c>
      <c r="AO225">
        <v>31.8</v>
      </c>
      <c r="AP225">
        <v>0.5</v>
      </c>
      <c r="AQ225" t="s">
        <v>331</v>
      </c>
      <c r="AR225">
        <v>2</v>
      </c>
      <c r="AS225">
        <v>1690390366</v>
      </c>
      <c r="AT225">
        <v>377.53399999999999</v>
      </c>
      <c r="AU225">
        <v>799.91899999999998</v>
      </c>
      <c r="AV225">
        <v>26.212599999999998</v>
      </c>
      <c r="AW225">
        <v>0.15640999999999999</v>
      </c>
      <c r="AX225">
        <v>377.09300000000002</v>
      </c>
      <c r="AY225">
        <v>26.014199999999999</v>
      </c>
      <c r="AZ225">
        <v>300.04700000000003</v>
      </c>
      <c r="BA225">
        <v>98.562299999999993</v>
      </c>
      <c r="BB225">
        <v>9.9893700000000002E-2</v>
      </c>
      <c r="BC225">
        <v>25.9038</v>
      </c>
      <c r="BD225">
        <v>27.0199</v>
      </c>
      <c r="BE225">
        <v>27.025700000000001</v>
      </c>
      <c r="BF225">
        <v>0</v>
      </c>
      <c r="BG225">
        <v>0</v>
      </c>
      <c r="BH225">
        <v>9976.25</v>
      </c>
      <c r="BI225">
        <v>1068.7</v>
      </c>
      <c r="BJ225">
        <v>1.3595999999999999</v>
      </c>
      <c r="BK225">
        <v>-422.38499999999999</v>
      </c>
      <c r="BL225">
        <v>387.69600000000003</v>
      </c>
      <c r="BM225">
        <v>800.04399999999998</v>
      </c>
      <c r="BN225">
        <v>26.0562</v>
      </c>
      <c r="BO225">
        <v>799.91899999999998</v>
      </c>
      <c r="BP225">
        <v>0.15640999999999999</v>
      </c>
      <c r="BQ225">
        <v>2.5835699999999999</v>
      </c>
      <c r="BR225">
        <v>1.54161E-2</v>
      </c>
      <c r="BS225">
        <v>21.562799999999999</v>
      </c>
      <c r="BT225">
        <v>-41.902000000000001</v>
      </c>
      <c r="BU225">
        <v>1800</v>
      </c>
      <c r="BV225">
        <v>0.909999</v>
      </c>
      <c r="BW225">
        <v>3.39963E-2</v>
      </c>
      <c r="BX225">
        <v>2.2002799999999999E-2</v>
      </c>
      <c r="BY225">
        <v>3.4002299999999999E-2</v>
      </c>
      <c r="BZ225">
        <v>25</v>
      </c>
      <c r="CA225">
        <v>33528.300000000003</v>
      </c>
      <c r="CB225">
        <v>1690387638</v>
      </c>
      <c r="CC225" t="s">
        <v>332</v>
      </c>
      <c r="CD225">
        <v>1690387638</v>
      </c>
      <c r="CE225">
        <v>1690387638</v>
      </c>
      <c r="CF225">
        <v>6</v>
      </c>
      <c r="CG225">
        <v>0.43</v>
      </c>
      <c r="CH225">
        <v>-8.1000000000000003E-2</v>
      </c>
      <c r="CI225">
        <v>0.14199999999999999</v>
      </c>
      <c r="CJ225">
        <v>-2.7E-2</v>
      </c>
      <c r="CK225">
        <v>800</v>
      </c>
      <c r="CL225">
        <v>0</v>
      </c>
      <c r="CM225">
        <v>0.01</v>
      </c>
      <c r="CN225">
        <v>0.01</v>
      </c>
      <c r="CO225">
        <v>-422.36252500000001</v>
      </c>
      <c r="CP225">
        <v>-3.6303939961407822E-2</v>
      </c>
      <c r="CQ225">
        <v>7.1004572916115574E-2</v>
      </c>
      <c r="CR225">
        <v>-1</v>
      </c>
      <c r="CS225">
        <v>26.048357500000002</v>
      </c>
      <c r="CT225">
        <v>5.145703564721836E-2</v>
      </c>
      <c r="CU225">
        <v>5.3009851678722008E-3</v>
      </c>
      <c r="CV225">
        <v>-1</v>
      </c>
      <c r="CW225">
        <v>0</v>
      </c>
      <c r="CX225">
        <v>0</v>
      </c>
      <c r="CY225" t="s">
        <v>333</v>
      </c>
      <c r="CZ225">
        <v>2.36463</v>
      </c>
      <c r="DA225">
        <v>2.71366</v>
      </c>
      <c r="DB225">
        <v>8.5143999999999997E-2</v>
      </c>
      <c r="DC225">
        <v>0.14532700000000001</v>
      </c>
      <c r="DD225">
        <v>0.120625</v>
      </c>
      <c r="DE225">
        <v>1.3115799999999999E-3</v>
      </c>
      <c r="DF225">
        <v>33435.1</v>
      </c>
      <c r="DG225">
        <v>27583.4</v>
      </c>
      <c r="DH225">
        <v>31198.9</v>
      </c>
      <c r="DI225">
        <v>28121.5</v>
      </c>
      <c r="DJ225">
        <v>37241.5</v>
      </c>
      <c r="DK225">
        <v>39946.199999999997</v>
      </c>
      <c r="DL225">
        <v>44404.1</v>
      </c>
      <c r="DM225">
        <v>42625.2</v>
      </c>
      <c r="DN225">
        <v>1.4761299999999999</v>
      </c>
      <c r="DO225">
        <v>2.03165</v>
      </c>
      <c r="DP225">
        <v>0.14468300000000001</v>
      </c>
      <c r="DQ225">
        <v>0.14768500000000001</v>
      </c>
      <c r="DR225">
        <v>24.6492</v>
      </c>
      <c r="DS225">
        <v>24.605699999999999</v>
      </c>
      <c r="DT225">
        <v>21.1</v>
      </c>
      <c r="DU225">
        <v>29.4</v>
      </c>
      <c r="DV225">
        <v>8.8111700000000006</v>
      </c>
      <c r="DW225">
        <v>61.092300000000002</v>
      </c>
      <c r="DX225">
        <v>36.822899999999997</v>
      </c>
      <c r="DY225">
        <v>1</v>
      </c>
      <c r="DZ225">
        <v>-0.119947</v>
      </c>
      <c r="EA225">
        <v>0.18107300000000001</v>
      </c>
      <c r="EB225">
        <v>20.189900000000002</v>
      </c>
      <c r="EC225">
        <v>5.2413999999999996</v>
      </c>
      <c r="ED225">
        <v>12.039899999999999</v>
      </c>
      <c r="EE225">
        <v>5.0167999999999999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1.86921</v>
      </c>
      <c r="EN225">
        <v>1.8672299999999999</v>
      </c>
      <c r="EO225">
        <v>1.86337</v>
      </c>
      <c r="EP225">
        <v>1.8644700000000001</v>
      </c>
      <c r="EQ225">
        <v>1.8701399999999999</v>
      </c>
      <c r="ER225">
        <v>1.8693599999999999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0.441</v>
      </c>
      <c r="FG225">
        <v>0.19839999999999999</v>
      </c>
      <c r="FH225">
        <v>0.69281559908863044</v>
      </c>
      <c r="FI225">
        <v>-6.1462078757559423E-4</v>
      </c>
      <c r="FJ225">
        <v>-1.8861989874597051E-7</v>
      </c>
      <c r="FK225">
        <v>1.1980462299894961E-10</v>
      </c>
      <c r="FL225">
        <v>0.19840465858211129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45.5</v>
      </c>
      <c r="FU225">
        <v>45.5</v>
      </c>
      <c r="FV225">
        <v>1.7639199999999999</v>
      </c>
      <c r="FW225">
        <v>2.5842299999999998</v>
      </c>
      <c r="FX225">
        <v>1.5490699999999999</v>
      </c>
      <c r="FY225">
        <v>2.33521</v>
      </c>
      <c r="FZ225">
        <v>1.50146</v>
      </c>
      <c r="GA225">
        <v>2.34253</v>
      </c>
      <c r="GB225">
        <v>33.625399999999999</v>
      </c>
      <c r="GC225">
        <v>23.982399999999998</v>
      </c>
      <c r="GD225">
        <v>19</v>
      </c>
      <c r="GE225">
        <v>281.40800000000002</v>
      </c>
      <c r="GF225">
        <v>575.548</v>
      </c>
      <c r="GG225">
        <v>24.103400000000001</v>
      </c>
      <c r="GH225">
        <v>25.896999999999998</v>
      </c>
      <c r="GI225">
        <v>30</v>
      </c>
      <c r="GJ225">
        <v>26.025200000000002</v>
      </c>
      <c r="GK225">
        <v>26.006799999999998</v>
      </c>
      <c r="GL225">
        <v>35.257300000000001</v>
      </c>
      <c r="GM225">
        <v>100</v>
      </c>
      <c r="GN225">
        <v>0</v>
      </c>
      <c r="GO225">
        <v>24.095500000000001</v>
      </c>
      <c r="GP225">
        <v>800</v>
      </c>
      <c r="GQ225">
        <v>0</v>
      </c>
      <c r="GR225">
        <v>99.829899999999995</v>
      </c>
      <c r="GS225">
        <v>99.712599999999995</v>
      </c>
    </row>
    <row r="226" spans="1:201" x14ac:dyDescent="0.25">
      <c r="A226">
        <v>210</v>
      </c>
      <c r="B226">
        <v>1690390376</v>
      </c>
      <c r="C226">
        <v>2117.5</v>
      </c>
      <c r="D226" t="s">
        <v>753</v>
      </c>
      <c r="E226" t="s">
        <v>754</v>
      </c>
      <c r="F226" t="s">
        <v>330</v>
      </c>
      <c r="H226">
        <v>1690390376</v>
      </c>
      <c r="I226">
        <f t="shared" si="90"/>
        <v>2.5254482535124372E-3</v>
      </c>
      <c r="J226">
        <f t="shared" si="91"/>
        <v>2.5254482535124372</v>
      </c>
      <c r="K226">
        <f t="shared" si="92"/>
        <v>38.936793892607675</v>
      </c>
      <c r="L226">
        <f t="shared" si="93"/>
        <v>377.452</v>
      </c>
      <c r="M226">
        <f t="shared" si="94"/>
        <v>108.74350101520463</v>
      </c>
      <c r="N226">
        <f t="shared" si="95"/>
        <v>10.728683505940053</v>
      </c>
      <c r="O226">
        <f t="shared" si="96"/>
        <v>37.239586815564003</v>
      </c>
      <c r="P226">
        <f t="shared" si="97"/>
        <v>0.24834655503662922</v>
      </c>
      <c r="Q226">
        <f t="shared" si="98"/>
        <v>2.1567722613468345</v>
      </c>
      <c r="R226">
        <f t="shared" si="99"/>
        <v>0.23348318063022988</v>
      </c>
      <c r="S226">
        <f t="shared" si="100"/>
        <v>0.14718821634405332</v>
      </c>
      <c r="T226">
        <f t="shared" si="101"/>
        <v>276.11577728999998</v>
      </c>
      <c r="U226">
        <f t="shared" si="102"/>
        <v>27.191339554621866</v>
      </c>
      <c r="V226">
        <f t="shared" si="103"/>
        <v>27.191339554621866</v>
      </c>
      <c r="W226">
        <f t="shared" si="104"/>
        <v>3.6195795669431816</v>
      </c>
      <c r="X226">
        <f t="shared" si="105"/>
        <v>77.084168092883942</v>
      </c>
      <c r="Y226">
        <f t="shared" si="106"/>
        <v>2.585989238427</v>
      </c>
      <c r="Z226">
        <f t="shared" si="107"/>
        <v>3.3547605200992328</v>
      </c>
      <c r="AA226">
        <f t="shared" si="108"/>
        <v>1.0335903285161816</v>
      </c>
      <c r="AB226">
        <f t="shared" si="109"/>
        <v>-111.37226797989848</v>
      </c>
      <c r="AC226">
        <f t="shared" si="110"/>
        <v>-149.90749746288935</v>
      </c>
      <c r="AD226">
        <f t="shared" si="111"/>
        <v>-14.932275303391872</v>
      </c>
      <c r="AE226">
        <f t="shared" si="112"/>
        <v>-9.6263456179713103E-2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52310.442433343851</v>
      </c>
      <c r="AK226">
        <f t="shared" si="116"/>
        <v>1800</v>
      </c>
      <c r="AL226">
        <f t="shared" si="117"/>
        <v>1499.1130349999999</v>
      </c>
      <c r="AM226">
        <f t="shared" si="118"/>
        <v>0.83284057499999986</v>
      </c>
      <c r="AN226">
        <f t="shared" si="119"/>
        <v>0.15339765405</v>
      </c>
      <c r="AO226">
        <v>31.8</v>
      </c>
      <c r="AP226">
        <v>0.5</v>
      </c>
      <c r="AQ226" t="s">
        <v>331</v>
      </c>
      <c r="AR226">
        <v>2</v>
      </c>
      <c r="AS226">
        <v>1690390376</v>
      </c>
      <c r="AT226">
        <v>377.452</v>
      </c>
      <c r="AU226">
        <v>800.07500000000005</v>
      </c>
      <c r="AV226">
        <v>26.210999999999999</v>
      </c>
      <c r="AW226">
        <v>0.15593799999999999</v>
      </c>
      <c r="AX226">
        <v>377.01100000000002</v>
      </c>
      <c r="AY226">
        <v>26.012599999999999</v>
      </c>
      <c r="AZ226">
        <v>300.14999999999998</v>
      </c>
      <c r="BA226">
        <v>98.560500000000005</v>
      </c>
      <c r="BB226">
        <v>9.9957000000000004E-2</v>
      </c>
      <c r="BC226">
        <v>25.902100000000001</v>
      </c>
      <c r="BD226">
        <v>27.0151</v>
      </c>
      <c r="BE226">
        <v>27.034300000000002</v>
      </c>
      <c r="BF226">
        <v>0</v>
      </c>
      <c r="BG226">
        <v>0</v>
      </c>
      <c r="BH226">
        <v>10000.6</v>
      </c>
      <c r="BI226">
        <v>1068.6500000000001</v>
      </c>
      <c r="BJ226">
        <v>1.4016500000000001</v>
      </c>
      <c r="BK226">
        <v>-422.62299999999999</v>
      </c>
      <c r="BL226">
        <v>387.61099999999999</v>
      </c>
      <c r="BM226">
        <v>800.19899999999996</v>
      </c>
      <c r="BN226">
        <v>26.055099999999999</v>
      </c>
      <c r="BO226">
        <v>800.07500000000005</v>
      </c>
      <c r="BP226">
        <v>0.15593799999999999</v>
      </c>
      <c r="BQ226">
        <v>2.5833699999999999</v>
      </c>
      <c r="BR226">
        <v>1.5369300000000001E-2</v>
      </c>
      <c r="BS226">
        <v>21.561499999999999</v>
      </c>
      <c r="BT226">
        <v>-41.930599999999998</v>
      </c>
      <c r="BU226">
        <v>1800</v>
      </c>
      <c r="BV226">
        <v>0.90999799999999997</v>
      </c>
      <c r="BW226">
        <v>3.3996600000000002E-2</v>
      </c>
      <c r="BX226">
        <v>2.2003000000000002E-2</v>
      </c>
      <c r="BY226">
        <v>3.4002699999999997E-2</v>
      </c>
      <c r="BZ226">
        <v>25</v>
      </c>
      <c r="CA226">
        <v>33528.400000000001</v>
      </c>
      <c r="CB226">
        <v>1690387638</v>
      </c>
      <c r="CC226" t="s">
        <v>332</v>
      </c>
      <c r="CD226">
        <v>1690387638</v>
      </c>
      <c r="CE226">
        <v>1690387638</v>
      </c>
      <c r="CF226">
        <v>6</v>
      </c>
      <c r="CG226">
        <v>0.43</v>
      </c>
      <c r="CH226">
        <v>-8.1000000000000003E-2</v>
      </c>
      <c r="CI226">
        <v>0.14199999999999999</v>
      </c>
      <c r="CJ226">
        <v>-2.7E-2</v>
      </c>
      <c r="CK226">
        <v>800</v>
      </c>
      <c r="CL226">
        <v>0</v>
      </c>
      <c r="CM226">
        <v>0.01</v>
      </c>
      <c r="CN226">
        <v>0.01</v>
      </c>
      <c r="CO226">
        <v>-422.41885365853648</v>
      </c>
      <c r="CP226">
        <v>-0.53393728223004611</v>
      </c>
      <c r="CQ226">
        <v>9.0058940314203959E-2</v>
      </c>
      <c r="CR226">
        <v>-1</v>
      </c>
      <c r="CS226">
        <v>26.053770731707321</v>
      </c>
      <c r="CT226">
        <v>1.1958188153345871E-2</v>
      </c>
      <c r="CU226">
        <v>1.520148244125134E-3</v>
      </c>
      <c r="CV226">
        <v>-1</v>
      </c>
      <c r="CW226">
        <v>0</v>
      </c>
      <c r="CX226">
        <v>0</v>
      </c>
      <c r="CY226" t="s">
        <v>333</v>
      </c>
      <c r="CZ226">
        <v>2.3649499999999999</v>
      </c>
      <c r="DA226">
        <v>2.7137500000000001</v>
      </c>
      <c r="DB226">
        <v>8.5128099999999998E-2</v>
      </c>
      <c r="DC226">
        <v>0.145343</v>
      </c>
      <c r="DD226">
        <v>0.120618</v>
      </c>
      <c r="DE226">
        <v>1.3076400000000001E-3</v>
      </c>
      <c r="DF226">
        <v>33435.300000000003</v>
      </c>
      <c r="DG226">
        <v>27582.5</v>
      </c>
      <c r="DH226">
        <v>31198.5</v>
      </c>
      <c r="DI226">
        <v>28121.1</v>
      </c>
      <c r="DJ226">
        <v>37241.300000000003</v>
      </c>
      <c r="DK226">
        <v>39945.699999999997</v>
      </c>
      <c r="DL226">
        <v>44403.6</v>
      </c>
      <c r="DM226">
        <v>42624.4</v>
      </c>
      <c r="DN226">
        <v>1.4767999999999999</v>
      </c>
      <c r="DO226">
        <v>2.0318000000000001</v>
      </c>
      <c r="DP226">
        <v>0.14442199999999999</v>
      </c>
      <c r="DQ226">
        <v>0.14827399999999999</v>
      </c>
      <c r="DR226">
        <v>24.648700000000002</v>
      </c>
      <c r="DS226">
        <v>24.604700000000001</v>
      </c>
      <c r="DT226">
        <v>21</v>
      </c>
      <c r="DU226">
        <v>29.3</v>
      </c>
      <c r="DV226">
        <v>8.7194299999999991</v>
      </c>
      <c r="DW226">
        <v>60.9923</v>
      </c>
      <c r="DX226">
        <v>37.796500000000002</v>
      </c>
      <c r="DY226">
        <v>1</v>
      </c>
      <c r="DZ226">
        <v>-0.120478</v>
      </c>
      <c r="EA226">
        <v>0.223497</v>
      </c>
      <c r="EB226">
        <v>20.189900000000002</v>
      </c>
      <c r="EC226">
        <v>5.2416999999999998</v>
      </c>
      <c r="ED226">
        <v>12.039899999999999</v>
      </c>
      <c r="EE226">
        <v>5.0170500000000002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1.8689100000000001</v>
      </c>
      <c r="EL226">
        <v>1.8646199999999999</v>
      </c>
      <c r="EM226">
        <v>1.86921</v>
      </c>
      <c r="EN226">
        <v>1.8672200000000001</v>
      </c>
      <c r="EO226">
        <v>1.86338</v>
      </c>
      <c r="EP226">
        <v>1.8644700000000001</v>
      </c>
      <c r="EQ226">
        <v>1.87015</v>
      </c>
      <c r="ER226">
        <v>1.8693599999999999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0.441</v>
      </c>
      <c r="FG226">
        <v>0.19839999999999999</v>
      </c>
      <c r="FH226">
        <v>0.69281559908863044</v>
      </c>
      <c r="FI226">
        <v>-6.1462078757559423E-4</v>
      </c>
      <c r="FJ226">
        <v>-1.8861989874597051E-7</v>
      </c>
      <c r="FK226">
        <v>1.1980462299894961E-10</v>
      </c>
      <c r="FL226">
        <v>0.19840465858211129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45.6</v>
      </c>
      <c r="FU226">
        <v>45.6</v>
      </c>
      <c r="FV226">
        <v>1.7626999999999999</v>
      </c>
      <c r="FW226">
        <v>2.5842299999999998</v>
      </c>
      <c r="FX226">
        <v>1.5490699999999999</v>
      </c>
      <c r="FY226">
        <v>2.33521</v>
      </c>
      <c r="FZ226">
        <v>1.50146</v>
      </c>
      <c r="GA226">
        <v>2.3071299999999999</v>
      </c>
      <c r="GB226">
        <v>33.602899999999998</v>
      </c>
      <c r="GC226">
        <v>23.982399999999998</v>
      </c>
      <c r="GD226">
        <v>19</v>
      </c>
      <c r="GE226">
        <v>281.69400000000002</v>
      </c>
      <c r="GF226">
        <v>575.67100000000005</v>
      </c>
      <c r="GG226">
        <v>24.073899999999998</v>
      </c>
      <c r="GH226">
        <v>25.896899999999999</v>
      </c>
      <c r="GI226">
        <v>29.9998</v>
      </c>
      <c r="GJ226">
        <v>26.025200000000002</v>
      </c>
      <c r="GK226">
        <v>26.006799999999998</v>
      </c>
      <c r="GL226">
        <v>35.252899999999997</v>
      </c>
      <c r="GM226">
        <v>100</v>
      </c>
      <c r="GN226">
        <v>0</v>
      </c>
      <c r="GO226">
        <v>24.0684</v>
      </c>
      <c r="GP226">
        <v>800</v>
      </c>
      <c r="GQ226">
        <v>0</v>
      </c>
      <c r="GR226">
        <v>99.828699999999998</v>
      </c>
      <c r="GS226">
        <v>99.710999999999999</v>
      </c>
    </row>
    <row r="227" spans="1:201" x14ac:dyDescent="0.25">
      <c r="A227">
        <v>211</v>
      </c>
      <c r="B227">
        <v>1690390386</v>
      </c>
      <c r="C227">
        <v>2127.5</v>
      </c>
      <c r="D227" t="s">
        <v>755</v>
      </c>
      <c r="E227" t="s">
        <v>756</v>
      </c>
      <c r="F227" t="s">
        <v>330</v>
      </c>
      <c r="H227">
        <v>1690390386</v>
      </c>
      <c r="I227">
        <f t="shared" si="90"/>
        <v>2.5244357584509247E-3</v>
      </c>
      <c r="J227">
        <f t="shared" si="91"/>
        <v>2.5244357584509247</v>
      </c>
      <c r="K227">
        <f t="shared" si="92"/>
        <v>38.918873358396787</v>
      </c>
      <c r="L227">
        <f t="shared" si="93"/>
        <v>377.459</v>
      </c>
      <c r="M227">
        <f t="shared" si="94"/>
        <v>108.7696942628808</v>
      </c>
      <c r="N227">
        <f t="shared" si="95"/>
        <v>10.731195477141229</v>
      </c>
      <c r="O227">
        <f t="shared" si="96"/>
        <v>37.240026655003398</v>
      </c>
      <c r="P227">
        <f t="shared" si="97"/>
        <v>0.24826780801586484</v>
      </c>
      <c r="Q227">
        <f t="shared" si="98"/>
        <v>2.1531705861970485</v>
      </c>
      <c r="R227">
        <f t="shared" si="99"/>
        <v>0.23339030618136034</v>
      </c>
      <c r="S227">
        <f t="shared" si="100"/>
        <v>0.14713127417272731</v>
      </c>
      <c r="T227">
        <f t="shared" si="101"/>
        <v>276.11571672000002</v>
      </c>
      <c r="U227">
        <f t="shared" si="102"/>
        <v>27.188956580670926</v>
      </c>
      <c r="V227">
        <f t="shared" si="103"/>
        <v>27.188956580670926</v>
      </c>
      <c r="W227">
        <f t="shared" si="104"/>
        <v>3.6190737314976795</v>
      </c>
      <c r="X227">
        <f t="shared" si="105"/>
        <v>77.090691797223229</v>
      </c>
      <c r="Y227">
        <f t="shared" si="106"/>
        <v>2.5854883908548594</v>
      </c>
      <c r="Z227">
        <f t="shared" si="107"/>
        <v>3.3538269414621955</v>
      </c>
      <c r="AA227">
        <f t="shared" si="108"/>
        <v>1.0335853406428201</v>
      </c>
      <c r="AB227">
        <f t="shared" si="109"/>
        <v>-111.32761694768578</v>
      </c>
      <c r="AC227">
        <f t="shared" si="110"/>
        <v>-149.92612569082095</v>
      </c>
      <c r="AD227">
        <f t="shared" si="111"/>
        <v>-14.958581323733355</v>
      </c>
      <c r="AE227">
        <f t="shared" si="112"/>
        <v>-9.6607242240082769E-2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52160.42083757824</v>
      </c>
      <c r="AK227">
        <f t="shared" si="116"/>
        <v>1800</v>
      </c>
      <c r="AL227">
        <f t="shared" si="117"/>
        <v>1499.1134489999997</v>
      </c>
      <c r="AM227">
        <f t="shared" si="118"/>
        <v>0.83284080499999991</v>
      </c>
      <c r="AN227">
        <f t="shared" si="119"/>
        <v>0.15339762040000002</v>
      </c>
      <c r="AO227">
        <v>31.8</v>
      </c>
      <c r="AP227">
        <v>0.5</v>
      </c>
      <c r="AQ227" t="s">
        <v>331</v>
      </c>
      <c r="AR227">
        <v>2</v>
      </c>
      <c r="AS227">
        <v>1690390386</v>
      </c>
      <c r="AT227">
        <v>377.459</v>
      </c>
      <c r="AU227">
        <v>799.98400000000004</v>
      </c>
      <c r="AV227">
        <v>26.206099999999999</v>
      </c>
      <c r="AW227">
        <v>0.15545100000000001</v>
      </c>
      <c r="AX227">
        <v>377.01799999999997</v>
      </c>
      <c r="AY227">
        <v>26.0077</v>
      </c>
      <c r="AZ227">
        <v>300.08199999999999</v>
      </c>
      <c r="BA227">
        <v>98.559799999999996</v>
      </c>
      <c r="BB227">
        <v>9.9992600000000001E-2</v>
      </c>
      <c r="BC227">
        <v>25.897400000000001</v>
      </c>
      <c r="BD227">
        <v>26.982099999999999</v>
      </c>
      <c r="BE227">
        <v>27.054200000000002</v>
      </c>
      <c r="BF227">
        <v>0</v>
      </c>
      <c r="BG227">
        <v>0</v>
      </c>
      <c r="BH227">
        <v>9970.6200000000008</v>
      </c>
      <c r="BI227">
        <v>1068.6199999999999</v>
      </c>
      <c r="BJ227">
        <v>1.38764</v>
      </c>
      <c r="BK227">
        <v>-422.52499999999998</v>
      </c>
      <c r="BL227">
        <v>387.61700000000002</v>
      </c>
      <c r="BM227">
        <v>800.10799999999995</v>
      </c>
      <c r="BN227">
        <v>26.050699999999999</v>
      </c>
      <c r="BO227">
        <v>799.98400000000004</v>
      </c>
      <c r="BP227">
        <v>0.15545100000000001</v>
      </c>
      <c r="BQ227">
        <v>2.5828700000000002</v>
      </c>
      <c r="BR227">
        <v>1.53212E-2</v>
      </c>
      <c r="BS227">
        <v>21.558299999999999</v>
      </c>
      <c r="BT227">
        <v>-41.96</v>
      </c>
      <c r="BU227">
        <v>1800</v>
      </c>
      <c r="BV227">
        <v>0.91</v>
      </c>
      <c r="BW227">
        <v>3.3995900000000003E-2</v>
      </c>
      <c r="BX227">
        <v>2.2002500000000001E-2</v>
      </c>
      <c r="BY227">
        <v>3.4001999999999998E-2</v>
      </c>
      <c r="BZ227">
        <v>25</v>
      </c>
      <c r="CA227">
        <v>33528.400000000001</v>
      </c>
      <c r="CB227">
        <v>1690387638</v>
      </c>
      <c r="CC227" t="s">
        <v>332</v>
      </c>
      <c r="CD227">
        <v>1690387638</v>
      </c>
      <c r="CE227">
        <v>1690387638</v>
      </c>
      <c r="CF227">
        <v>6</v>
      </c>
      <c r="CG227">
        <v>0.43</v>
      </c>
      <c r="CH227">
        <v>-8.1000000000000003E-2</v>
      </c>
      <c r="CI227">
        <v>0.14199999999999999</v>
      </c>
      <c r="CJ227">
        <v>-2.7E-2</v>
      </c>
      <c r="CK227">
        <v>800</v>
      </c>
      <c r="CL227">
        <v>0</v>
      </c>
      <c r="CM227">
        <v>0.01</v>
      </c>
      <c r="CN227">
        <v>0.01</v>
      </c>
      <c r="CO227">
        <v>-422.54157500000002</v>
      </c>
      <c r="CP227">
        <v>-0.78611257035589299</v>
      </c>
      <c r="CQ227">
        <v>8.6788791759074238E-2</v>
      </c>
      <c r="CR227">
        <v>-1</v>
      </c>
      <c r="CS227">
        <v>26.054607499999999</v>
      </c>
      <c r="CT227">
        <v>-5.9493433396272596E-3</v>
      </c>
      <c r="CU227">
        <v>1.2048625440273461E-3</v>
      </c>
      <c r="CV227">
        <v>-1</v>
      </c>
      <c r="CW227">
        <v>0</v>
      </c>
      <c r="CX227">
        <v>0</v>
      </c>
      <c r="CY227" t="s">
        <v>333</v>
      </c>
      <c r="CZ227">
        <v>2.3647399999999998</v>
      </c>
      <c r="DA227">
        <v>2.7137600000000002</v>
      </c>
      <c r="DB227">
        <v>8.5128700000000002E-2</v>
      </c>
      <c r="DC227">
        <v>0.14533099999999999</v>
      </c>
      <c r="DD227">
        <v>0.120601</v>
      </c>
      <c r="DE227">
        <v>1.3035900000000001E-3</v>
      </c>
      <c r="DF227">
        <v>33434.9</v>
      </c>
      <c r="DG227">
        <v>27582.5</v>
      </c>
      <c r="DH227">
        <v>31198.1</v>
      </c>
      <c r="DI227">
        <v>28120.7</v>
      </c>
      <c r="DJ227">
        <v>37241.599999999999</v>
      </c>
      <c r="DK227">
        <v>39945.4</v>
      </c>
      <c r="DL227">
        <v>44403</v>
      </c>
      <c r="DM227">
        <v>42624</v>
      </c>
      <c r="DN227">
        <v>1.4769000000000001</v>
      </c>
      <c r="DO227">
        <v>2.0320200000000002</v>
      </c>
      <c r="DP227">
        <v>0.142626</v>
      </c>
      <c r="DQ227">
        <v>0.14971200000000001</v>
      </c>
      <c r="DR227">
        <v>24.645099999999999</v>
      </c>
      <c r="DS227">
        <v>24.601099999999999</v>
      </c>
      <c r="DT227">
        <v>21</v>
      </c>
      <c r="DU227">
        <v>29.3</v>
      </c>
      <c r="DV227">
        <v>8.7192699999999999</v>
      </c>
      <c r="DW227">
        <v>61.192300000000003</v>
      </c>
      <c r="DX227">
        <v>37.091299999999997</v>
      </c>
      <c r="DY227">
        <v>1</v>
      </c>
      <c r="DZ227">
        <v>-0.120379</v>
      </c>
      <c r="EA227">
        <v>0.136021</v>
      </c>
      <c r="EB227">
        <v>20.189800000000002</v>
      </c>
      <c r="EC227">
        <v>5.2415500000000002</v>
      </c>
      <c r="ED227">
        <v>12.039899999999999</v>
      </c>
      <c r="EE227">
        <v>5.0170500000000002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</v>
      </c>
      <c r="EL227">
        <v>1.8646199999999999</v>
      </c>
      <c r="EM227">
        <v>1.8692</v>
      </c>
      <c r="EN227">
        <v>1.8672200000000001</v>
      </c>
      <c r="EO227">
        <v>1.8633599999999999</v>
      </c>
      <c r="EP227">
        <v>1.8644700000000001</v>
      </c>
      <c r="EQ227">
        <v>1.87016</v>
      </c>
      <c r="ER227">
        <v>1.86937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0.441</v>
      </c>
      <c r="FG227">
        <v>0.19839999999999999</v>
      </c>
      <c r="FH227">
        <v>0.69281559908863044</v>
      </c>
      <c r="FI227">
        <v>-6.1462078757559423E-4</v>
      </c>
      <c r="FJ227">
        <v>-1.8861989874597051E-7</v>
      </c>
      <c r="FK227">
        <v>1.1980462299894961E-10</v>
      </c>
      <c r="FL227">
        <v>0.19840465858211129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45.8</v>
      </c>
      <c r="FU227">
        <v>45.8</v>
      </c>
      <c r="FV227">
        <v>1.7626999999999999</v>
      </c>
      <c r="FW227">
        <v>2.5805699999999998</v>
      </c>
      <c r="FX227">
        <v>1.5490699999999999</v>
      </c>
      <c r="FY227">
        <v>2.33521</v>
      </c>
      <c r="FZ227">
        <v>1.50146</v>
      </c>
      <c r="GA227">
        <v>2.3779300000000001</v>
      </c>
      <c r="GB227">
        <v>33.625399999999999</v>
      </c>
      <c r="GC227">
        <v>23.991199999999999</v>
      </c>
      <c r="GD227">
        <v>19</v>
      </c>
      <c r="GE227">
        <v>281.73599999999999</v>
      </c>
      <c r="GF227">
        <v>575.85400000000004</v>
      </c>
      <c r="GG227">
        <v>24.060099999999998</v>
      </c>
      <c r="GH227">
        <v>25.895399999999999</v>
      </c>
      <c r="GI227">
        <v>30.0002</v>
      </c>
      <c r="GJ227">
        <v>26.025200000000002</v>
      </c>
      <c r="GK227">
        <v>26.006799999999998</v>
      </c>
      <c r="GL227">
        <v>35.254899999999999</v>
      </c>
      <c r="GM227">
        <v>100</v>
      </c>
      <c r="GN227">
        <v>0</v>
      </c>
      <c r="GO227">
        <v>24.0854</v>
      </c>
      <c r="GP227">
        <v>800</v>
      </c>
      <c r="GQ227">
        <v>0</v>
      </c>
      <c r="GR227">
        <v>99.827500000000001</v>
      </c>
      <c r="GS227">
        <v>99.709900000000005</v>
      </c>
    </row>
    <row r="228" spans="1:201" x14ac:dyDescent="0.25">
      <c r="A228">
        <v>212</v>
      </c>
      <c r="B228">
        <v>1690390396</v>
      </c>
      <c r="C228">
        <v>2137.5</v>
      </c>
      <c r="D228" t="s">
        <v>757</v>
      </c>
      <c r="E228" t="s">
        <v>758</v>
      </c>
      <c r="F228" t="s">
        <v>330</v>
      </c>
      <c r="H228">
        <v>1690390396</v>
      </c>
      <c r="I228">
        <f t="shared" si="90"/>
        <v>2.5252982275050162E-3</v>
      </c>
      <c r="J228">
        <f t="shared" si="91"/>
        <v>2.525298227505016</v>
      </c>
      <c r="K228">
        <f t="shared" si="92"/>
        <v>38.941182827037139</v>
      </c>
      <c r="L228">
        <f t="shared" si="93"/>
        <v>377.339</v>
      </c>
      <c r="M228">
        <f t="shared" si="94"/>
        <v>109.02421455558942</v>
      </c>
      <c r="N228">
        <f t="shared" si="95"/>
        <v>10.756438141293224</v>
      </c>
      <c r="O228">
        <f t="shared" si="96"/>
        <v>37.228643456339007</v>
      </c>
      <c r="P228">
        <f t="shared" si="97"/>
        <v>0.24873758577117905</v>
      </c>
      <c r="Q228">
        <f t="shared" si="98"/>
        <v>2.1605195578519449</v>
      </c>
      <c r="R228">
        <f t="shared" si="99"/>
        <v>0.23385307410025716</v>
      </c>
      <c r="S228">
        <f t="shared" si="100"/>
        <v>0.14742120469933118</v>
      </c>
      <c r="T228">
        <f t="shared" si="101"/>
        <v>276.11569798200003</v>
      </c>
      <c r="U228">
        <f t="shared" si="102"/>
        <v>27.183162775685542</v>
      </c>
      <c r="V228">
        <f t="shared" si="103"/>
        <v>27.183162775685542</v>
      </c>
      <c r="W228">
        <f t="shared" si="104"/>
        <v>3.6178441340773473</v>
      </c>
      <c r="X228">
        <f t="shared" si="105"/>
        <v>77.110840691753097</v>
      </c>
      <c r="Y228">
        <f t="shared" si="106"/>
        <v>2.5859344345103006</v>
      </c>
      <c r="Z228">
        <f t="shared" si="107"/>
        <v>3.3535290386048957</v>
      </c>
      <c r="AA228">
        <f t="shared" si="108"/>
        <v>1.0319096995670467</v>
      </c>
      <c r="AB228">
        <f t="shared" si="109"/>
        <v>-111.36565183297121</v>
      </c>
      <c r="AC228">
        <f t="shared" si="110"/>
        <v>-149.93770399656242</v>
      </c>
      <c r="AD228">
        <f t="shared" si="111"/>
        <v>-14.908306236933015</v>
      </c>
      <c r="AE228">
        <f t="shared" si="112"/>
        <v>-9.5964084466601207E-2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52468.752974210875</v>
      </c>
      <c r="AK228">
        <f t="shared" si="116"/>
        <v>1800</v>
      </c>
      <c r="AL228">
        <f t="shared" si="117"/>
        <v>1499.1130332</v>
      </c>
      <c r="AM228">
        <f t="shared" si="118"/>
        <v>0.832840574</v>
      </c>
      <c r="AN228">
        <f t="shared" si="119"/>
        <v>0.15339760999000002</v>
      </c>
      <c r="AO228">
        <v>31.8</v>
      </c>
      <c r="AP228">
        <v>0.5</v>
      </c>
      <c r="AQ228" t="s">
        <v>331</v>
      </c>
      <c r="AR228">
        <v>2</v>
      </c>
      <c r="AS228">
        <v>1690390396</v>
      </c>
      <c r="AT228">
        <v>377.339</v>
      </c>
      <c r="AU228">
        <v>800.02599999999995</v>
      </c>
      <c r="AV228">
        <v>26.2103</v>
      </c>
      <c r="AW228">
        <v>0.15546499999999999</v>
      </c>
      <c r="AX228">
        <v>376.899</v>
      </c>
      <c r="AY228">
        <v>26.011900000000001</v>
      </c>
      <c r="AZ228">
        <v>300.13499999999999</v>
      </c>
      <c r="BA228">
        <v>98.561000000000007</v>
      </c>
      <c r="BB228">
        <v>0.10000100000000001</v>
      </c>
      <c r="BC228">
        <v>25.895900000000001</v>
      </c>
      <c r="BD228">
        <v>26.9907</v>
      </c>
      <c r="BE228">
        <v>27.025300000000001</v>
      </c>
      <c r="BF228">
        <v>0</v>
      </c>
      <c r="BG228">
        <v>0</v>
      </c>
      <c r="BH228">
        <v>10031.9</v>
      </c>
      <c r="BI228">
        <v>1068.6300000000001</v>
      </c>
      <c r="BJ228">
        <v>1.4016500000000001</v>
      </c>
      <c r="BK228">
        <v>-422.68700000000001</v>
      </c>
      <c r="BL228">
        <v>387.49599999999998</v>
      </c>
      <c r="BM228">
        <v>800.15099999999995</v>
      </c>
      <c r="BN228">
        <v>26.0549</v>
      </c>
      <c r="BO228">
        <v>800.02599999999995</v>
      </c>
      <c r="BP228">
        <v>0.15546499999999999</v>
      </c>
      <c r="BQ228">
        <v>2.5833200000000001</v>
      </c>
      <c r="BR228">
        <v>1.5322799999999999E-2</v>
      </c>
      <c r="BS228">
        <v>21.561199999999999</v>
      </c>
      <c r="BT228">
        <v>-41.959000000000003</v>
      </c>
      <c r="BU228">
        <v>1800</v>
      </c>
      <c r="BV228">
        <v>0.909999</v>
      </c>
      <c r="BW228">
        <v>3.3996199999999997E-2</v>
      </c>
      <c r="BX228">
        <v>2.20027E-2</v>
      </c>
      <c r="BY228">
        <v>3.4002299999999999E-2</v>
      </c>
      <c r="BZ228">
        <v>25</v>
      </c>
      <c r="CA228">
        <v>33528.400000000001</v>
      </c>
      <c r="CB228">
        <v>1690387638</v>
      </c>
      <c r="CC228" t="s">
        <v>332</v>
      </c>
      <c r="CD228">
        <v>1690387638</v>
      </c>
      <c r="CE228">
        <v>1690387638</v>
      </c>
      <c r="CF228">
        <v>6</v>
      </c>
      <c r="CG228">
        <v>0.43</v>
      </c>
      <c r="CH228">
        <v>-8.1000000000000003E-2</v>
      </c>
      <c r="CI228">
        <v>0.14199999999999999</v>
      </c>
      <c r="CJ228">
        <v>-2.7E-2</v>
      </c>
      <c r="CK228">
        <v>800</v>
      </c>
      <c r="CL228">
        <v>0</v>
      </c>
      <c r="CM228">
        <v>0.01</v>
      </c>
      <c r="CN228">
        <v>0.01</v>
      </c>
      <c r="CO228">
        <v>-422.60872499999999</v>
      </c>
      <c r="CP228">
        <v>-0.1673358348955592</v>
      </c>
      <c r="CQ228">
        <v>5.2869172255678047E-2</v>
      </c>
      <c r="CR228">
        <v>-1</v>
      </c>
      <c r="CS228">
        <v>26.052724999999999</v>
      </c>
      <c r="CT228">
        <v>-1.5888180112591931E-2</v>
      </c>
      <c r="CU228">
        <v>1.9548337525221579E-3</v>
      </c>
      <c r="CV228">
        <v>-1</v>
      </c>
      <c r="CW228">
        <v>0</v>
      </c>
      <c r="CX228">
        <v>0</v>
      </c>
      <c r="CY228" t="s">
        <v>333</v>
      </c>
      <c r="CZ228">
        <v>2.3649</v>
      </c>
      <c r="DA228">
        <v>2.7138200000000001</v>
      </c>
      <c r="DB228">
        <v>8.5109000000000004E-2</v>
      </c>
      <c r="DC228">
        <v>0.14533799999999999</v>
      </c>
      <c r="DD228">
        <v>0.120616</v>
      </c>
      <c r="DE228">
        <v>1.30372E-3</v>
      </c>
      <c r="DF228">
        <v>33435.199999999997</v>
      </c>
      <c r="DG228">
        <v>27582.2</v>
      </c>
      <c r="DH228">
        <v>31197.7</v>
      </c>
      <c r="DI228">
        <v>28120.6</v>
      </c>
      <c r="DJ228">
        <v>37240.400000000001</v>
      </c>
      <c r="DK228">
        <v>39945.300000000003</v>
      </c>
      <c r="DL228">
        <v>44402.3</v>
      </c>
      <c r="DM228">
        <v>42623.9</v>
      </c>
      <c r="DN228">
        <v>1.4769300000000001</v>
      </c>
      <c r="DO228">
        <v>2.0318200000000002</v>
      </c>
      <c r="DP228">
        <v>0.14327500000000001</v>
      </c>
      <c r="DQ228">
        <v>0.14804300000000001</v>
      </c>
      <c r="DR228">
        <v>24.643000000000001</v>
      </c>
      <c r="DS228">
        <v>24.599499999999999</v>
      </c>
      <c r="DT228">
        <v>21</v>
      </c>
      <c r="DU228">
        <v>29.4</v>
      </c>
      <c r="DV228">
        <v>8.7688100000000002</v>
      </c>
      <c r="DW228">
        <v>61.002299999999998</v>
      </c>
      <c r="DX228">
        <v>37.147399999999998</v>
      </c>
      <c r="DY228">
        <v>1</v>
      </c>
      <c r="DZ228">
        <v>-0.120589</v>
      </c>
      <c r="EA228">
        <v>6.9670499999999996E-2</v>
      </c>
      <c r="EB228">
        <v>20.190100000000001</v>
      </c>
      <c r="EC228">
        <v>5.24125</v>
      </c>
      <c r="ED228">
        <v>12.039899999999999</v>
      </c>
      <c r="EE228">
        <v>5.0167999999999999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1.8689199999999999</v>
      </c>
      <c r="EL228">
        <v>1.8646199999999999</v>
      </c>
      <c r="EM228">
        <v>1.86921</v>
      </c>
      <c r="EN228">
        <v>1.8672299999999999</v>
      </c>
      <c r="EO228">
        <v>1.8633900000000001</v>
      </c>
      <c r="EP228">
        <v>1.8644700000000001</v>
      </c>
      <c r="EQ228">
        <v>1.87016</v>
      </c>
      <c r="ER228">
        <v>1.8693599999999999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0.44</v>
      </c>
      <c r="FG228">
        <v>0.19839999999999999</v>
      </c>
      <c r="FH228">
        <v>0.69281559908863044</v>
      </c>
      <c r="FI228">
        <v>-6.1462078757559423E-4</v>
      </c>
      <c r="FJ228">
        <v>-1.8861989874597051E-7</v>
      </c>
      <c r="FK228">
        <v>1.1980462299894961E-10</v>
      </c>
      <c r="FL228">
        <v>0.19840465858211129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46</v>
      </c>
      <c r="FU228">
        <v>46</v>
      </c>
      <c r="FV228">
        <v>1.7639199999999999</v>
      </c>
      <c r="FW228">
        <v>2.5915499999999998</v>
      </c>
      <c r="FX228">
        <v>1.5490699999999999</v>
      </c>
      <c r="FY228">
        <v>2.33521</v>
      </c>
      <c r="FZ228">
        <v>1.50146</v>
      </c>
      <c r="GA228">
        <v>2.2741699999999998</v>
      </c>
      <c r="GB228">
        <v>33.625399999999999</v>
      </c>
      <c r="GC228">
        <v>23.982399999999998</v>
      </c>
      <c r="GD228">
        <v>19</v>
      </c>
      <c r="GE228">
        <v>281.745</v>
      </c>
      <c r="GF228">
        <v>575.69100000000003</v>
      </c>
      <c r="GG228">
        <v>24.1007</v>
      </c>
      <c r="GH228">
        <v>25.8948</v>
      </c>
      <c r="GI228">
        <v>30</v>
      </c>
      <c r="GJ228">
        <v>26.0245</v>
      </c>
      <c r="GK228">
        <v>26.006799999999998</v>
      </c>
      <c r="GL228">
        <v>35.253999999999998</v>
      </c>
      <c r="GM228">
        <v>100</v>
      </c>
      <c r="GN228">
        <v>0</v>
      </c>
      <c r="GO228">
        <v>24.110700000000001</v>
      </c>
      <c r="GP228">
        <v>800</v>
      </c>
      <c r="GQ228">
        <v>0</v>
      </c>
      <c r="GR228">
        <v>99.826099999999997</v>
      </c>
      <c r="GS228">
        <v>99.709500000000006</v>
      </c>
    </row>
    <row r="229" spans="1:201" x14ac:dyDescent="0.25">
      <c r="A229">
        <v>213</v>
      </c>
      <c r="B229">
        <v>1690390406</v>
      </c>
      <c r="C229">
        <v>2147.5</v>
      </c>
      <c r="D229" t="s">
        <v>759</v>
      </c>
      <c r="E229" t="s">
        <v>760</v>
      </c>
      <c r="F229" t="s">
        <v>330</v>
      </c>
      <c r="H229">
        <v>1690390406</v>
      </c>
      <c r="I229">
        <f t="shared" si="90"/>
        <v>2.5259675039294477E-3</v>
      </c>
      <c r="J229">
        <f t="shared" si="91"/>
        <v>2.5259675039294476</v>
      </c>
      <c r="K229">
        <f t="shared" si="92"/>
        <v>38.932004467618661</v>
      </c>
      <c r="L229">
        <f t="shared" si="93"/>
        <v>377.36799999999999</v>
      </c>
      <c r="M229">
        <f t="shared" si="94"/>
        <v>108.93599434698764</v>
      </c>
      <c r="N229">
        <f t="shared" si="95"/>
        <v>10.748058538765711</v>
      </c>
      <c r="O229">
        <f t="shared" si="96"/>
        <v>37.232628012167197</v>
      </c>
      <c r="P229">
        <f t="shared" si="97"/>
        <v>0.24859584139156218</v>
      </c>
      <c r="Q229">
        <f t="shared" si="98"/>
        <v>2.1552458655241331</v>
      </c>
      <c r="R229">
        <f t="shared" si="99"/>
        <v>0.23369370424767549</v>
      </c>
      <c r="S229">
        <f t="shared" si="100"/>
        <v>0.14732296327627081</v>
      </c>
      <c r="T229">
        <f t="shared" si="101"/>
        <v>276.11569798200003</v>
      </c>
      <c r="U229">
        <f t="shared" si="102"/>
        <v>27.191890523730482</v>
      </c>
      <c r="V229">
        <f t="shared" si="103"/>
        <v>27.191890523730482</v>
      </c>
      <c r="W229">
        <f t="shared" si="104"/>
        <v>3.6196965303007054</v>
      </c>
      <c r="X229">
        <f t="shared" si="105"/>
        <v>77.108550910341577</v>
      </c>
      <c r="Y229">
        <f t="shared" si="106"/>
        <v>2.5867919053777797</v>
      </c>
      <c r="Z229">
        <f t="shared" si="107"/>
        <v>3.3547406543608727</v>
      </c>
      <c r="AA229">
        <f t="shared" si="108"/>
        <v>1.0329046249229257</v>
      </c>
      <c r="AB229">
        <f t="shared" si="109"/>
        <v>-111.39516692328864</v>
      </c>
      <c r="AC229">
        <f t="shared" si="110"/>
        <v>-149.87704303823352</v>
      </c>
      <c r="AD229">
        <f t="shared" si="111"/>
        <v>-14.939848788248197</v>
      </c>
      <c r="AE229">
        <f t="shared" si="112"/>
        <v>-9.6360767770306666E-2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52246.581741304202</v>
      </c>
      <c r="AK229">
        <f t="shared" si="116"/>
        <v>1800</v>
      </c>
      <c r="AL229">
        <f t="shared" si="117"/>
        <v>1499.1130332</v>
      </c>
      <c r="AM229">
        <f t="shared" si="118"/>
        <v>0.832840574</v>
      </c>
      <c r="AN229">
        <f t="shared" si="119"/>
        <v>0.15339760999000002</v>
      </c>
      <c r="AO229">
        <v>31.8</v>
      </c>
      <c r="AP229">
        <v>0.5</v>
      </c>
      <c r="AQ229" t="s">
        <v>331</v>
      </c>
      <c r="AR229">
        <v>2</v>
      </c>
      <c r="AS229">
        <v>1690390406</v>
      </c>
      <c r="AT229">
        <v>377.36799999999999</v>
      </c>
      <c r="AU229">
        <v>799.995</v>
      </c>
      <c r="AV229">
        <v>26.2182</v>
      </c>
      <c r="AW229">
        <v>0.154587</v>
      </c>
      <c r="AX229">
        <v>376.92700000000002</v>
      </c>
      <c r="AY229">
        <v>26.0198</v>
      </c>
      <c r="AZ229">
        <v>300.11099999999999</v>
      </c>
      <c r="BA229">
        <v>98.563999999999993</v>
      </c>
      <c r="BB229">
        <v>9.9977899999999995E-2</v>
      </c>
      <c r="BC229">
        <v>25.902000000000001</v>
      </c>
      <c r="BD229">
        <v>27.0076</v>
      </c>
      <c r="BE229">
        <v>27.024699999999999</v>
      </c>
      <c r="BF229">
        <v>0</v>
      </c>
      <c r="BG229">
        <v>0</v>
      </c>
      <c r="BH229">
        <v>9987.5</v>
      </c>
      <c r="BI229">
        <v>1068.6500000000001</v>
      </c>
      <c r="BJ229">
        <v>1.4016500000000001</v>
      </c>
      <c r="BK229">
        <v>-422.62799999999999</v>
      </c>
      <c r="BL229">
        <v>387.52800000000002</v>
      </c>
      <c r="BM229">
        <v>800.11900000000003</v>
      </c>
      <c r="BN229">
        <v>26.063700000000001</v>
      </c>
      <c r="BO229">
        <v>799.995</v>
      </c>
      <c r="BP229">
        <v>0.154587</v>
      </c>
      <c r="BQ229">
        <v>2.5841799999999999</v>
      </c>
      <c r="BR229">
        <v>1.5236700000000001E-2</v>
      </c>
      <c r="BS229">
        <v>21.566600000000001</v>
      </c>
      <c r="BT229">
        <v>-42.011899999999997</v>
      </c>
      <c r="BU229">
        <v>1800</v>
      </c>
      <c r="BV229">
        <v>0.909999</v>
      </c>
      <c r="BW229">
        <v>3.3996199999999997E-2</v>
      </c>
      <c r="BX229">
        <v>2.20027E-2</v>
      </c>
      <c r="BY229">
        <v>3.4002299999999999E-2</v>
      </c>
      <c r="BZ229">
        <v>25</v>
      </c>
      <c r="CA229">
        <v>33528.300000000003</v>
      </c>
      <c r="CB229">
        <v>1690387638</v>
      </c>
      <c r="CC229" t="s">
        <v>332</v>
      </c>
      <c r="CD229">
        <v>1690387638</v>
      </c>
      <c r="CE229">
        <v>1690387638</v>
      </c>
      <c r="CF229">
        <v>6</v>
      </c>
      <c r="CG229">
        <v>0.43</v>
      </c>
      <c r="CH229">
        <v>-8.1000000000000003E-2</v>
      </c>
      <c r="CI229">
        <v>0.14199999999999999</v>
      </c>
      <c r="CJ229">
        <v>-2.7E-2</v>
      </c>
      <c r="CK229">
        <v>800</v>
      </c>
      <c r="CL229">
        <v>0</v>
      </c>
      <c r="CM229">
        <v>0.01</v>
      </c>
      <c r="CN229">
        <v>0.01</v>
      </c>
      <c r="CO229">
        <v>-422.60307499999999</v>
      </c>
      <c r="CP229">
        <v>0.15227392120278241</v>
      </c>
      <c r="CQ229">
        <v>6.3963813011734233E-2</v>
      </c>
      <c r="CR229">
        <v>-1</v>
      </c>
      <c r="CS229">
        <v>26.054124999999999</v>
      </c>
      <c r="CT229">
        <v>3.031069418378661E-2</v>
      </c>
      <c r="CU229">
        <v>3.111249748895329E-3</v>
      </c>
      <c r="CV229">
        <v>-1</v>
      </c>
      <c r="CW229">
        <v>0</v>
      </c>
      <c r="CX229">
        <v>0</v>
      </c>
      <c r="CY229" t="s">
        <v>333</v>
      </c>
      <c r="CZ229">
        <v>2.3648199999999999</v>
      </c>
      <c r="DA229">
        <v>2.7137600000000002</v>
      </c>
      <c r="DB229">
        <v>8.5116899999999995E-2</v>
      </c>
      <c r="DC229">
        <v>0.145339</v>
      </c>
      <c r="DD229">
        <v>0.120646</v>
      </c>
      <c r="DE229">
        <v>1.2964700000000001E-3</v>
      </c>
      <c r="DF229">
        <v>33435.1</v>
      </c>
      <c r="DG229">
        <v>27581.8</v>
      </c>
      <c r="DH229">
        <v>31197.9</v>
      </c>
      <c r="DI229">
        <v>28120.3</v>
      </c>
      <c r="DJ229">
        <v>37239.4</v>
      </c>
      <c r="DK229">
        <v>39945.199999999997</v>
      </c>
      <c r="DL229">
        <v>44402.7</v>
      </c>
      <c r="DM229">
        <v>42623.5</v>
      </c>
      <c r="DN229">
        <v>1.4772799999999999</v>
      </c>
      <c r="DO229">
        <v>2.0318800000000001</v>
      </c>
      <c r="DP229">
        <v>0.14430999999999999</v>
      </c>
      <c r="DQ229">
        <v>0.148006</v>
      </c>
      <c r="DR229">
        <v>24.643000000000001</v>
      </c>
      <c r="DS229">
        <v>24.599499999999999</v>
      </c>
      <c r="DT229">
        <v>20.9</v>
      </c>
      <c r="DU229">
        <v>29.4</v>
      </c>
      <c r="DV229">
        <v>8.7277199999999997</v>
      </c>
      <c r="DW229">
        <v>61.1723</v>
      </c>
      <c r="DX229">
        <v>37.7804</v>
      </c>
      <c r="DY229">
        <v>1</v>
      </c>
      <c r="DZ229">
        <v>-0.119766</v>
      </c>
      <c r="EA229">
        <v>0.14178099999999999</v>
      </c>
      <c r="EB229">
        <v>20.190200000000001</v>
      </c>
      <c r="EC229">
        <v>5.2409499999999998</v>
      </c>
      <c r="ED229">
        <v>12.039899999999999</v>
      </c>
      <c r="EE229">
        <v>5.0170500000000002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1.8646199999999999</v>
      </c>
      <c r="EM229">
        <v>1.8692</v>
      </c>
      <c r="EN229">
        <v>1.8672200000000001</v>
      </c>
      <c r="EO229">
        <v>1.86337</v>
      </c>
      <c r="EP229">
        <v>1.8644700000000001</v>
      </c>
      <c r="EQ229">
        <v>1.8701700000000001</v>
      </c>
      <c r="ER229">
        <v>1.86938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0.441</v>
      </c>
      <c r="FG229">
        <v>0.19839999999999999</v>
      </c>
      <c r="FH229">
        <v>0.69281559908863044</v>
      </c>
      <c r="FI229">
        <v>-6.1462078757559423E-4</v>
      </c>
      <c r="FJ229">
        <v>-1.8861989874597051E-7</v>
      </c>
      <c r="FK229">
        <v>1.1980462299894961E-10</v>
      </c>
      <c r="FL229">
        <v>0.19840465858211129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46.1</v>
      </c>
      <c r="FU229">
        <v>46.1</v>
      </c>
      <c r="FV229">
        <v>1.7626999999999999</v>
      </c>
      <c r="FW229">
        <v>2.5805699999999998</v>
      </c>
      <c r="FX229">
        <v>1.5490699999999999</v>
      </c>
      <c r="FY229">
        <v>2.33521</v>
      </c>
      <c r="FZ229">
        <v>1.50146</v>
      </c>
      <c r="GA229">
        <v>2.3767100000000001</v>
      </c>
      <c r="GB229">
        <v>33.625399999999999</v>
      </c>
      <c r="GC229">
        <v>23.991199999999999</v>
      </c>
      <c r="GD229">
        <v>19</v>
      </c>
      <c r="GE229">
        <v>281.88600000000002</v>
      </c>
      <c r="GF229">
        <v>575.71400000000006</v>
      </c>
      <c r="GG229">
        <v>24.119900000000001</v>
      </c>
      <c r="GH229">
        <v>25.8948</v>
      </c>
      <c r="GI229">
        <v>30.000499999999999</v>
      </c>
      <c r="GJ229">
        <v>26.023</v>
      </c>
      <c r="GK229">
        <v>26.005199999999999</v>
      </c>
      <c r="GL229">
        <v>35.252600000000001</v>
      </c>
      <c r="GM229">
        <v>100</v>
      </c>
      <c r="GN229">
        <v>0</v>
      </c>
      <c r="GO229">
        <v>24.1022</v>
      </c>
      <c r="GP229">
        <v>800</v>
      </c>
      <c r="GQ229">
        <v>0</v>
      </c>
      <c r="GR229">
        <v>99.826800000000006</v>
      </c>
      <c r="GS229">
        <v>99.708500000000001</v>
      </c>
    </row>
    <row r="230" spans="1:201" x14ac:dyDescent="0.25">
      <c r="A230">
        <v>214</v>
      </c>
      <c r="B230">
        <v>1690390416</v>
      </c>
      <c r="C230">
        <v>2157.5</v>
      </c>
      <c r="D230" t="s">
        <v>761</v>
      </c>
      <c r="E230" t="s">
        <v>762</v>
      </c>
      <c r="F230" t="s">
        <v>330</v>
      </c>
      <c r="H230">
        <v>1690390416</v>
      </c>
      <c r="I230">
        <f t="shared" si="90"/>
        <v>2.5261982630302993E-3</v>
      </c>
      <c r="J230">
        <f t="shared" si="91"/>
        <v>2.5261982630302993</v>
      </c>
      <c r="K230">
        <f t="shared" si="92"/>
        <v>38.933202624351772</v>
      </c>
      <c r="L230">
        <f t="shared" si="93"/>
        <v>377.36700000000002</v>
      </c>
      <c r="M230">
        <f t="shared" si="94"/>
        <v>108.8077326433649</v>
      </c>
      <c r="N230">
        <f t="shared" si="95"/>
        <v>10.735402869292976</v>
      </c>
      <c r="O230">
        <f t="shared" si="96"/>
        <v>37.232526366990001</v>
      </c>
      <c r="P230">
        <f t="shared" si="97"/>
        <v>0.24849157279259243</v>
      </c>
      <c r="Q230">
        <f t="shared" si="98"/>
        <v>2.1532203621851362</v>
      </c>
      <c r="R230">
        <f t="shared" si="99"/>
        <v>0.23358842670741628</v>
      </c>
      <c r="S230">
        <f t="shared" si="100"/>
        <v>0.14725721400781572</v>
      </c>
      <c r="T230">
        <f t="shared" si="101"/>
        <v>276.11723084209376</v>
      </c>
      <c r="U230">
        <f t="shared" si="102"/>
        <v>27.195523687430303</v>
      </c>
      <c r="V230">
        <f t="shared" si="103"/>
        <v>27.195523687430303</v>
      </c>
      <c r="W230">
        <f t="shared" si="104"/>
        <v>3.6204678848645413</v>
      </c>
      <c r="X230">
        <f t="shared" si="105"/>
        <v>77.103143131233722</v>
      </c>
      <c r="Y230">
        <f t="shared" si="106"/>
        <v>2.5870087589880004</v>
      </c>
      <c r="Z230">
        <f t="shared" si="107"/>
        <v>3.3552571969533997</v>
      </c>
      <c r="AA230">
        <f t="shared" si="108"/>
        <v>1.0334591258765409</v>
      </c>
      <c r="AB230">
        <f t="shared" si="109"/>
        <v>-111.40534339963619</v>
      </c>
      <c r="AC230">
        <f t="shared" si="110"/>
        <v>-149.8561225703682</v>
      </c>
      <c r="AD230">
        <f t="shared" si="111"/>
        <v>-14.952281964777088</v>
      </c>
      <c r="AE230">
        <f t="shared" si="112"/>
        <v>-9.6517092687747663E-2</v>
      </c>
      <c r="AF230">
        <v>0</v>
      </c>
      <c r="AG230">
        <v>0</v>
      </c>
      <c r="AH230">
        <f t="shared" si="113"/>
        <v>1</v>
      </c>
      <c r="AI230">
        <f t="shared" si="114"/>
        <v>0</v>
      </c>
      <c r="AJ230">
        <f t="shared" si="115"/>
        <v>52161.334174642616</v>
      </c>
      <c r="AK230">
        <f t="shared" si="116"/>
        <v>1800.01</v>
      </c>
      <c r="AL230">
        <f t="shared" si="117"/>
        <v>1499.1223480112201</v>
      </c>
      <c r="AM230">
        <f t="shared" si="118"/>
        <v>0.83284112200000004</v>
      </c>
      <c r="AN230">
        <f t="shared" si="119"/>
        <v>0.15339760937000002</v>
      </c>
      <c r="AO230">
        <v>31.8</v>
      </c>
      <c r="AP230">
        <v>0.5</v>
      </c>
      <c r="AQ230" t="s">
        <v>331</v>
      </c>
      <c r="AR230">
        <v>2</v>
      </c>
      <c r="AS230">
        <v>1690390416</v>
      </c>
      <c r="AT230">
        <v>377.36700000000002</v>
      </c>
      <c r="AU230">
        <v>800.00900000000001</v>
      </c>
      <c r="AV230">
        <v>26.220400000000001</v>
      </c>
      <c r="AW230">
        <v>0.15437799999999999</v>
      </c>
      <c r="AX230">
        <v>376.92599999999999</v>
      </c>
      <c r="AY230">
        <v>26.021999999999998</v>
      </c>
      <c r="AZ230">
        <v>300.11</v>
      </c>
      <c r="BA230">
        <v>98.563900000000004</v>
      </c>
      <c r="BB230">
        <v>0.10007000000000001</v>
      </c>
      <c r="BC230">
        <v>25.904599999999999</v>
      </c>
      <c r="BD230">
        <v>27.011900000000001</v>
      </c>
      <c r="BE230">
        <v>27.023299999999999</v>
      </c>
      <c r="BF230">
        <v>0</v>
      </c>
      <c r="BG230">
        <v>0</v>
      </c>
      <c r="BH230">
        <v>9970.6200000000008</v>
      </c>
      <c r="BI230">
        <v>1068.6300000000001</v>
      </c>
      <c r="BJ230">
        <v>1.4016500000000001</v>
      </c>
      <c r="BK230">
        <v>-422.64299999999997</v>
      </c>
      <c r="BL230">
        <v>387.52800000000002</v>
      </c>
      <c r="BM230">
        <v>800.13300000000004</v>
      </c>
      <c r="BN230">
        <v>26.065999999999999</v>
      </c>
      <c r="BO230">
        <v>800.00900000000001</v>
      </c>
      <c r="BP230">
        <v>0.15437799999999999</v>
      </c>
      <c r="BQ230">
        <v>2.5843799999999999</v>
      </c>
      <c r="BR230">
        <v>1.52161E-2</v>
      </c>
      <c r="BS230">
        <v>21.567900000000002</v>
      </c>
      <c r="BT230">
        <v>-42.0246</v>
      </c>
      <c r="BU230">
        <v>1800.01</v>
      </c>
      <c r="BV230">
        <v>0.91000199999999998</v>
      </c>
      <c r="BW230">
        <v>3.3995200000000003E-2</v>
      </c>
      <c r="BX230">
        <v>2.20021E-2</v>
      </c>
      <c r="BY230">
        <v>3.4001299999999998E-2</v>
      </c>
      <c r="BZ230">
        <v>25</v>
      </c>
      <c r="CA230">
        <v>33528.5</v>
      </c>
      <c r="CB230">
        <v>1690387638</v>
      </c>
      <c r="CC230" t="s">
        <v>332</v>
      </c>
      <c r="CD230">
        <v>1690387638</v>
      </c>
      <c r="CE230">
        <v>1690387638</v>
      </c>
      <c r="CF230">
        <v>6</v>
      </c>
      <c r="CG230">
        <v>0.43</v>
      </c>
      <c r="CH230">
        <v>-8.1000000000000003E-2</v>
      </c>
      <c r="CI230">
        <v>0.14199999999999999</v>
      </c>
      <c r="CJ230">
        <v>-2.7E-2</v>
      </c>
      <c r="CK230">
        <v>800</v>
      </c>
      <c r="CL230">
        <v>0</v>
      </c>
      <c r="CM230">
        <v>0.01</v>
      </c>
      <c r="CN230">
        <v>0.01</v>
      </c>
      <c r="CO230">
        <v>-422.61070000000001</v>
      </c>
      <c r="CP230">
        <v>2.2176360224967519E-2</v>
      </c>
      <c r="CQ230">
        <v>5.8163218617956883E-2</v>
      </c>
      <c r="CR230">
        <v>-1</v>
      </c>
      <c r="CS230">
        <v>26.062764999999999</v>
      </c>
      <c r="CT230">
        <v>5.8387992495223411E-2</v>
      </c>
      <c r="CU230">
        <v>6.4070488526310103E-3</v>
      </c>
      <c r="CV230">
        <v>-1</v>
      </c>
      <c r="CW230">
        <v>0</v>
      </c>
      <c r="CX230">
        <v>0</v>
      </c>
      <c r="CY230" t="s">
        <v>333</v>
      </c>
      <c r="CZ230">
        <v>2.36483</v>
      </c>
      <c r="DA230">
        <v>2.7138399999999998</v>
      </c>
      <c r="DB230">
        <v>8.5116700000000003E-2</v>
      </c>
      <c r="DC230">
        <v>0.145341</v>
      </c>
      <c r="DD230">
        <v>0.120653</v>
      </c>
      <c r="DE230">
        <v>1.29474E-3</v>
      </c>
      <c r="DF230">
        <v>33435.300000000003</v>
      </c>
      <c r="DG230">
        <v>27581.9</v>
      </c>
      <c r="DH230">
        <v>31198.2</v>
      </c>
      <c r="DI230">
        <v>28120.5</v>
      </c>
      <c r="DJ230">
        <v>37239.300000000003</v>
      </c>
      <c r="DK230">
        <v>39945.4</v>
      </c>
      <c r="DL230">
        <v>44403</v>
      </c>
      <c r="DM230">
        <v>42623.6</v>
      </c>
      <c r="DN230">
        <v>1.4766999999999999</v>
      </c>
      <c r="DO230">
        <v>2.03172</v>
      </c>
      <c r="DP230">
        <v>0.14444399999999999</v>
      </c>
      <c r="DQ230">
        <v>0.147983</v>
      </c>
      <c r="DR230">
        <v>24.645099999999999</v>
      </c>
      <c r="DS230">
        <v>24.598500000000001</v>
      </c>
      <c r="DT230">
        <v>20.9</v>
      </c>
      <c r="DU230">
        <v>29.4</v>
      </c>
      <c r="DV230">
        <v>8.7284900000000007</v>
      </c>
      <c r="DW230">
        <v>60.982300000000002</v>
      </c>
      <c r="DX230">
        <v>36.710700000000003</v>
      </c>
      <c r="DY230">
        <v>1</v>
      </c>
      <c r="DZ230">
        <v>-0.12035800000000001</v>
      </c>
      <c r="EA230">
        <v>0.17315900000000001</v>
      </c>
      <c r="EB230">
        <v>20.189900000000002</v>
      </c>
      <c r="EC230">
        <v>5.2416999999999998</v>
      </c>
      <c r="ED230">
        <v>12.039899999999999</v>
      </c>
      <c r="EE230">
        <v>5.0171000000000001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1.8689100000000001</v>
      </c>
      <c r="EL230">
        <v>1.8646199999999999</v>
      </c>
      <c r="EM230">
        <v>1.86921</v>
      </c>
      <c r="EN230">
        <v>1.8672299999999999</v>
      </c>
      <c r="EO230">
        <v>1.86338</v>
      </c>
      <c r="EP230">
        <v>1.8644700000000001</v>
      </c>
      <c r="EQ230">
        <v>1.8701399999999999</v>
      </c>
      <c r="ER230">
        <v>1.86937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0.441</v>
      </c>
      <c r="FG230">
        <v>0.19839999999999999</v>
      </c>
      <c r="FH230">
        <v>0.69281559908863044</v>
      </c>
      <c r="FI230">
        <v>-6.1462078757559423E-4</v>
      </c>
      <c r="FJ230">
        <v>-1.8861989874597051E-7</v>
      </c>
      <c r="FK230">
        <v>1.1980462299894961E-10</v>
      </c>
      <c r="FL230">
        <v>0.19840465858211129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46.3</v>
      </c>
      <c r="FU230">
        <v>46.3</v>
      </c>
      <c r="FV230">
        <v>1.7626999999999999</v>
      </c>
      <c r="FW230">
        <v>2.5793499999999998</v>
      </c>
      <c r="FX230">
        <v>1.5490699999999999</v>
      </c>
      <c r="FY230">
        <v>2.33521</v>
      </c>
      <c r="FZ230">
        <v>1.50146</v>
      </c>
      <c r="GA230">
        <v>2.3864700000000001</v>
      </c>
      <c r="GB230">
        <v>33.602899999999998</v>
      </c>
      <c r="GC230">
        <v>23.991199999999999</v>
      </c>
      <c r="GD230">
        <v>19</v>
      </c>
      <c r="GE230">
        <v>281.642</v>
      </c>
      <c r="GF230">
        <v>575.58600000000001</v>
      </c>
      <c r="GG230">
        <v>24.0992</v>
      </c>
      <c r="GH230">
        <v>25.8948</v>
      </c>
      <c r="GI230">
        <v>30.0002</v>
      </c>
      <c r="GJ230">
        <v>26.023</v>
      </c>
      <c r="GK230">
        <v>26.0046</v>
      </c>
      <c r="GL230">
        <v>35.252699999999997</v>
      </c>
      <c r="GM230">
        <v>100</v>
      </c>
      <c r="GN230">
        <v>0</v>
      </c>
      <c r="GO230">
        <v>24.096599999999999</v>
      </c>
      <c r="GP230">
        <v>800</v>
      </c>
      <c r="GQ230">
        <v>0</v>
      </c>
      <c r="GR230">
        <v>99.827399999999997</v>
      </c>
      <c r="GS230">
        <v>99.7089</v>
      </c>
    </row>
    <row r="231" spans="1:201" x14ac:dyDescent="0.25">
      <c r="A231">
        <v>215</v>
      </c>
      <c r="B231">
        <v>1690390426</v>
      </c>
      <c r="C231">
        <v>2167.5</v>
      </c>
      <c r="D231" t="s">
        <v>763</v>
      </c>
      <c r="E231" t="s">
        <v>764</v>
      </c>
      <c r="F231" t="s">
        <v>330</v>
      </c>
      <c r="H231">
        <v>1690390426</v>
      </c>
      <c r="I231">
        <f t="shared" si="90"/>
        <v>2.5267661841245179E-3</v>
      </c>
      <c r="J231">
        <f t="shared" si="91"/>
        <v>2.5267661841245177</v>
      </c>
      <c r="K231">
        <f t="shared" si="92"/>
        <v>38.95080044619943</v>
      </c>
      <c r="L231">
        <f t="shared" si="93"/>
        <v>377.15100000000001</v>
      </c>
      <c r="M231">
        <f t="shared" si="94"/>
        <v>108.80626451211107</v>
      </c>
      <c r="N231">
        <f t="shared" si="95"/>
        <v>10.734702452848392</v>
      </c>
      <c r="O231">
        <f t="shared" si="96"/>
        <v>37.209289216464001</v>
      </c>
      <c r="P231">
        <f t="shared" si="97"/>
        <v>0.24880214361679409</v>
      </c>
      <c r="Q231">
        <f t="shared" si="98"/>
        <v>2.1555577613508818</v>
      </c>
      <c r="R231">
        <f t="shared" si="99"/>
        <v>0.23387808003289795</v>
      </c>
      <c r="S231">
        <f t="shared" si="100"/>
        <v>0.14744001057339362</v>
      </c>
      <c r="T231">
        <f t="shared" si="101"/>
        <v>276.11559882000006</v>
      </c>
      <c r="U231">
        <f t="shared" si="102"/>
        <v>27.193042280981768</v>
      </c>
      <c r="V231">
        <f t="shared" si="103"/>
        <v>27.193042280981768</v>
      </c>
      <c r="W231">
        <f t="shared" si="104"/>
        <v>3.6199410435850301</v>
      </c>
      <c r="X231">
        <f t="shared" si="105"/>
        <v>77.124890882661489</v>
      </c>
      <c r="Y231">
        <f t="shared" si="106"/>
        <v>2.5875852214463997</v>
      </c>
      <c r="Z231">
        <f t="shared" si="107"/>
        <v>3.3550585185049733</v>
      </c>
      <c r="AA231">
        <f t="shared" si="108"/>
        <v>1.0323558221386304</v>
      </c>
      <c r="AB231">
        <f t="shared" si="109"/>
        <v>-111.43038871989124</v>
      </c>
      <c r="AC231">
        <f t="shared" si="110"/>
        <v>-149.84664197168914</v>
      </c>
      <c r="AD231">
        <f t="shared" si="111"/>
        <v>-14.934862869454752</v>
      </c>
      <c r="AE231">
        <f t="shared" si="112"/>
        <v>-9.6294741035109155E-2</v>
      </c>
      <c r="AF231">
        <v>0</v>
      </c>
      <c r="AG231">
        <v>0</v>
      </c>
      <c r="AH231">
        <f t="shared" si="113"/>
        <v>1</v>
      </c>
      <c r="AI231">
        <f t="shared" si="114"/>
        <v>0</v>
      </c>
      <c r="AJ231">
        <f t="shared" si="115"/>
        <v>52259.256235441106</v>
      </c>
      <c r="AK231">
        <f t="shared" si="116"/>
        <v>1800</v>
      </c>
      <c r="AL231">
        <f t="shared" si="117"/>
        <v>1499.1136020000001</v>
      </c>
      <c r="AM231">
        <f t="shared" si="118"/>
        <v>0.83284089000000006</v>
      </c>
      <c r="AN231">
        <f t="shared" si="119"/>
        <v>0.15339755490000004</v>
      </c>
      <c r="AO231">
        <v>31.8</v>
      </c>
      <c r="AP231">
        <v>0.5</v>
      </c>
      <c r="AQ231" t="s">
        <v>331</v>
      </c>
      <c r="AR231">
        <v>2</v>
      </c>
      <c r="AS231">
        <v>1690390426</v>
      </c>
      <c r="AT231">
        <v>377.15100000000001</v>
      </c>
      <c r="AU231">
        <v>800.01400000000001</v>
      </c>
      <c r="AV231">
        <v>26.227599999999999</v>
      </c>
      <c r="AW231">
        <v>0.15356500000000001</v>
      </c>
      <c r="AX231">
        <v>376.71</v>
      </c>
      <c r="AY231">
        <v>26.029199999999999</v>
      </c>
      <c r="AZ231">
        <v>300.08300000000003</v>
      </c>
      <c r="BA231">
        <v>98.558899999999994</v>
      </c>
      <c r="BB231">
        <v>9.9963999999999997E-2</v>
      </c>
      <c r="BC231">
        <v>25.903600000000001</v>
      </c>
      <c r="BD231">
        <v>26.9849</v>
      </c>
      <c r="BE231">
        <v>27.0291</v>
      </c>
      <c r="BF231">
        <v>0</v>
      </c>
      <c r="BG231">
        <v>0</v>
      </c>
      <c r="BH231">
        <v>9990.6200000000008</v>
      </c>
      <c r="BI231">
        <v>1068.6300000000001</v>
      </c>
      <c r="BJ231">
        <v>1.4016500000000001</v>
      </c>
      <c r="BK231">
        <v>-422.86399999999998</v>
      </c>
      <c r="BL231">
        <v>387.30900000000003</v>
      </c>
      <c r="BM231">
        <v>800.13699999999994</v>
      </c>
      <c r="BN231">
        <v>26.074100000000001</v>
      </c>
      <c r="BO231">
        <v>800.01400000000001</v>
      </c>
      <c r="BP231">
        <v>0.15356500000000001</v>
      </c>
      <c r="BQ231">
        <v>2.5849700000000002</v>
      </c>
      <c r="BR231">
        <v>1.51352E-2</v>
      </c>
      <c r="BS231">
        <v>21.5716</v>
      </c>
      <c r="BT231">
        <v>-42.074599999999997</v>
      </c>
      <c r="BU231">
        <v>1800</v>
      </c>
      <c r="BV231">
        <v>0.91000199999999998</v>
      </c>
      <c r="BW231">
        <v>3.39951E-2</v>
      </c>
      <c r="BX231">
        <v>2.2002000000000001E-2</v>
      </c>
      <c r="BY231">
        <v>3.4001200000000002E-2</v>
      </c>
      <c r="BZ231">
        <v>25</v>
      </c>
      <c r="CA231">
        <v>33528.400000000001</v>
      </c>
      <c r="CB231">
        <v>1690387638</v>
      </c>
      <c r="CC231" t="s">
        <v>332</v>
      </c>
      <c r="CD231">
        <v>1690387638</v>
      </c>
      <c r="CE231">
        <v>1690387638</v>
      </c>
      <c r="CF231">
        <v>6</v>
      </c>
      <c r="CG231">
        <v>0.43</v>
      </c>
      <c r="CH231">
        <v>-8.1000000000000003E-2</v>
      </c>
      <c r="CI231">
        <v>0.14199999999999999</v>
      </c>
      <c r="CJ231">
        <v>-2.7E-2</v>
      </c>
      <c r="CK231">
        <v>800</v>
      </c>
      <c r="CL231">
        <v>0</v>
      </c>
      <c r="CM231">
        <v>0.01</v>
      </c>
      <c r="CN231">
        <v>0.01</v>
      </c>
      <c r="CO231">
        <v>-422.66950000000003</v>
      </c>
      <c r="CP231">
        <v>-0.55125703564663031</v>
      </c>
      <c r="CQ231">
        <v>6.7928270992272638E-2</v>
      </c>
      <c r="CR231">
        <v>-1</v>
      </c>
      <c r="CS231">
        <v>26.068874999999998</v>
      </c>
      <c r="CT231">
        <v>1.454409005619482E-2</v>
      </c>
      <c r="CU231">
        <v>2.788166960567595E-3</v>
      </c>
      <c r="CV231">
        <v>-1</v>
      </c>
      <c r="CW231">
        <v>0</v>
      </c>
      <c r="CX231">
        <v>0</v>
      </c>
      <c r="CY231" t="s">
        <v>333</v>
      </c>
      <c r="CZ231">
        <v>2.3647499999999999</v>
      </c>
      <c r="DA231">
        <v>2.7137500000000001</v>
      </c>
      <c r="DB231">
        <v>8.5074700000000003E-2</v>
      </c>
      <c r="DC231">
        <v>0.14533399999999999</v>
      </c>
      <c r="DD231">
        <v>0.12067</v>
      </c>
      <c r="DE231">
        <v>1.2879300000000001E-3</v>
      </c>
      <c r="DF231">
        <v>33436.800000000003</v>
      </c>
      <c r="DG231">
        <v>27581.9</v>
      </c>
      <c r="DH231">
        <v>31198.1</v>
      </c>
      <c r="DI231">
        <v>28120.2</v>
      </c>
      <c r="DJ231">
        <v>37238.400000000001</v>
      </c>
      <c r="DK231">
        <v>39945.4</v>
      </c>
      <c r="DL231">
        <v>44402.7</v>
      </c>
      <c r="DM231">
        <v>42623.3</v>
      </c>
      <c r="DN231">
        <v>1.47648</v>
      </c>
      <c r="DO231">
        <v>2.0318999999999998</v>
      </c>
      <c r="DP231">
        <v>0.142731</v>
      </c>
      <c r="DQ231">
        <v>0.14827399999999999</v>
      </c>
      <c r="DR231">
        <v>24.646100000000001</v>
      </c>
      <c r="DS231">
        <v>24.599499999999999</v>
      </c>
      <c r="DT231">
        <v>20.9</v>
      </c>
      <c r="DU231">
        <v>29.4</v>
      </c>
      <c r="DV231">
        <v>8.7283100000000005</v>
      </c>
      <c r="DW231">
        <v>61.002299999999998</v>
      </c>
      <c r="DX231">
        <v>37.820500000000003</v>
      </c>
      <c r="DY231">
        <v>1</v>
      </c>
      <c r="DZ231">
        <v>-0.12046</v>
      </c>
      <c r="EA231">
        <v>0.14723</v>
      </c>
      <c r="EB231">
        <v>20.190300000000001</v>
      </c>
      <c r="EC231">
        <v>5.2411000000000003</v>
      </c>
      <c r="ED231">
        <v>12.039899999999999</v>
      </c>
      <c r="EE231">
        <v>5.0169499999999996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1.8689</v>
      </c>
      <c r="EL231">
        <v>1.8646199999999999</v>
      </c>
      <c r="EM231">
        <v>1.86921</v>
      </c>
      <c r="EN231">
        <v>1.8672200000000001</v>
      </c>
      <c r="EO231">
        <v>1.86338</v>
      </c>
      <c r="EP231">
        <v>1.8644700000000001</v>
      </c>
      <c r="EQ231">
        <v>1.87018</v>
      </c>
      <c r="ER231">
        <v>1.86937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0.441</v>
      </c>
      <c r="FG231">
        <v>0.19839999999999999</v>
      </c>
      <c r="FH231">
        <v>0.69281559908863044</v>
      </c>
      <c r="FI231">
        <v>-6.1462078757559423E-4</v>
      </c>
      <c r="FJ231">
        <v>-1.8861989874597051E-7</v>
      </c>
      <c r="FK231">
        <v>1.1980462299894961E-10</v>
      </c>
      <c r="FL231">
        <v>0.19840465858211129</v>
      </c>
      <c r="FM231">
        <v>0</v>
      </c>
      <c r="FN231">
        <v>0</v>
      </c>
      <c r="FO231">
        <v>0</v>
      </c>
      <c r="FP231">
        <v>3</v>
      </c>
      <c r="FQ231">
        <v>2158</v>
      </c>
      <c r="FR231">
        <v>1</v>
      </c>
      <c r="FS231">
        <v>19</v>
      </c>
      <c r="FT231">
        <v>46.5</v>
      </c>
      <c r="FU231">
        <v>46.5</v>
      </c>
      <c r="FV231">
        <v>1.7626999999999999</v>
      </c>
      <c r="FW231">
        <v>2.5817899999999998</v>
      </c>
      <c r="FX231">
        <v>1.5490699999999999</v>
      </c>
      <c r="FY231">
        <v>2.33521</v>
      </c>
      <c r="FZ231">
        <v>1.50146</v>
      </c>
      <c r="GA231">
        <v>2.32666</v>
      </c>
      <c r="GB231">
        <v>33.602899999999998</v>
      </c>
      <c r="GC231">
        <v>23.991199999999999</v>
      </c>
      <c r="GD231">
        <v>19</v>
      </c>
      <c r="GE231">
        <v>281.54599999999999</v>
      </c>
      <c r="GF231">
        <v>575.72900000000004</v>
      </c>
      <c r="GG231">
        <v>24.091100000000001</v>
      </c>
      <c r="GH231">
        <v>25.8948</v>
      </c>
      <c r="GI231">
        <v>30.0001</v>
      </c>
      <c r="GJ231">
        <v>26.023</v>
      </c>
      <c r="GK231">
        <v>26.0046</v>
      </c>
      <c r="GL231">
        <v>35.250799999999998</v>
      </c>
      <c r="GM231">
        <v>100</v>
      </c>
      <c r="GN231">
        <v>0</v>
      </c>
      <c r="GO231">
        <v>24.097100000000001</v>
      </c>
      <c r="GP231">
        <v>800</v>
      </c>
      <c r="GQ231">
        <v>0</v>
      </c>
      <c r="GR231">
        <v>99.827100000000002</v>
      </c>
      <c r="GS231">
        <v>99.708100000000002</v>
      </c>
    </row>
    <row r="232" spans="1:201" x14ac:dyDescent="0.25">
      <c r="A232">
        <v>216</v>
      </c>
      <c r="B232">
        <v>1690390436</v>
      </c>
      <c r="C232">
        <v>2177.5</v>
      </c>
      <c r="D232" t="s">
        <v>765</v>
      </c>
      <c r="E232" t="s">
        <v>766</v>
      </c>
      <c r="F232" t="s">
        <v>330</v>
      </c>
      <c r="H232">
        <v>1690390436</v>
      </c>
      <c r="I232">
        <f t="shared" si="90"/>
        <v>2.5274855774852938E-3</v>
      </c>
      <c r="J232">
        <f t="shared" si="91"/>
        <v>2.5274855774852938</v>
      </c>
      <c r="K232">
        <f t="shared" si="92"/>
        <v>38.95089217520529</v>
      </c>
      <c r="L232">
        <f t="shared" si="93"/>
        <v>377.19900000000001</v>
      </c>
      <c r="M232">
        <f t="shared" si="94"/>
        <v>109.18145414310084</v>
      </c>
      <c r="N232">
        <f t="shared" si="95"/>
        <v>10.771896332414421</v>
      </c>
      <c r="O232">
        <f t="shared" si="96"/>
        <v>37.214640128944801</v>
      </c>
      <c r="P232">
        <f t="shared" si="97"/>
        <v>0.24913565499194351</v>
      </c>
      <c r="Q232">
        <f t="shared" si="98"/>
        <v>2.1543043242479425</v>
      </c>
      <c r="R232">
        <f t="shared" si="99"/>
        <v>0.23416470074214429</v>
      </c>
      <c r="S232">
        <f t="shared" si="100"/>
        <v>0.14762299177173638</v>
      </c>
      <c r="T232">
        <f t="shared" si="101"/>
        <v>276.11564977799998</v>
      </c>
      <c r="U232">
        <f t="shared" si="102"/>
        <v>27.190480250721919</v>
      </c>
      <c r="V232">
        <f t="shared" si="103"/>
        <v>27.190480250721919</v>
      </c>
      <c r="W232">
        <f t="shared" si="104"/>
        <v>3.6193971548263604</v>
      </c>
      <c r="X232">
        <f t="shared" si="105"/>
        <v>77.150751071643811</v>
      </c>
      <c r="Y232">
        <f t="shared" si="106"/>
        <v>2.5879930477397601</v>
      </c>
      <c r="Z232">
        <f t="shared" si="107"/>
        <v>3.3544625448124226</v>
      </c>
      <c r="AA232">
        <f t="shared" si="108"/>
        <v>1.0314041070866002</v>
      </c>
      <c r="AB232">
        <f t="shared" si="109"/>
        <v>-111.46211396710146</v>
      </c>
      <c r="AC232">
        <f t="shared" si="110"/>
        <v>-149.8103745772149</v>
      </c>
      <c r="AD232">
        <f t="shared" si="111"/>
        <v>-14.939519563014233</v>
      </c>
      <c r="AE232">
        <f t="shared" si="112"/>
        <v>-9.6358329330627157E-2</v>
      </c>
      <c r="AF232">
        <v>0</v>
      </c>
      <c r="AG232">
        <v>0</v>
      </c>
      <c r="AH232">
        <f t="shared" si="113"/>
        <v>1</v>
      </c>
      <c r="AI232">
        <f t="shared" si="114"/>
        <v>0</v>
      </c>
      <c r="AJ232">
        <f t="shared" si="115"/>
        <v>52207.32601664633</v>
      </c>
      <c r="AK232">
        <f t="shared" si="116"/>
        <v>1800</v>
      </c>
      <c r="AL232">
        <f t="shared" si="117"/>
        <v>1499.1134688</v>
      </c>
      <c r="AM232">
        <f t="shared" si="118"/>
        <v>0.83284081599999993</v>
      </c>
      <c r="AN232">
        <f t="shared" si="119"/>
        <v>0.15339758320999999</v>
      </c>
      <c r="AO232">
        <v>31.8</v>
      </c>
      <c r="AP232">
        <v>0.5</v>
      </c>
      <c r="AQ232" t="s">
        <v>331</v>
      </c>
      <c r="AR232">
        <v>2</v>
      </c>
      <c r="AS232">
        <v>1690390436</v>
      </c>
      <c r="AT232">
        <v>377.19900000000001</v>
      </c>
      <c r="AU232">
        <v>800.01499999999999</v>
      </c>
      <c r="AV232">
        <v>26.231300000000001</v>
      </c>
      <c r="AW232">
        <v>0.15315599999999999</v>
      </c>
      <c r="AX232">
        <v>376.75799999999998</v>
      </c>
      <c r="AY232">
        <v>26.032900000000001</v>
      </c>
      <c r="AZ232">
        <v>300.12</v>
      </c>
      <c r="BA232">
        <v>98.560500000000005</v>
      </c>
      <c r="BB232">
        <v>9.9995200000000006E-2</v>
      </c>
      <c r="BC232">
        <v>25.900600000000001</v>
      </c>
      <c r="BD232">
        <v>27.0014</v>
      </c>
      <c r="BE232">
        <v>27.038599999999999</v>
      </c>
      <c r="BF232">
        <v>0</v>
      </c>
      <c r="BG232">
        <v>0</v>
      </c>
      <c r="BH232">
        <v>9980</v>
      </c>
      <c r="BI232">
        <v>1068.6199999999999</v>
      </c>
      <c r="BJ232">
        <v>1.4016500000000001</v>
      </c>
      <c r="BK232">
        <v>-422.81700000000001</v>
      </c>
      <c r="BL232">
        <v>387.36</v>
      </c>
      <c r="BM232">
        <v>800.13800000000003</v>
      </c>
      <c r="BN232">
        <v>26.078099999999999</v>
      </c>
      <c r="BO232">
        <v>800.01499999999999</v>
      </c>
      <c r="BP232">
        <v>0.15315599999999999</v>
      </c>
      <c r="BQ232">
        <v>2.5853700000000002</v>
      </c>
      <c r="BR232">
        <v>1.50952E-2</v>
      </c>
      <c r="BS232">
        <v>21.574100000000001</v>
      </c>
      <c r="BT232">
        <v>-42.099499999999999</v>
      </c>
      <c r="BU232">
        <v>1800</v>
      </c>
      <c r="BV232">
        <v>0.91000099999999995</v>
      </c>
      <c r="BW232">
        <v>3.3995499999999998E-2</v>
      </c>
      <c r="BX232">
        <v>2.2002299999999999E-2</v>
      </c>
      <c r="BY232">
        <v>3.4001499999999997E-2</v>
      </c>
      <c r="BZ232">
        <v>25</v>
      </c>
      <c r="CA232">
        <v>33528.400000000001</v>
      </c>
      <c r="CB232">
        <v>1690387638</v>
      </c>
      <c r="CC232" t="s">
        <v>332</v>
      </c>
      <c r="CD232">
        <v>1690387638</v>
      </c>
      <c r="CE232">
        <v>1690387638</v>
      </c>
      <c r="CF232">
        <v>6</v>
      </c>
      <c r="CG232">
        <v>0.43</v>
      </c>
      <c r="CH232">
        <v>-8.1000000000000003E-2</v>
      </c>
      <c r="CI232">
        <v>0.14199999999999999</v>
      </c>
      <c r="CJ232">
        <v>-2.7E-2</v>
      </c>
      <c r="CK232">
        <v>800</v>
      </c>
      <c r="CL232">
        <v>0</v>
      </c>
      <c r="CM232">
        <v>0.01</v>
      </c>
      <c r="CN232">
        <v>0.01</v>
      </c>
      <c r="CO232">
        <v>-422.77147500000001</v>
      </c>
      <c r="CP232">
        <v>-0.41474296435314972</v>
      </c>
      <c r="CQ232">
        <v>5.8488455057387367E-2</v>
      </c>
      <c r="CR232">
        <v>-1</v>
      </c>
      <c r="CS232">
        <v>26.07227</v>
      </c>
      <c r="CT232">
        <v>2.7151969981180399E-2</v>
      </c>
      <c r="CU232">
        <v>2.8838515911887158E-3</v>
      </c>
      <c r="CV232">
        <v>-1</v>
      </c>
      <c r="CW232">
        <v>0</v>
      </c>
      <c r="CX232">
        <v>0</v>
      </c>
      <c r="CY232" t="s">
        <v>333</v>
      </c>
      <c r="CZ232">
        <v>2.3648600000000002</v>
      </c>
      <c r="DA232">
        <v>2.7137699999999998</v>
      </c>
      <c r="DB232">
        <v>8.5084499999999993E-2</v>
      </c>
      <c r="DC232">
        <v>0.14533599999999999</v>
      </c>
      <c r="DD232">
        <v>0.120684</v>
      </c>
      <c r="DE232">
        <v>1.28455E-3</v>
      </c>
      <c r="DF232">
        <v>33436.300000000003</v>
      </c>
      <c r="DG232">
        <v>27582.2</v>
      </c>
      <c r="DH232">
        <v>31197.9</v>
      </c>
      <c r="DI232">
        <v>28120.5</v>
      </c>
      <c r="DJ232">
        <v>37237.9</v>
      </c>
      <c r="DK232">
        <v>39945.9</v>
      </c>
      <c r="DL232">
        <v>44402.8</v>
      </c>
      <c r="DM232">
        <v>42623.7</v>
      </c>
      <c r="DN232">
        <v>1.47685</v>
      </c>
      <c r="DO232">
        <v>2.0318000000000001</v>
      </c>
      <c r="DP232">
        <v>0.14361699999999999</v>
      </c>
      <c r="DQ232">
        <v>0.14885499999999999</v>
      </c>
      <c r="DR232">
        <v>24.648199999999999</v>
      </c>
      <c r="DS232">
        <v>24.599499999999999</v>
      </c>
      <c r="DT232">
        <v>20.9</v>
      </c>
      <c r="DU232">
        <v>29.4</v>
      </c>
      <c r="DV232">
        <v>8.7279999999999998</v>
      </c>
      <c r="DW232">
        <v>61.052300000000002</v>
      </c>
      <c r="DX232">
        <v>37.135399999999997</v>
      </c>
      <c r="DY232">
        <v>1</v>
      </c>
      <c r="DZ232">
        <v>-0.120561</v>
      </c>
      <c r="EA232">
        <v>9.5021800000000003E-2</v>
      </c>
      <c r="EB232">
        <v>20.190100000000001</v>
      </c>
      <c r="EC232">
        <v>5.2408000000000001</v>
      </c>
      <c r="ED232">
        <v>12.039899999999999</v>
      </c>
      <c r="EE232">
        <v>5.0168999999999997</v>
      </c>
      <c r="EF232">
        <v>3.2879999999999998</v>
      </c>
      <c r="EG232">
        <v>9999</v>
      </c>
      <c r="EH232">
        <v>9999</v>
      </c>
      <c r="EI232">
        <v>9999</v>
      </c>
      <c r="EJ232">
        <v>999.9</v>
      </c>
      <c r="EK232">
        <v>1.8689100000000001</v>
      </c>
      <c r="EL232">
        <v>1.8646199999999999</v>
      </c>
      <c r="EM232">
        <v>1.86921</v>
      </c>
      <c r="EN232">
        <v>1.8672299999999999</v>
      </c>
      <c r="EO232">
        <v>1.8633900000000001</v>
      </c>
      <c r="EP232">
        <v>1.86446</v>
      </c>
      <c r="EQ232">
        <v>1.87015</v>
      </c>
      <c r="ER232">
        <v>1.86938</v>
      </c>
      <c r="ES232">
        <v>0</v>
      </c>
      <c r="ET232">
        <v>0</v>
      </c>
      <c r="EU232">
        <v>0</v>
      </c>
      <c r="EV232">
        <v>0</v>
      </c>
      <c r="EW232" t="s">
        <v>334</v>
      </c>
      <c r="EX232" t="s">
        <v>335</v>
      </c>
      <c r="EY232" t="s">
        <v>336</v>
      </c>
      <c r="EZ232" t="s">
        <v>336</v>
      </c>
      <c r="FA232" t="s">
        <v>336</v>
      </c>
      <c r="FB232" t="s">
        <v>336</v>
      </c>
      <c r="FC232">
        <v>0</v>
      </c>
      <c r="FD232">
        <v>100</v>
      </c>
      <c r="FE232">
        <v>100</v>
      </c>
      <c r="FF232">
        <v>0.441</v>
      </c>
      <c r="FG232">
        <v>0.19839999999999999</v>
      </c>
      <c r="FH232">
        <v>0.69281559908863044</v>
      </c>
      <c r="FI232">
        <v>-6.1462078757559423E-4</v>
      </c>
      <c r="FJ232">
        <v>-1.8861989874597051E-7</v>
      </c>
      <c r="FK232">
        <v>1.1980462299894961E-10</v>
      </c>
      <c r="FL232">
        <v>0.19840465858211129</v>
      </c>
      <c r="FM232">
        <v>0</v>
      </c>
      <c r="FN232">
        <v>0</v>
      </c>
      <c r="FO232">
        <v>0</v>
      </c>
      <c r="FP232">
        <v>3</v>
      </c>
      <c r="FQ232">
        <v>2158</v>
      </c>
      <c r="FR232">
        <v>1</v>
      </c>
      <c r="FS232">
        <v>19</v>
      </c>
      <c r="FT232">
        <v>46.6</v>
      </c>
      <c r="FU232">
        <v>46.6</v>
      </c>
      <c r="FV232">
        <v>1.7626999999999999</v>
      </c>
      <c r="FW232">
        <v>2.5793499999999998</v>
      </c>
      <c r="FX232">
        <v>1.5490699999999999</v>
      </c>
      <c r="FY232">
        <v>2.33521</v>
      </c>
      <c r="FZ232">
        <v>1.50146</v>
      </c>
      <c r="GA232">
        <v>2.3999000000000001</v>
      </c>
      <c r="GB232">
        <v>33.625399999999999</v>
      </c>
      <c r="GC232">
        <v>23.991199999999999</v>
      </c>
      <c r="GD232">
        <v>19</v>
      </c>
      <c r="GE232">
        <v>281.70499999999998</v>
      </c>
      <c r="GF232">
        <v>575.64700000000005</v>
      </c>
      <c r="GG232">
        <v>24.106100000000001</v>
      </c>
      <c r="GH232">
        <v>25.8948</v>
      </c>
      <c r="GI232">
        <v>30</v>
      </c>
      <c r="GJ232">
        <v>26.023</v>
      </c>
      <c r="GK232">
        <v>26.0046</v>
      </c>
      <c r="GL232">
        <v>35.252200000000002</v>
      </c>
      <c r="GM232">
        <v>100</v>
      </c>
      <c r="GN232">
        <v>0</v>
      </c>
      <c r="GO232">
        <v>24.113299999999999</v>
      </c>
      <c r="GP232">
        <v>800</v>
      </c>
      <c r="GQ232">
        <v>0</v>
      </c>
      <c r="GR232">
        <v>99.826999999999998</v>
      </c>
      <c r="GS232">
        <v>99.709100000000007</v>
      </c>
    </row>
    <row r="233" spans="1:201" x14ac:dyDescent="0.25">
      <c r="A233">
        <v>217</v>
      </c>
      <c r="B233">
        <v>1690390446</v>
      </c>
      <c r="C233">
        <v>2187.5</v>
      </c>
      <c r="D233" t="s">
        <v>767</v>
      </c>
      <c r="E233" t="s">
        <v>768</v>
      </c>
      <c r="F233" t="s">
        <v>330</v>
      </c>
      <c r="H233">
        <v>1690390446</v>
      </c>
      <c r="I233">
        <f t="shared" si="90"/>
        <v>2.5288248630587771E-3</v>
      </c>
      <c r="J233">
        <f t="shared" si="91"/>
        <v>2.5288248630587771</v>
      </c>
      <c r="K233">
        <f t="shared" si="92"/>
        <v>38.967276420370297</v>
      </c>
      <c r="L233">
        <f t="shared" si="93"/>
        <v>377.214</v>
      </c>
      <c r="M233">
        <f t="shared" si="94"/>
        <v>109.26698837684125</v>
      </c>
      <c r="N233">
        <f t="shared" si="95"/>
        <v>10.779995165257372</v>
      </c>
      <c r="O233">
        <f t="shared" si="96"/>
        <v>37.214946221847597</v>
      </c>
      <c r="P233">
        <f t="shared" si="97"/>
        <v>0.24929800124179294</v>
      </c>
      <c r="Q233">
        <f t="shared" si="98"/>
        <v>2.1572611592323274</v>
      </c>
      <c r="R233">
        <f t="shared" si="99"/>
        <v>0.23432738097872105</v>
      </c>
      <c r="S233">
        <f t="shared" si="100"/>
        <v>0.14772468925850696</v>
      </c>
      <c r="T233">
        <f t="shared" si="101"/>
        <v>276.115617558</v>
      </c>
      <c r="U233">
        <f t="shared" si="102"/>
        <v>27.19190502665937</v>
      </c>
      <c r="V233">
        <f t="shared" si="103"/>
        <v>27.19190502665937</v>
      </c>
      <c r="W233">
        <f t="shared" si="104"/>
        <v>3.6196996091226961</v>
      </c>
      <c r="X233">
        <f t="shared" si="105"/>
        <v>77.149972556693385</v>
      </c>
      <c r="Y233">
        <f t="shared" si="106"/>
        <v>2.5885033654808205</v>
      </c>
      <c r="Z233">
        <f t="shared" si="107"/>
        <v>3.35515785644469</v>
      </c>
      <c r="AA233">
        <f t="shared" si="108"/>
        <v>1.0311962436418756</v>
      </c>
      <c r="AB233">
        <f t="shared" si="109"/>
        <v>-111.52117646089206</v>
      </c>
      <c r="AC233">
        <f t="shared" si="110"/>
        <v>-149.7746396972347</v>
      </c>
      <c r="AD233">
        <f t="shared" si="111"/>
        <v>-14.915851728292429</v>
      </c>
      <c r="AE233">
        <f t="shared" si="112"/>
        <v>-9.6050328419181596E-2</v>
      </c>
      <c r="AF233">
        <v>0</v>
      </c>
      <c r="AG233">
        <v>0</v>
      </c>
      <c r="AH233">
        <f t="shared" si="113"/>
        <v>1</v>
      </c>
      <c r="AI233">
        <f t="shared" si="114"/>
        <v>0</v>
      </c>
      <c r="AJ233">
        <f t="shared" si="115"/>
        <v>52330.5190490108</v>
      </c>
      <c r="AK233">
        <f t="shared" si="116"/>
        <v>1800</v>
      </c>
      <c r="AL233">
        <f t="shared" si="117"/>
        <v>1499.1140177999998</v>
      </c>
      <c r="AM233">
        <f t="shared" si="118"/>
        <v>0.83284112099999996</v>
      </c>
      <c r="AN233">
        <f t="shared" si="119"/>
        <v>0.15339756530999998</v>
      </c>
      <c r="AO233">
        <v>31.8</v>
      </c>
      <c r="AP233">
        <v>0.5</v>
      </c>
      <c r="AQ233" t="s">
        <v>331</v>
      </c>
      <c r="AR233">
        <v>2</v>
      </c>
      <c r="AS233">
        <v>1690390446</v>
      </c>
      <c r="AT233">
        <v>377.214</v>
      </c>
      <c r="AU233">
        <v>800.09100000000001</v>
      </c>
      <c r="AV233">
        <v>26.237300000000001</v>
      </c>
      <c r="AW233">
        <v>0.15279899999999999</v>
      </c>
      <c r="AX233">
        <v>376.77300000000002</v>
      </c>
      <c r="AY233">
        <v>26.038900000000002</v>
      </c>
      <c r="AZ233">
        <v>300.20400000000001</v>
      </c>
      <c r="BA233">
        <v>98.557400000000001</v>
      </c>
      <c r="BB233">
        <v>9.99834E-2</v>
      </c>
      <c r="BC233">
        <v>25.9041</v>
      </c>
      <c r="BD233">
        <v>27.000499999999999</v>
      </c>
      <c r="BE233">
        <v>27.028300000000002</v>
      </c>
      <c r="BF233">
        <v>0</v>
      </c>
      <c r="BG233">
        <v>0</v>
      </c>
      <c r="BH233">
        <v>10005</v>
      </c>
      <c r="BI233">
        <v>1068.6500000000001</v>
      </c>
      <c r="BJ233">
        <v>1.4016500000000001</v>
      </c>
      <c r="BK233">
        <v>-422.87700000000001</v>
      </c>
      <c r="BL233">
        <v>387.37799999999999</v>
      </c>
      <c r="BM233">
        <v>800.21400000000006</v>
      </c>
      <c r="BN233">
        <v>26.084499999999998</v>
      </c>
      <c r="BO233">
        <v>800.09100000000001</v>
      </c>
      <c r="BP233">
        <v>0.15279899999999999</v>
      </c>
      <c r="BQ233">
        <v>2.58589</v>
      </c>
      <c r="BR233">
        <v>1.50595E-2</v>
      </c>
      <c r="BS233">
        <v>21.577400000000001</v>
      </c>
      <c r="BT233">
        <v>-42.121699999999997</v>
      </c>
      <c r="BU233">
        <v>1800</v>
      </c>
      <c r="BV233">
        <v>0.91000300000000001</v>
      </c>
      <c r="BW233">
        <v>3.3994799999999999E-2</v>
      </c>
      <c r="BX233">
        <v>2.2001799999999998E-2</v>
      </c>
      <c r="BY233">
        <v>3.4000900000000001E-2</v>
      </c>
      <c r="BZ233">
        <v>25</v>
      </c>
      <c r="CA233">
        <v>33528.300000000003</v>
      </c>
      <c r="CB233">
        <v>1690387638</v>
      </c>
      <c r="CC233" t="s">
        <v>332</v>
      </c>
      <c r="CD233">
        <v>1690387638</v>
      </c>
      <c r="CE233">
        <v>1690387638</v>
      </c>
      <c r="CF233">
        <v>6</v>
      </c>
      <c r="CG233">
        <v>0.43</v>
      </c>
      <c r="CH233">
        <v>-8.1000000000000003E-2</v>
      </c>
      <c r="CI233">
        <v>0.14199999999999999</v>
      </c>
      <c r="CJ233">
        <v>-2.7E-2</v>
      </c>
      <c r="CK233">
        <v>800</v>
      </c>
      <c r="CL233">
        <v>0</v>
      </c>
      <c r="CM233">
        <v>0.01</v>
      </c>
      <c r="CN233">
        <v>0.01</v>
      </c>
      <c r="CO233">
        <v>-422.80635000000001</v>
      </c>
      <c r="CP233">
        <v>1.6232645403774709E-2</v>
      </c>
      <c r="CQ233">
        <v>3.4112717569846088E-2</v>
      </c>
      <c r="CR233">
        <v>-1</v>
      </c>
      <c r="CS233">
        <v>26.078127500000001</v>
      </c>
      <c r="CT233">
        <v>4.0720075046860732E-2</v>
      </c>
      <c r="CU233">
        <v>4.0881528530622158E-3</v>
      </c>
      <c r="CV233">
        <v>-1</v>
      </c>
      <c r="CW233">
        <v>0</v>
      </c>
      <c r="CX233">
        <v>0</v>
      </c>
      <c r="CY233" t="s">
        <v>333</v>
      </c>
      <c r="CZ233">
        <v>2.3651300000000002</v>
      </c>
      <c r="DA233">
        <v>2.7137799999999999</v>
      </c>
      <c r="DB233">
        <v>8.5084599999999996E-2</v>
      </c>
      <c r="DC233">
        <v>0.145341</v>
      </c>
      <c r="DD233">
        <v>0.120699</v>
      </c>
      <c r="DE233">
        <v>1.2815400000000001E-3</v>
      </c>
      <c r="DF233">
        <v>33436</v>
      </c>
      <c r="DG233">
        <v>27582</v>
      </c>
      <c r="DH233">
        <v>31197.7</v>
      </c>
      <c r="DI233">
        <v>28120.5</v>
      </c>
      <c r="DJ233">
        <v>37236.9</v>
      </c>
      <c r="DK233">
        <v>39946.1</v>
      </c>
      <c r="DL233">
        <v>44402.5</v>
      </c>
      <c r="DM233">
        <v>42623.7</v>
      </c>
      <c r="DN233">
        <v>1.4771000000000001</v>
      </c>
      <c r="DO233">
        <v>2.0315500000000002</v>
      </c>
      <c r="DP233">
        <v>0.14349799999999999</v>
      </c>
      <c r="DQ233">
        <v>0.148229</v>
      </c>
      <c r="DR233">
        <v>24.6492</v>
      </c>
      <c r="DS233">
        <v>24.599499999999999</v>
      </c>
      <c r="DT233">
        <v>20.8</v>
      </c>
      <c r="DU233">
        <v>29.4</v>
      </c>
      <c r="DV233">
        <v>8.6862399999999997</v>
      </c>
      <c r="DW233">
        <v>60.622300000000003</v>
      </c>
      <c r="DX233">
        <v>37.123399999999997</v>
      </c>
      <c r="DY233">
        <v>1</v>
      </c>
      <c r="DZ233">
        <v>-0.120724</v>
      </c>
      <c r="EA233">
        <v>0.106048</v>
      </c>
      <c r="EB233">
        <v>20.190200000000001</v>
      </c>
      <c r="EC233">
        <v>5.2408000000000001</v>
      </c>
      <c r="ED233">
        <v>12.039899999999999</v>
      </c>
      <c r="EE233">
        <v>5.0168499999999998</v>
      </c>
      <c r="EF233">
        <v>3.2879999999999998</v>
      </c>
      <c r="EG233">
        <v>9999</v>
      </c>
      <c r="EH233">
        <v>9999</v>
      </c>
      <c r="EI233">
        <v>9999</v>
      </c>
      <c r="EJ233">
        <v>999.9</v>
      </c>
      <c r="EK233">
        <v>1.8689</v>
      </c>
      <c r="EL233">
        <v>1.8646199999999999</v>
      </c>
      <c r="EM233">
        <v>1.8692</v>
      </c>
      <c r="EN233">
        <v>1.8672200000000001</v>
      </c>
      <c r="EO233">
        <v>1.86338</v>
      </c>
      <c r="EP233">
        <v>1.86446</v>
      </c>
      <c r="EQ233">
        <v>1.87016</v>
      </c>
      <c r="ER233">
        <v>1.8693599999999999</v>
      </c>
      <c r="ES233">
        <v>0</v>
      </c>
      <c r="ET233">
        <v>0</v>
      </c>
      <c r="EU233">
        <v>0</v>
      </c>
      <c r="EV233">
        <v>0</v>
      </c>
      <c r="EW233" t="s">
        <v>334</v>
      </c>
      <c r="EX233" t="s">
        <v>335</v>
      </c>
      <c r="EY233" t="s">
        <v>336</v>
      </c>
      <c r="EZ233" t="s">
        <v>336</v>
      </c>
      <c r="FA233" t="s">
        <v>336</v>
      </c>
      <c r="FB233" t="s">
        <v>336</v>
      </c>
      <c r="FC233">
        <v>0</v>
      </c>
      <c r="FD233">
        <v>100</v>
      </c>
      <c r="FE233">
        <v>100</v>
      </c>
      <c r="FF233">
        <v>0.441</v>
      </c>
      <c r="FG233">
        <v>0.19839999999999999</v>
      </c>
      <c r="FH233">
        <v>0.69281559908863044</v>
      </c>
      <c r="FI233">
        <v>-6.1462078757559423E-4</v>
      </c>
      <c r="FJ233">
        <v>-1.8861989874597051E-7</v>
      </c>
      <c r="FK233">
        <v>1.1980462299894961E-10</v>
      </c>
      <c r="FL233">
        <v>0.19840465858211129</v>
      </c>
      <c r="FM233">
        <v>0</v>
      </c>
      <c r="FN233">
        <v>0</v>
      </c>
      <c r="FO233">
        <v>0</v>
      </c>
      <c r="FP233">
        <v>3</v>
      </c>
      <c r="FQ233">
        <v>2158</v>
      </c>
      <c r="FR233">
        <v>1</v>
      </c>
      <c r="FS233">
        <v>19</v>
      </c>
      <c r="FT233">
        <v>46.8</v>
      </c>
      <c r="FU233">
        <v>46.8</v>
      </c>
      <c r="FV233">
        <v>1.7626999999999999</v>
      </c>
      <c r="FW233">
        <v>2.5805699999999998</v>
      </c>
      <c r="FX233">
        <v>1.5490699999999999</v>
      </c>
      <c r="FY233">
        <v>2.33521</v>
      </c>
      <c r="FZ233">
        <v>1.50146</v>
      </c>
      <c r="GA233">
        <v>2.3974600000000001</v>
      </c>
      <c r="GB233">
        <v>33.625399999999999</v>
      </c>
      <c r="GC233">
        <v>23.991199999999999</v>
      </c>
      <c r="GD233">
        <v>19</v>
      </c>
      <c r="GE233">
        <v>281.81200000000001</v>
      </c>
      <c r="GF233">
        <v>575.44299999999998</v>
      </c>
      <c r="GG233">
        <v>24.1172</v>
      </c>
      <c r="GH233">
        <v>25.8948</v>
      </c>
      <c r="GI233">
        <v>29.9999</v>
      </c>
      <c r="GJ233">
        <v>26.023</v>
      </c>
      <c r="GK233">
        <v>26.0046</v>
      </c>
      <c r="GL233">
        <v>35.249000000000002</v>
      </c>
      <c r="GM233">
        <v>100</v>
      </c>
      <c r="GN233">
        <v>0</v>
      </c>
      <c r="GO233">
        <v>24.120100000000001</v>
      </c>
      <c r="GP233">
        <v>800</v>
      </c>
      <c r="GQ233">
        <v>0</v>
      </c>
      <c r="GR233">
        <v>99.8262</v>
      </c>
      <c r="GS233">
        <v>99.709100000000007</v>
      </c>
    </row>
    <row r="234" spans="1:201" x14ac:dyDescent="0.25">
      <c r="A234">
        <v>218</v>
      </c>
      <c r="B234">
        <v>1690390456</v>
      </c>
      <c r="C234">
        <v>2197.5</v>
      </c>
      <c r="D234" t="s">
        <v>769</v>
      </c>
      <c r="E234" t="s">
        <v>770</v>
      </c>
      <c r="F234" t="s">
        <v>330</v>
      </c>
      <c r="H234">
        <v>1690390456</v>
      </c>
      <c r="I234">
        <f t="shared" si="90"/>
        <v>2.5283579675902182E-3</v>
      </c>
      <c r="J234">
        <f t="shared" si="91"/>
        <v>2.5283579675902184</v>
      </c>
      <c r="K234">
        <f t="shared" si="92"/>
        <v>38.947665780329388</v>
      </c>
      <c r="L234">
        <f t="shared" si="93"/>
        <v>377.18799999999999</v>
      </c>
      <c r="M234">
        <f t="shared" si="94"/>
        <v>109.08244545826106</v>
      </c>
      <c r="N234">
        <f t="shared" si="95"/>
        <v>10.761984435866605</v>
      </c>
      <c r="O234">
        <f t="shared" si="96"/>
        <v>37.213058144620405</v>
      </c>
      <c r="P234">
        <f t="shared" si="97"/>
        <v>0.24902669361412438</v>
      </c>
      <c r="Q234">
        <f t="shared" si="98"/>
        <v>2.1545882857204073</v>
      </c>
      <c r="R234">
        <f t="shared" si="99"/>
        <v>0.23407025431936243</v>
      </c>
      <c r="S234">
        <f t="shared" si="100"/>
        <v>0.14756277140748045</v>
      </c>
      <c r="T234">
        <f t="shared" si="101"/>
        <v>276.11554149000006</v>
      </c>
      <c r="U234">
        <f t="shared" si="102"/>
        <v>27.198513458683088</v>
      </c>
      <c r="V234">
        <f t="shared" si="103"/>
        <v>27.198513458683088</v>
      </c>
      <c r="W234">
        <f t="shared" si="104"/>
        <v>3.6211027488132728</v>
      </c>
      <c r="X234">
        <f t="shared" si="105"/>
        <v>77.140589637031141</v>
      </c>
      <c r="Y234">
        <f t="shared" si="106"/>
        <v>2.5889549614416199</v>
      </c>
      <c r="Z234">
        <f t="shared" si="107"/>
        <v>3.3561513771458116</v>
      </c>
      <c r="AA234">
        <f t="shared" si="108"/>
        <v>1.0321477873716529</v>
      </c>
      <c r="AB234">
        <f t="shared" si="109"/>
        <v>-111.50058637072863</v>
      </c>
      <c r="AC234">
        <f t="shared" si="110"/>
        <v>-149.77589955880569</v>
      </c>
      <c r="AD234">
        <f t="shared" si="111"/>
        <v>-14.935349529040034</v>
      </c>
      <c r="AE234">
        <f t="shared" si="112"/>
        <v>-9.6293968574286737E-2</v>
      </c>
      <c r="AF234">
        <v>0</v>
      </c>
      <c r="AG234">
        <v>0</v>
      </c>
      <c r="AH234">
        <f t="shared" si="113"/>
        <v>1</v>
      </c>
      <c r="AI234">
        <f t="shared" si="114"/>
        <v>0</v>
      </c>
      <c r="AJ234">
        <f t="shared" si="115"/>
        <v>52217.701602024681</v>
      </c>
      <c r="AK234">
        <f t="shared" si="116"/>
        <v>1800</v>
      </c>
      <c r="AL234">
        <f t="shared" si="117"/>
        <v>1499.113341</v>
      </c>
      <c r="AM234">
        <f t="shared" si="118"/>
        <v>0.83284074499999994</v>
      </c>
      <c r="AN234">
        <f t="shared" si="119"/>
        <v>0.15339752305000004</v>
      </c>
      <c r="AO234">
        <v>31.8</v>
      </c>
      <c r="AP234">
        <v>0.5</v>
      </c>
      <c r="AQ234" t="s">
        <v>331</v>
      </c>
      <c r="AR234">
        <v>2</v>
      </c>
      <c r="AS234">
        <v>1690390456</v>
      </c>
      <c r="AT234">
        <v>377.18799999999999</v>
      </c>
      <c r="AU234">
        <v>800.00400000000002</v>
      </c>
      <c r="AV234">
        <v>26.241399999999999</v>
      </c>
      <c r="AW234">
        <v>0.152613</v>
      </c>
      <c r="AX234">
        <v>376.74700000000001</v>
      </c>
      <c r="AY234">
        <v>26.042999999999999</v>
      </c>
      <c r="AZ234">
        <v>300.09800000000001</v>
      </c>
      <c r="BA234">
        <v>98.559200000000004</v>
      </c>
      <c r="BB234">
        <v>9.9978300000000006E-2</v>
      </c>
      <c r="BC234">
        <v>25.909099999999999</v>
      </c>
      <c r="BD234">
        <v>26.989100000000001</v>
      </c>
      <c r="BE234">
        <v>27.0487</v>
      </c>
      <c r="BF234">
        <v>0</v>
      </c>
      <c r="BG234">
        <v>0</v>
      </c>
      <c r="BH234">
        <v>9982.5</v>
      </c>
      <c r="BI234">
        <v>1068.69</v>
      </c>
      <c r="BJ234">
        <v>1.4016500000000001</v>
      </c>
      <c r="BK234">
        <v>-422.81599999999997</v>
      </c>
      <c r="BL234">
        <v>387.35300000000001</v>
      </c>
      <c r="BM234">
        <v>800.12599999999998</v>
      </c>
      <c r="BN234">
        <v>26.088799999999999</v>
      </c>
      <c r="BO234">
        <v>800.00400000000002</v>
      </c>
      <c r="BP234">
        <v>0.152613</v>
      </c>
      <c r="BQ234">
        <v>2.5863299999999998</v>
      </c>
      <c r="BR234">
        <v>1.5041499999999999E-2</v>
      </c>
      <c r="BS234">
        <v>21.580200000000001</v>
      </c>
      <c r="BT234">
        <v>-42.132899999999999</v>
      </c>
      <c r="BU234">
        <v>1800</v>
      </c>
      <c r="BV234">
        <v>0.91000199999999998</v>
      </c>
      <c r="BW234">
        <v>3.3994999999999997E-2</v>
      </c>
      <c r="BX234">
        <v>2.2002000000000001E-2</v>
      </c>
      <c r="BY234">
        <v>3.4001099999999999E-2</v>
      </c>
      <c r="BZ234">
        <v>25</v>
      </c>
      <c r="CA234">
        <v>33528.400000000001</v>
      </c>
      <c r="CB234">
        <v>1690387638</v>
      </c>
      <c r="CC234" t="s">
        <v>332</v>
      </c>
      <c r="CD234">
        <v>1690387638</v>
      </c>
      <c r="CE234">
        <v>1690387638</v>
      </c>
      <c r="CF234">
        <v>6</v>
      </c>
      <c r="CG234">
        <v>0.43</v>
      </c>
      <c r="CH234">
        <v>-8.1000000000000003E-2</v>
      </c>
      <c r="CI234">
        <v>0.14199999999999999</v>
      </c>
      <c r="CJ234">
        <v>-2.7E-2</v>
      </c>
      <c r="CK234">
        <v>800</v>
      </c>
      <c r="CL234">
        <v>0</v>
      </c>
      <c r="CM234">
        <v>0.01</v>
      </c>
      <c r="CN234">
        <v>0.01</v>
      </c>
      <c r="CO234">
        <v>-422.81227500000011</v>
      </c>
      <c r="CP234">
        <v>-7.4442776733282659E-2</v>
      </c>
      <c r="CQ234">
        <v>3.8151007522739762E-2</v>
      </c>
      <c r="CR234">
        <v>-1</v>
      </c>
      <c r="CS234">
        <v>26.083265000000001</v>
      </c>
      <c r="CT234">
        <v>2.6893058161372281E-2</v>
      </c>
      <c r="CU234">
        <v>2.7139961311687709E-3</v>
      </c>
      <c r="CV234">
        <v>-1</v>
      </c>
      <c r="CW234">
        <v>0</v>
      </c>
      <c r="CX234">
        <v>0</v>
      </c>
      <c r="CY234" t="s">
        <v>333</v>
      </c>
      <c r="CZ234">
        <v>2.3647800000000001</v>
      </c>
      <c r="DA234">
        <v>2.7137500000000001</v>
      </c>
      <c r="DB234">
        <v>8.5081699999999996E-2</v>
      </c>
      <c r="DC234">
        <v>0.14533299999999999</v>
      </c>
      <c r="DD234">
        <v>0.120715</v>
      </c>
      <c r="DE234">
        <v>1.28002E-3</v>
      </c>
      <c r="DF234">
        <v>33436.300000000003</v>
      </c>
      <c r="DG234">
        <v>27582.400000000001</v>
      </c>
      <c r="DH234">
        <v>31197.9</v>
      </c>
      <c r="DI234">
        <v>28120.7</v>
      </c>
      <c r="DJ234">
        <v>37236.199999999997</v>
      </c>
      <c r="DK234">
        <v>39946.5</v>
      </c>
      <c r="DL234">
        <v>44402.400000000001</v>
      </c>
      <c r="DM234">
        <v>42624.2</v>
      </c>
      <c r="DN234">
        <v>1.47668</v>
      </c>
      <c r="DO234">
        <v>2.03165</v>
      </c>
      <c r="DP234">
        <v>0.14279800000000001</v>
      </c>
      <c r="DQ234">
        <v>0.149474</v>
      </c>
      <c r="DR234">
        <v>24.6492</v>
      </c>
      <c r="DS234">
        <v>24.599499999999999</v>
      </c>
      <c r="DT234">
        <v>20.8</v>
      </c>
      <c r="DU234">
        <v>29.4</v>
      </c>
      <c r="DV234">
        <v>8.6861800000000002</v>
      </c>
      <c r="DW234">
        <v>61.002299999999998</v>
      </c>
      <c r="DX234">
        <v>37.788499999999999</v>
      </c>
      <c r="DY234">
        <v>1</v>
      </c>
      <c r="DZ234">
        <v>-0.120605</v>
      </c>
      <c r="EA234">
        <v>0.14391899999999999</v>
      </c>
      <c r="EB234">
        <v>20.190300000000001</v>
      </c>
      <c r="EC234">
        <v>5.2411000000000003</v>
      </c>
      <c r="ED234">
        <v>12.039899999999999</v>
      </c>
      <c r="EE234">
        <v>5.0172499999999998</v>
      </c>
      <c r="EF234">
        <v>3.2879999999999998</v>
      </c>
      <c r="EG234">
        <v>9999</v>
      </c>
      <c r="EH234">
        <v>9999</v>
      </c>
      <c r="EI234">
        <v>9999</v>
      </c>
      <c r="EJ234">
        <v>999.9</v>
      </c>
      <c r="EK234">
        <v>1.8689</v>
      </c>
      <c r="EL234">
        <v>1.8646199999999999</v>
      </c>
      <c r="EM234">
        <v>1.86921</v>
      </c>
      <c r="EN234">
        <v>1.8672299999999999</v>
      </c>
      <c r="EO234">
        <v>1.86337</v>
      </c>
      <c r="EP234">
        <v>1.86446</v>
      </c>
      <c r="EQ234">
        <v>1.8701399999999999</v>
      </c>
      <c r="ER234">
        <v>1.86937</v>
      </c>
      <c r="ES234">
        <v>0</v>
      </c>
      <c r="ET234">
        <v>0</v>
      </c>
      <c r="EU234">
        <v>0</v>
      </c>
      <c r="EV234">
        <v>0</v>
      </c>
      <c r="EW234" t="s">
        <v>334</v>
      </c>
      <c r="EX234" t="s">
        <v>335</v>
      </c>
      <c r="EY234" t="s">
        <v>336</v>
      </c>
      <c r="EZ234" t="s">
        <v>336</v>
      </c>
      <c r="FA234" t="s">
        <v>336</v>
      </c>
      <c r="FB234" t="s">
        <v>336</v>
      </c>
      <c r="FC234">
        <v>0</v>
      </c>
      <c r="FD234">
        <v>100</v>
      </c>
      <c r="FE234">
        <v>100</v>
      </c>
      <c r="FF234">
        <v>0.441</v>
      </c>
      <c r="FG234">
        <v>0.19839999999999999</v>
      </c>
      <c r="FH234">
        <v>0.69281559908863044</v>
      </c>
      <c r="FI234">
        <v>-6.1462078757559423E-4</v>
      </c>
      <c r="FJ234">
        <v>-1.8861989874597051E-7</v>
      </c>
      <c r="FK234">
        <v>1.1980462299894961E-10</v>
      </c>
      <c r="FL234">
        <v>0.19840465858211129</v>
      </c>
      <c r="FM234">
        <v>0</v>
      </c>
      <c r="FN234">
        <v>0</v>
      </c>
      <c r="FO234">
        <v>0</v>
      </c>
      <c r="FP234">
        <v>3</v>
      </c>
      <c r="FQ234">
        <v>2158</v>
      </c>
      <c r="FR234">
        <v>1</v>
      </c>
      <c r="FS234">
        <v>19</v>
      </c>
      <c r="FT234">
        <v>47</v>
      </c>
      <c r="FU234">
        <v>47</v>
      </c>
      <c r="FV234">
        <v>1.7626999999999999</v>
      </c>
      <c r="FW234">
        <v>2.5793499999999998</v>
      </c>
      <c r="FX234">
        <v>1.5490699999999999</v>
      </c>
      <c r="FY234">
        <v>2.33521</v>
      </c>
      <c r="FZ234">
        <v>1.50146</v>
      </c>
      <c r="GA234">
        <v>2.34619</v>
      </c>
      <c r="GB234">
        <v>33.602899999999998</v>
      </c>
      <c r="GC234">
        <v>23.991199999999999</v>
      </c>
      <c r="GD234">
        <v>19</v>
      </c>
      <c r="GE234">
        <v>281.63099999999997</v>
      </c>
      <c r="GF234">
        <v>575.52499999999998</v>
      </c>
      <c r="GG234">
        <v>24.1112</v>
      </c>
      <c r="GH234">
        <v>25.894200000000001</v>
      </c>
      <c r="GI234">
        <v>30.0001</v>
      </c>
      <c r="GJ234">
        <v>26.023</v>
      </c>
      <c r="GK234">
        <v>26.0046</v>
      </c>
      <c r="GL234">
        <v>35.249400000000001</v>
      </c>
      <c r="GM234">
        <v>100</v>
      </c>
      <c r="GN234">
        <v>0</v>
      </c>
      <c r="GO234">
        <v>24.111599999999999</v>
      </c>
      <c r="GP234">
        <v>800</v>
      </c>
      <c r="GQ234">
        <v>0</v>
      </c>
      <c r="GR234">
        <v>99.826300000000003</v>
      </c>
      <c r="GS234">
        <v>99.71</v>
      </c>
    </row>
    <row r="235" spans="1:201" x14ac:dyDescent="0.25">
      <c r="A235">
        <v>219</v>
      </c>
      <c r="B235">
        <v>1690390466</v>
      </c>
      <c r="C235">
        <v>2207.5</v>
      </c>
      <c r="D235" t="s">
        <v>771</v>
      </c>
      <c r="E235" t="s">
        <v>772</v>
      </c>
      <c r="F235" t="s">
        <v>330</v>
      </c>
      <c r="H235">
        <v>1690390466</v>
      </c>
      <c r="I235">
        <f t="shared" si="90"/>
        <v>2.5294598544684604E-3</v>
      </c>
      <c r="J235">
        <f t="shared" si="91"/>
        <v>2.5294598544684606</v>
      </c>
      <c r="K235">
        <f t="shared" si="92"/>
        <v>38.960470360126948</v>
      </c>
      <c r="L235">
        <f t="shared" si="93"/>
        <v>377.149</v>
      </c>
      <c r="M235">
        <f t="shared" si="94"/>
        <v>109.39583912119541</v>
      </c>
      <c r="N235">
        <f t="shared" si="95"/>
        <v>10.792992831322104</v>
      </c>
      <c r="O235">
        <f t="shared" si="96"/>
        <v>37.209518077105997</v>
      </c>
      <c r="P235">
        <f t="shared" si="97"/>
        <v>0.24944918829613741</v>
      </c>
      <c r="Q235">
        <f t="shared" si="98"/>
        <v>2.1565435231485548</v>
      </c>
      <c r="R235">
        <f t="shared" si="99"/>
        <v>0.23445632440278266</v>
      </c>
      <c r="S235">
        <f t="shared" si="100"/>
        <v>0.14780709982736087</v>
      </c>
      <c r="T235">
        <f t="shared" si="101"/>
        <v>276.11569686600006</v>
      </c>
      <c r="U235">
        <f t="shared" si="102"/>
        <v>27.194773285560103</v>
      </c>
      <c r="V235">
        <f t="shared" si="103"/>
        <v>27.194773285560103</v>
      </c>
      <c r="W235">
        <f t="shared" si="104"/>
        <v>3.6203085557883874</v>
      </c>
      <c r="X235">
        <f t="shared" si="105"/>
        <v>77.164376525140398</v>
      </c>
      <c r="Y235">
        <f t="shared" si="106"/>
        <v>2.5894006045257996</v>
      </c>
      <c r="Z235">
        <f t="shared" si="107"/>
        <v>3.3556943257128045</v>
      </c>
      <c r="AA235">
        <f t="shared" si="108"/>
        <v>1.0309079512625878</v>
      </c>
      <c r="AB235">
        <f t="shared" si="109"/>
        <v>-111.5491795820591</v>
      </c>
      <c r="AC235">
        <f t="shared" si="110"/>
        <v>-149.74437793666945</v>
      </c>
      <c r="AD235">
        <f t="shared" si="111"/>
        <v>-14.918216545596263</v>
      </c>
      <c r="AE235">
        <f t="shared" si="112"/>
        <v>-9.6077198324707069E-2</v>
      </c>
      <c r="AF235">
        <v>0</v>
      </c>
      <c r="AG235">
        <v>0</v>
      </c>
      <c r="AH235">
        <f t="shared" si="113"/>
        <v>1</v>
      </c>
      <c r="AI235">
        <f t="shared" si="114"/>
        <v>0</v>
      </c>
      <c r="AJ235">
        <f t="shared" si="115"/>
        <v>52300.020223701205</v>
      </c>
      <c r="AK235">
        <f t="shared" si="116"/>
        <v>1800</v>
      </c>
      <c r="AL235">
        <f t="shared" si="117"/>
        <v>1499.1140196000001</v>
      </c>
      <c r="AM235">
        <f t="shared" si="118"/>
        <v>0.83284112200000004</v>
      </c>
      <c r="AN235">
        <f t="shared" si="119"/>
        <v>0.15339760937000002</v>
      </c>
      <c r="AO235">
        <v>31.8</v>
      </c>
      <c r="AP235">
        <v>0.5</v>
      </c>
      <c r="AQ235" t="s">
        <v>331</v>
      </c>
      <c r="AR235">
        <v>2</v>
      </c>
      <c r="AS235">
        <v>1690390466</v>
      </c>
      <c r="AT235">
        <v>377.149</v>
      </c>
      <c r="AU235">
        <v>800.00400000000002</v>
      </c>
      <c r="AV235">
        <v>26.245699999999999</v>
      </c>
      <c r="AW235">
        <v>0.15183199999999999</v>
      </c>
      <c r="AX235">
        <v>376.70800000000003</v>
      </c>
      <c r="AY235">
        <v>26.0473</v>
      </c>
      <c r="AZ235">
        <v>300.16899999999998</v>
      </c>
      <c r="BA235">
        <v>98.559899999999999</v>
      </c>
      <c r="BB235">
        <v>0.100094</v>
      </c>
      <c r="BC235">
        <v>25.9068</v>
      </c>
      <c r="BD235">
        <v>27.011099999999999</v>
      </c>
      <c r="BE235">
        <v>27.0215</v>
      </c>
      <c r="BF235">
        <v>0</v>
      </c>
      <c r="BG235">
        <v>0</v>
      </c>
      <c r="BH235">
        <v>9998.75</v>
      </c>
      <c r="BI235">
        <v>1068.73</v>
      </c>
      <c r="BJ235">
        <v>1.4016500000000001</v>
      </c>
      <c r="BK235">
        <v>-422.85500000000002</v>
      </c>
      <c r="BL235">
        <v>387.31400000000002</v>
      </c>
      <c r="BM235">
        <v>800.125</v>
      </c>
      <c r="BN235">
        <v>26.093900000000001</v>
      </c>
      <c r="BO235">
        <v>800.00400000000002</v>
      </c>
      <c r="BP235">
        <v>0.15183199999999999</v>
      </c>
      <c r="BQ235">
        <v>2.5867800000000001</v>
      </c>
      <c r="BR235">
        <v>1.49646E-2</v>
      </c>
      <c r="BS235">
        <v>21.582999999999998</v>
      </c>
      <c r="BT235">
        <v>-42.180900000000001</v>
      </c>
      <c r="BU235">
        <v>1800</v>
      </c>
      <c r="BV235">
        <v>0.91000199999999998</v>
      </c>
      <c r="BW235">
        <v>3.3995200000000003E-2</v>
      </c>
      <c r="BX235">
        <v>2.20021E-2</v>
      </c>
      <c r="BY235">
        <v>3.4001299999999998E-2</v>
      </c>
      <c r="BZ235">
        <v>25</v>
      </c>
      <c r="CA235">
        <v>33528.400000000001</v>
      </c>
      <c r="CB235">
        <v>1690387638</v>
      </c>
      <c r="CC235" t="s">
        <v>332</v>
      </c>
      <c r="CD235">
        <v>1690387638</v>
      </c>
      <c r="CE235">
        <v>1690387638</v>
      </c>
      <c r="CF235">
        <v>6</v>
      </c>
      <c r="CG235">
        <v>0.43</v>
      </c>
      <c r="CH235">
        <v>-8.1000000000000003E-2</v>
      </c>
      <c r="CI235">
        <v>0.14199999999999999</v>
      </c>
      <c r="CJ235">
        <v>-2.7E-2</v>
      </c>
      <c r="CK235">
        <v>800</v>
      </c>
      <c r="CL235">
        <v>0</v>
      </c>
      <c r="CM235">
        <v>0.01</v>
      </c>
      <c r="CN235">
        <v>0.01</v>
      </c>
      <c r="CO235">
        <v>-422.827225</v>
      </c>
      <c r="CP235">
        <v>-6.59099437153889E-2</v>
      </c>
      <c r="CQ235">
        <v>4.7392239607347487E-2</v>
      </c>
      <c r="CR235">
        <v>-1</v>
      </c>
      <c r="CS235">
        <v>26.087425</v>
      </c>
      <c r="CT235">
        <v>2.3637523452081269E-2</v>
      </c>
      <c r="CU235">
        <v>2.4423093579645301E-3</v>
      </c>
      <c r="CV235">
        <v>-1</v>
      </c>
      <c r="CW235">
        <v>0</v>
      </c>
      <c r="CX235">
        <v>0</v>
      </c>
      <c r="CY235" t="s">
        <v>333</v>
      </c>
      <c r="CZ235">
        <v>2.3650500000000001</v>
      </c>
      <c r="DA235">
        <v>2.7138800000000001</v>
      </c>
      <c r="DB235">
        <v>8.5075300000000006E-2</v>
      </c>
      <c r="DC235">
        <v>0.14533399999999999</v>
      </c>
      <c r="DD235">
        <v>0.120729</v>
      </c>
      <c r="DE235">
        <v>1.2735400000000001E-3</v>
      </c>
      <c r="DF235">
        <v>33436.699999999997</v>
      </c>
      <c r="DG235">
        <v>27582.3</v>
      </c>
      <c r="DH235">
        <v>31198</v>
      </c>
      <c r="DI235">
        <v>28120.6</v>
      </c>
      <c r="DJ235">
        <v>37235.800000000003</v>
      </c>
      <c r="DK235">
        <v>39946.699999999997</v>
      </c>
      <c r="DL235">
        <v>44402.7</v>
      </c>
      <c r="DM235">
        <v>42624.1</v>
      </c>
      <c r="DN235">
        <v>1.47705</v>
      </c>
      <c r="DO235">
        <v>2.0318499999999999</v>
      </c>
      <c r="DP235">
        <v>0.144146</v>
      </c>
      <c r="DQ235">
        <v>0.147812</v>
      </c>
      <c r="DR235">
        <v>24.6492</v>
      </c>
      <c r="DS235">
        <v>24.599499999999999</v>
      </c>
      <c r="DT235">
        <v>20.8</v>
      </c>
      <c r="DU235">
        <v>29.4</v>
      </c>
      <c r="DV235">
        <v>8.6861999999999995</v>
      </c>
      <c r="DW235">
        <v>61.202300000000001</v>
      </c>
      <c r="DX235">
        <v>36.838900000000002</v>
      </c>
      <c r="DY235">
        <v>1</v>
      </c>
      <c r="DZ235">
        <v>-0.120813</v>
      </c>
      <c r="EA235">
        <v>0.128638</v>
      </c>
      <c r="EB235">
        <v>20.190200000000001</v>
      </c>
      <c r="EC235">
        <v>5.24125</v>
      </c>
      <c r="ED235">
        <v>12.039899999999999</v>
      </c>
      <c r="EE235">
        <v>5.0171999999999999</v>
      </c>
      <c r="EF235">
        <v>3.2879999999999998</v>
      </c>
      <c r="EG235">
        <v>9999</v>
      </c>
      <c r="EH235">
        <v>9999</v>
      </c>
      <c r="EI235">
        <v>9999</v>
      </c>
      <c r="EJ235">
        <v>999.9</v>
      </c>
      <c r="EK235">
        <v>1.8689</v>
      </c>
      <c r="EL235">
        <v>1.8646199999999999</v>
      </c>
      <c r="EM235">
        <v>1.86921</v>
      </c>
      <c r="EN235">
        <v>1.8672200000000001</v>
      </c>
      <c r="EO235">
        <v>1.8633599999999999</v>
      </c>
      <c r="EP235">
        <v>1.8644700000000001</v>
      </c>
      <c r="EQ235">
        <v>1.87015</v>
      </c>
      <c r="ER235">
        <v>1.86938</v>
      </c>
      <c r="ES235">
        <v>0</v>
      </c>
      <c r="ET235">
        <v>0</v>
      </c>
      <c r="EU235">
        <v>0</v>
      </c>
      <c r="EV235">
        <v>0</v>
      </c>
      <c r="EW235" t="s">
        <v>334</v>
      </c>
      <c r="EX235" t="s">
        <v>335</v>
      </c>
      <c r="EY235" t="s">
        <v>336</v>
      </c>
      <c r="EZ235" t="s">
        <v>336</v>
      </c>
      <c r="FA235" t="s">
        <v>336</v>
      </c>
      <c r="FB235" t="s">
        <v>336</v>
      </c>
      <c r="FC235">
        <v>0</v>
      </c>
      <c r="FD235">
        <v>100</v>
      </c>
      <c r="FE235">
        <v>100</v>
      </c>
      <c r="FF235">
        <v>0.441</v>
      </c>
      <c r="FG235">
        <v>0.19839999999999999</v>
      </c>
      <c r="FH235">
        <v>0.69281559908863044</v>
      </c>
      <c r="FI235">
        <v>-6.1462078757559423E-4</v>
      </c>
      <c r="FJ235">
        <v>-1.8861989874597051E-7</v>
      </c>
      <c r="FK235">
        <v>1.1980462299894961E-10</v>
      </c>
      <c r="FL235">
        <v>0.19840465858211129</v>
      </c>
      <c r="FM235">
        <v>0</v>
      </c>
      <c r="FN235">
        <v>0</v>
      </c>
      <c r="FO235">
        <v>0</v>
      </c>
      <c r="FP235">
        <v>3</v>
      </c>
      <c r="FQ235">
        <v>2158</v>
      </c>
      <c r="FR235">
        <v>1</v>
      </c>
      <c r="FS235">
        <v>19</v>
      </c>
      <c r="FT235">
        <v>47.1</v>
      </c>
      <c r="FU235">
        <v>47.1</v>
      </c>
      <c r="FV235">
        <v>1.7626999999999999</v>
      </c>
      <c r="FW235">
        <v>2.5830099999999998</v>
      </c>
      <c r="FX235">
        <v>1.5490699999999999</v>
      </c>
      <c r="FY235">
        <v>2.33521</v>
      </c>
      <c r="FZ235">
        <v>1.50146</v>
      </c>
      <c r="GA235">
        <v>2.3645</v>
      </c>
      <c r="GB235">
        <v>33.602899999999998</v>
      </c>
      <c r="GC235">
        <v>23.991199999999999</v>
      </c>
      <c r="GD235">
        <v>19</v>
      </c>
      <c r="GE235">
        <v>281.79000000000002</v>
      </c>
      <c r="GF235">
        <v>575.68799999999999</v>
      </c>
      <c r="GG235">
        <v>24.113099999999999</v>
      </c>
      <c r="GH235">
        <v>25.892600000000002</v>
      </c>
      <c r="GI235">
        <v>30.0001</v>
      </c>
      <c r="GJ235">
        <v>26.0229</v>
      </c>
      <c r="GK235">
        <v>26.0046</v>
      </c>
      <c r="GL235">
        <v>35.249400000000001</v>
      </c>
      <c r="GM235">
        <v>100</v>
      </c>
      <c r="GN235">
        <v>0</v>
      </c>
      <c r="GO235">
        <v>24.111999999999998</v>
      </c>
      <c r="GP235">
        <v>800</v>
      </c>
      <c r="GQ235">
        <v>0</v>
      </c>
      <c r="GR235">
        <v>99.826800000000006</v>
      </c>
      <c r="GS235">
        <v>99.709800000000001</v>
      </c>
    </row>
    <row r="236" spans="1:201" x14ac:dyDescent="0.25">
      <c r="A236">
        <v>220</v>
      </c>
      <c r="B236">
        <v>1690390476</v>
      </c>
      <c r="C236">
        <v>2217.5</v>
      </c>
      <c r="D236" t="s">
        <v>773</v>
      </c>
      <c r="E236" t="s">
        <v>774</v>
      </c>
      <c r="F236" t="s">
        <v>330</v>
      </c>
      <c r="H236">
        <v>1690390476</v>
      </c>
      <c r="I236">
        <f t="shared" si="90"/>
        <v>2.5299762834783044E-3</v>
      </c>
      <c r="J236">
        <f t="shared" si="91"/>
        <v>2.5299762834783044</v>
      </c>
      <c r="K236">
        <f t="shared" si="92"/>
        <v>38.966807542052578</v>
      </c>
      <c r="L236">
        <f t="shared" si="93"/>
        <v>377.03100000000001</v>
      </c>
      <c r="M236">
        <f t="shared" si="94"/>
        <v>109.65827711792711</v>
      </c>
      <c r="N236">
        <f t="shared" si="95"/>
        <v>10.818936973425863</v>
      </c>
      <c r="O236">
        <f t="shared" si="96"/>
        <v>37.1980550236173</v>
      </c>
      <c r="P236">
        <f t="shared" si="97"/>
        <v>0.24984832150338501</v>
      </c>
      <c r="Q236">
        <f t="shared" si="98"/>
        <v>2.1596179698659812</v>
      </c>
      <c r="R236">
        <f t="shared" si="99"/>
        <v>0.23482902133731509</v>
      </c>
      <c r="S236">
        <f t="shared" si="100"/>
        <v>0.14804226579155028</v>
      </c>
      <c r="T236">
        <f t="shared" si="101"/>
        <v>276.11556022799999</v>
      </c>
      <c r="U236">
        <f t="shared" si="102"/>
        <v>27.192725800750715</v>
      </c>
      <c r="V236">
        <f t="shared" si="103"/>
        <v>27.192725800750715</v>
      </c>
      <c r="W236">
        <f t="shared" si="104"/>
        <v>3.619873854709061</v>
      </c>
      <c r="X236">
        <f t="shared" si="105"/>
        <v>77.194768595202007</v>
      </c>
      <c r="Y236">
        <f t="shared" si="106"/>
        <v>2.5903897914974805</v>
      </c>
      <c r="Z236">
        <f t="shared" si="107"/>
        <v>3.3556545846793107</v>
      </c>
      <c r="AA236">
        <f t="shared" si="108"/>
        <v>1.0294840632115805</v>
      </c>
      <c r="AB236">
        <f t="shared" si="109"/>
        <v>-111.57195410139322</v>
      </c>
      <c r="AC236">
        <f t="shared" si="110"/>
        <v>-149.74275754932265</v>
      </c>
      <c r="AD236">
        <f t="shared" si="111"/>
        <v>-14.896649822158913</v>
      </c>
      <c r="AE236">
        <f t="shared" si="112"/>
        <v>-9.5801244874763825E-2</v>
      </c>
      <c r="AF236">
        <v>0</v>
      </c>
      <c r="AG236">
        <v>0</v>
      </c>
      <c r="AH236">
        <f t="shared" si="113"/>
        <v>1</v>
      </c>
      <c r="AI236">
        <f t="shared" si="114"/>
        <v>0</v>
      </c>
      <c r="AJ236">
        <f t="shared" si="115"/>
        <v>52429.012930967387</v>
      </c>
      <c r="AK236">
        <f t="shared" si="116"/>
        <v>1800</v>
      </c>
      <c r="AL236">
        <f t="shared" si="117"/>
        <v>1499.1137567999999</v>
      </c>
      <c r="AM236">
        <f t="shared" si="118"/>
        <v>0.83284097599999996</v>
      </c>
      <c r="AN236">
        <f t="shared" si="119"/>
        <v>0.15339753345999999</v>
      </c>
      <c r="AO236">
        <v>31.8</v>
      </c>
      <c r="AP236">
        <v>0.5</v>
      </c>
      <c r="AQ236" t="s">
        <v>331</v>
      </c>
      <c r="AR236">
        <v>2</v>
      </c>
      <c r="AS236">
        <v>1690390476</v>
      </c>
      <c r="AT236">
        <v>377.03100000000001</v>
      </c>
      <c r="AU236">
        <v>800.03800000000001</v>
      </c>
      <c r="AV236">
        <v>26.255600000000001</v>
      </c>
      <c r="AW236">
        <v>0.151365</v>
      </c>
      <c r="AX236">
        <v>376.59</v>
      </c>
      <c r="AY236">
        <v>26.057200000000002</v>
      </c>
      <c r="AZ236">
        <v>300.108</v>
      </c>
      <c r="BA236">
        <v>98.560500000000005</v>
      </c>
      <c r="BB236">
        <v>9.9968299999999996E-2</v>
      </c>
      <c r="BC236">
        <v>25.906600000000001</v>
      </c>
      <c r="BD236">
        <v>27.035</v>
      </c>
      <c r="BE236">
        <v>27.0396</v>
      </c>
      <c r="BF236">
        <v>0</v>
      </c>
      <c r="BG236">
        <v>0</v>
      </c>
      <c r="BH236">
        <v>10024.4</v>
      </c>
      <c r="BI236">
        <v>1068.71</v>
      </c>
      <c r="BJ236">
        <v>1.4016500000000001</v>
      </c>
      <c r="BK236">
        <v>-423.00700000000001</v>
      </c>
      <c r="BL236">
        <v>387.197</v>
      </c>
      <c r="BM236">
        <v>800.15899999999999</v>
      </c>
      <c r="BN236">
        <v>26.104199999999999</v>
      </c>
      <c r="BO236">
        <v>800.03800000000001</v>
      </c>
      <c r="BP236">
        <v>0.151365</v>
      </c>
      <c r="BQ236">
        <v>2.5877599999999998</v>
      </c>
      <c r="BR236">
        <v>1.4918600000000001E-2</v>
      </c>
      <c r="BS236">
        <v>21.589300000000001</v>
      </c>
      <c r="BT236">
        <v>-42.209800000000001</v>
      </c>
      <c r="BU236">
        <v>1800</v>
      </c>
      <c r="BV236">
        <v>0.91000300000000001</v>
      </c>
      <c r="BW236">
        <v>3.3994700000000003E-2</v>
      </c>
      <c r="BX236">
        <v>2.2001799999999998E-2</v>
      </c>
      <c r="BY236">
        <v>3.4000799999999998E-2</v>
      </c>
      <c r="BZ236">
        <v>25</v>
      </c>
      <c r="CA236">
        <v>33528.400000000001</v>
      </c>
      <c r="CB236">
        <v>1690387638</v>
      </c>
      <c r="CC236" t="s">
        <v>332</v>
      </c>
      <c r="CD236">
        <v>1690387638</v>
      </c>
      <c r="CE236">
        <v>1690387638</v>
      </c>
      <c r="CF236">
        <v>6</v>
      </c>
      <c r="CG236">
        <v>0.43</v>
      </c>
      <c r="CH236">
        <v>-8.1000000000000003E-2</v>
      </c>
      <c r="CI236">
        <v>0.14199999999999999</v>
      </c>
      <c r="CJ236">
        <v>-2.7E-2</v>
      </c>
      <c r="CK236">
        <v>800</v>
      </c>
      <c r="CL236">
        <v>0</v>
      </c>
      <c r="CM236">
        <v>0.01</v>
      </c>
      <c r="CN236">
        <v>0.01</v>
      </c>
      <c r="CO236">
        <v>-422.84865000000008</v>
      </c>
      <c r="CP236">
        <v>-0.28883302063621841</v>
      </c>
      <c r="CQ236">
        <v>4.8155762895006733E-2</v>
      </c>
      <c r="CR236">
        <v>-1</v>
      </c>
      <c r="CS236">
        <v>26.092747499999991</v>
      </c>
      <c r="CT236">
        <v>3.730919324578242E-2</v>
      </c>
      <c r="CU236">
        <v>3.8353609673667101E-3</v>
      </c>
      <c r="CV236">
        <v>-1</v>
      </c>
      <c r="CW236">
        <v>0</v>
      </c>
      <c r="CX236">
        <v>0</v>
      </c>
      <c r="CY236" t="s">
        <v>333</v>
      </c>
      <c r="CZ236">
        <v>2.3648500000000001</v>
      </c>
      <c r="DA236">
        <v>2.7137799999999999</v>
      </c>
      <c r="DB236">
        <v>8.5055599999999995E-2</v>
      </c>
      <c r="DC236">
        <v>0.14534</v>
      </c>
      <c r="DD236">
        <v>0.12076199999999999</v>
      </c>
      <c r="DE236">
        <v>1.2696700000000001E-3</v>
      </c>
      <c r="DF236">
        <v>33437.199999999997</v>
      </c>
      <c r="DG236">
        <v>27581.8</v>
      </c>
      <c r="DH236">
        <v>31197.8</v>
      </c>
      <c r="DI236">
        <v>28120.3</v>
      </c>
      <c r="DJ236">
        <v>37234.1</v>
      </c>
      <c r="DK236">
        <v>39946.199999999997</v>
      </c>
      <c r="DL236">
        <v>44402.3</v>
      </c>
      <c r="DM236">
        <v>42623.4</v>
      </c>
      <c r="DN236">
        <v>1.4767999999999999</v>
      </c>
      <c r="DO236">
        <v>2.0319199999999999</v>
      </c>
      <c r="DP236">
        <v>0.14548</v>
      </c>
      <c r="DQ236">
        <v>0.14891499999999999</v>
      </c>
      <c r="DR236">
        <v>24.651299999999999</v>
      </c>
      <c r="DS236">
        <v>24.599499999999999</v>
      </c>
      <c r="DT236">
        <v>20.8</v>
      </c>
      <c r="DU236">
        <v>29.4</v>
      </c>
      <c r="DV236">
        <v>8.6865699999999997</v>
      </c>
      <c r="DW236">
        <v>60.982300000000002</v>
      </c>
      <c r="DX236">
        <v>37.700299999999999</v>
      </c>
      <c r="DY236">
        <v>1</v>
      </c>
      <c r="DZ236">
        <v>-0.120259</v>
      </c>
      <c r="EA236">
        <v>0.24326</v>
      </c>
      <c r="EB236">
        <v>20.189900000000002</v>
      </c>
      <c r="EC236">
        <v>5.2411000000000003</v>
      </c>
      <c r="ED236">
        <v>12.039899999999999</v>
      </c>
      <c r="EE236">
        <v>5.0170500000000002</v>
      </c>
      <c r="EF236">
        <v>3.2879999999999998</v>
      </c>
      <c r="EG236">
        <v>9999</v>
      </c>
      <c r="EH236">
        <v>9999</v>
      </c>
      <c r="EI236">
        <v>9999</v>
      </c>
      <c r="EJ236">
        <v>999.9</v>
      </c>
      <c r="EK236">
        <v>1.8689</v>
      </c>
      <c r="EL236">
        <v>1.8646199999999999</v>
      </c>
      <c r="EM236">
        <v>1.8692</v>
      </c>
      <c r="EN236">
        <v>1.8672200000000001</v>
      </c>
      <c r="EO236">
        <v>1.86334</v>
      </c>
      <c r="EP236">
        <v>1.86446</v>
      </c>
      <c r="EQ236">
        <v>1.87015</v>
      </c>
      <c r="ER236">
        <v>1.86937</v>
      </c>
      <c r="ES236">
        <v>0</v>
      </c>
      <c r="ET236">
        <v>0</v>
      </c>
      <c r="EU236">
        <v>0</v>
      </c>
      <c r="EV236">
        <v>0</v>
      </c>
      <c r="EW236" t="s">
        <v>334</v>
      </c>
      <c r="EX236" t="s">
        <v>335</v>
      </c>
      <c r="EY236" t="s">
        <v>336</v>
      </c>
      <c r="EZ236" t="s">
        <v>336</v>
      </c>
      <c r="FA236" t="s">
        <v>336</v>
      </c>
      <c r="FB236" t="s">
        <v>336</v>
      </c>
      <c r="FC236">
        <v>0</v>
      </c>
      <c r="FD236">
        <v>100</v>
      </c>
      <c r="FE236">
        <v>100</v>
      </c>
      <c r="FF236">
        <v>0.441</v>
      </c>
      <c r="FG236">
        <v>0.19839999999999999</v>
      </c>
      <c r="FH236">
        <v>0.69281559908863044</v>
      </c>
      <c r="FI236">
        <v>-6.1462078757559423E-4</v>
      </c>
      <c r="FJ236">
        <v>-1.8861989874597051E-7</v>
      </c>
      <c r="FK236">
        <v>1.1980462299894961E-10</v>
      </c>
      <c r="FL236">
        <v>0.19840465858211129</v>
      </c>
      <c r="FM236">
        <v>0</v>
      </c>
      <c r="FN236">
        <v>0</v>
      </c>
      <c r="FO236">
        <v>0</v>
      </c>
      <c r="FP236">
        <v>3</v>
      </c>
      <c r="FQ236">
        <v>2158</v>
      </c>
      <c r="FR236">
        <v>1</v>
      </c>
      <c r="FS236">
        <v>19</v>
      </c>
      <c r="FT236">
        <v>47.3</v>
      </c>
      <c r="FU236">
        <v>47.3</v>
      </c>
      <c r="FV236">
        <v>1.7626999999999999</v>
      </c>
      <c r="FW236">
        <v>2.5866699999999998</v>
      </c>
      <c r="FX236">
        <v>1.5490699999999999</v>
      </c>
      <c r="FY236">
        <v>2.33521</v>
      </c>
      <c r="FZ236">
        <v>1.50146</v>
      </c>
      <c r="GA236">
        <v>2.34741</v>
      </c>
      <c r="GB236">
        <v>33.625399999999999</v>
      </c>
      <c r="GC236">
        <v>23.982399999999998</v>
      </c>
      <c r="GD236">
        <v>19</v>
      </c>
      <c r="GE236">
        <v>281.67500000000001</v>
      </c>
      <c r="GF236">
        <v>575.72400000000005</v>
      </c>
      <c r="GG236">
        <v>24.093399999999999</v>
      </c>
      <c r="GH236">
        <v>25.892600000000002</v>
      </c>
      <c r="GI236">
        <v>30.000299999999999</v>
      </c>
      <c r="GJ236">
        <v>26.020800000000001</v>
      </c>
      <c r="GK236">
        <v>26.002400000000002</v>
      </c>
      <c r="GL236">
        <v>35.249899999999997</v>
      </c>
      <c r="GM236">
        <v>100</v>
      </c>
      <c r="GN236">
        <v>0</v>
      </c>
      <c r="GO236">
        <v>24.068999999999999</v>
      </c>
      <c r="GP236">
        <v>800</v>
      </c>
      <c r="GQ236">
        <v>0</v>
      </c>
      <c r="GR236">
        <v>99.826099999999997</v>
      </c>
      <c r="GS236">
        <v>99.708399999999997</v>
      </c>
    </row>
    <row r="237" spans="1:201" x14ac:dyDescent="0.25">
      <c r="A237">
        <v>221</v>
      </c>
      <c r="B237">
        <v>1690390486</v>
      </c>
      <c r="C237">
        <v>2227.5</v>
      </c>
      <c r="D237" t="s">
        <v>775</v>
      </c>
      <c r="E237" t="s">
        <v>776</v>
      </c>
      <c r="F237" t="s">
        <v>330</v>
      </c>
      <c r="H237">
        <v>1690390486</v>
      </c>
      <c r="I237">
        <f t="shared" si="90"/>
        <v>2.5280386663545005E-3</v>
      </c>
      <c r="J237">
        <f t="shared" si="91"/>
        <v>2.5280386663545005</v>
      </c>
      <c r="K237">
        <f t="shared" si="92"/>
        <v>38.942212020201289</v>
      </c>
      <c r="L237">
        <f t="shared" si="93"/>
        <v>377.16699999999997</v>
      </c>
      <c r="M237">
        <f t="shared" si="94"/>
        <v>109.46996123291342</v>
      </c>
      <c r="N237">
        <f t="shared" si="95"/>
        <v>10.800190556020254</v>
      </c>
      <c r="O237">
        <f t="shared" si="96"/>
        <v>37.210897177313996</v>
      </c>
      <c r="P237">
        <f t="shared" si="97"/>
        <v>0.24939805397723278</v>
      </c>
      <c r="Q237">
        <f t="shared" si="98"/>
        <v>2.1539107209839852</v>
      </c>
      <c r="R237">
        <f t="shared" si="99"/>
        <v>0.23439400164161112</v>
      </c>
      <c r="S237">
        <f t="shared" si="100"/>
        <v>0.14776902549846921</v>
      </c>
      <c r="T237">
        <f t="shared" si="101"/>
        <v>276.11533578599995</v>
      </c>
      <c r="U237">
        <f t="shared" si="102"/>
        <v>27.191000555500931</v>
      </c>
      <c r="V237">
        <f t="shared" si="103"/>
        <v>27.191000555500931</v>
      </c>
      <c r="W237">
        <f t="shared" si="104"/>
        <v>3.6195076036124338</v>
      </c>
      <c r="X237">
        <f t="shared" si="105"/>
        <v>77.175780307649489</v>
      </c>
      <c r="Y237">
        <f t="shared" si="106"/>
        <v>2.588909297022</v>
      </c>
      <c r="Z237">
        <f t="shared" si="107"/>
        <v>3.3545618673393487</v>
      </c>
      <c r="AA237">
        <f t="shared" si="108"/>
        <v>1.0305983065904338</v>
      </c>
      <c r="AB237">
        <f t="shared" si="109"/>
        <v>-111.48650518623347</v>
      </c>
      <c r="AC237">
        <f t="shared" si="110"/>
        <v>-149.78536122089565</v>
      </c>
      <c r="AD237">
        <f t="shared" si="111"/>
        <v>-14.939831068177472</v>
      </c>
      <c r="AE237">
        <f t="shared" si="112"/>
        <v>-9.6361689306633025E-2</v>
      </c>
      <c r="AF237">
        <v>0</v>
      </c>
      <c r="AG237">
        <v>0</v>
      </c>
      <c r="AH237">
        <f t="shared" si="113"/>
        <v>1</v>
      </c>
      <c r="AI237">
        <f t="shared" si="114"/>
        <v>0</v>
      </c>
      <c r="AJ237">
        <f t="shared" si="115"/>
        <v>52190.728635171392</v>
      </c>
      <c r="AK237">
        <f t="shared" si="116"/>
        <v>1800</v>
      </c>
      <c r="AL237">
        <f t="shared" si="117"/>
        <v>1499.1127865999999</v>
      </c>
      <c r="AM237">
        <f t="shared" si="118"/>
        <v>0.83284043699999999</v>
      </c>
      <c r="AN237">
        <f t="shared" si="119"/>
        <v>0.15339740876999997</v>
      </c>
      <c r="AO237">
        <v>31.8</v>
      </c>
      <c r="AP237">
        <v>0.5</v>
      </c>
      <c r="AQ237" t="s">
        <v>331</v>
      </c>
      <c r="AR237">
        <v>2</v>
      </c>
      <c r="AS237">
        <v>1690390486</v>
      </c>
      <c r="AT237">
        <v>377.16699999999997</v>
      </c>
      <c r="AU237">
        <v>799.99099999999999</v>
      </c>
      <c r="AV237">
        <v>26.241</v>
      </c>
      <c r="AW237">
        <v>0.15132399999999999</v>
      </c>
      <c r="AX237">
        <v>376.726</v>
      </c>
      <c r="AY237">
        <v>26.0426</v>
      </c>
      <c r="AZ237">
        <v>300.05</v>
      </c>
      <c r="BA237">
        <v>98.558899999999994</v>
      </c>
      <c r="BB237">
        <v>0.10004200000000001</v>
      </c>
      <c r="BC237">
        <v>25.9011</v>
      </c>
      <c r="BD237">
        <v>26.992699999999999</v>
      </c>
      <c r="BE237">
        <v>27.033000000000001</v>
      </c>
      <c r="BF237">
        <v>0</v>
      </c>
      <c r="BG237">
        <v>0</v>
      </c>
      <c r="BH237">
        <v>9976.8799999999992</v>
      </c>
      <c r="BI237">
        <v>1068.81</v>
      </c>
      <c r="BJ237">
        <v>1.4016500000000001</v>
      </c>
      <c r="BK237">
        <v>-422.82400000000001</v>
      </c>
      <c r="BL237">
        <v>387.33100000000002</v>
      </c>
      <c r="BM237">
        <v>800.11199999999997</v>
      </c>
      <c r="BN237">
        <v>26.089600000000001</v>
      </c>
      <c r="BO237">
        <v>799.99099999999999</v>
      </c>
      <c r="BP237">
        <v>0.15132399999999999</v>
      </c>
      <c r="BQ237">
        <v>2.5862799999999999</v>
      </c>
      <c r="BR237">
        <v>1.49143E-2</v>
      </c>
      <c r="BS237">
        <v>21.579899999999999</v>
      </c>
      <c r="BT237">
        <v>-42.212499999999999</v>
      </c>
      <c r="BU237">
        <v>1800</v>
      </c>
      <c r="BV237">
        <v>0.91000300000000001</v>
      </c>
      <c r="BW237">
        <v>3.3994499999999997E-2</v>
      </c>
      <c r="BX237">
        <v>2.20016E-2</v>
      </c>
      <c r="BY237">
        <v>3.4000500000000003E-2</v>
      </c>
      <c r="BZ237">
        <v>25</v>
      </c>
      <c r="CA237">
        <v>33528.400000000001</v>
      </c>
      <c r="CB237">
        <v>1690387638</v>
      </c>
      <c r="CC237" t="s">
        <v>332</v>
      </c>
      <c r="CD237">
        <v>1690387638</v>
      </c>
      <c r="CE237">
        <v>1690387638</v>
      </c>
      <c r="CF237">
        <v>6</v>
      </c>
      <c r="CG237">
        <v>0.43</v>
      </c>
      <c r="CH237">
        <v>-8.1000000000000003E-2</v>
      </c>
      <c r="CI237">
        <v>0.14199999999999999</v>
      </c>
      <c r="CJ237">
        <v>-2.7E-2</v>
      </c>
      <c r="CK237">
        <v>800</v>
      </c>
      <c r="CL237">
        <v>0</v>
      </c>
      <c r="CM237">
        <v>0.01</v>
      </c>
      <c r="CN237">
        <v>0.01</v>
      </c>
      <c r="CO237">
        <v>-422.89495000000011</v>
      </c>
      <c r="CP237">
        <v>-0.112705440899459</v>
      </c>
      <c r="CQ237">
        <v>6.3570413715811611E-2</v>
      </c>
      <c r="CR237">
        <v>-1</v>
      </c>
      <c r="CS237">
        <v>26.098122499999999</v>
      </c>
      <c r="CT237">
        <v>1.6722326454003039E-2</v>
      </c>
      <c r="CU237">
        <v>3.8210919578046628E-3</v>
      </c>
      <c r="CV237">
        <v>-1</v>
      </c>
      <c r="CW237">
        <v>0</v>
      </c>
      <c r="CX237">
        <v>0</v>
      </c>
      <c r="CY237" t="s">
        <v>333</v>
      </c>
      <c r="CZ237">
        <v>2.3646400000000001</v>
      </c>
      <c r="DA237">
        <v>2.7138100000000001</v>
      </c>
      <c r="DB237">
        <v>8.5078100000000004E-2</v>
      </c>
      <c r="DC237">
        <v>0.14533199999999999</v>
      </c>
      <c r="DD237">
        <v>0.120713</v>
      </c>
      <c r="DE237">
        <v>1.2693100000000001E-3</v>
      </c>
      <c r="DF237">
        <v>33436.199999999997</v>
      </c>
      <c r="DG237">
        <v>27582.400000000001</v>
      </c>
      <c r="DH237">
        <v>31197.7</v>
      </c>
      <c r="DI237">
        <v>28120.6</v>
      </c>
      <c r="DJ237">
        <v>37236.1</v>
      </c>
      <c r="DK237">
        <v>39946.800000000003</v>
      </c>
      <c r="DL237">
        <v>44402.2</v>
      </c>
      <c r="DM237">
        <v>42624</v>
      </c>
      <c r="DN237">
        <v>1.4767999999999999</v>
      </c>
      <c r="DO237">
        <v>2.0318299999999998</v>
      </c>
      <c r="DP237">
        <v>0.14276800000000001</v>
      </c>
      <c r="DQ237">
        <v>0.14851200000000001</v>
      </c>
      <c r="DR237">
        <v>24.653400000000001</v>
      </c>
      <c r="DS237">
        <v>24.599499999999999</v>
      </c>
      <c r="DT237">
        <v>20.7</v>
      </c>
      <c r="DU237">
        <v>29.4</v>
      </c>
      <c r="DV237">
        <v>8.6440900000000003</v>
      </c>
      <c r="DW237">
        <v>60.942300000000003</v>
      </c>
      <c r="DX237">
        <v>37.496000000000002</v>
      </c>
      <c r="DY237">
        <v>1</v>
      </c>
      <c r="DZ237">
        <v>-0.11999700000000001</v>
      </c>
      <c r="EA237">
        <v>0.156471</v>
      </c>
      <c r="EB237">
        <v>20.189699999999998</v>
      </c>
      <c r="EC237">
        <v>5.24125</v>
      </c>
      <c r="ED237">
        <v>12.039899999999999</v>
      </c>
      <c r="EE237">
        <v>5.0169499999999996</v>
      </c>
      <c r="EF237">
        <v>3.2879999999999998</v>
      </c>
      <c r="EG237">
        <v>9999</v>
      </c>
      <c r="EH237">
        <v>9999</v>
      </c>
      <c r="EI237">
        <v>9999</v>
      </c>
      <c r="EJ237">
        <v>999.9</v>
      </c>
      <c r="EK237">
        <v>1.8689</v>
      </c>
      <c r="EL237">
        <v>1.8646199999999999</v>
      </c>
      <c r="EM237">
        <v>1.8692</v>
      </c>
      <c r="EN237">
        <v>1.8672200000000001</v>
      </c>
      <c r="EO237">
        <v>1.8633299999999999</v>
      </c>
      <c r="EP237">
        <v>1.8644700000000001</v>
      </c>
      <c r="EQ237">
        <v>1.8701399999999999</v>
      </c>
      <c r="ER237">
        <v>1.8693500000000001</v>
      </c>
      <c r="ES237">
        <v>0</v>
      </c>
      <c r="ET237">
        <v>0</v>
      </c>
      <c r="EU237">
        <v>0</v>
      </c>
      <c r="EV237">
        <v>0</v>
      </c>
      <c r="EW237" t="s">
        <v>334</v>
      </c>
      <c r="EX237" t="s">
        <v>335</v>
      </c>
      <c r="EY237" t="s">
        <v>336</v>
      </c>
      <c r="EZ237" t="s">
        <v>336</v>
      </c>
      <c r="FA237" t="s">
        <v>336</v>
      </c>
      <c r="FB237" t="s">
        <v>336</v>
      </c>
      <c r="FC237">
        <v>0</v>
      </c>
      <c r="FD237">
        <v>100</v>
      </c>
      <c r="FE237">
        <v>100</v>
      </c>
      <c r="FF237">
        <v>0.441</v>
      </c>
      <c r="FG237">
        <v>0.19839999999999999</v>
      </c>
      <c r="FH237">
        <v>0.69281559908863044</v>
      </c>
      <c r="FI237">
        <v>-6.1462078757559423E-4</v>
      </c>
      <c r="FJ237">
        <v>-1.8861989874597051E-7</v>
      </c>
      <c r="FK237">
        <v>1.1980462299894961E-10</v>
      </c>
      <c r="FL237">
        <v>0.19840465858211129</v>
      </c>
      <c r="FM237">
        <v>0</v>
      </c>
      <c r="FN237">
        <v>0</v>
      </c>
      <c r="FO237">
        <v>0</v>
      </c>
      <c r="FP237">
        <v>3</v>
      </c>
      <c r="FQ237">
        <v>2158</v>
      </c>
      <c r="FR237">
        <v>1</v>
      </c>
      <c r="FS237">
        <v>19</v>
      </c>
      <c r="FT237">
        <v>47.5</v>
      </c>
      <c r="FU237">
        <v>47.5</v>
      </c>
      <c r="FV237">
        <v>1.7626999999999999</v>
      </c>
      <c r="FW237">
        <v>2.5793499999999998</v>
      </c>
      <c r="FX237">
        <v>1.5490699999999999</v>
      </c>
      <c r="FY237">
        <v>2.33521</v>
      </c>
      <c r="FZ237">
        <v>1.50146</v>
      </c>
      <c r="GA237">
        <v>2.4182100000000002</v>
      </c>
      <c r="GB237">
        <v>33.625399999999999</v>
      </c>
      <c r="GC237">
        <v>23.991199999999999</v>
      </c>
      <c r="GD237">
        <v>19</v>
      </c>
      <c r="GE237">
        <v>281.67500000000001</v>
      </c>
      <c r="GF237">
        <v>575.64200000000005</v>
      </c>
      <c r="GG237">
        <v>24.041899999999998</v>
      </c>
      <c r="GH237">
        <v>25.892600000000002</v>
      </c>
      <c r="GI237">
        <v>30.0001</v>
      </c>
      <c r="GJ237">
        <v>26.020800000000001</v>
      </c>
      <c r="GK237">
        <v>26.002400000000002</v>
      </c>
      <c r="GL237">
        <v>35.248199999999997</v>
      </c>
      <c r="GM237">
        <v>100</v>
      </c>
      <c r="GN237">
        <v>0</v>
      </c>
      <c r="GO237">
        <v>24.080300000000001</v>
      </c>
      <c r="GP237">
        <v>800</v>
      </c>
      <c r="GQ237">
        <v>0</v>
      </c>
      <c r="GR237">
        <v>99.825800000000001</v>
      </c>
      <c r="GS237">
        <v>99.709699999999998</v>
      </c>
    </row>
    <row r="238" spans="1:201" x14ac:dyDescent="0.25">
      <c r="A238">
        <v>222</v>
      </c>
      <c r="B238">
        <v>1690390496</v>
      </c>
      <c r="C238">
        <v>2237.5</v>
      </c>
      <c r="D238" t="s">
        <v>777</v>
      </c>
      <c r="E238" t="s">
        <v>778</v>
      </c>
      <c r="F238" t="s">
        <v>330</v>
      </c>
      <c r="H238">
        <v>1690390496</v>
      </c>
      <c r="I238">
        <f t="shared" si="90"/>
        <v>2.5293079148631598E-3</v>
      </c>
      <c r="J238">
        <f t="shared" si="91"/>
        <v>2.5293079148631596</v>
      </c>
      <c r="K238">
        <f t="shared" si="92"/>
        <v>38.972696902391903</v>
      </c>
      <c r="L238">
        <f t="shared" si="93"/>
        <v>377.02300000000002</v>
      </c>
      <c r="M238">
        <f t="shared" si="94"/>
        <v>109.31907604427691</v>
      </c>
      <c r="N238">
        <f t="shared" si="95"/>
        <v>10.785158332660309</v>
      </c>
      <c r="O238">
        <f t="shared" si="96"/>
        <v>37.196186586937998</v>
      </c>
      <c r="P238">
        <f t="shared" si="97"/>
        <v>0.24957470287512276</v>
      </c>
      <c r="Q238">
        <f t="shared" si="98"/>
        <v>2.1568926329228915</v>
      </c>
      <c r="R238">
        <f t="shared" si="99"/>
        <v>0.23456950674656665</v>
      </c>
      <c r="S238">
        <f t="shared" si="100"/>
        <v>0.14787886090184618</v>
      </c>
      <c r="T238">
        <f t="shared" si="101"/>
        <v>276.11540161199991</v>
      </c>
      <c r="U238">
        <f t="shared" si="102"/>
        <v>27.190039068250812</v>
      </c>
      <c r="V238">
        <f t="shared" si="103"/>
        <v>27.190039068250812</v>
      </c>
      <c r="W238">
        <f t="shared" si="104"/>
        <v>3.6193035041985575</v>
      </c>
      <c r="X238">
        <f t="shared" si="105"/>
        <v>77.172649139783033</v>
      </c>
      <c r="Y238">
        <f t="shared" si="106"/>
        <v>2.5889728966519998</v>
      </c>
      <c r="Z238">
        <f t="shared" si="107"/>
        <v>3.3547803859403427</v>
      </c>
      <c r="AA238">
        <f t="shared" si="108"/>
        <v>1.0303306075465577</v>
      </c>
      <c r="AB238">
        <f t="shared" si="109"/>
        <v>-111.54247904546534</v>
      </c>
      <c r="AC238">
        <f t="shared" si="110"/>
        <v>-149.75301203713897</v>
      </c>
      <c r="AD238">
        <f t="shared" si="111"/>
        <v>-14.915964723714945</v>
      </c>
      <c r="AE238">
        <f t="shared" si="112"/>
        <v>-9.605419431932205E-2</v>
      </c>
      <c r="AF238">
        <v>0</v>
      </c>
      <c r="AG238">
        <v>0</v>
      </c>
      <c r="AH238">
        <f t="shared" si="113"/>
        <v>1</v>
      </c>
      <c r="AI238">
        <f t="shared" si="114"/>
        <v>0</v>
      </c>
      <c r="AJ238">
        <f t="shared" si="115"/>
        <v>52315.407375019713</v>
      </c>
      <c r="AK238">
        <f t="shared" si="116"/>
        <v>1800</v>
      </c>
      <c r="AL238">
        <f t="shared" si="117"/>
        <v>1499.1137532</v>
      </c>
      <c r="AM238">
        <f t="shared" si="118"/>
        <v>0.83284097400000001</v>
      </c>
      <c r="AN238">
        <f t="shared" si="119"/>
        <v>0.15339744533999997</v>
      </c>
      <c r="AO238">
        <v>31.8</v>
      </c>
      <c r="AP238">
        <v>0.5</v>
      </c>
      <c r="AQ238" t="s">
        <v>331</v>
      </c>
      <c r="AR238">
        <v>2</v>
      </c>
      <c r="AS238">
        <v>1690390496</v>
      </c>
      <c r="AT238">
        <v>377.02300000000002</v>
      </c>
      <c r="AU238">
        <v>799.98099999999999</v>
      </c>
      <c r="AV238">
        <v>26.242000000000001</v>
      </c>
      <c r="AW238">
        <v>0.15099099999999999</v>
      </c>
      <c r="AX238">
        <v>376.58199999999999</v>
      </c>
      <c r="AY238">
        <v>26.043600000000001</v>
      </c>
      <c r="AZ238">
        <v>300.185</v>
      </c>
      <c r="BA238">
        <v>98.557599999999994</v>
      </c>
      <c r="BB238">
        <v>0.100006</v>
      </c>
      <c r="BC238">
        <v>25.902200000000001</v>
      </c>
      <c r="BD238">
        <v>26.9999</v>
      </c>
      <c r="BE238">
        <v>27.032699999999998</v>
      </c>
      <c r="BF238">
        <v>0</v>
      </c>
      <c r="BG238">
        <v>0</v>
      </c>
      <c r="BH238">
        <v>10001.9</v>
      </c>
      <c r="BI238">
        <v>1068.82</v>
      </c>
      <c r="BJ238">
        <v>1.4016500000000001</v>
      </c>
      <c r="BK238">
        <v>-422.95699999999999</v>
      </c>
      <c r="BL238">
        <v>387.18400000000003</v>
      </c>
      <c r="BM238">
        <v>800.10199999999998</v>
      </c>
      <c r="BN238">
        <v>26.091000000000001</v>
      </c>
      <c r="BO238">
        <v>799.98099999999999</v>
      </c>
      <c r="BP238">
        <v>0.15099099999999999</v>
      </c>
      <c r="BQ238">
        <v>2.5863499999999999</v>
      </c>
      <c r="BR238">
        <v>1.48813E-2</v>
      </c>
      <c r="BS238">
        <v>21.580300000000001</v>
      </c>
      <c r="BT238">
        <v>-42.233199999999997</v>
      </c>
      <c r="BU238">
        <v>1800</v>
      </c>
      <c r="BV238">
        <v>0.91000499999999995</v>
      </c>
      <c r="BW238">
        <v>3.3993900000000001E-2</v>
      </c>
      <c r="BX238">
        <v>2.2001199999999999E-2</v>
      </c>
      <c r="BY238">
        <v>3.4000000000000002E-2</v>
      </c>
      <c r="BZ238">
        <v>25</v>
      </c>
      <c r="CA238">
        <v>33528.400000000001</v>
      </c>
      <c r="CB238">
        <v>1690387638</v>
      </c>
      <c r="CC238" t="s">
        <v>332</v>
      </c>
      <c r="CD238">
        <v>1690387638</v>
      </c>
      <c r="CE238">
        <v>1690387638</v>
      </c>
      <c r="CF238">
        <v>6</v>
      </c>
      <c r="CG238">
        <v>0.43</v>
      </c>
      <c r="CH238">
        <v>-8.1000000000000003E-2</v>
      </c>
      <c r="CI238">
        <v>0.14199999999999999</v>
      </c>
      <c r="CJ238">
        <v>-2.7E-2</v>
      </c>
      <c r="CK238">
        <v>800</v>
      </c>
      <c r="CL238">
        <v>0</v>
      </c>
      <c r="CM238">
        <v>0.01</v>
      </c>
      <c r="CN238">
        <v>0.01</v>
      </c>
      <c r="CO238">
        <v>-422.91507317073172</v>
      </c>
      <c r="CP238">
        <v>4.5595818814260003E-2</v>
      </c>
      <c r="CQ238">
        <v>6.8240031968901854E-2</v>
      </c>
      <c r="CR238">
        <v>-1</v>
      </c>
      <c r="CS238">
        <v>26.093951219512199</v>
      </c>
      <c r="CT238">
        <v>-6.3963763066194432E-2</v>
      </c>
      <c r="CU238">
        <v>6.7300607742415263E-3</v>
      </c>
      <c r="CV238">
        <v>-1</v>
      </c>
      <c r="CW238">
        <v>0</v>
      </c>
      <c r="CX238">
        <v>0</v>
      </c>
      <c r="CY238" t="s">
        <v>333</v>
      </c>
      <c r="CZ238">
        <v>2.3650600000000002</v>
      </c>
      <c r="DA238">
        <v>2.7138</v>
      </c>
      <c r="DB238">
        <v>8.50519E-2</v>
      </c>
      <c r="DC238">
        <v>0.14532900000000001</v>
      </c>
      <c r="DD238">
        <v>0.120715</v>
      </c>
      <c r="DE238">
        <v>1.2665300000000001E-3</v>
      </c>
      <c r="DF238">
        <v>33437.599999999999</v>
      </c>
      <c r="DG238">
        <v>27582.7</v>
      </c>
      <c r="DH238">
        <v>31198</v>
      </c>
      <c r="DI238">
        <v>28120.799999999999</v>
      </c>
      <c r="DJ238">
        <v>37236.6</v>
      </c>
      <c r="DK238">
        <v>39947.199999999997</v>
      </c>
      <c r="DL238">
        <v>44402.9</v>
      </c>
      <c r="DM238">
        <v>42624.3</v>
      </c>
      <c r="DN238">
        <v>1.47715</v>
      </c>
      <c r="DO238">
        <v>2.0315300000000001</v>
      </c>
      <c r="DP238">
        <v>0.143208</v>
      </c>
      <c r="DQ238">
        <v>0.14849799999999999</v>
      </c>
      <c r="DR238">
        <v>24.653400000000001</v>
      </c>
      <c r="DS238">
        <v>24.599499999999999</v>
      </c>
      <c r="DT238">
        <v>20.7</v>
      </c>
      <c r="DU238">
        <v>29.4</v>
      </c>
      <c r="DV238">
        <v>8.6444200000000002</v>
      </c>
      <c r="DW238">
        <v>60.932299999999998</v>
      </c>
      <c r="DX238">
        <v>36.806899999999999</v>
      </c>
      <c r="DY238">
        <v>1</v>
      </c>
      <c r="DZ238">
        <v>-0.120488</v>
      </c>
      <c r="EA238">
        <v>0.106334</v>
      </c>
      <c r="EB238">
        <v>20.190200000000001</v>
      </c>
      <c r="EC238">
        <v>5.2411000000000003</v>
      </c>
      <c r="ED238">
        <v>12.039899999999999</v>
      </c>
      <c r="EE238">
        <v>5.0168499999999998</v>
      </c>
      <c r="EF238">
        <v>3.2879999999999998</v>
      </c>
      <c r="EG238">
        <v>9999</v>
      </c>
      <c r="EH238">
        <v>9999</v>
      </c>
      <c r="EI238">
        <v>9999</v>
      </c>
      <c r="EJ238">
        <v>999.9</v>
      </c>
      <c r="EK238">
        <v>1.8689</v>
      </c>
      <c r="EL238">
        <v>1.8646199999999999</v>
      </c>
      <c r="EM238">
        <v>1.86921</v>
      </c>
      <c r="EN238">
        <v>1.8672200000000001</v>
      </c>
      <c r="EO238">
        <v>1.8633599999999999</v>
      </c>
      <c r="EP238">
        <v>1.8644700000000001</v>
      </c>
      <c r="EQ238">
        <v>1.8701700000000001</v>
      </c>
      <c r="ER238">
        <v>1.8693500000000001</v>
      </c>
      <c r="ES238">
        <v>0</v>
      </c>
      <c r="ET238">
        <v>0</v>
      </c>
      <c r="EU238">
        <v>0</v>
      </c>
      <c r="EV238">
        <v>0</v>
      </c>
      <c r="EW238" t="s">
        <v>334</v>
      </c>
      <c r="EX238" t="s">
        <v>335</v>
      </c>
      <c r="EY238" t="s">
        <v>336</v>
      </c>
      <c r="EZ238" t="s">
        <v>336</v>
      </c>
      <c r="FA238" t="s">
        <v>336</v>
      </c>
      <c r="FB238" t="s">
        <v>336</v>
      </c>
      <c r="FC238">
        <v>0</v>
      </c>
      <c r="FD238">
        <v>100</v>
      </c>
      <c r="FE238">
        <v>100</v>
      </c>
      <c r="FF238">
        <v>0.441</v>
      </c>
      <c r="FG238">
        <v>0.19839999999999999</v>
      </c>
      <c r="FH238">
        <v>0.69281559908863044</v>
      </c>
      <c r="FI238">
        <v>-6.1462078757559423E-4</v>
      </c>
      <c r="FJ238">
        <v>-1.8861989874597051E-7</v>
      </c>
      <c r="FK238">
        <v>1.1980462299894961E-10</v>
      </c>
      <c r="FL238">
        <v>0.19840465858211129</v>
      </c>
      <c r="FM238">
        <v>0</v>
      </c>
      <c r="FN238">
        <v>0</v>
      </c>
      <c r="FO238">
        <v>0</v>
      </c>
      <c r="FP238">
        <v>3</v>
      </c>
      <c r="FQ238">
        <v>2158</v>
      </c>
      <c r="FR238">
        <v>1</v>
      </c>
      <c r="FS238">
        <v>19</v>
      </c>
      <c r="FT238">
        <v>47.6</v>
      </c>
      <c r="FU238">
        <v>47.6</v>
      </c>
      <c r="FV238">
        <v>1.7626999999999999</v>
      </c>
      <c r="FW238">
        <v>2.5842299999999998</v>
      </c>
      <c r="FX238">
        <v>1.5490699999999999</v>
      </c>
      <c r="FY238">
        <v>2.33521</v>
      </c>
      <c r="FZ238">
        <v>1.50146</v>
      </c>
      <c r="GA238">
        <v>2.34497</v>
      </c>
      <c r="GB238">
        <v>33.625399999999999</v>
      </c>
      <c r="GC238">
        <v>23.982399999999998</v>
      </c>
      <c r="GD238">
        <v>19</v>
      </c>
      <c r="GE238">
        <v>281.82299999999998</v>
      </c>
      <c r="GF238">
        <v>575.39700000000005</v>
      </c>
      <c r="GG238">
        <v>24.081900000000001</v>
      </c>
      <c r="GH238">
        <v>25.892600000000002</v>
      </c>
      <c r="GI238">
        <v>30.0001</v>
      </c>
      <c r="GJ238">
        <v>26.020800000000001</v>
      </c>
      <c r="GK238">
        <v>26.002400000000002</v>
      </c>
      <c r="GL238">
        <v>35.2483</v>
      </c>
      <c r="GM238">
        <v>100</v>
      </c>
      <c r="GN238">
        <v>0</v>
      </c>
      <c r="GO238">
        <v>24.085699999999999</v>
      </c>
      <c r="GP238">
        <v>800</v>
      </c>
      <c r="GQ238">
        <v>0</v>
      </c>
      <c r="GR238">
        <v>99.827200000000005</v>
      </c>
      <c r="GS238">
        <v>99.710300000000004</v>
      </c>
    </row>
    <row r="239" spans="1:201" x14ac:dyDescent="0.25">
      <c r="A239">
        <v>223</v>
      </c>
      <c r="B239">
        <v>1690390506</v>
      </c>
      <c r="C239">
        <v>2247.5</v>
      </c>
      <c r="D239" t="s">
        <v>779</v>
      </c>
      <c r="E239" t="s">
        <v>780</v>
      </c>
      <c r="F239" t="s">
        <v>330</v>
      </c>
      <c r="H239">
        <v>1690390506</v>
      </c>
      <c r="I239">
        <f t="shared" si="90"/>
        <v>2.5300400511771627E-3</v>
      </c>
      <c r="J239">
        <f t="shared" si="91"/>
        <v>2.5300400511771626</v>
      </c>
      <c r="K239">
        <f t="shared" si="92"/>
        <v>38.979874351479069</v>
      </c>
      <c r="L239">
        <f t="shared" si="93"/>
        <v>376.96499999999997</v>
      </c>
      <c r="M239">
        <f t="shared" si="94"/>
        <v>109.62018163377819</v>
      </c>
      <c r="N239">
        <f t="shared" si="95"/>
        <v>10.814646106631546</v>
      </c>
      <c r="O239">
        <f t="shared" si="96"/>
        <v>37.189712777579999</v>
      </c>
      <c r="P239">
        <f t="shared" si="97"/>
        <v>0.24996952610305187</v>
      </c>
      <c r="Q239">
        <f t="shared" si="98"/>
        <v>2.1584340157250264</v>
      </c>
      <c r="R239">
        <f t="shared" si="99"/>
        <v>0.23492840699033574</v>
      </c>
      <c r="S239">
        <f t="shared" si="100"/>
        <v>0.14810615964944851</v>
      </c>
      <c r="T239">
        <f t="shared" si="101"/>
        <v>276.11557896599999</v>
      </c>
      <c r="U239">
        <f t="shared" si="102"/>
        <v>27.187852330044826</v>
      </c>
      <c r="V239">
        <f t="shared" si="103"/>
        <v>27.187852330044826</v>
      </c>
      <c r="W239">
        <f t="shared" si="104"/>
        <v>3.618839352413302</v>
      </c>
      <c r="X239">
        <f t="shared" si="105"/>
        <v>77.20258480926725</v>
      </c>
      <c r="Y239">
        <f t="shared" si="106"/>
        <v>2.5898084706119997</v>
      </c>
      <c r="Z239">
        <f t="shared" si="107"/>
        <v>3.3545618673393487</v>
      </c>
      <c r="AA239">
        <f t="shared" si="108"/>
        <v>1.0290308818013023</v>
      </c>
      <c r="AB239">
        <f t="shared" si="109"/>
        <v>-111.57476625691287</v>
      </c>
      <c r="AC239">
        <f t="shared" si="110"/>
        <v>-149.73357138512785</v>
      </c>
      <c r="AD239">
        <f t="shared" si="111"/>
        <v>-14.903132539690583</v>
      </c>
      <c r="AE239">
        <f t="shared" si="112"/>
        <v>-9.5891215731342072E-2</v>
      </c>
      <c r="AF239">
        <v>0</v>
      </c>
      <c r="AG239">
        <v>0</v>
      </c>
      <c r="AH239">
        <f t="shared" si="113"/>
        <v>1</v>
      </c>
      <c r="AI239">
        <f t="shared" si="114"/>
        <v>0</v>
      </c>
      <c r="AJ239">
        <f t="shared" si="115"/>
        <v>52380.187901838304</v>
      </c>
      <c r="AK239">
        <f t="shared" si="116"/>
        <v>1800</v>
      </c>
      <c r="AL239">
        <f t="shared" si="117"/>
        <v>1499.1141725999998</v>
      </c>
      <c r="AM239">
        <f t="shared" si="118"/>
        <v>0.83284120699999997</v>
      </c>
      <c r="AN239">
        <f t="shared" si="119"/>
        <v>0.15339754386999999</v>
      </c>
      <c r="AO239">
        <v>31.8</v>
      </c>
      <c r="AP239">
        <v>0.5</v>
      </c>
      <c r="AQ239" t="s">
        <v>331</v>
      </c>
      <c r="AR239">
        <v>2</v>
      </c>
      <c r="AS239">
        <v>1690390506</v>
      </c>
      <c r="AT239">
        <v>376.96499999999997</v>
      </c>
      <c r="AU239">
        <v>800.03</v>
      </c>
      <c r="AV239">
        <v>26.251000000000001</v>
      </c>
      <c r="AW239">
        <v>0.15085399999999999</v>
      </c>
      <c r="AX239">
        <v>376.524</v>
      </c>
      <c r="AY239">
        <v>26.052600000000002</v>
      </c>
      <c r="AZ239">
        <v>300.16399999999999</v>
      </c>
      <c r="BA239">
        <v>98.555499999999995</v>
      </c>
      <c r="BB239">
        <v>0.10011200000000001</v>
      </c>
      <c r="BC239">
        <v>25.9011</v>
      </c>
      <c r="BD239">
        <v>26.991900000000001</v>
      </c>
      <c r="BE239">
        <v>27.020299999999999</v>
      </c>
      <c r="BF239">
        <v>0</v>
      </c>
      <c r="BG239">
        <v>0</v>
      </c>
      <c r="BH239">
        <v>10015</v>
      </c>
      <c r="BI239">
        <v>1068.72</v>
      </c>
      <c r="BJ239">
        <v>1.4016500000000001</v>
      </c>
      <c r="BK239">
        <v>-423.065</v>
      </c>
      <c r="BL239">
        <v>387.12700000000001</v>
      </c>
      <c r="BM239">
        <v>800.15</v>
      </c>
      <c r="BN239">
        <v>26.100200000000001</v>
      </c>
      <c r="BO239">
        <v>800.03</v>
      </c>
      <c r="BP239">
        <v>0.15085399999999999</v>
      </c>
      <c r="BQ239">
        <v>2.58718</v>
      </c>
      <c r="BR239">
        <v>1.4867500000000001E-2</v>
      </c>
      <c r="BS239">
        <v>21.585599999999999</v>
      </c>
      <c r="BT239">
        <v>-42.241900000000001</v>
      </c>
      <c r="BU239">
        <v>1800</v>
      </c>
      <c r="BV239">
        <v>0.91000400000000004</v>
      </c>
      <c r="BW239">
        <v>3.3994400000000001E-2</v>
      </c>
      <c r="BX239">
        <v>2.20016E-2</v>
      </c>
      <c r="BY239">
        <v>3.4000500000000003E-2</v>
      </c>
      <c r="BZ239">
        <v>25</v>
      </c>
      <c r="CA239">
        <v>33528.5</v>
      </c>
      <c r="CB239">
        <v>1690387638</v>
      </c>
      <c r="CC239" t="s">
        <v>332</v>
      </c>
      <c r="CD239">
        <v>1690387638</v>
      </c>
      <c r="CE239">
        <v>1690387638</v>
      </c>
      <c r="CF239">
        <v>6</v>
      </c>
      <c r="CG239">
        <v>0.43</v>
      </c>
      <c r="CH239">
        <v>-8.1000000000000003E-2</v>
      </c>
      <c r="CI239">
        <v>0.14199999999999999</v>
      </c>
      <c r="CJ239">
        <v>-2.7E-2</v>
      </c>
      <c r="CK239">
        <v>800</v>
      </c>
      <c r="CL239">
        <v>0</v>
      </c>
      <c r="CM239">
        <v>0.01</v>
      </c>
      <c r="CN239">
        <v>0.01</v>
      </c>
      <c r="CO239">
        <v>-422.91874999999999</v>
      </c>
      <c r="CP239">
        <v>-0.13796622889300289</v>
      </c>
      <c r="CQ239">
        <v>5.2395014075768812E-2</v>
      </c>
      <c r="CR239">
        <v>-1</v>
      </c>
      <c r="CS239">
        <v>26.0907725</v>
      </c>
      <c r="CT239">
        <v>3.3466041275819987E-2</v>
      </c>
      <c r="CU239">
        <v>3.5779873881833721E-3</v>
      </c>
      <c r="CV239">
        <v>-1</v>
      </c>
      <c r="CW239">
        <v>0</v>
      </c>
      <c r="CX239">
        <v>0</v>
      </c>
      <c r="CY239" t="s">
        <v>333</v>
      </c>
      <c r="CZ239">
        <v>2.3650199999999999</v>
      </c>
      <c r="DA239">
        <v>2.7139199999999999</v>
      </c>
      <c r="DB239">
        <v>8.5039900000000002E-2</v>
      </c>
      <c r="DC239">
        <v>0.14533199999999999</v>
      </c>
      <c r="DD239">
        <v>0.120742</v>
      </c>
      <c r="DE239">
        <v>1.2653600000000001E-3</v>
      </c>
      <c r="DF239">
        <v>33438.6</v>
      </c>
      <c r="DG239">
        <v>27582.799999999999</v>
      </c>
      <c r="DH239">
        <v>31198.5</v>
      </c>
      <c r="DI239">
        <v>28121</v>
      </c>
      <c r="DJ239">
        <v>37236</v>
      </c>
      <c r="DK239">
        <v>39947.5</v>
      </c>
      <c r="DL239">
        <v>44403.6</v>
      </c>
      <c r="DM239">
        <v>42624.6</v>
      </c>
      <c r="DN239">
        <v>1.47712</v>
      </c>
      <c r="DO239">
        <v>2.0315699999999999</v>
      </c>
      <c r="DP239">
        <v>0.14271600000000001</v>
      </c>
      <c r="DQ239">
        <v>0.147864</v>
      </c>
      <c r="DR239">
        <v>24.653400000000001</v>
      </c>
      <c r="DS239">
        <v>24.5974</v>
      </c>
      <c r="DT239">
        <v>20.7</v>
      </c>
      <c r="DU239">
        <v>29.4</v>
      </c>
      <c r="DV239">
        <v>8.6452100000000005</v>
      </c>
      <c r="DW239">
        <v>60.892299999999999</v>
      </c>
      <c r="DX239">
        <v>37.756399999999999</v>
      </c>
      <c r="DY239">
        <v>1</v>
      </c>
      <c r="DZ239">
        <v>-0.119756</v>
      </c>
      <c r="EA239">
        <v>0.19408500000000001</v>
      </c>
      <c r="EB239">
        <v>20.189699999999998</v>
      </c>
      <c r="EC239">
        <v>5.2409499999999998</v>
      </c>
      <c r="ED239">
        <v>12.039899999999999</v>
      </c>
      <c r="EE239">
        <v>5.0168499999999998</v>
      </c>
      <c r="EF239">
        <v>3.2879999999999998</v>
      </c>
      <c r="EG239">
        <v>9999</v>
      </c>
      <c r="EH239">
        <v>9999</v>
      </c>
      <c r="EI239">
        <v>9999</v>
      </c>
      <c r="EJ239">
        <v>999.9</v>
      </c>
      <c r="EK239">
        <v>1.8689</v>
      </c>
      <c r="EL239">
        <v>1.8646199999999999</v>
      </c>
      <c r="EM239">
        <v>1.8692</v>
      </c>
      <c r="EN239">
        <v>1.8672299999999999</v>
      </c>
      <c r="EO239">
        <v>1.86337</v>
      </c>
      <c r="EP239">
        <v>1.8644700000000001</v>
      </c>
      <c r="EQ239">
        <v>1.87015</v>
      </c>
      <c r="ER239">
        <v>1.8693599999999999</v>
      </c>
      <c r="ES239">
        <v>0</v>
      </c>
      <c r="ET239">
        <v>0</v>
      </c>
      <c r="EU239">
        <v>0</v>
      </c>
      <c r="EV239">
        <v>0</v>
      </c>
      <c r="EW239" t="s">
        <v>334</v>
      </c>
      <c r="EX239" t="s">
        <v>335</v>
      </c>
      <c r="EY239" t="s">
        <v>336</v>
      </c>
      <c r="EZ239" t="s">
        <v>336</v>
      </c>
      <c r="FA239" t="s">
        <v>336</v>
      </c>
      <c r="FB239" t="s">
        <v>336</v>
      </c>
      <c r="FC239">
        <v>0</v>
      </c>
      <c r="FD239">
        <v>100</v>
      </c>
      <c r="FE239">
        <v>100</v>
      </c>
      <c r="FF239">
        <v>0.441</v>
      </c>
      <c r="FG239">
        <v>0.19839999999999999</v>
      </c>
      <c r="FH239">
        <v>0.69281559908863044</v>
      </c>
      <c r="FI239">
        <v>-6.1462078757559423E-4</v>
      </c>
      <c r="FJ239">
        <v>-1.8861989874597051E-7</v>
      </c>
      <c r="FK239">
        <v>1.1980462299894961E-10</v>
      </c>
      <c r="FL239">
        <v>0.19840465858211129</v>
      </c>
      <c r="FM239">
        <v>0</v>
      </c>
      <c r="FN239">
        <v>0</v>
      </c>
      <c r="FO239">
        <v>0</v>
      </c>
      <c r="FP239">
        <v>3</v>
      </c>
      <c r="FQ239">
        <v>2158</v>
      </c>
      <c r="FR239">
        <v>1</v>
      </c>
      <c r="FS239">
        <v>19</v>
      </c>
      <c r="FT239">
        <v>47.8</v>
      </c>
      <c r="FU239">
        <v>47.8</v>
      </c>
      <c r="FV239">
        <v>1.7626999999999999</v>
      </c>
      <c r="FW239">
        <v>2.5854499999999998</v>
      </c>
      <c r="FX239">
        <v>1.5490699999999999</v>
      </c>
      <c r="FY239">
        <v>2.33521</v>
      </c>
      <c r="FZ239">
        <v>1.50146</v>
      </c>
      <c r="GA239">
        <v>2.32056</v>
      </c>
      <c r="GB239">
        <v>33.625399999999999</v>
      </c>
      <c r="GC239">
        <v>23.982399999999998</v>
      </c>
      <c r="GD239">
        <v>19</v>
      </c>
      <c r="GE239">
        <v>281.81200000000001</v>
      </c>
      <c r="GF239">
        <v>575.43799999999999</v>
      </c>
      <c r="GG239">
        <v>24.084700000000002</v>
      </c>
      <c r="GH239">
        <v>25.892600000000002</v>
      </c>
      <c r="GI239">
        <v>30.000299999999999</v>
      </c>
      <c r="GJ239">
        <v>26.020800000000001</v>
      </c>
      <c r="GK239">
        <v>26.002400000000002</v>
      </c>
      <c r="GL239">
        <v>35.248899999999999</v>
      </c>
      <c r="GM239">
        <v>100</v>
      </c>
      <c r="GN239">
        <v>0</v>
      </c>
      <c r="GO239">
        <v>24.064399999999999</v>
      </c>
      <c r="GP239">
        <v>800</v>
      </c>
      <c r="GQ239">
        <v>0</v>
      </c>
      <c r="GR239">
        <v>99.828800000000001</v>
      </c>
      <c r="GS239">
        <v>99.710999999999999</v>
      </c>
    </row>
    <row r="240" spans="1:201" x14ac:dyDescent="0.25">
      <c r="A240">
        <v>224</v>
      </c>
      <c r="B240">
        <v>1690390516</v>
      </c>
      <c r="C240">
        <v>2257.5</v>
      </c>
      <c r="D240" t="s">
        <v>781</v>
      </c>
      <c r="E240" t="s">
        <v>782</v>
      </c>
      <c r="F240" t="s">
        <v>330</v>
      </c>
      <c r="H240">
        <v>1690390516</v>
      </c>
      <c r="I240">
        <f t="shared" si="90"/>
        <v>2.5301537657914821E-3</v>
      </c>
      <c r="J240">
        <f t="shared" si="91"/>
        <v>2.5301537657914821</v>
      </c>
      <c r="K240">
        <f t="shared" si="92"/>
        <v>38.949309314082107</v>
      </c>
      <c r="L240">
        <f t="shared" si="93"/>
        <v>377.07600000000002</v>
      </c>
      <c r="M240">
        <f t="shared" si="94"/>
        <v>109.92777760432296</v>
      </c>
      <c r="N240">
        <f t="shared" si="95"/>
        <v>10.84513233327082</v>
      </c>
      <c r="O240">
        <f t="shared" si="96"/>
        <v>37.201144322411999</v>
      </c>
      <c r="P240">
        <f t="shared" si="97"/>
        <v>0.24997816713843321</v>
      </c>
      <c r="Q240">
        <f t="shared" si="98"/>
        <v>2.1561323357144753</v>
      </c>
      <c r="R240">
        <f t="shared" si="99"/>
        <v>0.23492102203880824</v>
      </c>
      <c r="S240">
        <f t="shared" si="100"/>
        <v>0.14810282539110944</v>
      </c>
      <c r="T240">
        <f t="shared" si="101"/>
        <v>276.11532554399997</v>
      </c>
      <c r="U240">
        <f t="shared" si="102"/>
        <v>27.192257244796668</v>
      </c>
      <c r="V240">
        <f t="shared" si="103"/>
        <v>27.192257244796668</v>
      </c>
      <c r="W240">
        <f t="shared" si="104"/>
        <v>3.6197743820967552</v>
      </c>
      <c r="X240">
        <f t="shared" si="105"/>
        <v>77.213359913995149</v>
      </c>
      <c r="Y240">
        <f t="shared" si="106"/>
        <v>2.5906607927990999</v>
      </c>
      <c r="Z240">
        <f t="shared" si="107"/>
        <v>3.3551975923398909</v>
      </c>
      <c r="AA240">
        <f t="shared" si="108"/>
        <v>1.0291135892976553</v>
      </c>
      <c r="AB240">
        <f t="shared" si="109"/>
        <v>-111.57978107140437</v>
      </c>
      <c r="AC240">
        <f t="shared" si="110"/>
        <v>-149.71396162518425</v>
      </c>
      <c r="AD240">
        <f t="shared" si="111"/>
        <v>-14.917656044383797</v>
      </c>
      <c r="AE240">
        <f t="shared" si="112"/>
        <v>-9.6073196972469077E-2</v>
      </c>
      <c r="AF240">
        <v>0</v>
      </c>
      <c r="AG240">
        <v>0</v>
      </c>
      <c r="AH240">
        <f t="shared" si="113"/>
        <v>1</v>
      </c>
      <c r="AI240">
        <f t="shared" si="114"/>
        <v>0</v>
      </c>
      <c r="AJ240">
        <f t="shared" si="115"/>
        <v>52283.162065429729</v>
      </c>
      <c r="AK240">
        <f t="shared" si="116"/>
        <v>1800</v>
      </c>
      <c r="AL240">
        <f t="shared" si="117"/>
        <v>1499.1130764</v>
      </c>
      <c r="AM240">
        <f t="shared" si="118"/>
        <v>0.83284059799999999</v>
      </c>
      <c r="AN240">
        <f t="shared" si="119"/>
        <v>0.15339740307999999</v>
      </c>
      <c r="AO240">
        <v>31.8</v>
      </c>
      <c r="AP240">
        <v>0.5</v>
      </c>
      <c r="AQ240" t="s">
        <v>331</v>
      </c>
      <c r="AR240">
        <v>2</v>
      </c>
      <c r="AS240">
        <v>1690390516</v>
      </c>
      <c r="AT240">
        <v>377.07600000000002</v>
      </c>
      <c r="AU240">
        <v>799.94600000000003</v>
      </c>
      <c r="AV240">
        <v>26.2593</v>
      </c>
      <c r="AW240">
        <v>0.15046200000000001</v>
      </c>
      <c r="AX240">
        <v>376.63499999999999</v>
      </c>
      <c r="AY240">
        <v>26.0609</v>
      </c>
      <c r="AZ240">
        <v>300.07499999999999</v>
      </c>
      <c r="BA240">
        <v>98.556899999999999</v>
      </c>
      <c r="BB240">
        <v>9.9987000000000006E-2</v>
      </c>
      <c r="BC240">
        <v>25.904299999999999</v>
      </c>
      <c r="BD240">
        <v>26.9985</v>
      </c>
      <c r="BE240">
        <v>26.994599999999998</v>
      </c>
      <c r="BF240">
        <v>0</v>
      </c>
      <c r="BG240">
        <v>0</v>
      </c>
      <c r="BH240">
        <v>9995.6200000000008</v>
      </c>
      <c r="BI240">
        <v>1068.74</v>
      </c>
      <c r="BJ240">
        <v>1.4016500000000001</v>
      </c>
      <c r="BK240">
        <v>-422.87</v>
      </c>
      <c r="BL240">
        <v>387.245</v>
      </c>
      <c r="BM240">
        <v>800.06600000000003</v>
      </c>
      <c r="BN240">
        <v>26.108799999999999</v>
      </c>
      <c r="BO240">
        <v>799.94600000000003</v>
      </c>
      <c r="BP240">
        <v>0.15046200000000001</v>
      </c>
      <c r="BQ240">
        <v>2.5880299999999998</v>
      </c>
      <c r="BR240">
        <v>1.4829E-2</v>
      </c>
      <c r="BS240">
        <v>21.591000000000001</v>
      </c>
      <c r="BT240">
        <v>-42.266100000000002</v>
      </c>
      <c r="BU240">
        <v>1800</v>
      </c>
      <c r="BV240">
        <v>0.91000400000000004</v>
      </c>
      <c r="BW240">
        <v>3.3994099999999999E-2</v>
      </c>
      <c r="BX240">
        <v>2.2001400000000001E-2</v>
      </c>
      <c r="BY240">
        <v>3.4000200000000001E-2</v>
      </c>
      <c r="BZ240">
        <v>25</v>
      </c>
      <c r="CA240">
        <v>33528.400000000001</v>
      </c>
      <c r="CB240">
        <v>1690387638</v>
      </c>
      <c r="CC240" t="s">
        <v>332</v>
      </c>
      <c r="CD240">
        <v>1690387638</v>
      </c>
      <c r="CE240">
        <v>1690387638</v>
      </c>
      <c r="CF240">
        <v>6</v>
      </c>
      <c r="CG240">
        <v>0.43</v>
      </c>
      <c r="CH240">
        <v>-8.1000000000000003E-2</v>
      </c>
      <c r="CI240">
        <v>0.14199999999999999</v>
      </c>
      <c r="CJ240">
        <v>-2.7E-2</v>
      </c>
      <c r="CK240">
        <v>800</v>
      </c>
      <c r="CL240">
        <v>0</v>
      </c>
      <c r="CM240">
        <v>0.01</v>
      </c>
      <c r="CN240">
        <v>0.01</v>
      </c>
      <c r="CO240">
        <v>-422.97041463414632</v>
      </c>
      <c r="CP240">
        <v>-0.35979094076684809</v>
      </c>
      <c r="CQ240">
        <v>8.7364662055581535E-2</v>
      </c>
      <c r="CR240">
        <v>-1</v>
      </c>
      <c r="CS240">
        <v>26.099168292682929</v>
      </c>
      <c r="CT240">
        <v>6.7135191637620259E-2</v>
      </c>
      <c r="CU240">
        <v>6.7288037216205144E-3</v>
      </c>
      <c r="CV240">
        <v>-1</v>
      </c>
      <c r="CW240">
        <v>0</v>
      </c>
      <c r="CX240">
        <v>0</v>
      </c>
      <c r="CY240" t="s">
        <v>333</v>
      </c>
      <c r="CZ240">
        <v>2.3647399999999998</v>
      </c>
      <c r="DA240">
        <v>2.7137699999999998</v>
      </c>
      <c r="DB240">
        <v>8.50606E-2</v>
      </c>
      <c r="DC240">
        <v>0.14532300000000001</v>
      </c>
      <c r="DD240">
        <v>0.12077</v>
      </c>
      <c r="DE240">
        <v>1.26212E-3</v>
      </c>
      <c r="DF240">
        <v>33437.599999999999</v>
      </c>
      <c r="DG240">
        <v>27583.4</v>
      </c>
      <c r="DH240">
        <v>31198.3</v>
      </c>
      <c r="DI240">
        <v>28121.3</v>
      </c>
      <c r="DJ240">
        <v>37234.6</v>
      </c>
      <c r="DK240">
        <v>39948.199999999997</v>
      </c>
      <c r="DL240">
        <v>44403.3</v>
      </c>
      <c r="DM240">
        <v>42625.2</v>
      </c>
      <c r="DN240">
        <v>1.4769000000000001</v>
      </c>
      <c r="DO240">
        <v>2.0315699999999999</v>
      </c>
      <c r="DP240">
        <v>0.14318500000000001</v>
      </c>
      <c r="DQ240">
        <v>0.14616499999999999</v>
      </c>
      <c r="DR240">
        <v>24.6524</v>
      </c>
      <c r="DS240">
        <v>24.599499999999999</v>
      </c>
      <c r="DT240">
        <v>20.7</v>
      </c>
      <c r="DU240">
        <v>29.4</v>
      </c>
      <c r="DV240">
        <v>8.6455099999999998</v>
      </c>
      <c r="DW240">
        <v>61.182299999999998</v>
      </c>
      <c r="DX240">
        <v>37.075299999999999</v>
      </c>
      <c r="DY240">
        <v>1</v>
      </c>
      <c r="DZ240">
        <v>-0.120798</v>
      </c>
      <c r="EA240">
        <v>0.10313700000000001</v>
      </c>
      <c r="EB240">
        <v>20.189900000000002</v>
      </c>
      <c r="EC240">
        <v>5.2411000000000003</v>
      </c>
      <c r="ED240">
        <v>12.039899999999999</v>
      </c>
      <c r="EE240">
        <v>5.0167999999999999</v>
      </c>
      <c r="EF240">
        <v>3.2879999999999998</v>
      </c>
      <c r="EG240">
        <v>9999</v>
      </c>
      <c r="EH240">
        <v>9999</v>
      </c>
      <c r="EI240">
        <v>9999</v>
      </c>
      <c r="EJ240">
        <v>999.9</v>
      </c>
      <c r="EK240">
        <v>1.8689100000000001</v>
      </c>
      <c r="EL240">
        <v>1.8646199999999999</v>
      </c>
      <c r="EM240">
        <v>1.86921</v>
      </c>
      <c r="EN240">
        <v>1.8672200000000001</v>
      </c>
      <c r="EO240">
        <v>1.8633900000000001</v>
      </c>
      <c r="EP240">
        <v>1.8644700000000001</v>
      </c>
      <c r="EQ240">
        <v>1.8701300000000001</v>
      </c>
      <c r="ER240">
        <v>1.8693599999999999</v>
      </c>
      <c r="ES240">
        <v>0</v>
      </c>
      <c r="ET240">
        <v>0</v>
      </c>
      <c r="EU240">
        <v>0</v>
      </c>
      <c r="EV240">
        <v>0</v>
      </c>
      <c r="EW240" t="s">
        <v>334</v>
      </c>
      <c r="EX240" t="s">
        <v>335</v>
      </c>
      <c r="EY240" t="s">
        <v>336</v>
      </c>
      <c r="EZ240" t="s">
        <v>336</v>
      </c>
      <c r="FA240" t="s">
        <v>336</v>
      </c>
      <c r="FB240" t="s">
        <v>336</v>
      </c>
      <c r="FC240">
        <v>0</v>
      </c>
      <c r="FD240">
        <v>100</v>
      </c>
      <c r="FE240">
        <v>100</v>
      </c>
      <c r="FF240">
        <v>0.441</v>
      </c>
      <c r="FG240">
        <v>0.19839999999999999</v>
      </c>
      <c r="FH240">
        <v>0.69281559908863044</v>
      </c>
      <c r="FI240">
        <v>-6.1462078757559423E-4</v>
      </c>
      <c r="FJ240">
        <v>-1.8861989874597051E-7</v>
      </c>
      <c r="FK240">
        <v>1.1980462299894961E-10</v>
      </c>
      <c r="FL240">
        <v>0.19840465858211129</v>
      </c>
      <c r="FM240">
        <v>0</v>
      </c>
      <c r="FN240">
        <v>0</v>
      </c>
      <c r="FO240">
        <v>0</v>
      </c>
      <c r="FP240">
        <v>3</v>
      </c>
      <c r="FQ240">
        <v>2158</v>
      </c>
      <c r="FR240">
        <v>1</v>
      </c>
      <c r="FS240">
        <v>19</v>
      </c>
      <c r="FT240">
        <v>48</v>
      </c>
      <c r="FU240">
        <v>48</v>
      </c>
      <c r="FV240">
        <v>1.7626999999999999</v>
      </c>
      <c r="FW240">
        <v>2.5793499999999998</v>
      </c>
      <c r="FX240">
        <v>1.5490699999999999</v>
      </c>
      <c r="FY240">
        <v>2.33521</v>
      </c>
      <c r="FZ240">
        <v>1.50146</v>
      </c>
      <c r="GA240">
        <v>2.3730500000000001</v>
      </c>
      <c r="GB240">
        <v>33.625399999999999</v>
      </c>
      <c r="GC240">
        <v>23.991199999999999</v>
      </c>
      <c r="GD240">
        <v>19</v>
      </c>
      <c r="GE240">
        <v>281.71800000000002</v>
      </c>
      <c r="GF240">
        <v>575.43799999999999</v>
      </c>
      <c r="GG240">
        <v>24.076699999999999</v>
      </c>
      <c r="GH240">
        <v>25.892600000000002</v>
      </c>
      <c r="GI240">
        <v>29.9999</v>
      </c>
      <c r="GJ240">
        <v>26.020800000000001</v>
      </c>
      <c r="GK240">
        <v>26.002400000000002</v>
      </c>
      <c r="GL240">
        <v>35.248800000000003</v>
      </c>
      <c r="GM240">
        <v>100</v>
      </c>
      <c r="GN240">
        <v>0</v>
      </c>
      <c r="GO240">
        <v>24.094200000000001</v>
      </c>
      <c r="GP240">
        <v>800</v>
      </c>
      <c r="GQ240">
        <v>0</v>
      </c>
      <c r="GR240">
        <v>99.828100000000006</v>
      </c>
      <c r="GS240">
        <v>99.712299999999999</v>
      </c>
    </row>
    <row r="241" spans="1:201" x14ac:dyDescent="0.25">
      <c r="A241">
        <v>225</v>
      </c>
      <c r="B241">
        <v>1690390526</v>
      </c>
      <c r="C241">
        <v>2267.5</v>
      </c>
      <c r="D241" t="s">
        <v>783</v>
      </c>
      <c r="E241" t="s">
        <v>784</v>
      </c>
      <c r="F241" t="s">
        <v>330</v>
      </c>
      <c r="H241">
        <v>1690390526</v>
      </c>
      <c r="I241">
        <f t="shared" si="90"/>
        <v>2.5304142072203172E-3</v>
      </c>
      <c r="J241">
        <f t="shared" si="91"/>
        <v>2.5304142072203173</v>
      </c>
      <c r="K241">
        <f t="shared" si="92"/>
        <v>38.964090510163388</v>
      </c>
      <c r="L241">
        <f t="shared" si="93"/>
        <v>377.024</v>
      </c>
      <c r="M241">
        <f t="shared" si="94"/>
        <v>109.85042102043164</v>
      </c>
      <c r="N241">
        <f t="shared" si="95"/>
        <v>10.837446230511869</v>
      </c>
      <c r="O241">
        <f t="shared" si="96"/>
        <v>37.195827650515199</v>
      </c>
      <c r="P241">
        <f t="shared" si="97"/>
        <v>0.25006193508636976</v>
      </c>
      <c r="Q241">
        <f t="shared" si="98"/>
        <v>2.1544044220225285</v>
      </c>
      <c r="R241">
        <f t="shared" si="99"/>
        <v>0.23498372096088971</v>
      </c>
      <c r="S241">
        <f t="shared" si="100"/>
        <v>0.14814371854198705</v>
      </c>
      <c r="T241">
        <f t="shared" si="101"/>
        <v>276.11381030786504</v>
      </c>
      <c r="U241">
        <f t="shared" si="102"/>
        <v>27.191197487964356</v>
      </c>
      <c r="V241">
        <f t="shared" si="103"/>
        <v>27.191197487964356</v>
      </c>
      <c r="W241">
        <f t="shared" si="104"/>
        <v>3.6195494086307747</v>
      </c>
      <c r="X241">
        <f t="shared" si="105"/>
        <v>77.220484219711366</v>
      </c>
      <c r="Y241">
        <f t="shared" si="106"/>
        <v>2.5906083397664696</v>
      </c>
      <c r="Z241">
        <f t="shared" si="107"/>
        <v>3.3548201179308181</v>
      </c>
      <c r="AA241">
        <f t="shared" si="108"/>
        <v>1.028941068864305</v>
      </c>
      <c r="AB241">
        <f t="shared" si="109"/>
        <v>-111.59126653841599</v>
      </c>
      <c r="AC241">
        <f t="shared" si="110"/>
        <v>-149.69157437811421</v>
      </c>
      <c r="AD241">
        <f t="shared" si="111"/>
        <v>-14.927166941427021</v>
      </c>
      <c r="AE241">
        <f t="shared" si="112"/>
        <v>-9.6197550092171014E-2</v>
      </c>
      <c r="AF241">
        <v>0</v>
      </c>
      <c r="AG241">
        <v>0</v>
      </c>
      <c r="AH241">
        <f t="shared" si="113"/>
        <v>1</v>
      </c>
      <c r="AI241">
        <f t="shared" si="114"/>
        <v>0</v>
      </c>
      <c r="AJ241">
        <f t="shared" si="115"/>
        <v>52211.114339320957</v>
      </c>
      <c r="AK241">
        <f t="shared" si="116"/>
        <v>1799.99</v>
      </c>
      <c r="AL241">
        <f t="shared" si="117"/>
        <v>1499.1051637917101</v>
      </c>
      <c r="AM241">
        <f t="shared" si="118"/>
        <v>0.832840829</v>
      </c>
      <c r="AN241">
        <f t="shared" si="119"/>
        <v>0.15339741348999997</v>
      </c>
      <c r="AO241">
        <v>31.8</v>
      </c>
      <c r="AP241">
        <v>0.5</v>
      </c>
      <c r="AQ241" t="s">
        <v>331</v>
      </c>
      <c r="AR241">
        <v>2</v>
      </c>
      <c r="AS241">
        <v>1690390526</v>
      </c>
      <c r="AT241">
        <v>377.024</v>
      </c>
      <c r="AU241">
        <v>800.00800000000004</v>
      </c>
      <c r="AV241">
        <v>26.258900000000001</v>
      </c>
      <c r="AW241">
        <v>0.149974</v>
      </c>
      <c r="AX241">
        <v>376.58300000000003</v>
      </c>
      <c r="AY241">
        <v>26.060500000000001</v>
      </c>
      <c r="AZ241">
        <v>300.10500000000002</v>
      </c>
      <c r="BA241">
        <v>98.556399999999996</v>
      </c>
      <c r="BB241">
        <v>9.9992300000000006E-2</v>
      </c>
      <c r="BC241">
        <v>25.9024</v>
      </c>
      <c r="BD241">
        <v>27.0014</v>
      </c>
      <c r="BE241">
        <v>27.0274</v>
      </c>
      <c r="BF241">
        <v>0</v>
      </c>
      <c r="BG241">
        <v>0</v>
      </c>
      <c r="BH241">
        <v>9981.25</v>
      </c>
      <c r="BI241">
        <v>1068.73</v>
      </c>
      <c r="BJ241">
        <v>1.4016500000000001</v>
      </c>
      <c r="BK241">
        <v>-422.98399999999998</v>
      </c>
      <c r="BL241">
        <v>387.19200000000001</v>
      </c>
      <c r="BM241">
        <v>800.12800000000004</v>
      </c>
      <c r="BN241">
        <v>26.108899999999998</v>
      </c>
      <c r="BO241">
        <v>800.00800000000004</v>
      </c>
      <c r="BP241">
        <v>0.149974</v>
      </c>
      <c r="BQ241">
        <v>2.5879799999999999</v>
      </c>
      <c r="BR241">
        <v>1.47809E-2</v>
      </c>
      <c r="BS241">
        <v>21.590599999999998</v>
      </c>
      <c r="BT241">
        <v>-42.296599999999998</v>
      </c>
      <c r="BU241">
        <v>1799.99</v>
      </c>
      <c r="BV241">
        <v>0.91000499999999995</v>
      </c>
      <c r="BW241">
        <v>3.3993799999999998E-2</v>
      </c>
      <c r="BX241">
        <v>2.2001199999999999E-2</v>
      </c>
      <c r="BY241">
        <v>3.39999E-2</v>
      </c>
      <c r="BZ241">
        <v>25</v>
      </c>
      <c r="CA241">
        <v>33528.300000000003</v>
      </c>
      <c r="CB241">
        <v>1690387638</v>
      </c>
      <c r="CC241" t="s">
        <v>332</v>
      </c>
      <c r="CD241">
        <v>1690387638</v>
      </c>
      <c r="CE241">
        <v>1690387638</v>
      </c>
      <c r="CF241">
        <v>6</v>
      </c>
      <c r="CG241">
        <v>0.43</v>
      </c>
      <c r="CH241">
        <v>-8.1000000000000003E-2</v>
      </c>
      <c r="CI241">
        <v>0.14199999999999999</v>
      </c>
      <c r="CJ241">
        <v>-2.7E-2</v>
      </c>
      <c r="CK241">
        <v>800</v>
      </c>
      <c r="CL241">
        <v>0</v>
      </c>
      <c r="CM241">
        <v>0.01</v>
      </c>
      <c r="CN241">
        <v>0.01</v>
      </c>
      <c r="CO241">
        <v>-422.97709756097572</v>
      </c>
      <c r="CP241">
        <v>0.52551219512251846</v>
      </c>
      <c r="CQ241">
        <v>8.1445718831638148E-2</v>
      </c>
      <c r="CR241">
        <v>-1</v>
      </c>
      <c r="CS241">
        <v>26.106975609756098</v>
      </c>
      <c r="CT241">
        <v>2.5657839721347098E-2</v>
      </c>
      <c r="CU241">
        <v>3.178186358701643E-3</v>
      </c>
      <c r="CV241">
        <v>-1</v>
      </c>
      <c r="CW241">
        <v>0</v>
      </c>
      <c r="CX241">
        <v>0</v>
      </c>
      <c r="CY241" t="s">
        <v>333</v>
      </c>
      <c r="CZ241">
        <v>2.36483</v>
      </c>
      <c r="DA241">
        <v>2.7137699999999998</v>
      </c>
      <c r="DB241">
        <v>8.5051199999999993E-2</v>
      </c>
      <c r="DC241">
        <v>0.14532999999999999</v>
      </c>
      <c r="DD241">
        <v>0.120768</v>
      </c>
      <c r="DE241">
        <v>1.2580600000000001E-3</v>
      </c>
      <c r="DF241">
        <v>33438.199999999997</v>
      </c>
      <c r="DG241">
        <v>27583.1</v>
      </c>
      <c r="DH241">
        <v>31198.6</v>
      </c>
      <c r="DI241">
        <v>28121.200000000001</v>
      </c>
      <c r="DJ241">
        <v>37235.1</v>
      </c>
      <c r="DK241">
        <v>39948.199999999997</v>
      </c>
      <c r="DL241">
        <v>44403.8</v>
      </c>
      <c r="DM241">
        <v>42625</v>
      </c>
      <c r="DN241">
        <v>1.47725</v>
      </c>
      <c r="DO241">
        <v>2.0315500000000002</v>
      </c>
      <c r="DP241">
        <v>0.143424</v>
      </c>
      <c r="DQ241">
        <v>0.14817</v>
      </c>
      <c r="DR241">
        <v>24.651299999999999</v>
      </c>
      <c r="DS241">
        <v>24.599499999999999</v>
      </c>
      <c r="DT241">
        <v>20.6</v>
      </c>
      <c r="DU241">
        <v>29.4</v>
      </c>
      <c r="DV241">
        <v>8.6030300000000004</v>
      </c>
      <c r="DW241">
        <v>61.022300000000001</v>
      </c>
      <c r="DX241">
        <v>37.323700000000002</v>
      </c>
      <c r="DY241">
        <v>1</v>
      </c>
      <c r="DZ241">
        <v>-0.12098100000000001</v>
      </c>
      <c r="EA241">
        <v>9.2170500000000002E-2</v>
      </c>
      <c r="EB241">
        <v>20.190200000000001</v>
      </c>
      <c r="EC241">
        <v>5.24125</v>
      </c>
      <c r="ED241">
        <v>12.039899999999999</v>
      </c>
      <c r="EE241">
        <v>5.0169499999999996</v>
      </c>
      <c r="EF241">
        <v>3.2879999999999998</v>
      </c>
      <c r="EG241">
        <v>9999</v>
      </c>
      <c r="EH241">
        <v>9999</v>
      </c>
      <c r="EI241">
        <v>9999</v>
      </c>
      <c r="EJ241">
        <v>999.9</v>
      </c>
      <c r="EK241">
        <v>1.8689</v>
      </c>
      <c r="EL241">
        <v>1.8646</v>
      </c>
      <c r="EM241">
        <v>1.8692</v>
      </c>
      <c r="EN241">
        <v>1.8672200000000001</v>
      </c>
      <c r="EO241">
        <v>1.8633500000000001</v>
      </c>
      <c r="EP241">
        <v>1.8644700000000001</v>
      </c>
      <c r="EQ241">
        <v>1.8701399999999999</v>
      </c>
      <c r="ER241">
        <v>1.8693599999999999</v>
      </c>
      <c r="ES241">
        <v>0</v>
      </c>
      <c r="ET241">
        <v>0</v>
      </c>
      <c r="EU241">
        <v>0</v>
      </c>
      <c r="EV241">
        <v>0</v>
      </c>
      <c r="EW241" t="s">
        <v>334</v>
      </c>
      <c r="EX241" t="s">
        <v>335</v>
      </c>
      <c r="EY241" t="s">
        <v>336</v>
      </c>
      <c r="EZ241" t="s">
        <v>336</v>
      </c>
      <c r="FA241" t="s">
        <v>336</v>
      </c>
      <c r="FB241" t="s">
        <v>336</v>
      </c>
      <c r="FC241">
        <v>0</v>
      </c>
      <c r="FD241">
        <v>100</v>
      </c>
      <c r="FE241">
        <v>100</v>
      </c>
      <c r="FF241">
        <v>0.441</v>
      </c>
      <c r="FG241">
        <v>0.19839999999999999</v>
      </c>
      <c r="FH241">
        <v>0.69281559908863044</v>
      </c>
      <c r="FI241">
        <v>-6.1462078757559423E-4</v>
      </c>
      <c r="FJ241">
        <v>-1.8861989874597051E-7</v>
      </c>
      <c r="FK241">
        <v>1.1980462299894961E-10</v>
      </c>
      <c r="FL241">
        <v>0.19840465858211129</v>
      </c>
      <c r="FM241">
        <v>0</v>
      </c>
      <c r="FN241">
        <v>0</v>
      </c>
      <c r="FO241">
        <v>0</v>
      </c>
      <c r="FP241">
        <v>3</v>
      </c>
      <c r="FQ241">
        <v>2158</v>
      </c>
      <c r="FR241">
        <v>1</v>
      </c>
      <c r="FS241">
        <v>19</v>
      </c>
      <c r="FT241">
        <v>48.1</v>
      </c>
      <c r="FU241">
        <v>48.1</v>
      </c>
      <c r="FV241">
        <v>1.7626999999999999</v>
      </c>
      <c r="FW241">
        <v>2.5878899999999998</v>
      </c>
      <c r="FX241">
        <v>1.5490699999999999</v>
      </c>
      <c r="FY241">
        <v>2.33521</v>
      </c>
      <c r="FZ241">
        <v>1.50146</v>
      </c>
      <c r="GA241">
        <v>2.2851599999999999</v>
      </c>
      <c r="GB241">
        <v>33.625399999999999</v>
      </c>
      <c r="GC241">
        <v>23.982399999999998</v>
      </c>
      <c r="GD241">
        <v>19</v>
      </c>
      <c r="GE241">
        <v>281.86599999999999</v>
      </c>
      <c r="GF241">
        <v>575.41800000000001</v>
      </c>
      <c r="GG241">
        <v>24.099299999999999</v>
      </c>
      <c r="GH241">
        <v>25.892600000000002</v>
      </c>
      <c r="GI241">
        <v>30.0002</v>
      </c>
      <c r="GJ241">
        <v>26.020800000000001</v>
      </c>
      <c r="GK241">
        <v>26.002400000000002</v>
      </c>
      <c r="GL241">
        <v>35.249000000000002</v>
      </c>
      <c r="GM241">
        <v>100</v>
      </c>
      <c r="GN241">
        <v>0</v>
      </c>
      <c r="GO241">
        <v>24.109400000000001</v>
      </c>
      <c r="GP241">
        <v>800</v>
      </c>
      <c r="GQ241">
        <v>0</v>
      </c>
      <c r="GR241">
        <v>99.829099999999997</v>
      </c>
      <c r="GS241">
        <v>99.712000000000003</v>
      </c>
    </row>
    <row r="242" spans="1:201" x14ac:dyDescent="0.25">
      <c r="A242">
        <v>226</v>
      </c>
      <c r="B242">
        <v>1690390536</v>
      </c>
      <c r="C242">
        <v>2277.5</v>
      </c>
      <c r="D242" t="s">
        <v>785</v>
      </c>
      <c r="E242" t="s">
        <v>786</v>
      </c>
      <c r="F242" t="s">
        <v>330</v>
      </c>
      <c r="H242">
        <v>1690390536</v>
      </c>
      <c r="I242">
        <f t="shared" si="90"/>
        <v>2.5316732354026227E-3</v>
      </c>
      <c r="J242">
        <f t="shared" si="91"/>
        <v>2.5316732354026228</v>
      </c>
      <c r="K242">
        <f t="shared" si="92"/>
        <v>38.973733343060736</v>
      </c>
      <c r="L242">
        <f t="shared" si="93"/>
        <v>376.94600000000003</v>
      </c>
      <c r="M242">
        <f t="shared" si="94"/>
        <v>109.97222312882346</v>
      </c>
      <c r="N242">
        <f t="shared" si="95"/>
        <v>10.849725367777506</v>
      </c>
      <c r="O242">
        <f t="shared" si="96"/>
        <v>37.189032485880006</v>
      </c>
      <c r="P242">
        <f t="shared" si="97"/>
        <v>0.25032349249872293</v>
      </c>
      <c r="Q242">
        <f t="shared" si="98"/>
        <v>2.1548075798165467</v>
      </c>
      <c r="R242">
        <f t="shared" si="99"/>
        <v>0.23521738541467815</v>
      </c>
      <c r="S242">
        <f t="shared" si="100"/>
        <v>0.14829206345171025</v>
      </c>
      <c r="T242">
        <f t="shared" si="101"/>
        <v>276.11392709121634</v>
      </c>
      <c r="U242">
        <f t="shared" si="102"/>
        <v>27.192941339141914</v>
      </c>
      <c r="V242">
        <f t="shared" si="103"/>
        <v>27.192941339141914</v>
      </c>
      <c r="W242">
        <f t="shared" si="104"/>
        <v>3.6199196134750018</v>
      </c>
      <c r="X242">
        <f t="shared" si="105"/>
        <v>77.235196327801518</v>
      </c>
      <c r="Y242">
        <f t="shared" si="106"/>
        <v>2.5914701742599999</v>
      </c>
      <c r="Z242">
        <f t="shared" si="107"/>
        <v>3.355296933876216</v>
      </c>
      <c r="AA242">
        <f t="shared" si="108"/>
        <v>1.0284494392150019</v>
      </c>
      <c r="AB242">
        <f t="shared" si="109"/>
        <v>-111.64678968125565</v>
      </c>
      <c r="AC242">
        <f t="shared" si="110"/>
        <v>-149.64336164724529</v>
      </c>
      <c r="AD242">
        <f t="shared" si="111"/>
        <v>-14.919876786600252</v>
      </c>
      <c r="AE242">
        <f t="shared" si="112"/>
        <v>-9.6101023884841652E-2</v>
      </c>
      <c r="AF242">
        <v>0</v>
      </c>
      <c r="AG242">
        <v>0</v>
      </c>
      <c r="AH242">
        <f t="shared" si="113"/>
        <v>1</v>
      </c>
      <c r="AI242">
        <f t="shared" si="114"/>
        <v>0</v>
      </c>
      <c r="AJ242">
        <f t="shared" si="115"/>
        <v>52227.624055788983</v>
      </c>
      <c r="AK242">
        <f t="shared" si="116"/>
        <v>1799.99</v>
      </c>
      <c r="AL242">
        <f t="shared" si="117"/>
        <v>1499.1059971870798</v>
      </c>
      <c r="AM242">
        <f t="shared" si="118"/>
        <v>0.8328412919999999</v>
      </c>
      <c r="AN242">
        <f t="shared" si="119"/>
        <v>0.15339747837000001</v>
      </c>
      <c r="AO242">
        <v>31.8</v>
      </c>
      <c r="AP242">
        <v>0.5</v>
      </c>
      <c r="AQ242" t="s">
        <v>331</v>
      </c>
      <c r="AR242">
        <v>2</v>
      </c>
      <c r="AS242">
        <v>1690390536</v>
      </c>
      <c r="AT242">
        <v>376.94600000000003</v>
      </c>
      <c r="AU242">
        <v>799.95899999999995</v>
      </c>
      <c r="AV242">
        <v>26.266999999999999</v>
      </c>
      <c r="AW242">
        <v>0.15</v>
      </c>
      <c r="AX242">
        <v>376.505</v>
      </c>
      <c r="AY242">
        <v>26.0686</v>
      </c>
      <c r="AZ242">
        <v>300.15899999999999</v>
      </c>
      <c r="BA242">
        <v>98.558700000000002</v>
      </c>
      <c r="BB242">
        <v>0.10008</v>
      </c>
      <c r="BC242">
        <v>25.904800000000002</v>
      </c>
      <c r="BD242">
        <v>27.002600000000001</v>
      </c>
      <c r="BE242">
        <v>27.0379</v>
      </c>
      <c r="BF242">
        <v>0</v>
      </c>
      <c r="BG242">
        <v>0</v>
      </c>
      <c r="BH242">
        <v>9984.3799999999992</v>
      </c>
      <c r="BI242">
        <v>1068.69</v>
      </c>
      <c r="BJ242">
        <v>1.4016500000000001</v>
      </c>
      <c r="BK242">
        <v>-423.01299999999998</v>
      </c>
      <c r="BL242">
        <v>387.11500000000001</v>
      </c>
      <c r="BM242">
        <v>800.07899999999995</v>
      </c>
      <c r="BN242">
        <v>26.117000000000001</v>
      </c>
      <c r="BO242">
        <v>799.95899999999995</v>
      </c>
      <c r="BP242">
        <v>0.15</v>
      </c>
      <c r="BQ242">
        <v>2.5888399999999998</v>
      </c>
      <c r="BR242">
        <v>1.47838E-2</v>
      </c>
      <c r="BS242">
        <v>21.5961</v>
      </c>
      <c r="BT242">
        <v>-42.294800000000002</v>
      </c>
      <c r="BU242">
        <v>1799.99</v>
      </c>
      <c r="BV242">
        <v>0.91000599999999998</v>
      </c>
      <c r="BW242">
        <v>3.3993599999999999E-2</v>
      </c>
      <c r="BX242">
        <v>2.2001099999999999E-2</v>
      </c>
      <c r="BY242">
        <v>3.3999700000000001E-2</v>
      </c>
      <c r="BZ242">
        <v>25</v>
      </c>
      <c r="CA242">
        <v>33528.300000000003</v>
      </c>
      <c r="CB242">
        <v>1690387638</v>
      </c>
      <c r="CC242" t="s">
        <v>332</v>
      </c>
      <c r="CD242">
        <v>1690387638</v>
      </c>
      <c r="CE242">
        <v>1690387638</v>
      </c>
      <c r="CF242">
        <v>6</v>
      </c>
      <c r="CG242">
        <v>0.43</v>
      </c>
      <c r="CH242">
        <v>-8.1000000000000003E-2</v>
      </c>
      <c r="CI242">
        <v>0.14199999999999999</v>
      </c>
      <c r="CJ242">
        <v>-2.7E-2</v>
      </c>
      <c r="CK242">
        <v>800</v>
      </c>
      <c r="CL242">
        <v>0</v>
      </c>
      <c r="CM242">
        <v>0.01</v>
      </c>
      <c r="CN242">
        <v>0.01</v>
      </c>
      <c r="CO242">
        <v>-422.96962500000001</v>
      </c>
      <c r="CP242">
        <v>-0.58157223264422431</v>
      </c>
      <c r="CQ242">
        <v>6.2302362515396482E-2</v>
      </c>
      <c r="CR242">
        <v>-1</v>
      </c>
      <c r="CS242">
        <v>26.110125</v>
      </c>
      <c r="CT242">
        <v>1.803151969973572E-2</v>
      </c>
      <c r="CU242">
        <v>2.5644443842671671E-3</v>
      </c>
      <c r="CV242">
        <v>-1</v>
      </c>
      <c r="CW242">
        <v>0</v>
      </c>
      <c r="CX242">
        <v>0</v>
      </c>
      <c r="CY242" t="s">
        <v>333</v>
      </c>
      <c r="CZ242">
        <v>2.3650099999999998</v>
      </c>
      <c r="DA242">
        <v>2.7138599999999999</v>
      </c>
      <c r="DB242">
        <v>8.5039400000000001E-2</v>
      </c>
      <c r="DC242">
        <v>0.14532800000000001</v>
      </c>
      <c r="DD242">
        <v>0.120797</v>
      </c>
      <c r="DE242">
        <v>1.2583E-3</v>
      </c>
      <c r="DF242">
        <v>33438.1</v>
      </c>
      <c r="DG242">
        <v>27583.1</v>
      </c>
      <c r="DH242">
        <v>31198.1</v>
      </c>
      <c r="DI242">
        <v>28121.200000000001</v>
      </c>
      <c r="DJ242">
        <v>37233.1</v>
      </c>
      <c r="DK242">
        <v>39948</v>
      </c>
      <c r="DL242">
        <v>44403</v>
      </c>
      <c r="DM242">
        <v>42624.800000000003</v>
      </c>
      <c r="DN242">
        <v>1.4770000000000001</v>
      </c>
      <c r="DO242">
        <v>2.03132</v>
      </c>
      <c r="DP242">
        <v>0.143625</v>
      </c>
      <c r="DQ242">
        <v>0.14884800000000001</v>
      </c>
      <c r="DR242">
        <v>24.6492</v>
      </c>
      <c r="DS242">
        <v>24.599</v>
      </c>
      <c r="DT242">
        <v>20.6</v>
      </c>
      <c r="DU242">
        <v>29.4</v>
      </c>
      <c r="DV242">
        <v>8.6024200000000004</v>
      </c>
      <c r="DW242">
        <v>60.862299999999998</v>
      </c>
      <c r="DX242">
        <v>37.588099999999997</v>
      </c>
      <c r="DY242">
        <v>1</v>
      </c>
      <c r="DZ242">
        <v>-0.12087100000000001</v>
      </c>
      <c r="EA242">
        <v>0.11335000000000001</v>
      </c>
      <c r="EB242">
        <v>20.190100000000001</v>
      </c>
      <c r="EC242">
        <v>5.2409499999999998</v>
      </c>
      <c r="ED242">
        <v>12.039899999999999</v>
      </c>
      <c r="EE242">
        <v>5.0167999999999999</v>
      </c>
      <c r="EF242">
        <v>3.2879999999999998</v>
      </c>
      <c r="EG242">
        <v>9999</v>
      </c>
      <c r="EH242">
        <v>9999</v>
      </c>
      <c r="EI242">
        <v>9999</v>
      </c>
      <c r="EJ242">
        <v>999.9</v>
      </c>
      <c r="EK242">
        <v>1.8689</v>
      </c>
      <c r="EL242">
        <v>1.8646100000000001</v>
      </c>
      <c r="EM242">
        <v>1.8692</v>
      </c>
      <c r="EN242">
        <v>1.8672200000000001</v>
      </c>
      <c r="EO242">
        <v>1.8633599999999999</v>
      </c>
      <c r="EP242">
        <v>1.8644700000000001</v>
      </c>
      <c r="EQ242">
        <v>1.87015</v>
      </c>
      <c r="ER242">
        <v>1.8693500000000001</v>
      </c>
      <c r="ES242">
        <v>0</v>
      </c>
      <c r="ET242">
        <v>0</v>
      </c>
      <c r="EU242">
        <v>0</v>
      </c>
      <c r="EV242">
        <v>0</v>
      </c>
      <c r="EW242" t="s">
        <v>334</v>
      </c>
      <c r="EX242" t="s">
        <v>335</v>
      </c>
      <c r="EY242" t="s">
        <v>336</v>
      </c>
      <c r="EZ242" t="s">
        <v>336</v>
      </c>
      <c r="FA242" t="s">
        <v>336</v>
      </c>
      <c r="FB242" t="s">
        <v>336</v>
      </c>
      <c r="FC242">
        <v>0</v>
      </c>
      <c r="FD242">
        <v>100</v>
      </c>
      <c r="FE242">
        <v>100</v>
      </c>
      <c r="FF242">
        <v>0.441</v>
      </c>
      <c r="FG242">
        <v>0.19839999999999999</v>
      </c>
      <c r="FH242">
        <v>0.69281559908863044</v>
      </c>
      <c r="FI242">
        <v>-6.1462078757559423E-4</v>
      </c>
      <c r="FJ242">
        <v>-1.8861989874597051E-7</v>
      </c>
      <c r="FK242">
        <v>1.1980462299894961E-10</v>
      </c>
      <c r="FL242">
        <v>0.19840465858211129</v>
      </c>
      <c r="FM242">
        <v>0</v>
      </c>
      <c r="FN242">
        <v>0</v>
      </c>
      <c r="FO242">
        <v>0</v>
      </c>
      <c r="FP242">
        <v>3</v>
      </c>
      <c r="FQ242">
        <v>2158</v>
      </c>
      <c r="FR242">
        <v>1</v>
      </c>
      <c r="FS242">
        <v>19</v>
      </c>
      <c r="FT242">
        <v>48.3</v>
      </c>
      <c r="FU242">
        <v>48.3</v>
      </c>
      <c r="FV242">
        <v>1.7626999999999999</v>
      </c>
      <c r="FW242">
        <v>2.5891099999999998</v>
      </c>
      <c r="FX242">
        <v>1.5490699999999999</v>
      </c>
      <c r="FY242">
        <v>2.33521</v>
      </c>
      <c r="FZ242">
        <v>1.50146</v>
      </c>
      <c r="GA242">
        <v>2.2778299999999998</v>
      </c>
      <c r="GB242">
        <v>33.602899999999998</v>
      </c>
      <c r="GC242">
        <v>23.982399999999998</v>
      </c>
      <c r="GD242">
        <v>19</v>
      </c>
      <c r="GE242">
        <v>281.75900000000001</v>
      </c>
      <c r="GF242">
        <v>575.23400000000004</v>
      </c>
      <c r="GG242">
        <v>24.1142</v>
      </c>
      <c r="GH242">
        <v>25.890499999999999</v>
      </c>
      <c r="GI242">
        <v>30.0001</v>
      </c>
      <c r="GJ242">
        <v>26.020800000000001</v>
      </c>
      <c r="GK242">
        <v>26.002400000000002</v>
      </c>
      <c r="GL242">
        <v>35.250300000000003</v>
      </c>
      <c r="GM242">
        <v>100</v>
      </c>
      <c r="GN242">
        <v>0</v>
      </c>
      <c r="GO242">
        <v>24.1128</v>
      </c>
      <c r="GP242">
        <v>800</v>
      </c>
      <c r="GQ242">
        <v>0</v>
      </c>
      <c r="GR242">
        <v>99.827399999999997</v>
      </c>
      <c r="GS242">
        <v>99.711600000000004</v>
      </c>
    </row>
    <row r="243" spans="1:201" x14ac:dyDescent="0.25">
      <c r="A243">
        <v>227</v>
      </c>
      <c r="B243">
        <v>1690390546</v>
      </c>
      <c r="C243">
        <v>2287.5</v>
      </c>
      <c r="D243" t="s">
        <v>787</v>
      </c>
      <c r="E243" t="s">
        <v>788</v>
      </c>
      <c r="F243" t="s">
        <v>330</v>
      </c>
      <c r="H243">
        <v>1690390546</v>
      </c>
      <c r="I243">
        <f t="shared" si="90"/>
        <v>2.5317603644315159E-3</v>
      </c>
      <c r="J243">
        <f t="shared" si="91"/>
        <v>2.5317603644315159</v>
      </c>
      <c r="K243">
        <f t="shared" si="92"/>
        <v>38.964889030693008</v>
      </c>
      <c r="L243">
        <f t="shared" si="93"/>
        <v>377.05200000000002</v>
      </c>
      <c r="M243">
        <f t="shared" si="94"/>
        <v>110.33346876160338</v>
      </c>
      <c r="N243">
        <f t="shared" si="95"/>
        <v>10.884376722974327</v>
      </c>
      <c r="O243">
        <f t="shared" si="96"/>
        <v>37.196111553588004</v>
      </c>
      <c r="P243">
        <f t="shared" si="97"/>
        <v>0.25050572979870467</v>
      </c>
      <c r="Q243">
        <f t="shared" si="98"/>
        <v>2.1572418476511364</v>
      </c>
      <c r="R243">
        <f t="shared" si="99"/>
        <v>0.23539429819178675</v>
      </c>
      <c r="S243">
        <f t="shared" si="100"/>
        <v>0.14840311414777349</v>
      </c>
      <c r="T243">
        <f t="shared" si="101"/>
        <v>276.1138580256</v>
      </c>
      <c r="U243">
        <f t="shared" si="102"/>
        <v>27.190189680969766</v>
      </c>
      <c r="V243">
        <f t="shared" si="103"/>
        <v>27.190189680969766</v>
      </c>
      <c r="W243">
        <f t="shared" si="104"/>
        <v>3.61933547480416</v>
      </c>
      <c r="X243">
        <f t="shared" si="105"/>
        <v>77.248991633327208</v>
      </c>
      <c r="Y243">
        <f t="shared" si="106"/>
        <v>2.5917181797861</v>
      </c>
      <c r="Z243">
        <f t="shared" si="107"/>
        <v>3.3550187840483936</v>
      </c>
      <c r="AA243">
        <f t="shared" si="108"/>
        <v>1.02761729501806</v>
      </c>
      <c r="AB243">
        <f t="shared" si="109"/>
        <v>-111.65063207142985</v>
      </c>
      <c r="AC243">
        <f t="shared" si="110"/>
        <v>-149.65521298503171</v>
      </c>
      <c r="AD243">
        <f t="shared" si="111"/>
        <v>-14.903911233569612</v>
      </c>
      <c r="AE243">
        <f t="shared" si="112"/>
        <v>-9.5898264431184543E-2</v>
      </c>
      <c r="AF243">
        <v>0</v>
      </c>
      <c r="AG243">
        <v>0</v>
      </c>
      <c r="AH243">
        <f t="shared" si="113"/>
        <v>1</v>
      </c>
      <c r="AI243">
        <f t="shared" si="114"/>
        <v>0</v>
      </c>
      <c r="AJ243">
        <f t="shared" si="115"/>
        <v>52329.668722208313</v>
      </c>
      <c r="AK243">
        <f t="shared" si="116"/>
        <v>1799.99</v>
      </c>
      <c r="AL243">
        <f t="shared" si="117"/>
        <v>1499.1057055886999</v>
      </c>
      <c r="AM243">
        <f t="shared" si="118"/>
        <v>0.83284112999999993</v>
      </c>
      <c r="AN243">
        <f t="shared" si="119"/>
        <v>0.15339744</v>
      </c>
      <c r="AO243">
        <v>31.8</v>
      </c>
      <c r="AP243">
        <v>0.5</v>
      </c>
      <c r="AQ243" t="s">
        <v>331</v>
      </c>
      <c r="AR243">
        <v>2</v>
      </c>
      <c r="AS243">
        <v>1690390546</v>
      </c>
      <c r="AT243">
        <v>377.05200000000002</v>
      </c>
      <c r="AU243">
        <v>800.05200000000002</v>
      </c>
      <c r="AV243">
        <v>26.271899999999999</v>
      </c>
      <c r="AW243">
        <v>0.14934600000000001</v>
      </c>
      <c r="AX243">
        <v>376.61099999999999</v>
      </c>
      <c r="AY243">
        <v>26.073499999999999</v>
      </c>
      <c r="AZ243">
        <v>300.10399999999998</v>
      </c>
      <c r="BA243">
        <v>98.549899999999994</v>
      </c>
      <c r="BB243">
        <v>9.9918999999999994E-2</v>
      </c>
      <c r="BC243">
        <v>25.903400000000001</v>
      </c>
      <c r="BD243">
        <v>26.997199999999999</v>
      </c>
      <c r="BE243">
        <v>27.0337</v>
      </c>
      <c r="BF243">
        <v>0</v>
      </c>
      <c r="BG243">
        <v>0</v>
      </c>
      <c r="BH243">
        <v>10005.6</v>
      </c>
      <c r="BI243">
        <v>1068.5899999999999</v>
      </c>
      <c r="BJ243">
        <v>1.4016500000000001</v>
      </c>
      <c r="BK243">
        <v>-422.99900000000002</v>
      </c>
      <c r="BL243">
        <v>387.226</v>
      </c>
      <c r="BM243">
        <v>800.17100000000005</v>
      </c>
      <c r="BN243">
        <v>26.122599999999998</v>
      </c>
      <c r="BO243">
        <v>800.05200000000002</v>
      </c>
      <c r="BP243">
        <v>0.14934600000000001</v>
      </c>
      <c r="BQ243">
        <v>2.5891000000000002</v>
      </c>
      <c r="BR243">
        <v>1.4718E-2</v>
      </c>
      <c r="BS243">
        <v>21.5977</v>
      </c>
      <c r="BT243">
        <v>-42.336500000000001</v>
      </c>
      <c r="BU243">
        <v>1799.99</v>
      </c>
      <c r="BV243">
        <v>0.91000599999999998</v>
      </c>
      <c r="BW243">
        <v>3.3993599999999999E-2</v>
      </c>
      <c r="BX243">
        <v>2.2001E-2</v>
      </c>
      <c r="BY243">
        <v>3.3999599999999998E-2</v>
      </c>
      <c r="BZ243">
        <v>25</v>
      </c>
      <c r="CA243">
        <v>33528.300000000003</v>
      </c>
      <c r="CB243">
        <v>1690387638</v>
      </c>
      <c r="CC243" t="s">
        <v>332</v>
      </c>
      <c r="CD243">
        <v>1690387638</v>
      </c>
      <c r="CE243">
        <v>1690387638</v>
      </c>
      <c r="CF243">
        <v>6</v>
      </c>
      <c r="CG243">
        <v>0.43</v>
      </c>
      <c r="CH243">
        <v>-8.1000000000000003E-2</v>
      </c>
      <c r="CI243">
        <v>0.14199999999999999</v>
      </c>
      <c r="CJ243">
        <v>-2.7E-2</v>
      </c>
      <c r="CK243">
        <v>800</v>
      </c>
      <c r="CL243">
        <v>0</v>
      </c>
      <c r="CM243">
        <v>0.01</v>
      </c>
      <c r="CN243">
        <v>0.01</v>
      </c>
      <c r="CO243">
        <v>-423.00139024390239</v>
      </c>
      <c r="CP243">
        <v>0.1667247386754615</v>
      </c>
      <c r="CQ243">
        <v>3.9182423914854818E-2</v>
      </c>
      <c r="CR243">
        <v>-1</v>
      </c>
      <c r="CS243">
        <v>26.115439024390248</v>
      </c>
      <c r="CT243">
        <v>4.5882229965186171E-2</v>
      </c>
      <c r="CU243">
        <v>4.6881728745689494E-3</v>
      </c>
      <c r="CV243">
        <v>-1</v>
      </c>
      <c r="CW243">
        <v>0</v>
      </c>
      <c r="CX243">
        <v>0</v>
      </c>
      <c r="CY243" t="s">
        <v>333</v>
      </c>
      <c r="CZ243">
        <v>2.3648199999999999</v>
      </c>
      <c r="DA243">
        <v>2.7137099999999998</v>
      </c>
      <c r="DB243">
        <v>8.5050700000000007E-2</v>
      </c>
      <c r="DC243">
        <v>0.14532600000000001</v>
      </c>
      <c r="DD243">
        <v>0.12080200000000001</v>
      </c>
      <c r="DE243">
        <v>1.2527599999999999E-3</v>
      </c>
      <c r="DF243">
        <v>33437.9</v>
      </c>
      <c r="DG243">
        <v>27582.7</v>
      </c>
      <c r="DH243">
        <v>31198.3</v>
      </c>
      <c r="DI243">
        <v>28120.7</v>
      </c>
      <c r="DJ243">
        <v>37233</v>
      </c>
      <c r="DK243">
        <v>39947.599999999999</v>
      </c>
      <c r="DL243">
        <v>44403.1</v>
      </c>
      <c r="DM243">
        <v>42624.1</v>
      </c>
      <c r="DN243">
        <v>1.4766999999999999</v>
      </c>
      <c r="DO243">
        <v>2.0315300000000001</v>
      </c>
      <c r="DP243">
        <v>0.14355000000000001</v>
      </c>
      <c r="DQ243">
        <v>0.14881</v>
      </c>
      <c r="DR243">
        <v>24.645099999999999</v>
      </c>
      <c r="DS243">
        <v>24.595300000000002</v>
      </c>
      <c r="DT243">
        <v>20.6</v>
      </c>
      <c r="DU243">
        <v>29.4</v>
      </c>
      <c r="DV243">
        <v>8.6033799999999996</v>
      </c>
      <c r="DW243">
        <v>60.912300000000002</v>
      </c>
      <c r="DX243">
        <v>36.762799999999999</v>
      </c>
      <c r="DY243">
        <v>1</v>
      </c>
      <c r="DZ243">
        <v>-0.120396</v>
      </c>
      <c r="EA243">
        <v>0.22209400000000001</v>
      </c>
      <c r="EB243">
        <v>20.189699999999998</v>
      </c>
      <c r="EC243">
        <v>5.2415500000000002</v>
      </c>
      <c r="ED243">
        <v>12.039899999999999</v>
      </c>
      <c r="EE243">
        <v>5.0167000000000002</v>
      </c>
      <c r="EF243">
        <v>3.2879999999999998</v>
      </c>
      <c r="EG243">
        <v>9999</v>
      </c>
      <c r="EH243">
        <v>9999</v>
      </c>
      <c r="EI243">
        <v>9999</v>
      </c>
      <c r="EJ243">
        <v>999.9</v>
      </c>
      <c r="EK243">
        <v>1.8689</v>
      </c>
      <c r="EL243">
        <v>1.8646100000000001</v>
      </c>
      <c r="EM243">
        <v>1.8692</v>
      </c>
      <c r="EN243">
        <v>1.8672200000000001</v>
      </c>
      <c r="EO243">
        <v>1.8633500000000001</v>
      </c>
      <c r="EP243">
        <v>1.8644700000000001</v>
      </c>
      <c r="EQ243">
        <v>1.87015</v>
      </c>
      <c r="ER243">
        <v>1.8693500000000001</v>
      </c>
      <c r="ES243">
        <v>0</v>
      </c>
      <c r="ET243">
        <v>0</v>
      </c>
      <c r="EU243">
        <v>0</v>
      </c>
      <c r="EV243">
        <v>0</v>
      </c>
      <c r="EW243" t="s">
        <v>334</v>
      </c>
      <c r="EX243" t="s">
        <v>335</v>
      </c>
      <c r="EY243" t="s">
        <v>336</v>
      </c>
      <c r="EZ243" t="s">
        <v>336</v>
      </c>
      <c r="FA243" t="s">
        <v>336</v>
      </c>
      <c r="FB243" t="s">
        <v>336</v>
      </c>
      <c r="FC243">
        <v>0</v>
      </c>
      <c r="FD243">
        <v>100</v>
      </c>
      <c r="FE243">
        <v>100</v>
      </c>
      <c r="FF243">
        <v>0.441</v>
      </c>
      <c r="FG243">
        <v>0.19839999999999999</v>
      </c>
      <c r="FH243">
        <v>0.69281559908863044</v>
      </c>
      <c r="FI243">
        <v>-6.1462078757559423E-4</v>
      </c>
      <c r="FJ243">
        <v>-1.8861989874597051E-7</v>
      </c>
      <c r="FK243">
        <v>1.1980462299894961E-10</v>
      </c>
      <c r="FL243">
        <v>0.19840465858211129</v>
      </c>
      <c r="FM243">
        <v>0</v>
      </c>
      <c r="FN243">
        <v>0</v>
      </c>
      <c r="FO243">
        <v>0</v>
      </c>
      <c r="FP243">
        <v>3</v>
      </c>
      <c r="FQ243">
        <v>2158</v>
      </c>
      <c r="FR243">
        <v>1</v>
      </c>
      <c r="FS243">
        <v>19</v>
      </c>
      <c r="FT243">
        <v>48.5</v>
      </c>
      <c r="FU243">
        <v>48.5</v>
      </c>
      <c r="FV243">
        <v>1.7626999999999999</v>
      </c>
      <c r="FW243">
        <v>2.5854499999999998</v>
      </c>
      <c r="FX243">
        <v>1.5490699999999999</v>
      </c>
      <c r="FY243">
        <v>2.33521</v>
      </c>
      <c r="FZ243">
        <v>1.50146</v>
      </c>
      <c r="GA243">
        <v>2.3596200000000001</v>
      </c>
      <c r="GB243">
        <v>33.625399999999999</v>
      </c>
      <c r="GC243">
        <v>23.982399999999998</v>
      </c>
      <c r="GD243">
        <v>19</v>
      </c>
      <c r="GE243">
        <v>281.63200000000001</v>
      </c>
      <c r="GF243">
        <v>575.39800000000002</v>
      </c>
      <c r="GG243">
        <v>24.0991</v>
      </c>
      <c r="GH243">
        <v>25.890499999999999</v>
      </c>
      <c r="GI243">
        <v>30.000299999999999</v>
      </c>
      <c r="GJ243">
        <v>26.020800000000001</v>
      </c>
      <c r="GK243">
        <v>26.002400000000002</v>
      </c>
      <c r="GL243">
        <v>35.249699999999997</v>
      </c>
      <c r="GM243">
        <v>100</v>
      </c>
      <c r="GN243">
        <v>0</v>
      </c>
      <c r="GO243">
        <v>24.079699999999999</v>
      </c>
      <c r="GP243">
        <v>800</v>
      </c>
      <c r="GQ243">
        <v>0</v>
      </c>
      <c r="GR243">
        <v>99.8279</v>
      </c>
      <c r="GS243">
        <v>99.71</v>
      </c>
    </row>
    <row r="244" spans="1:201" x14ac:dyDescent="0.25">
      <c r="A244">
        <v>228</v>
      </c>
      <c r="B244">
        <v>1690390556</v>
      </c>
      <c r="C244">
        <v>2297.5</v>
      </c>
      <c r="D244" t="s">
        <v>789</v>
      </c>
      <c r="E244" t="s">
        <v>790</v>
      </c>
      <c r="F244" t="s">
        <v>330</v>
      </c>
      <c r="H244">
        <v>1690390556</v>
      </c>
      <c r="I244">
        <f t="shared" si="90"/>
        <v>2.5311992387316625E-3</v>
      </c>
      <c r="J244">
        <f t="shared" si="91"/>
        <v>2.5311992387316624</v>
      </c>
      <c r="K244">
        <f t="shared" si="92"/>
        <v>38.958668076559853</v>
      </c>
      <c r="L244">
        <f t="shared" si="93"/>
        <v>377.029</v>
      </c>
      <c r="M244">
        <f t="shared" si="94"/>
        <v>110.01682813453954</v>
      </c>
      <c r="N244">
        <f t="shared" si="95"/>
        <v>10.853283754387149</v>
      </c>
      <c r="O244">
        <f t="shared" si="96"/>
        <v>37.194334630596003</v>
      </c>
      <c r="P244">
        <f t="shared" si="97"/>
        <v>0.25017316490186348</v>
      </c>
      <c r="Q244">
        <f t="shared" si="98"/>
        <v>2.1567299078772484</v>
      </c>
      <c r="R244">
        <f t="shared" si="99"/>
        <v>0.23509718807024185</v>
      </c>
      <c r="S244">
        <f t="shared" si="100"/>
        <v>0.14821449080306856</v>
      </c>
      <c r="T244">
        <f t="shared" si="101"/>
        <v>276.11547130799994</v>
      </c>
      <c r="U244">
        <f t="shared" si="102"/>
        <v>27.193270872996894</v>
      </c>
      <c r="V244">
        <f t="shared" si="103"/>
        <v>27.193270872996894</v>
      </c>
      <c r="W244">
        <f t="shared" si="104"/>
        <v>3.6199895744356754</v>
      </c>
      <c r="X244">
        <f t="shared" si="105"/>
        <v>77.224303224413987</v>
      </c>
      <c r="Y244">
        <f t="shared" si="106"/>
        <v>2.5912888043328004</v>
      </c>
      <c r="Z244">
        <f t="shared" si="107"/>
        <v>3.3555353640453185</v>
      </c>
      <c r="AA244">
        <f t="shared" si="108"/>
        <v>1.028700770102875</v>
      </c>
      <c r="AB244">
        <f t="shared" si="109"/>
        <v>-111.62588642806632</v>
      </c>
      <c r="AC244">
        <f t="shared" si="110"/>
        <v>-149.67564791987246</v>
      </c>
      <c r="AD244">
        <f t="shared" si="111"/>
        <v>-14.909908729892569</v>
      </c>
      <c r="AE244">
        <f t="shared" si="112"/>
        <v>-9.5971769831407983E-2</v>
      </c>
      <c r="AF244">
        <v>0</v>
      </c>
      <c r="AG244">
        <v>0</v>
      </c>
      <c r="AH244">
        <f t="shared" si="113"/>
        <v>1</v>
      </c>
      <c r="AI244">
        <f t="shared" si="114"/>
        <v>0</v>
      </c>
      <c r="AJ244">
        <f t="shared" si="115"/>
        <v>52307.780739214832</v>
      </c>
      <c r="AK244">
        <f t="shared" si="116"/>
        <v>1800</v>
      </c>
      <c r="AL244">
        <f t="shared" si="117"/>
        <v>1499.1140358</v>
      </c>
      <c r="AM244">
        <f t="shared" si="118"/>
        <v>0.83284113100000001</v>
      </c>
      <c r="AN244">
        <f t="shared" si="119"/>
        <v>0.15339748405999998</v>
      </c>
      <c r="AO244">
        <v>31.8</v>
      </c>
      <c r="AP244">
        <v>0.5</v>
      </c>
      <c r="AQ244" t="s">
        <v>331</v>
      </c>
      <c r="AR244">
        <v>2</v>
      </c>
      <c r="AS244">
        <v>1690390556</v>
      </c>
      <c r="AT244">
        <v>377.029</v>
      </c>
      <c r="AU244">
        <v>799.98699999999997</v>
      </c>
      <c r="AV244">
        <v>26.267199999999999</v>
      </c>
      <c r="AW244">
        <v>0.14865600000000001</v>
      </c>
      <c r="AX244">
        <v>376.58800000000002</v>
      </c>
      <c r="AY244">
        <v>26.0688</v>
      </c>
      <c r="AZ244">
        <v>300.08499999999998</v>
      </c>
      <c r="BA244">
        <v>98.551100000000005</v>
      </c>
      <c r="BB244">
        <v>0.100024</v>
      </c>
      <c r="BC244">
        <v>25.905999999999999</v>
      </c>
      <c r="BD244">
        <v>27.008199999999999</v>
      </c>
      <c r="BE244">
        <v>27.058900000000001</v>
      </c>
      <c r="BF244">
        <v>0</v>
      </c>
      <c r="BG244">
        <v>0</v>
      </c>
      <c r="BH244">
        <v>10001.200000000001</v>
      </c>
      <c r="BI244">
        <v>1068.74</v>
      </c>
      <c r="BJ244">
        <v>1.4016500000000001</v>
      </c>
      <c r="BK244">
        <v>-422.95800000000003</v>
      </c>
      <c r="BL244">
        <v>387.2</v>
      </c>
      <c r="BM244">
        <v>800.10599999999999</v>
      </c>
      <c r="BN244">
        <v>26.118600000000001</v>
      </c>
      <c r="BO244">
        <v>799.98699999999997</v>
      </c>
      <c r="BP244">
        <v>0.14865600000000001</v>
      </c>
      <c r="BQ244">
        <v>2.58866</v>
      </c>
      <c r="BR244">
        <v>1.46502E-2</v>
      </c>
      <c r="BS244">
        <v>21.594999999999999</v>
      </c>
      <c r="BT244">
        <v>-42.3797</v>
      </c>
      <c r="BU244">
        <v>1800</v>
      </c>
      <c r="BV244">
        <v>0.91000499999999995</v>
      </c>
      <c r="BW244">
        <v>3.3994000000000003E-2</v>
      </c>
      <c r="BX244">
        <v>2.2001300000000001E-2</v>
      </c>
      <c r="BY244">
        <v>3.4000000000000002E-2</v>
      </c>
      <c r="BZ244">
        <v>25</v>
      </c>
      <c r="CA244">
        <v>33528.5</v>
      </c>
      <c r="CB244">
        <v>1690387638</v>
      </c>
      <c r="CC244" t="s">
        <v>332</v>
      </c>
      <c r="CD244">
        <v>1690387638</v>
      </c>
      <c r="CE244">
        <v>1690387638</v>
      </c>
      <c r="CF244">
        <v>6</v>
      </c>
      <c r="CG244">
        <v>0.43</v>
      </c>
      <c r="CH244">
        <v>-8.1000000000000003E-2</v>
      </c>
      <c r="CI244">
        <v>0.14199999999999999</v>
      </c>
      <c r="CJ244">
        <v>-2.7E-2</v>
      </c>
      <c r="CK244">
        <v>800</v>
      </c>
      <c r="CL244">
        <v>0</v>
      </c>
      <c r="CM244">
        <v>0.01</v>
      </c>
      <c r="CN244">
        <v>0.01</v>
      </c>
      <c r="CO244">
        <v>-423.00641463414632</v>
      </c>
      <c r="CP244">
        <v>-0.27071080139383308</v>
      </c>
      <c r="CQ244">
        <v>4.6852115869525868E-2</v>
      </c>
      <c r="CR244">
        <v>-1</v>
      </c>
      <c r="CS244">
        <v>26.119873170731712</v>
      </c>
      <c r="CT244">
        <v>6.2445993031698972E-3</v>
      </c>
      <c r="CU244">
        <v>1.7283891259928109E-3</v>
      </c>
      <c r="CV244">
        <v>-1</v>
      </c>
      <c r="CW244">
        <v>0</v>
      </c>
      <c r="CX244">
        <v>0</v>
      </c>
      <c r="CY244" t="s">
        <v>333</v>
      </c>
      <c r="CZ244">
        <v>2.3647399999999998</v>
      </c>
      <c r="DA244">
        <v>2.7138200000000001</v>
      </c>
      <c r="DB244">
        <v>8.5048100000000001E-2</v>
      </c>
      <c r="DC244">
        <v>0.14532</v>
      </c>
      <c r="DD244">
        <v>0.12078899999999999</v>
      </c>
      <c r="DE244">
        <v>1.24704E-3</v>
      </c>
      <c r="DF244">
        <v>33437.199999999997</v>
      </c>
      <c r="DG244">
        <v>27583.200000000001</v>
      </c>
      <c r="DH244">
        <v>31197.599999999999</v>
      </c>
      <c r="DI244">
        <v>28121.1</v>
      </c>
      <c r="DJ244">
        <v>37232.800000000003</v>
      </c>
      <c r="DK244">
        <v>39948.300000000003</v>
      </c>
      <c r="DL244">
        <v>44402.2</v>
      </c>
      <c r="DM244">
        <v>42624.6</v>
      </c>
      <c r="DN244">
        <v>1.4767999999999999</v>
      </c>
      <c r="DO244">
        <v>2.03172</v>
      </c>
      <c r="DP244">
        <v>0.144318</v>
      </c>
      <c r="DQ244">
        <v>0.15035299999999999</v>
      </c>
      <c r="DR244">
        <v>24.6435</v>
      </c>
      <c r="DS244">
        <v>24.595300000000002</v>
      </c>
      <c r="DT244">
        <v>20.6</v>
      </c>
      <c r="DU244">
        <v>29.4</v>
      </c>
      <c r="DV244">
        <v>8.6025200000000002</v>
      </c>
      <c r="DW244">
        <v>60.962200000000003</v>
      </c>
      <c r="DX244">
        <v>37.8125</v>
      </c>
      <c r="DY244">
        <v>1</v>
      </c>
      <c r="DZ244">
        <v>-0.120503</v>
      </c>
      <c r="EA244">
        <v>0.1386</v>
      </c>
      <c r="EB244">
        <v>20.189800000000002</v>
      </c>
      <c r="EC244">
        <v>5.2413999999999996</v>
      </c>
      <c r="ED244">
        <v>12.039899999999999</v>
      </c>
      <c r="EE244">
        <v>5.01715</v>
      </c>
      <c r="EF244">
        <v>3.2879999999999998</v>
      </c>
      <c r="EG244">
        <v>9999</v>
      </c>
      <c r="EH244">
        <v>9999</v>
      </c>
      <c r="EI244">
        <v>9999</v>
      </c>
      <c r="EJ244">
        <v>999.9</v>
      </c>
      <c r="EK244">
        <v>1.8689</v>
      </c>
      <c r="EL244">
        <v>1.8646199999999999</v>
      </c>
      <c r="EM244">
        <v>1.8692</v>
      </c>
      <c r="EN244">
        <v>1.8672200000000001</v>
      </c>
      <c r="EO244">
        <v>1.86334</v>
      </c>
      <c r="EP244">
        <v>1.8644499999999999</v>
      </c>
      <c r="EQ244">
        <v>1.8701399999999999</v>
      </c>
      <c r="ER244">
        <v>1.8693500000000001</v>
      </c>
      <c r="ES244">
        <v>0</v>
      </c>
      <c r="ET244">
        <v>0</v>
      </c>
      <c r="EU244">
        <v>0</v>
      </c>
      <c r="EV244">
        <v>0</v>
      </c>
      <c r="EW244" t="s">
        <v>334</v>
      </c>
      <c r="EX244" t="s">
        <v>335</v>
      </c>
      <c r="EY244" t="s">
        <v>336</v>
      </c>
      <c r="EZ244" t="s">
        <v>336</v>
      </c>
      <c r="FA244" t="s">
        <v>336</v>
      </c>
      <c r="FB244" t="s">
        <v>336</v>
      </c>
      <c r="FC244">
        <v>0</v>
      </c>
      <c r="FD244">
        <v>100</v>
      </c>
      <c r="FE244">
        <v>100</v>
      </c>
      <c r="FF244">
        <v>0.441</v>
      </c>
      <c r="FG244">
        <v>0.19839999999999999</v>
      </c>
      <c r="FH244">
        <v>0.69281559908863044</v>
      </c>
      <c r="FI244">
        <v>-6.1462078757559423E-4</v>
      </c>
      <c r="FJ244">
        <v>-1.8861989874597051E-7</v>
      </c>
      <c r="FK244">
        <v>1.1980462299894961E-10</v>
      </c>
      <c r="FL244">
        <v>0.19840465858211129</v>
      </c>
      <c r="FM244">
        <v>0</v>
      </c>
      <c r="FN244">
        <v>0</v>
      </c>
      <c r="FO244">
        <v>0</v>
      </c>
      <c r="FP244">
        <v>3</v>
      </c>
      <c r="FQ244">
        <v>2158</v>
      </c>
      <c r="FR244">
        <v>1</v>
      </c>
      <c r="FS244">
        <v>19</v>
      </c>
      <c r="FT244">
        <v>48.6</v>
      </c>
      <c r="FU244">
        <v>48.6</v>
      </c>
      <c r="FV244">
        <v>1.7626999999999999</v>
      </c>
      <c r="FW244">
        <v>2.5817899999999998</v>
      </c>
      <c r="FX244">
        <v>1.5490699999999999</v>
      </c>
      <c r="FY244">
        <v>2.33521</v>
      </c>
      <c r="FZ244">
        <v>1.50146</v>
      </c>
      <c r="GA244">
        <v>2.34985</v>
      </c>
      <c r="GB244">
        <v>33.625399999999999</v>
      </c>
      <c r="GC244">
        <v>23.991199999999999</v>
      </c>
      <c r="GD244">
        <v>19</v>
      </c>
      <c r="GE244">
        <v>281.66500000000002</v>
      </c>
      <c r="GF244">
        <v>575.55999999999995</v>
      </c>
      <c r="GG244">
        <v>24.0867</v>
      </c>
      <c r="GH244">
        <v>25.890499999999999</v>
      </c>
      <c r="GI244">
        <v>30.0001</v>
      </c>
      <c r="GJ244">
        <v>26.018599999999999</v>
      </c>
      <c r="GK244">
        <v>26.002400000000002</v>
      </c>
      <c r="GL244">
        <v>35.250599999999999</v>
      </c>
      <c r="GM244">
        <v>100</v>
      </c>
      <c r="GN244">
        <v>0</v>
      </c>
      <c r="GO244">
        <v>24.093</v>
      </c>
      <c r="GP244">
        <v>800</v>
      </c>
      <c r="GQ244">
        <v>0</v>
      </c>
      <c r="GR244">
        <v>99.825599999999994</v>
      </c>
      <c r="GS244">
        <v>99.711100000000002</v>
      </c>
    </row>
    <row r="245" spans="1:201" x14ac:dyDescent="0.25">
      <c r="A245">
        <v>229</v>
      </c>
      <c r="B245">
        <v>1690390566</v>
      </c>
      <c r="C245">
        <v>2307.5</v>
      </c>
      <c r="D245" t="s">
        <v>791</v>
      </c>
      <c r="E245" t="s">
        <v>792</v>
      </c>
      <c r="F245" t="s">
        <v>330</v>
      </c>
      <c r="H245">
        <v>1690390566</v>
      </c>
      <c r="I245">
        <f t="shared" si="90"/>
        <v>2.5309363929455261E-3</v>
      </c>
      <c r="J245">
        <f t="shared" si="91"/>
        <v>2.530936392945526</v>
      </c>
      <c r="K245">
        <f t="shared" si="92"/>
        <v>38.959088651695659</v>
      </c>
      <c r="L245">
        <f t="shared" si="93"/>
        <v>376.88499999999999</v>
      </c>
      <c r="M245">
        <f t="shared" si="94"/>
        <v>109.94733810265832</v>
      </c>
      <c r="N245">
        <f t="shared" si="95"/>
        <v>10.846388375846331</v>
      </c>
      <c r="O245">
        <f t="shared" si="96"/>
        <v>37.179991381091995</v>
      </c>
      <c r="P245">
        <f t="shared" si="97"/>
        <v>0.25027024838442569</v>
      </c>
      <c r="Q245">
        <f t="shared" si="98"/>
        <v>2.1531369195423533</v>
      </c>
      <c r="R245">
        <f t="shared" si="99"/>
        <v>0.23515940160564999</v>
      </c>
      <c r="S245">
        <f t="shared" si="100"/>
        <v>0.14825618540031563</v>
      </c>
      <c r="T245">
        <f t="shared" si="101"/>
        <v>276.11690723629584</v>
      </c>
      <c r="U245">
        <f t="shared" si="102"/>
        <v>27.194328492232781</v>
      </c>
      <c r="V245">
        <f t="shared" si="103"/>
        <v>27.194328492232781</v>
      </c>
      <c r="W245">
        <f t="shared" si="104"/>
        <v>3.6202141179346645</v>
      </c>
      <c r="X245">
        <f t="shared" si="105"/>
        <v>77.247113354691976</v>
      </c>
      <c r="Y245">
        <f t="shared" si="106"/>
        <v>2.5919007218412</v>
      </c>
      <c r="Z245">
        <f t="shared" si="107"/>
        <v>3.3553366712100816</v>
      </c>
      <c r="AA245">
        <f t="shared" si="108"/>
        <v>1.0283133960934645</v>
      </c>
      <c r="AB245">
        <f t="shared" si="109"/>
        <v>-111.61429492889771</v>
      </c>
      <c r="AC245">
        <f t="shared" si="110"/>
        <v>-149.66514514592296</v>
      </c>
      <c r="AD245">
        <f t="shared" si="111"/>
        <v>-14.933745784092173</v>
      </c>
      <c r="AE245">
        <f t="shared" si="112"/>
        <v>-9.6278622617035126E-2</v>
      </c>
      <c r="AF245">
        <v>0</v>
      </c>
      <c r="AG245">
        <v>0</v>
      </c>
      <c r="AH245">
        <f t="shared" si="113"/>
        <v>1</v>
      </c>
      <c r="AI245">
        <f t="shared" si="114"/>
        <v>0</v>
      </c>
      <c r="AJ245">
        <f t="shared" si="115"/>
        <v>52157.494704401681</v>
      </c>
      <c r="AK245">
        <f t="shared" si="116"/>
        <v>1800.01</v>
      </c>
      <c r="AL245">
        <f t="shared" si="117"/>
        <v>1499.1219466089901</v>
      </c>
      <c r="AM245">
        <f t="shared" si="118"/>
        <v>0.83284089900000002</v>
      </c>
      <c r="AN245">
        <f t="shared" si="119"/>
        <v>0.15339742958999997</v>
      </c>
      <c r="AO245">
        <v>31.8</v>
      </c>
      <c r="AP245">
        <v>0.5</v>
      </c>
      <c r="AQ245" t="s">
        <v>331</v>
      </c>
      <c r="AR245">
        <v>2</v>
      </c>
      <c r="AS245">
        <v>1690390566</v>
      </c>
      <c r="AT245">
        <v>376.88499999999999</v>
      </c>
      <c r="AU245">
        <v>799.99199999999996</v>
      </c>
      <c r="AV245">
        <v>26.273499999999999</v>
      </c>
      <c r="AW245">
        <v>0.14860899999999999</v>
      </c>
      <c r="AX245">
        <v>376.44400000000002</v>
      </c>
      <c r="AY245">
        <v>26.075099999999999</v>
      </c>
      <c r="AZ245">
        <v>299.97899999999998</v>
      </c>
      <c r="BA245">
        <v>98.550799999999995</v>
      </c>
      <c r="BB245">
        <v>9.9959199999999998E-2</v>
      </c>
      <c r="BC245">
        <v>25.905000000000001</v>
      </c>
      <c r="BD245">
        <v>26.994800000000001</v>
      </c>
      <c r="BE245">
        <v>27.040900000000001</v>
      </c>
      <c r="BF245">
        <v>0</v>
      </c>
      <c r="BG245">
        <v>0</v>
      </c>
      <c r="BH245">
        <v>9971.25</v>
      </c>
      <c r="BI245">
        <v>1068.8</v>
      </c>
      <c r="BJ245">
        <v>1.4016500000000001</v>
      </c>
      <c r="BK245">
        <v>-423.10700000000003</v>
      </c>
      <c r="BL245">
        <v>387.05399999999997</v>
      </c>
      <c r="BM245">
        <v>800.11</v>
      </c>
      <c r="BN245">
        <v>26.1249</v>
      </c>
      <c r="BO245">
        <v>799.99199999999996</v>
      </c>
      <c r="BP245">
        <v>0.14860899999999999</v>
      </c>
      <c r="BQ245">
        <v>2.58927</v>
      </c>
      <c r="BR245">
        <v>1.4645500000000001E-2</v>
      </c>
      <c r="BS245">
        <v>21.598800000000001</v>
      </c>
      <c r="BT245">
        <v>-42.3827</v>
      </c>
      <c r="BU245">
        <v>1800.01</v>
      </c>
      <c r="BV245">
        <v>0.91000499999999995</v>
      </c>
      <c r="BW245">
        <v>3.3993900000000001E-2</v>
      </c>
      <c r="BX245">
        <v>2.2001199999999999E-2</v>
      </c>
      <c r="BY245">
        <v>3.39999E-2</v>
      </c>
      <c r="BZ245">
        <v>25</v>
      </c>
      <c r="CA245">
        <v>33528.5</v>
      </c>
      <c r="CB245">
        <v>1690387638</v>
      </c>
      <c r="CC245" t="s">
        <v>332</v>
      </c>
      <c r="CD245">
        <v>1690387638</v>
      </c>
      <c r="CE245">
        <v>1690387638</v>
      </c>
      <c r="CF245">
        <v>6</v>
      </c>
      <c r="CG245">
        <v>0.43</v>
      </c>
      <c r="CH245">
        <v>-8.1000000000000003E-2</v>
      </c>
      <c r="CI245">
        <v>0.14199999999999999</v>
      </c>
      <c r="CJ245">
        <v>-2.7E-2</v>
      </c>
      <c r="CK245">
        <v>800</v>
      </c>
      <c r="CL245">
        <v>0</v>
      </c>
      <c r="CM245">
        <v>0.01</v>
      </c>
      <c r="CN245">
        <v>0.01</v>
      </c>
      <c r="CO245">
        <v>-423.0403</v>
      </c>
      <c r="CP245">
        <v>-0.15118198874213251</v>
      </c>
      <c r="CQ245">
        <v>4.2725402280138977E-2</v>
      </c>
      <c r="CR245">
        <v>-1</v>
      </c>
      <c r="CS245">
        <v>26.121404999999999</v>
      </c>
      <c r="CT245">
        <v>1.2637148217655811E-2</v>
      </c>
      <c r="CU245">
        <v>2.2539909050394791E-3</v>
      </c>
      <c r="CV245">
        <v>-1</v>
      </c>
      <c r="CW245">
        <v>0</v>
      </c>
      <c r="CX245">
        <v>0</v>
      </c>
      <c r="CY245" t="s">
        <v>333</v>
      </c>
      <c r="CZ245">
        <v>2.3644099999999999</v>
      </c>
      <c r="DA245">
        <v>2.7137199999999999</v>
      </c>
      <c r="DB245">
        <v>8.5022600000000004E-2</v>
      </c>
      <c r="DC245">
        <v>0.14532</v>
      </c>
      <c r="DD245">
        <v>0.120809</v>
      </c>
      <c r="DE245">
        <v>1.24665E-3</v>
      </c>
      <c r="DF245">
        <v>33438.5</v>
      </c>
      <c r="DG245">
        <v>27583.200000000001</v>
      </c>
      <c r="DH245">
        <v>31197.9</v>
      </c>
      <c r="DI245">
        <v>28121.1</v>
      </c>
      <c r="DJ245">
        <v>37232.199999999997</v>
      </c>
      <c r="DK245">
        <v>39948.300000000003</v>
      </c>
      <c r="DL245">
        <v>44402.5</v>
      </c>
      <c r="DM245">
        <v>42624.6</v>
      </c>
      <c r="DN245">
        <v>1.47645</v>
      </c>
      <c r="DO245">
        <v>2.0316299999999998</v>
      </c>
      <c r="DP245">
        <v>0.14352799999999999</v>
      </c>
      <c r="DQ245">
        <v>0.14924999999999999</v>
      </c>
      <c r="DR245">
        <v>24.643000000000001</v>
      </c>
      <c r="DS245">
        <v>24.595300000000002</v>
      </c>
      <c r="DT245">
        <v>20.6</v>
      </c>
      <c r="DU245">
        <v>29.4</v>
      </c>
      <c r="DV245">
        <v>8.6029599999999995</v>
      </c>
      <c r="DW245">
        <v>61.282200000000003</v>
      </c>
      <c r="DX245">
        <v>37.0473</v>
      </c>
      <c r="DY245">
        <v>1</v>
      </c>
      <c r="DZ245">
        <v>-0.119606</v>
      </c>
      <c r="EA245">
        <v>0.149338</v>
      </c>
      <c r="EB245">
        <v>20.189800000000002</v>
      </c>
      <c r="EC245">
        <v>5.2415500000000002</v>
      </c>
      <c r="ED245">
        <v>12.039899999999999</v>
      </c>
      <c r="EE245">
        <v>5.0170000000000003</v>
      </c>
      <c r="EF245">
        <v>3.2879999999999998</v>
      </c>
      <c r="EG245">
        <v>9999</v>
      </c>
      <c r="EH245">
        <v>9999</v>
      </c>
      <c r="EI245">
        <v>9999</v>
      </c>
      <c r="EJ245">
        <v>999.9</v>
      </c>
      <c r="EK245">
        <v>1.8689</v>
      </c>
      <c r="EL245">
        <v>1.8646199999999999</v>
      </c>
      <c r="EM245">
        <v>1.8692</v>
      </c>
      <c r="EN245">
        <v>1.8672200000000001</v>
      </c>
      <c r="EO245">
        <v>1.86338</v>
      </c>
      <c r="EP245">
        <v>1.8644700000000001</v>
      </c>
      <c r="EQ245">
        <v>1.87015</v>
      </c>
      <c r="ER245">
        <v>1.86937</v>
      </c>
      <c r="ES245">
        <v>0</v>
      </c>
      <c r="ET245">
        <v>0</v>
      </c>
      <c r="EU245">
        <v>0</v>
      </c>
      <c r="EV245">
        <v>0</v>
      </c>
      <c r="EW245" t="s">
        <v>334</v>
      </c>
      <c r="EX245" t="s">
        <v>335</v>
      </c>
      <c r="EY245" t="s">
        <v>336</v>
      </c>
      <c r="EZ245" t="s">
        <v>336</v>
      </c>
      <c r="FA245" t="s">
        <v>336</v>
      </c>
      <c r="FB245" t="s">
        <v>336</v>
      </c>
      <c r="FC245">
        <v>0</v>
      </c>
      <c r="FD245">
        <v>100</v>
      </c>
      <c r="FE245">
        <v>100</v>
      </c>
      <c r="FF245">
        <v>0.441</v>
      </c>
      <c r="FG245">
        <v>0.19839999999999999</v>
      </c>
      <c r="FH245">
        <v>0.69281559908863044</v>
      </c>
      <c r="FI245">
        <v>-6.1462078757559423E-4</v>
      </c>
      <c r="FJ245">
        <v>-1.8861989874597051E-7</v>
      </c>
      <c r="FK245">
        <v>1.1980462299894961E-10</v>
      </c>
      <c r="FL245">
        <v>0.19840465858211129</v>
      </c>
      <c r="FM245">
        <v>0</v>
      </c>
      <c r="FN245">
        <v>0</v>
      </c>
      <c r="FO245">
        <v>0</v>
      </c>
      <c r="FP245">
        <v>3</v>
      </c>
      <c r="FQ245">
        <v>2158</v>
      </c>
      <c r="FR245">
        <v>1</v>
      </c>
      <c r="FS245">
        <v>19</v>
      </c>
      <c r="FT245">
        <v>48.8</v>
      </c>
      <c r="FU245">
        <v>48.8</v>
      </c>
      <c r="FV245">
        <v>1.7626999999999999</v>
      </c>
      <c r="FW245">
        <v>2.5793499999999998</v>
      </c>
      <c r="FX245">
        <v>1.5490699999999999</v>
      </c>
      <c r="FY245">
        <v>2.33521</v>
      </c>
      <c r="FZ245">
        <v>1.50146</v>
      </c>
      <c r="GA245">
        <v>2.34985</v>
      </c>
      <c r="GB245">
        <v>33.625399999999999</v>
      </c>
      <c r="GC245">
        <v>23.991199999999999</v>
      </c>
      <c r="GD245">
        <v>19</v>
      </c>
      <c r="GE245">
        <v>281.517</v>
      </c>
      <c r="GF245">
        <v>575.47900000000004</v>
      </c>
      <c r="GG245">
        <v>24.090599999999998</v>
      </c>
      <c r="GH245">
        <v>25.890499999999999</v>
      </c>
      <c r="GI245">
        <v>30.000699999999998</v>
      </c>
      <c r="GJ245">
        <v>26.018599999999999</v>
      </c>
      <c r="GK245">
        <v>26.002400000000002</v>
      </c>
      <c r="GL245">
        <v>35.249000000000002</v>
      </c>
      <c r="GM245">
        <v>100</v>
      </c>
      <c r="GN245">
        <v>0</v>
      </c>
      <c r="GO245">
        <v>24.090599999999998</v>
      </c>
      <c r="GP245">
        <v>800</v>
      </c>
      <c r="GQ245">
        <v>0</v>
      </c>
      <c r="GR245">
        <v>99.826400000000007</v>
      </c>
      <c r="GS245">
        <v>99.711100000000002</v>
      </c>
    </row>
    <row r="246" spans="1:201" x14ac:dyDescent="0.25">
      <c r="A246">
        <v>230</v>
      </c>
      <c r="B246">
        <v>1690390576</v>
      </c>
      <c r="C246">
        <v>2317.5</v>
      </c>
      <c r="D246" t="s">
        <v>793</v>
      </c>
      <c r="E246" t="s">
        <v>794</v>
      </c>
      <c r="F246" t="s">
        <v>330</v>
      </c>
      <c r="H246">
        <v>1690390576</v>
      </c>
      <c r="I246">
        <f t="shared" si="90"/>
        <v>2.5320624514170403E-3</v>
      </c>
      <c r="J246">
        <f t="shared" si="91"/>
        <v>2.5320624514170404</v>
      </c>
      <c r="K246">
        <f t="shared" si="92"/>
        <v>38.982163984702424</v>
      </c>
      <c r="L246">
        <f t="shared" si="93"/>
        <v>376.9</v>
      </c>
      <c r="M246">
        <f t="shared" si="94"/>
        <v>110.16519217741545</v>
      </c>
      <c r="N246">
        <f t="shared" si="95"/>
        <v>10.867646846334479</v>
      </c>
      <c r="O246">
        <f t="shared" si="96"/>
        <v>37.180673998979998</v>
      </c>
      <c r="P246">
        <f t="shared" si="97"/>
        <v>0.25056536815538155</v>
      </c>
      <c r="Q246">
        <f t="shared" si="98"/>
        <v>2.1631245169684155</v>
      </c>
      <c r="R246">
        <f t="shared" si="99"/>
        <v>0.23548543307117212</v>
      </c>
      <c r="S246">
        <f t="shared" si="100"/>
        <v>0.14845757870976262</v>
      </c>
      <c r="T246">
        <f t="shared" si="101"/>
        <v>276.11534428199997</v>
      </c>
      <c r="U246">
        <f t="shared" si="102"/>
        <v>27.189708915278498</v>
      </c>
      <c r="V246">
        <f t="shared" si="103"/>
        <v>27.189708915278498</v>
      </c>
      <c r="W246">
        <f t="shared" si="104"/>
        <v>3.6192334233936001</v>
      </c>
      <c r="X246">
        <f t="shared" si="105"/>
        <v>77.241732411378138</v>
      </c>
      <c r="Y246">
        <f t="shared" si="106"/>
        <v>2.5919043425752197</v>
      </c>
      <c r="Z246">
        <f t="shared" si="107"/>
        <v>3.3555751038455708</v>
      </c>
      <c r="AA246">
        <f t="shared" si="108"/>
        <v>1.0273290808183804</v>
      </c>
      <c r="AB246">
        <f t="shared" si="109"/>
        <v>-111.66395410749148</v>
      </c>
      <c r="AC246">
        <f t="shared" si="110"/>
        <v>-149.6807162438588</v>
      </c>
      <c r="AD246">
        <f t="shared" si="111"/>
        <v>-14.866084906295498</v>
      </c>
      <c r="AE246">
        <f t="shared" si="112"/>
        <v>-9.5410975645791041E-2</v>
      </c>
      <c r="AF246">
        <v>0</v>
      </c>
      <c r="AG246">
        <v>0</v>
      </c>
      <c r="AH246">
        <f t="shared" si="113"/>
        <v>1</v>
      </c>
      <c r="AI246">
        <f t="shared" si="114"/>
        <v>0</v>
      </c>
      <c r="AJ246">
        <f t="shared" si="115"/>
        <v>52576.126517337922</v>
      </c>
      <c r="AK246">
        <f t="shared" si="116"/>
        <v>1800</v>
      </c>
      <c r="AL246">
        <f t="shared" si="117"/>
        <v>1499.1134922000001</v>
      </c>
      <c r="AM246">
        <f t="shared" si="118"/>
        <v>0.832840829</v>
      </c>
      <c r="AN246">
        <f t="shared" si="119"/>
        <v>0.15339741348999997</v>
      </c>
      <c r="AO246">
        <v>31.8</v>
      </c>
      <c r="AP246">
        <v>0.5</v>
      </c>
      <c r="AQ246" t="s">
        <v>331</v>
      </c>
      <c r="AR246">
        <v>2</v>
      </c>
      <c r="AS246">
        <v>1690390576</v>
      </c>
      <c r="AT246">
        <v>376.9</v>
      </c>
      <c r="AU246">
        <v>800.08299999999997</v>
      </c>
      <c r="AV246">
        <v>26.274100000000001</v>
      </c>
      <c r="AW246">
        <v>0.148314</v>
      </c>
      <c r="AX246">
        <v>376.459</v>
      </c>
      <c r="AY246">
        <v>26.075700000000001</v>
      </c>
      <c r="AZ246">
        <v>300.10199999999998</v>
      </c>
      <c r="BA246">
        <v>98.548699999999997</v>
      </c>
      <c r="BB246">
        <v>9.9944199999999997E-2</v>
      </c>
      <c r="BC246">
        <v>25.906199999999998</v>
      </c>
      <c r="BD246">
        <v>26.998999999999999</v>
      </c>
      <c r="BE246">
        <v>27.014800000000001</v>
      </c>
      <c r="BF246">
        <v>0</v>
      </c>
      <c r="BG246">
        <v>0</v>
      </c>
      <c r="BH246">
        <v>10055</v>
      </c>
      <c r="BI246">
        <v>1068.73</v>
      </c>
      <c r="BJ246">
        <v>1.4016500000000001</v>
      </c>
      <c r="BK246">
        <v>-423.18299999999999</v>
      </c>
      <c r="BL246">
        <v>387.07</v>
      </c>
      <c r="BM246">
        <v>800.202</v>
      </c>
      <c r="BN246">
        <v>26.125699999999998</v>
      </c>
      <c r="BO246">
        <v>800.08299999999997</v>
      </c>
      <c r="BP246">
        <v>0.148314</v>
      </c>
      <c r="BQ246">
        <v>2.58927</v>
      </c>
      <c r="BR246">
        <v>1.46161E-2</v>
      </c>
      <c r="BS246">
        <v>21.598800000000001</v>
      </c>
      <c r="BT246">
        <v>-42.401400000000002</v>
      </c>
      <c r="BU246">
        <v>1800</v>
      </c>
      <c r="BV246">
        <v>0.91000499999999995</v>
      </c>
      <c r="BW246">
        <v>3.3993799999999998E-2</v>
      </c>
      <c r="BX246">
        <v>2.2001199999999999E-2</v>
      </c>
      <c r="BY246">
        <v>3.39999E-2</v>
      </c>
      <c r="BZ246">
        <v>25</v>
      </c>
      <c r="CA246">
        <v>33528.400000000001</v>
      </c>
      <c r="CB246">
        <v>1690387638</v>
      </c>
      <c r="CC246" t="s">
        <v>332</v>
      </c>
      <c r="CD246">
        <v>1690387638</v>
      </c>
      <c r="CE246">
        <v>1690387638</v>
      </c>
      <c r="CF246">
        <v>6</v>
      </c>
      <c r="CG246">
        <v>0.43</v>
      </c>
      <c r="CH246">
        <v>-8.1000000000000003E-2</v>
      </c>
      <c r="CI246">
        <v>0.14199999999999999</v>
      </c>
      <c r="CJ246">
        <v>-2.7E-2</v>
      </c>
      <c r="CK246">
        <v>800</v>
      </c>
      <c r="CL246">
        <v>0</v>
      </c>
      <c r="CM246">
        <v>0.01</v>
      </c>
      <c r="CN246">
        <v>0.01</v>
      </c>
      <c r="CO246">
        <v>-423.08592499999997</v>
      </c>
      <c r="CP246">
        <v>-0.58756097560879961</v>
      </c>
      <c r="CQ246">
        <v>6.470447724075859E-2</v>
      </c>
      <c r="CR246">
        <v>-1</v>
      </c>
      <c r="CS246">
        <v>26.123497499999999</v>
      </c>
      <c r="CT246">
        <v>2.1486303939831281E-2</v>
      </c>
      <c r="CU246">
        <v>2.3464321319826989E-3</v>
      </c>
      <c r="CV246">
        <v>-1</v>
      </c>
      <c r="CW246">
        <v>0</v>
      </c>
      <c r="CX246">
        <v>0</v>
      </c>
      <c r="CY246" t="s">
        <v>333</v>
      </c>
      <c r="CZ246">
        <v>2.36483</v>
      </c>
      <c r="DA246">
        <v>2.7137799999999999</v>
      </c>
      <c r="DB246">
        <v>8.5023500000000002E-2</v>
      </c>
      <c r="DC246">
        <v>0.14532800000000001</v>
      </c>
      <c r="DD246">
        <v>0.120808</v>
      </c>
      <c r="DE246">
        <v>1.24417E-3</v>
      </c>
      <c r="DF246">
        <v>33438.300000000003</v>
      </c>
      <c r="DG246">
        <v>27583</v>
      </c>
      <c r="DH246">
        <v>31197.7</v>
      </c>
      <c r="DI246">
        <v>28121.200000000001</v>
      </c>
      <c r="DJ246">
        <v>37232.300000000003</v>
      </c>
      <c r="DK246">
        <v>39948.400000000001</v>
      </c>
      <c r="DL246">
        <v>44402.5</v>
      </c>
      <c r="DM246">
        <v>42624.6</v>
      </c>
      <c r="DN246">
        <v>1.4770300000000001</v>
      </c>
      <c r="DO246">
        <v>2.0317500000000002</v>
      </c>
      <c r="DP246">
        <v>0.14375199999999999</v>
      </c>
      <c r="DQ246">
        <v>0.147559</v>
      </c>
      <c r="DR246">
        <v>24.6435</v>
      </c>
      <c r="DS246">
        <v>24.596900000000002</v>
      </c>
      <c r="DT246">
        <v>20.6</v>
      </c>
      <c r="DU246">
        <v>29.4</v>
      </c>
      <c r="DV246">
        <v>8.6035900000000005</v>
      </c>
      <c r="DW246">
        <v>60.582299999999996</v>
      </c>
      <c r="DX246">
        <v>37.235599999999998</v>
      </c>
      <c r="DY246">
        <v>1</v>
      </c>
      <c r="DZ246">
        <v>-0.119698</v>
      </c>
      <c r="EA246">
        <v>0.12371699999999999</v>
      </c>
      <c r="EB246">
        <v>20.189900000000002</v>
      </c>
      <c r="EC246">
        <v>5.2415500000000002</v>
      </c>
      <c r="ED246">
        <v>12.039899999999999</v>
      </c>
      <c r="EE246">
        <v>5.0168499999999998</v>
      </c>
      <c r="EF246">
        <v>3.2879999999999998</v>
      </c>
      <c r="EG246">
        <v>9999</v>
      </c>
      <c r="EH246">
        <v>9999</v>
      </c>
      <c r="EI246">
        <v>9999</v>
      </c>
      <c r="EJ246">
        <v>999.9</v>
      </c>
      <c r="EK246">
        <v>1.8689</v>
      </c>
      <c r="EL246">
        <v>1.8646100000000001</v>
      </c>
      <c r="EM246">
        <v>1.8692</v>
      </c>
      <c r="EN246">
        <v>1.8672299999999999</v>
      </c>
      <c r="EO246">
        <v>1.86337</v>
      </c>
      <c r="EP246">
        <v>1.8644700000000001</v>
      </c>
      <c r="EQ246">
        <v>1.87015</v>
      </c>
      <c r="ER246">
        <v>1.8693599999999999</v>
      </c>
      <c r="ES246">
        <v>0</v>
      </c>
      <c r="ET246">
        <v>0</v>
      </c>
      <c r="EU246">
        <v>0</v>
      </c>
      <c r="EV246">
        <v>0</v>
      </c>
      <c r="EW246" t="s">
        <v>334</v>
      </c>
      <c r="EX246" t="s">
        <v>335</v>
      </c>
      <c r="EY246" t="s">
        <v>336</v>
      </c>
      <c r="EZ246" t="s">
        <v>336</v>
      </c>
      <c r="FA246" t="s">
        <v>336</v>
      </c>
      <c r="FB246" t="s">
        <v>336</v>
      </c>
      <c r="FC246">
        <v>0</v>
      </c>
      <c r="FD246">
        <v>100</v>
      </c>
      <c r="FE246">
        <v>100</v>
      </c>
      <c r="FF246">
        <v>0.441</v>
      </c>
      <c r="FG246">
        <v>0.19839999999999999</v>
      </c>
      <c r="FH246">
        <v>0.69281559908863044</v>
      </c>
      <c r="FI246">
        <v>-6.1462078757559423E-4</v>
      </c>
      <c r="FJ246">
        <v>-1.8861989874597051E-7</v>
      </c>
      <c r="FK246">
        <v>1.1980462299894961E-10</v>
      </c>
      <c r="FL246">
        <v>0.19840465858211129</v>
      </c>
      <c r="FM246">
        <v>0</v>
      </c>
      <c r="FN246">
        <v>0</v>
      </c>
      <c r="FO246">
        <v>0</v>
      </c>
      <c r="FP246">
        <v>3</v>
      </c>
      <c r="FQ246">
        <v>2158</v>
      </c>
      <c r="FR246">
        <v>1</v>
      </c>
      <c r="FS246">
        <v>19</v>
      </c>
      <c r="FT246">
        <v>49</v>
      </c>
      <c r="FU246">
        <v>49</v>
      </c>
      <c r="FV246">
        <v>1.7626999999999999</v>
      </c>
      <c r="FW246">
        <v>2.5854499999999998</v>
      </c>
      <c r="FX246">
        <v>1.5490699999999999</v>
      </c>
      <c r="FY246">
        <v>2.33521</v>
      </c>
      <c r="FZ246">
        <v>1.50146</v>
      </c>
      <c r="GA246">
        <v>2.3022499999999999</v>
      </c>
      <c r="GB246">
        <v>33.625399999999999</v>
      </c>
      <c r="GC246">
        <v>23.982399999999998</v>
      </c>
      <c r="GD246">
        <v>19</v>
      </c>
      <c r="GE246">
        <v>281.76100000000002</v>
      </c>
      <c r="GF246">
        <v>575.57600000000002</v>
      </c>
      <c r="GG246">
        <v>24.0945</v>
      </c>
      <c r="GH246">
        <v>25.890499999999999</v>
      </c>
      <c r="GI246">
        <v>30.000399999999999</v>
      </c>
      <c r="GJ246">
        <v>26.018599999999999</v>
      </c>
      <c r="GK246">
        <v>26.001899999999999</v>
      </c>
      <c r="GL246">
        <v>35.249099999999999</v>
      </c>
      <c r="GM246">
        <v>100</v>
      </c>
      <c r="GN246">
        <v>0</v>
      </c>
      <c r="GO246">
        <v>24.1006</v>
      </c>
      <c r="GP246">
        <v>800</v>
      </c>
      <c r="GQ246">
        <v>0</v>
      </c>
      <c r="GR246">
        <v>99.8262</v>
      </c>
      <c r="GS246">
        <v>99.711299999999994</v>
      </c>
    </row>
    <row r="247" spans="1:201" x14ac:dyDescent="0.25">
      <c r="A247">
        <v>231</v>
      </c>
      <c r="B247">
        <v>1690390586</v>
      </c>
      <c r="C247">
        <v>2327.5</v>
      </c>
      <c r="D247" t="s">
        <v>795</v>
      </c>
      <c r="E247" t="s">
        <v>796</v>
      </c>
      <c r="F247" t="s">
        <v>330</v>
      </c>
      <c r="H247">
        <v>1690390586</v>
      </c>
      <c r="I247">
        <f t="shared" si="90"/>
        <v>2.5327292206232289E-3</v>
      </c>
      <c r="J247">
        <f t="shared" si="91"/>
        <v>2.5327292206232288</v>
      </c>
      <c r="K247">
        <f t="shared" si="92"/>
        <v>38.983634379835337</v>
      </c>
      <c r="L247">
        <f t="shared" si="93"/>
        <v>376.88200000000001</v>
      </c>
      <c r="M247">
        <f t="shared" si="94"/>
        <v>109.95994973433335</v>
      </c>
      <c r="N247">
        <f t="shared" si="95"/>
        <v>10.847417749112001</v>
      </c>
      <c r="O247">
        <f t="shared" si="96"/>
        <v>37.178959302891997</v>
      </c>
      <c r="P247">
        <f t="shared" si="97"/>
        <v>0.25042394176972238</v>
      </c>
      <c r="Q247">
        <f t="shared" si="98"/>
        <v>2.157611276919476</v>
      </c>
      <c r="R247">
        <f t="shared" si="99"/>
        <v>0.2353244753657536</v>
      </c>
      <c r="S247">
        <f t="shared" si="100"/>
        <v>0.14835849550975688</v>
      </c>
      <c r="T247">
        <f t="shared" si="101"/>
        <v>276.11546106600002</v>
      </c>
      <c r="U247">
        <f t="shared" si="102"/>
        <v>27.195860276338454</v>
      </c>
      <c r="V247">
        <f t="shared" si="103"/>
        <v>27.195860276338454</v>
      </c>
      <c r="W247">
        <f t="shared" si="104"/>
        <v>3.6205393530923238</v>
      </c>
      <c r="X247">
        <f t="shared" si="105"/>
        <v>77.236303181551648</v>
      </c>
      <c r="Y247">
        <f t="shared" si="106"/>
        <v>2.5922439996649995</v>
      </c>
      <c r="Z247">
        <f t="shared" si="107"/>
        <v>3.3562507433475566</v>
      </c>
      <c r="AA247">
        <f t="shared" si="108"/>
        <v>1.0282953534273243</v>
      </c>
      <c r="AB247">
        <f t="shared" si="109"/>
        <v>-111.69335862948439</v>
      </c>
      <c r="AC247">
        <f t="shared" si="110"/>
        <v>-149.61926060159527</v>
      </c>
      <c r="AD247">
        <f t="shared" si="111"/>
        <v>-14.898665063949531</v>
      </c>
      <c r="AE247">
        <f t="shared" si="112"/>
        <v>-9.5823229029178947E-2</v>
      </c>
      <c r="AF247">
        <v>0</v>
      </c>
      <c r="AG247">
        <v>0</v>
      </c>
      <c r="AH247">
        <f t="shared" si="113"/>
        <v>1</v>
      </c>
      <c r="AI247">
        <f t="shared" si="114"/>
        <v>0</v>
      </c>
      <c r="AJ247">
        <f t="shared" si="115"/>
        <v>52344.047766561096</v>
      </c>
      <c r="AK247">
        <f t="shared" si="116"/>
        <v>1800</v>
      </c>
      <c r="AL247">
        <f t="shared" si="117"/>
        <v>1499.1143255999998</v>
      </c>
      <c r="AM247">
        <f t="shared" si="118"/>
        <v>0.8328412919999999</v>
      </c>
      <c r="AN247">
        <f t="shared" si="119"/>
        <v>0.15339747837000001</v>
      </c>
      <c r="AO247">
        <v>31.8</v>
      </c>
      <c r="AP247">
        <v>0.5</v>
      </c>
      <c r="AQ247" t="s">
        <v>331</v>
      </c>
      <c r="AR247">
        <v>2</v>
      </c>
      <c r="AS247">
        <v>1690390586</v>
      </c>
      <c r="AT247">
        <v>376.88200000000001</v>
      </c>
      <c r="AU247">
        <v>800.03200000000004</v>
      </c>
      <c r="AV247">
        <v>26.2775</v>
      </c>
      <c r="AW247">
        <v>0.14806</v>
      </c>
      <c r="AX247">
        <v>376.44099999999997</v>
      </c>
      <c r="AY247">
        <v>26.0791</v>
      </c>
      <c r="AZ247">
        <v>300.13799999999998</v>
      </c>
      <c r="BA247">
        <v>98.5488</v>
      </c>
      <c r="BB247">
        <v>0.100006</v>
      </c>
      <c r="BC247">
        <v>25.909600000000001</v>
      </c>
      <c r="BD247">
        <v>27.004100000000001</v>
      </c>
      <c r="BE247">
        <v>27.014299999999999</v>
      </c>
      <c r="BF247">
        <v>0</v>
      </c>
      <c r="BG247">
        <v>0</v>
      </c>
      <c r="BH247">
        <v>10008.799999999999</v>
      </c>
      <c r="BI247">
        <v>1068.78</v>
      </c>
      <c r="BJ247">
        <v>1.4016500000000001</v>
      </c>
      <c r="BK247">
        <v>-423.15</v>
      </c>
      <c r="BL247">
        <v>387.053</v>
      </c>
      <c r="BM247">
        <v>800.15099999999995</v>
      </c>
      <c r="BN247">
        <v>26.1295</v>
      </c>
      <c r="BO247">
        <v>800.03200000000004</v>
      </c>
      <c r="BP247">
        <v>0.14806</v>
      </c>
      <c r="BQ247">
        <v>2.58962</v>
      </c>
      <c r="BR247">
        <v>1.4591099999999999E-2</v>
      </c>
      <c r="BS247">
        <v>21.600999999999999</v>
      </c>
      <c r="BT247">
        <v>-42.417400000000001</v>
      </c>
      <c r="BU247">
        <v>1800</v>
      </c>
      <c r="BV247">
        <v>0.91000599999999998</v>
      </c>
      <c r="BW247">
        <v>3.3993599999999999E-2</v>
      </c>
      <c r="BX247">
        <v>2.2001099999999999E-2</v>
      </c>
      <c r="BY247">
        <v>3.3999700000000001E-2</v>
      </c>
      <c r="BZ247">
        <v>25</v>
      </c>
      <c r="CA247">
        <v>33528.400000000001</v>
      </c>
      <c r="CB247">
        <v>1690387638</v>
      </c>
      <c r="CC247" t="s">
        <v>332</v>
      </c>
      <c r="CD247">
        <v>1690387638</v>
      </c>
      <c r="CE247">
        <v>1690387638</v>
      </c>
      <c r="CF247">
        <v>6</v>
      </c>
      <c r="CG247">
        <v>0.43</v>
      </c>
      <c r="CH247">
        <v>-8.1000000000000003E-2</v>
      </c>
      <c r="CI247">
        <v>0.14199999999999999</v>
      </c>
      <c r="CJ247">
        <v>-2.7E-2</v>
      </c>
      <c r="CK247">
        <v>800</v>
      </c>
      <c r="CL247">
        <v>0</v>
      </c>
      <c r="CM247">
        <v>0.01</v>
      </c>
      <c r="CN247">
        <v>0.01</v>
      </c>
      <c r="CO247">
        <v>-423.10029268292669</v>
      </c>
      <c r="CP247">
        <v>0.19139372822140061</v>
      </c>
      <c r="CQ247">
        <v>7.9262836585207538E-2</v>
      </c>
      <c r="CR247">
        <v>-1</v>
      </c>
      <c r="CS247">
        <v>26.125775609756101</v>
      </c>
      <c r="CT247">
        <v>1.0162369338003069E-2</v>
      </c>
      <c r="CU247">
        <v>1.1979210625496139E-3</v>
      </c>
      <c r="CV247">
        <v>-1</v>
      </c>
      <c r="CW247">
        <v>0</v>
      </c>
      <c r="CX247">
        <v>0</v>
      </c>
      <c r="CY247" t="s">
        <v>333</v>
      </c>
      <c r="CZ247">
        <v>2.3649399999999998</v>
      </c>
      <c r="DA247">
        <v>2.7138</v>
      </c>
      <c r="DB247">
        <v>8.5020499999999999E-2</v>
      </c>
      <c r="DC247">
        <v>0.14532300000000001</v>
      </c>
      <c r="DD247">
        <v>0.120819</v>
      </c>
      <c r="DE247">
        <v>1.2420700000000001E-3</v>
      </c>
      <c r="DF247">
        <v>33439.199999999997</v>
      </c>
      <c r="DG247">
        <v>27583.4</v>
      </c>
      <c r="DH247">
        <v>31198.5</v>
      </c>
      <c r="DI247">
        <v>28121.3</v>
      </c>
      <c r="DJ247">
        <v>37232.699999999997</v>
      </c>
      <c r="DK247">
        <v>39948.9</v>
      </c>
      <c r="DL247">
        <v>44403.6</v>
      </c>
      <c r="DM247">
        <v>42625.1</v>
      </c>
      <c r="DN247">
        <v>1.4770700000000001</v>
      </c>
      <c r="DO247">
        <v>2.03165</v>
      </c>
      <c r="DP247">
        <v>0.14393800000000001</v>
      </c>
      <c r="DQ247">
        <v>0.147372</v>
      </c>
      <c r="DR247">
        <v>24.645600000000002</v>
      </c>
      <c r="DS247">
        <v>24.599499999999999</v>
      </c>
      <c r="DT247">
        <v>20.6</v>
      </c>
      <c r="DU247">
        <v>29.4</v>
      </c>
      <c r="DV247">
        <v>8.6046200000000006</v>
      </c>
      <c r="DW247">
        <v>60.752299999999998</v>
      </c>
      <c r="DX247">
        <v>37.728400000000001</v>
      </c>
      <c r="DY247">
        <v>1</v>
      </c>
      <c r="DZ247">
        <v>-0.121212</v>
      </c>
      <c r="EA247">
        <v>0.16628000000000001</v>
      </c>
      <c r="EB247">
        <v>20.189900000000002</v>
      </c>
      <c r="EC247">
        <v>5.2415500000000002</v>
      </c>
      <c r="ED247">
        <v>12.039899999999999</v>
      </c>
      <c r="EE247">
        <v>5.0168999999999997</v>
      </c>
      <c r="EF247">
        <v>3.2879999999999998</v>
      </c>
      <c r="EG247">
        <v>9999</v>
      </c>
      <c r="EH247">
        <v>9999</v>
      </c>
      <c r="EI247">
        <v>9999</v>
      </c>
      <c r="EJ247">
        <v>999.9</v>
      </c>
      <c r="EK247">
        <v>1.8689</v>
      </c>
      <c r="EL247">
        <v>1.8646199999999999</v>
      </c>
      <c r="EM247">
        <v>1.86921</v>
      </c>
      <c r="EN247">
        <v>1.8672299999999999</v>
      </c>
      <c r="EO247">
        <v>1.86337</v>
      </c>
      <c r="EP247">
        <v>1.8644700000000001</v>
      </c>
      <c r="EQ247">
        <v>1.87015</v>
      </c>
      <c r="ER247">
        <v>1.8693599999999999</v>
      </c>
      <c r="ES247">
        <v>0</v>
      </c>
      <c r="ET247">
        <v>0</v>
      </c>
      <c r="EU247">
        <v>0</v>
      </c>
      <c r="EV247">
        <v>0</v>
      </c>
      <c r="EW247" t="s">
        <v>334</v>
      </c>
      <c r="EX247" t="s">
        <v>335</v>
      </c>
      <c r="EY247" t="s">
        <v>336</v>
      </c>
      <c r="EZ247" t="s">
        <v>336</v>
      </c>
      <c r="FA247" t="s">
        <v>336</v>
      </c>
      <c r="FB247" t="s">
        <v>336</v>
      </c>
      <c r="FC247">
        <v>0</v>
      </c>
      <c r="FD247">
        <v>100</v>
      </c>
      <c r="FE247">
        <v>100</v>
      </c>
      <c r="FF247">
        <v>0.441</v>
      </c>
      <c r="FG247">
        <v>0.19839999999999999</v>
      </c>
      <c r="FH247">
        <v>0.69281559908863044</v>
      </c>
      <c r="FI247">
        <v>-6.1462078757559423E-4</v>
      </c>
      <c r="FJ247">
        <v>-1.8861989874597051E-7</v>
      </c>
      <c r="FK247">
        <v>1.1980462299894961E-10</v>
      </c>
      <c r="FL247">
        <v>0.19840465858211129</v>
      </c>
      <c r="FM247">
        <v>0</v>
      </c>
      <c r="FN247">
        <v>0</v>
      </c>
      <c r="FO247">
        <v>0</v>
      </c>
      <c r="FP247">
        <v>3</v>
      </c>
      <c r="FQ247">
        <v>2158</v>
      </c>
      <c r="FR247">
        <v>1</v>
      </c>
      <c r="FS247">
        <v>19</v>
      </c>
      <c r="FT247">
        <v>49.1</v>
      </c>
      <c r="FU247">
        <v>49.1</v>
      </c>
      <c r="FV247">
        <v>1.7626999999999999</v>
      </c>
      <c r="FW247">
        <v>2.5805699999999998</v>
      </c>
      <c r="FX247">
        <v>1.5490699999999999</v>
      </c>
      <c r="FY247">
        <v>2.33521</v>
      </c>
      <c r="FZ247">
        <v>1.50146</v>
      </c>
      <c r="GA247">
        <v>2.3730500000000001</v>
      </c>
      <c r="GB247">
        <v>33.625399999999999</v>
      </c>
      <c r="GC247">
        <v>23.991199999999999</v>
      </c>
      <c r="GD247">
        <v>19</v>
      </c>
      <c r="GE247">
        <v>281.78199999999998</v>
      </c>
      <c r="GF247">
        <v>575.476</v>
      </c>
      <c r="GG247">
        <v>24.096</v>
      </c>
      <c r="GH247">
        <v>25.890499999999999</v>
      </c>
      <c r="GI247">
        <v>29.9999</v>
      </c>
      <c r="GJ247">
        <v>26.018599999999999</v>
      </c>
      <c r="GK247">
        <v>26.000299999999999</v>
      </c>
      <c r="GL247">
        <v>35.249099999999999</v>
      </c>
      <c r="GM247">
        <v>100</v>
      </c>
      <c r="GN247">
        <v>0</v>
      </c>
      <c r="GO247">
        <v>24.089600000000001</v>
      </c>
      <c r="GP247">
        <v>800</v>
      </c>
      <c r="GQ247">
        <v>0</v>
      </c>
      <c r="GR247">
        <v>99.828699999999998</v>
      </c>
      <c r="GS247">
        <v>99.712299999999999</v>
      </c>
    </row>
    <row r="248" spans="1:201" x14ac:dyDescent="0.25">
      <c r="A248">
        <v>232</v>
      </c>
      <c r="B248">
        <v>1690390596</v>
      </c>
      <c r="C248">
        <v>2337.5</v>
      </c>
      <c r="D248" t="s">
        <v>797</v>
      </c>
      <c r="E248" t="s">
        <v>798</v>
      </c>
      <c r="F248" t="s">
        <v>330</v>
      </c>
      <c r="H248">
        <v>1690390596</v>
      </c>
      <c r="I248">
        <f t="shared" si="90"/>
        <v>2.5315152161588857E-3</v>
      </c>
      <c r="J248">
        <f t="shared" si="91"/>
        <v>2.5315152161588856</v>
      </c>
      <c r="K248">
        <f t="shared" si="92"/>
        <v>38.977953376552854</v>
      </c>
      <c r="L248">
        <f t="shared" si="93"/>
        <v>376.86500000000001</v>
      </c>
      <c r="M248">
        <f t="shared" si="94"/>
        <v>109.98826300061717</v>
      </c>
      <c r="N248">
        <f t="shared" si="95"/>
        <v>10.850351219042581</v>
      </c>
      <c r="O248">
        <f t="shared" si="96"/>
        <v>37.1777633413625</v>
      </c>
      <c r="P248">
        <f t="shared" si="97"/>
        <v>0.25042041252974634</v>
      </c>
      <c r="Q248">
        <f t="shared" si="98"/>
        <v>2.1589659839440394</v>
      </c>
      <c r="R248">
        <f t="shared" si="99"/>
        <v>0.2353302196677477</v>
      </c>
      <c r="S248">
        <f t="shared" si="100"/>
        <v>0.14836134480430849</v>
      </c>
      <c r="T248">
        <f t="shared" si="101"/>
        <v>276.11528371199995</v>
      </c>
      <c r="U248">
        <f t="shared" si="102"/>
        <v>27.191447751379961</v>
      </c>
      <c r="V248">
        <f t="shared" si="103"/>
        <v>27.191447751379961</v>
      </c>
      <c r="W248">
        <f t="shared" si="104"/>
        <v>3.6196025354045429</v>
      </c>
      <c r="X248">
        <f t="shared" si="105"/>
        <v>77.241944411218171</v>
      </c>
      <c r="Y248">
        <f t="shared" si="106"/>
        <v>2.5918040224977501</v>
      </c>
      <c r="Z248">
        <f t="shared" si="107"/>
        <v>3.3554360163431252</v>
      </c>
      <c r="AA248">
        <f t="shared" si="108"/>
        <v>1.0277985129067928</v>
      </c>
      <c r="AB248">
        <f t="shared" si="109"/>
        <v>-111.63982103260686</v>
      </c>
      <c r="AC248">
        <f t="shared" si="110"/>
        <v>-149.67682649156023</v>
      </c>
      <c r="AD248">
        <f t="shared" si="111"/>
        <v>-14.894410167464228</v>
      </c>
      <c r="AE248">
        <f t="shared" si="112"/>
        <v>-9.5773979631360362E-2</v>
      </c>
      <c r="AF248">
        <v>0</v>
      </c>
      <c r="AG248">
        <v>0</v>
      </c>
      <c r="AH248">
        <f t="shared" si="113"/>
        <v>1</v>
      </c>
      <c r="AI248">
        <f t="shared" si="114"/>
        <v>0</v>
      </c>
      <c r="AJ248">
        <f t="shared" si="115"/>
        <v>52401.615903585043</v>
      </c>
      <c r="AK248">
        <f t="shared" si="116"/>
        <v>1800</v>
      </c>
      <c r="AL248">
        <f t="shared" si="117"/>
        <v>1499.1139062</v>
      </c>
      <c r="AM248">
        <f t="shared" si="118"/>
        <v>0.83284105899999994</v>
      </c>
      <c r="AN248">
        <f t="shared" si="119"/>
        <v>0.15339737983999999</v>
      </c>
      <c r="AO248">
        <v>31.8</v>
      </c>
      <c r="AP248">
        <v>0.5</v>
      </c>
      <c r="AQ248" t="s">
        <v>331</v>
      </c>
      <c r="AR248">
        <v>2</v>
      </c>
      <c r="AS248">
        <v>1690390596</v>
      </c>
      <c r="AT248">
        <v>376.86500000000001</v>
      </c>
      <c r="AU248">
        <v>800.07500000000005</v>
      </c>
      <c r="AV248">
        <v>26.2727</v>
      </c>
      <c r="AW248">
        <v>0.14790900000000001</v>
      </c>
      <c r="AX248">
        <v>376.42399999999998</v>
      </c>
      <c r="AY248">
        <v>26.074300000000001</v>
      </c>
      <c r="AZ248">
        <v>300.04899999999998</v>
      </c>
      <c r="BA248">
        <v>98.5501</v>
      </c>
      <c r="BB248">
        <v>9.9982500000000002E-2</v>
      </c>
      <c r="BC248">
        <v>25.9055</v>
      </c>
      <c r="BD248">
        <v>27.0092</v>
      </c>
      <c r="BE248">
        <v>27.049700000000001</v>
      </c>
      <c r="BF248">
        <v>0</v>
      </c>
      <c r="BG248">
        <v>0</v>
      </c>
      <c r="BH248">
        <v>10020</v>
      </c>
      <c r="BI248">
        <v>1068.74</v>
      </c>
      <c r="BJ248">
        <v>1.4016500000000001</v>
      </c>
      <c r="BK248">
        <v>-423.21</v>
      </c>
      <c r="BL248">
        <v>387.03300000000002</v>
      </c>
      <c r="BM248">
        <v>800.19399999999996</v>
      </c>
      <c r="BN248">
        <v>26.1248</v>
      </c>
      <c r="BO248">
        <v>800.07500000000005</v>
      </c>
      <c r="BP248">
        <v>0.14790900000000001</v>
      </c>
      <c r="BQ248">
        <v>2.5891700000000002</v>
      </c>
      <c r="BR248">
        <v>1.45764E-2</v>
      </c>
      <c r="BS248">
        <v>21.598199999999999</v>
      </c>
      <c r="BT248">
        <v>-42.426900000000003</v>
      </c>
      <c r="BU248">
        <v>1800</v>
      </c>
      <c r="BV248">
        <v>0.91000700000000001</v>
      </c>
      <c r="BW248">
        <v>3.3993099999999998E-2</v>
      </c>
      <c r="BX248">
        <v>2.2000700000000002E-2</v>
      </c>
      <c r="BY248">
        <v>3.39992E-2</v>
      </c>
      <c r="BZ248">
        <v>25</v>
      </c>
      <c r="CA248">
        <v>33528.400000000001</v>
      </c>
      <c r="CB248">
        <v>1690387638</v>
      </c>
      <c r="CC248" t="s">
        <v>332</v>
      </c>
      <c r="CD248">
        <v>1690387638</v>
      </c>
      <c r="CE248">
        <v>1690387638</v>
      </c>
      <c r="CF248">
        <v>6</v>
      </c>
      <c r="CG248">
        <v>0.43</v>
      </c>
      <c r="CH248">
        <v>-8.1000000000000003E-2</v>
      </c>
      <c r="CI248">
        <v>0.14199999999999999</v>
      </c>
      <c r="CJ248">
        <v>-2.7E-2</v>
      </c>
      <c r="CK248">
        <v>800</v>
      </c>
      <c r="CL248">
        <v>0</v>
      </c>
      <c r="CM248">
        <v>0.01</v>
      </c>
      <c r="CN248">
        <v>0.01</v>
      </c>
      <c r="CO248">
        <v>-423.05853658536591</v>
      </c>
      <c r="CP248">
        <v>0.21411846689874159</v>
      </c>
      <c r="CQ248">
        <v>7.7414027077398376E-2</v>
      </c>
      <c r="CR248">
        <v>-1</v>
      </c>
      <c r="CS248">
        <v>26.126970731707321</v>
      </c>
      <c r="CT248">
        <v>2.4104529617787192E-3</v>
      </c>
      <c r="CU248">
        <v>1.772175719751864E-3</v>
      </c>
      <c r="CV248">
        <v>-1</v>
      </c>
      <c r="CW248">
        <v>0</v>
      </c>
      <c r="CX248">
        <v>0</v>
      </c>
      <c r="CY248" t="s">
        <v>333</v>
      </c>
      <c r="CZ248">
        <v>2.3646400000000001</v>
      </c>
      <c r="DA248">
        <v>2.7137899999999999</v>
      </c>
      <c r="DB248">
        <v>8.50186E-2</v>
      </c>
      <c r="DC248">
        <v>0.14532999999999999</v>
      </c>
      <c r="DD248">
        <v>0.120805</v>
      </c>
      <c r="DE248">
        <v>1.2408300000000001E-3</v>
      </c>
      <c r="DF248">
        <v>33438.9</v>
      </c>
      <c r="DG248">
        <v>27583</v>
      </c>
      <c r="DH248">
        <v>31198.1</v>
      </c>
      <c r="DI248">
        <v>28121.200000000001</v>
      </c>
      <c r="DJ248">
        <v>37232.800000000003</v>
      </c>
      <c r="DK248">
        <v>39948.6</v>
      </c>
      <c r="DL248">
        <v>44403</v>
      </c>
      <c r="DM248">
        <v>42624.7</v>
      </c>
      <c r="DN248">
        <v>1.47668</v>
      </c>
      <c r="DO248">
        <v>2.0315699999999999</v>
      </c>
      <c r="DP248">
        <v>0.144124</v>
      </c>
      <c r="DQ248">
        <v>0.14940600000000001</v>
      </c>
      <c r="DR248">
        <v>24.6477</v>
      </c>
      <c r="DS248">
        <v>24.601600000000001</v>
      </c>
      <c r="DT248">
        <v>20.5</v>
      </c>
      <c r="DU248">
        <v>29.4</v>
      </c>
      <c r="DV248">
        <v>8.5616299999999992</v>
      </c>
      <c r="DW248">
        <v>60.862299999999998</v>
      </c>
      <c r="DX248">
        <v>36.859000000000002</v>
      </c>
      <c r="DY248">
        <v>1</v>
      </c>
      <c r="DZ248">
        <v>-0.12062199999999999</v>
      </c>
      <c r="EA248">
        <v>0.20449899999999999</v>
      </c>
      <c r="EB248">
        <v>20.190000000000001</v>
      </c>
      <c r="EC248">
        <v>5.2413999999999996</v>
      </c>
      <c r="ED248">
        <v>12.039899999999999</v>
      </c>
      <c r="EE248">
        <v>5.0170000000000003</v>
      </c>
      <c r="EF248">
        <v>3.2879999999999998</v>
      </c>
      <c r="EG248">
        <v>9999</v>
      </c>
      <c r="EH248">
        <v>9999</v>
      </c>
      <c r="EI248">
        <v>9999</v>
      </c>
      <c r="EJ248">
        <v>999.9</v>
      </c>
      <c r="EK248">
        <v>1.8689</v>
      </c>
      <c r="EL248">
        <v>1.8646199999999999</v>
      </c>
      <c r="EM248">
        <v>1.8692</v>
      </c>
      <c r="EN248">
        <v>1.8672299999999999</v>
      </c>
      <c r="EO248">
        <v>1.8633299999999999</v>
      </c>
      <c r="EP248">
        <v>1.86446</v>
      </c>
      <c r="EQ248">
        <v>1.87015</v>
      </c>
      <c r="ER248">
        <v>1.8693500000000001</v>
      </c>
      <c r="ES248">
        <v>0</v>
      </c>
      <c r="ET248">
        <v>0</v>
      </c>
      <c r="EU248">
        <v>0</v>
      </c>
      <c r="EV248">
        <v>0</v>
      </c>
      <c r="EW248" t="s">
        <v>334</v>
      </c>
      <c r="EX248" t="s">
        <v>335</v>
      </c>
      <c r="EY248" t="s">
        <v>336</v>
      </c>
      <c r="EZ248" t="s">
        <v>336</v>
      </c>
      <c r="FA248" t="s">
        <v>336</v>
      </c>
      <c r="FB248" t="s">
        <v>336</v>
      </c>
      <c r="FC248">
        <v>0</v>
      </c>
      <c r="FD248">
        <v>100</v>
      </c>
      <c r="FE248">
        <v>100</v>
      </c>
      <c r="FF248">
        <v>0.441</v>
      </c>
      <c r="FG248">
        <v>0.19839999999999999</v>
      </c>
      <c r="FH248">
        <v>0.69281559908863044</v>
      </c>
      <c r="FI248">
        <v>-6.1462078757559423E-4</v>
      </c>
      <c r="FJ248">
        <v>-1.8861989874597051E-7</v>
      </c>
      <c r="FK248">
        <v>1.1980462299894961E-10</v>
      </c>
      <c r="FL248">
        <v>0.19840465858211129</v>
      </c>
      <c r="FM248">
        <v>0</v>
      </c>
      <c r="FN248">
        <v>0</v>
      </c>
      <c r="FO248">
        <v>0</v>
      </c>
      <c r="FP248">
        <v>3</v>
      </c>
      <c r="FQ248">
        <v>2158</v>
      </c>
      <c r="FR248">
        <v>1</v>
      </c>
      <c r="FS248">
        <v>19</v>
      </c>
      <c r="FT248">
        <v>49.3</v>
      </c>
      <c r="FU248">
        <v>49.3</v>
      </c>
      <c r="FV248">
        <v>1.7626999999999999</v>
      </c>
      <c r="FW248">
        <v>2.5793499999999998</v>
      </c>
      <c r="FX248">
        <v>1.5490699999999999</v>
      </c>
      <c r="FY248">
        <v>2.33521</v>
      </c>
      <c r="FZ248">
        <v>1.50146</v>
      </c>
      <c r="GA248">
        <v>2.4035600000000001</v>
      </c>
      <c r="GB248">
        <v>33.625399999999999</v>
      </c>
      <c r="GC248">
        <v>23.991199999999999</v>
      </c>
      <c r="GD248">
        <v>19</v>
      </c>
      <c r="GE248">
        <v>281.61200000000002</v>
      </c>
      <c r="GF248">
        <v>575.41399999999999</v>
      </c>
      <c r="GG248">
        <v>24.0837</v>
      </c>
      <c r="GH248">
        <v>25.890499999999999</v>
      </c>
      <c r="GI248">
        <v>30.0001</v>
      </c>
      <c r="GJ248">
        <v>26.018599999999999</v>
      </c>
      <c r="GK248">
        <v>26.000299999999999</v>
      </c>
      <c r="GL248">
        <v>35.247300000000003</v>
      </c>
      <c r="GM248">
        <v>100</v>
      </c>
      <c r="GN248">
        <v>0</v>
      </c>
      <c r="GO248">
        <v>24.07</v>
      </c>
      <c r="GP248">
        <v>800</v>
      </c>
      <c r="GQ248">
        <v>0</v>
      </c>
      <c r="GR248">
        <v>99.827500000000001</v>
      </c>
      <c r="GS248">
        <v>99.711399999999998</v>
      </c>
    </row>
    <row r="249" spans="1:201" x14ac:dyDescent="0.25">
      <c r="A249">
        <v>233</v>
      </c>
      <c r="B249">
        <v>1690390606</v>
      </c>
      <c r="C249">
        <v>2347.5</v>
      </c>
      <c r="D249" t="s">
        <v>799</v>
      </c>
      <c r="E249" t="s">
        <v>800</v>
      </c>
      <c r="F249" t="s">
        <v>330</v>
      </c>
      <c r="H249">
        <v>1690390606</v>
      </c>
      <c r="I249">
        <f t="shared" si="90"/>
        <v>2.5321384251766137E-3</v>
      </c>
      <c r="J249">
        <f t="shared" si="91"/>
        <v>2.5321384251766137</v>
      </c>
      <c r="K249">
        <f t="shared" si="92"/>
        <v>38.968709728047308</v>
      </c>
      <c r="L249">
        <f t="shared" si="93"/>
        <v>377.012</v>
      </c>
      <c r="M249">
        <f t="shared" si="94"/>
        <v>110.18310646811045</v>
      </c>
      <c r="N249">
        <f t="shared" si="95"/>
        <v>10.869192246193405</v>
      </c>
      <c r="O249">
        <f t="shared" si="96"/>
        <v>37.190963646572001</v>
      </c>
      <c r="P249">
        <f t="shared" si="97"/>
        <v>0.25043260979222742</v>
      </c>
      <c r="Q249">
        <f t="shared" si="98"/>
        <v>2.1554083858412385</v>
      </c>
      <c r="R249">
        <f t="shared" si="99"/>
        <v>0.2353176982844285</v>
      </c>
      <c r="S249">
        <f t="shared" si="100"/>
        <v>0.14835549452270722</v>
      </c>
      <c r="T249">
        <f t="shared" si="101"/>
        <v>276.11524623599996</v>
      </c>
      <c r="U249">
        <f t="shared" si="102"/>
        <v>27.191465490597825</v>
      </c>
      <c r="V249">
        <f t="shared" si="103"/>
        <v>27.191465490597825</v>
      </c>
      <c r="W249">
        <f t="shared" si="104"/>
        <v>3.6196063011722117</v>
      </c>
      <c r="X249">
        <f t="shared" si="105"/>
        <v>77.241725357308326</v>
      </c>
      <c r="Y249">
        <f t="shared" si="106"/>
        <v>2.5915357783378998</v>
      </c>
      <c r="Z249">
        <f t="shared" si="107"/>
        <v>3.3550982533725842</v>
      </c>
      <c r="AA249">
        <f t="shared" si="108"/>
        <v>1.0280705228343119</v>
      </c>
      <c r="AB249">
        <f t="shared" si="109"/>
        <v>-111.66730455028866</v>
      </c>
      <c r="AC249">
        <f t="shared" si="110"/>
        <v>-149.62979065631765</v>
      </c>
      <c r="AD249">
        <f t="shared" si="111"/>
        <v>-14.914180322126649</v>
      </c>
      <c r="AE249">
        <f t="shared" si="112"/>
        <v>-9.6029292732993099E-2</v>
      </c>
      <c r="AF249">
        <v>0</v>
      </c>
      <c r="AG249">
        <v>0</v>
      </c>
      <c r="AH249">
        <f t="shared" si="113"/>
        <v>1</v>
      </c>
      <c r="AI249">
        <f t="shared" si="114"/>
        <v>0</v>
      </c>
      <c r="AJ249">
        <f t="shared" si="115"/>
        <v>52252.69939726904</v>
      </c>
      <c r="AK249">
        <f t="shared" si="116"/>
        <v>1800</v>
      </c>
      <c r="AL249">
        <f t="shared" si="117"/>
        <v>1499.1130745999999</v>
      </c>
      <c r="AM249">
        <f t="shared" si="118"/>
        <v>0.8328405969999999</v>
      </c>
      <c r="AN249">
        <f t="shared" si="119"/>
        <v>0.15339735901999998</v>
      </c>
      <c r="AO249">
        <v>31.8</v>
      </c>
      <c r="AP249">
        <v>0.5</v>
      </c>
      <c r="AQ249" t="s">
        <v>331</v>
      </c>
      <c r="AR249">
        <v>2</v>
      </c>
      <c r="AS249">
        <v>1690390606</v>
      </c>
      <c r="AT249">
        <v>377.012</v>
      </c>
      <c r="AU249">
        <v>800.005</v>
      </c>
      <c r="AV249">
        <v>26.270900000000001</v>
      </c>
      <c r="AW249">
        <v>0.14737800000000001</v>
      </c>
      <c r="AX249">
        <v>376.57100000000003</v>
      </c>
      <c r="AY249">
        <v>26.072500000000002</v>
      </c>
      <c r="AZ249">
        <v>300.13799999999998</v>
      </c>
      <c r="BA249">
        <v>98.546599999999998</v>
      </c>
      <c r="BB249">
        <v>0.10003099999999999</v>
      </c>
      <c r="BC249">
        <v>25.9038</v>
      </c>
      <c r="BD249">
        <v>26.9833</v>
      </c>
      <c r="BE249">
        <v>27.022400000000001</v>
      </c>
      <c r="BF249">
        <v>0</v>
      </c>
      <c r="BG249">
        <v>0</v>
      </c>
      <c r="BH249">
        <v>9990.6200000000008</v>
      </c>
      <c r="BI249">
        <v>1068.6300000000001</v>
      </c>
      <c r="BJ249">
        <v>1.4016500000000001</v>
      </c>
      <c r="BK249">
        <v>-422.99299999999999</v>
      </c>
      <c r="BL249">
        <v>387.18400000000003</v>
      </c>
      <c r="BM249">
        <v>800.12300000000005</v>
      </c>
      <c r="BN249">
        <v>26.1235</v>
      </c>
      <c r="BO249">
        <v>800.005</v>
      </c>
      <c r="BP249">
        <v>0.14737800000000001</v>
      </c>
      <c r="BQ249">
        <v>2.5889099999999998</v>
      </c>
      <c r="BR249">
        <v>1.4523599999999999E-2</v>
      </c>
      <c r="BS249">
        <v>21.596499999999999</v>
      </c>
      <c r="BT249">
        <v>-42.460799999999999</v>
      </c>
      <c r="BU249">
        <v>1800</v>
      </c>
      <c r="BV249">
        <v>0.91000499999999995</v>
      </c>
      <c r="BW249">
        <v>3.3993700000000002E-2</v>
      </c>
      <c r="BX249">
        <v>2.2001099999999999E-2</v>
      </c>
      <c r="BY249">
        <v>3.3999799999999997E-2</v>
      </c>
      <c r="BZ249">
        <v>25</v>
      </c>
      <c r="CA249">
        <v>33528.400000000001</v>
      </c>
      <c r="CB249">
        <v>1690387638</v>
      </c>
      <c r="CC249" t="s">
        <v>332</v>
      </c>
      <c r="CD249">
        <v>1690387638</v>
      </c>
      <c r="CE249">
        <v>1690387638</v>
      </c>
      <c r="CF249">
        <v>6</v>
      </c>
      <c r="CG249">
        <v>0.43</v>
      </c>
      <c r="CH249">
        <v>-8.1000000000000003E-2</v>
      </c>
      <c r="CI249">
        <v>0.14199999999999999</v>
      </c>
      <c r="CJ249">
        <v>-2.7E-2</v>
      </c>
      <c r="CK249">
        <v>800</v>
      </c>
      <c r="CL249">
        <v>0</v>
      </c>
      <c r="CM249">
        <v>0.01</v>
      </c>
      <c r="CN249">
        <v>0.01</v>
      </c>
      <c r="CO249">
        <v>-423.08992682926828</v>
      </c>
      <c r="CP249">
        <v>-0.14358188153296211</v>
      </c>
      <c r="CQ249">
        <v>8.1529701379433009E-2</v>
      </c>
      <c r="CR249">
        <v>-1</v>
      </c>
      <c r="CS249">
        <v>26.12719756097561</v>
      </c>
      <c r="CT249">
        <v>-8.9686411149750202E-3</v>
      </c>
      <c r="CU249">
        <v>1.908835400904315E-3</v>
      </c>
      <c r="CV249">
        <v>-1</v>
      </c>
      <c r="CW249">
        <v>0</v>
      </c>
      <c r="CX249">
        <v>0</v>
      </c>
      <c r="CY249" t="s">
        <v>333</v>
      </c>
      <c r="CZ249">
        <v>2.3649300000000002</v>
      </c>
      <c r="DA249">
        <v>2.7138100000000001</v>
      </c>
      <c r="DB249">
        <v>8.50413E-2</v>
      </c>
      <c r="DC249">
        <v>0.145316</v>
      </c>
      <c r="DD249">
        <v>0.120796</v>
      </c>
      <c r="DE249">
        <v>1.2363700000000001E-3</v>
      </c>
      <c r="DF249">
        <v>33437.800000000003</v>
      </c>
      <c r="DG249">
        <v>27583.200000000001</v>
      </c>
      <c r="DH249">
        <v>31197.9</v>
      </c>
      <c r="DI249">
        <v>28120.9</v>
      </c>
      <c r="DJ249">
        <v>37233</v>
      </c>
      <c r="DK249">
        <v>39948.400000000001</v>
      </c>
      <c r="DL249">
        <v>44402.7</v>
      </c>
      <c r="DM249">
        <v>42624.3</v>
      </c>
      <c r="DN249">
        <v>1.47672</v>
      </c>
      <c r="DO249">
        <v>2.0314999999999999</v>
      </c>
      <c r="DP249">
        <v>0.14257400000000001</v>
      </c>
      <c r="DQ249">
        <v>0.147864</v>
      </c>
      <c r="DR249">
        <v>24.647200000000002</v>
      </c>
      <c r="DS249">
        <v>24.599499999999999</v>
      </c>
      <c r="DT249">
        <v>20.5</v>
      </c>
      <c r="DU249">
        <v>29.4</v>
      </c>
      <c r="DV249">
        <v>8.5621299999999998</v>
      </c>
      <c r="DW249">
        <v>61.302199999999999</v>
      </c>
      <c r="DX249">
        <v>37.872599999999998</v>
      </c>
      <c r="DY249">
        <v>1</v>
      </c>
      <c r="DZ249">
        <v>-0.120419</v>
      </c>
      <c r="EA249">
        <v>0.23655499999999999</v>
      </c>
      <c r="EB249">
        <v>20.189900000000002</v>
      </c>
      <c r="EC249">
        <v>5.2411000000000003</v>
      </c>
      <c r="ED249">
        <v>12.039899999999999</v>
      </c>
      <c r="EE249">
        <v>5.0168499999999998</v>
      </c>
      <c r="EF249">
        <v>3.2879999999999998</v>
      </c>
      <c r="EG249">
        <v>9999</v>
      </c>
      <c r="EH249">
        <v>9999</v>
      </c>
      <c r="EI249">
        <v>9999</v>
      </c>
      <c r="EJ249">
        <v>999.9</v>
      </c>
      <c r="EK249">
        <v>1.8689</v>
      </c>
      <c r="EL249">
        <v>1.8646199999999999</v>
      </c>
      <c r="EM249">
        <v>1.8692</v>
      </c>
      <c r="EN249">
        <v>1.8672299999999999</v>
      </c>
      <c r="EO249">
        <v>1.8633599999999999</v>
      </c>
      <c r="EP249">
        <v>1.86446</v>
      </c>
      <c r="EQ249">
        <v>1.8701300000000001</v>
      </c>
      <c r="ER249">
        <v>1.8693500000000001</v>
      </c>
      <c r="ES249">
        <v>0</v>
      </c>
      <c r="ET249">
        <v>0</v>
      </c>
      <c r="EU249">
        <v>0</v>
      </c>
      <c r="EV249">
        <v>0</v>
      </c>
      <c r="EW249" t="s">
        <v>334</v>
      </c>
      <c r="EX249" t="s">
        <v>335</v>
      </c>
      <c r="EY249" t="s">
        <v>336</v>
      </c>
      <c r="EZ249" t="s">
        <v>336</v>
      </c>
      <c r="FA249" t="s">
        <v>336</v>
      </c>
      <c r="FB249" t="s">
        <v>336</v>
      </c>
      <c r="FC249">
        <v>0</v>
      </c>
      <c r="FD249">
        <v>100</v>
      </c>
      <c r="FE249">
        <v>100</v>
      </c>
      <c r="FF249">
        <v>0.441</v>
      </c>
      <c r="FG249">
        <v>0.19839999999999999</v>
      </c>
      <c r="FH249">
        <v>0.69281559908863044</v>
      </c>
      <c r="FI249">
        <v>-6.1462078757559423E-4</v>
      </c>
      <c r="FJ249">
        <v>-1.8861989874597051E-7</v>
      </c>
      <c r="FK249">
        <v>1.1980462299894961E-10</v>
      </c>
      <c r="FL249">
        <v>0.19840465858211129</v>
      </c>
      <c r="FM249">
        <v>0</v>
      </c>
      <c r="FN249">
        <v>0</v>
      </c>
      <c r="FO249">
        <v>0</v>
      </c>
      <c r="FP249">
        <v>3</v>
      </c>
      <c r="FQ249">
        <v>2158</v>
      </c>
      <c r="FR249">
        <v>1</v>
      </c>
      <c r="FS249">
        <v>19</v>
      </c>
      <c r="FT249">
        <v>49.5</v>
      </c>
      <c r="FU249">
        <v>49.5</v>
      </c>
      <c r="FV249">
        <v>1.7626999999999999</v>
      </c>
      <c r="FW249">
        <v>2.5830099999999998</v>
      </c>
      <c r="FX249">
        <v>1.5490699999999999</v>
      </c>
      <c r="FY249">
        <v>2.33521</v>
      </c>
      <c r="FZ249">
        <v>1.50146</v>
      </c>
      <c r="GA249">
        <v>2.33521</v>
      </c>
      <c r="GB249">
        <v>33.625399999999999</v>
      </c>
      <c r="GC249">
        <v>23.991199999999999</v>
      </c>
      <c r="GD249">
        <v>19</v>
      </c>
      <c r="GE249">
        <v>281.63400000000001</v>
      </c>
      <c r="GF249">
        <v>575.35900000000004</v>
      </c>
      <c r="GG249">
        <v>24.0563</v>
      </c>
      <c r="GH249">
        <v>25.890499999999999</v>
      </c>
      <c r="GI249">
        <v>30.0002</v>
      </c>
      <c r="GJ249">
        <v>26.018599999999999</v>
      </c>
      <c r="GK249">
        <v>26.000800000000002</v>
      </c>
      <c r="GL249">
        <v>35.247999999999998</v>
      </c>
      <c r="GM249">
        <v>100</v>
      </c>
      <c r="GN249">
        <v>0</v>
      </c>
      <c r="GO249">
        <v>24.0471</v>
      </c>
      <c r="GP249">
        <v>800</v>
      </c>
      <c r="GQ249">
        <v>0</v>
      </c>
      <c r="GR249">
        <v>99.826800000000006</v>
      </c>
      <c r="GS249">
        <v>99.710499999999996</v>
      </c>
    </row>
    <row r="250" spans="1:201" x14ac:dyDescent="0.25">
      <c r="A250">
        <v>234</v>
      </c>
      <c r="B250">
        <v>1690390616</v>
      </c>
      <c r="C250">
        <v>2357.5</v>
      </c>
      <c r="D250" t="s">
        <v>801</v>
      </c>
      <c r="E250" t="s">
        <v>802</v>
      </c>
      <c r="F250" t="s">
        <v>330</v>
      </c>
      <c r="H250">
        <v>1690390616</v>
      </c>
      <c r="I250">
        <f t="shared" si="90"/>
        <v>2.5320256417776139E-3</v>
      </c>
      <c r="J250">
        <f t="shared" si="91"/>
        <v>2.5320256417776141</v>
      </c>
      <c r="K250">
        <f t="shared" si="92"/>
        <v>38.976776131049895</v>
      </c>
      <c r="L250">
        <f t="shared" si="93"/>
        <v>376.92200000000003</v>
      </c>
      <c r="M250">
        <f t="shared" si="94"/>
        <v>110.21116794898863</v>
      </c>
      <c r="N250">
        <f t="shared" si="95"/>
        <v>10.872128158140528</v>
      </c>
      <c r="O250">
        <f t="shared" si="96"/>
        <v>37.182659125066003</v>
      </c>
      <c r="P250">
        <f t="shared" si="97"/>
        <v>0.25060639553547209</v>
      </c>
      <c r="Q250">
        <f t="shared" si="98"/>
        <v>2.154827482737363</v>
      </c>
      <c r="R250">
        <f t="shared" si="99"/>
        <v>0.23546736351843384</v>
      </c>
      <c r="S250">
        <f t="shared" si="100"/>
        <v>0.1484510121417971</v>
      </c>
      <c r="T250">
        <f t="shared" si="101"/>
        <v>276.11535340799998</v>
      </c>
      <c r="U250">
        <f t="shared" si="102"/>
        <v>27.187026722334711</v>
      </c>
      <c r="V250">
        <f t="shared" si="103"/>
        <v>27.187026722334711</v>
      </c>
      <c r="W250">
        <f t="shared" si="104"/>
        <v>3.6186641244203841</v>
      </c>
      <c r="X250">
        <f t="shared" si="105"/>
        <v>77.255758530832807</v>
      </c>
      <c r="Y250">
        <f t="shared" si="106"/>
        <v>2.5912699533734003</v>
      </c>
      <c r="Z250">
        <f t="shared" si="107"/>
        <v>3.3541447299869862</v>
      </c>
      <c r="AA250">
        <f t="shared" si="108"/>
        <v>1.0273941710469838</v>
      </c>
      <c r="AB250">
        <f t="shared" si="109"/>
        <v>-111.66233080239277</v>
      </c>
      <c r="AC250">
        <f t="shared" si="110"/>
        <v>-149.63142867507455</v>
      </c>
      <c r="AD250">
        <f t="shared" si="111"/>
        <v>-14.917674105327093</v>
      </c>
      <c r="AE250">
        <f t="shared" si="112"/>
        <v>-9.6080174794423101E-2</v>
      </c>
      <c r="AF250">
        <v>0</v>
      </c>
      <c r="AG250">
        <v>0</v>
      </c>
      <c r="AH250">
        <f t="shared" si="113"/>
        <v>1</v>
      </c>
      <c r="AI250">
        <f t="shared" si="114"/>
        <v>0</v>
      </c>
      <c r="AJ250">
        <f t="shared" si="115"/>
        <v>52229.243335590596</v>
      </c>
      <c r="AK250">
        <f t="shared" si="116"/>
        <v>1800</v>
      </c>
      <c r="AL250">
        <f t="shared" si="117"/>
        <v>1499.1141888</v>
      </c>
      <c r="AM250">
        <f t="shared" si="118"/>
        <v>0.83284121599999994</v>
      </c>
      <c r="AN250">
        <f t="shared" si="119"/>
        <v>0.15339741856</v>
      </c>
      <c r="AO250">
        <v>31.8</v>
      </c>
      <c r="AP250">
        <v>0.5</v>
      </c>
      <c r="AQ250" t="s">
        <v>331</v>
      </c>
      <c r="AR250">
        <v>2</v>
      </c>
      <c r="AS250">
        <v>1690390616</v>
      </c>
      <c r="AT250">
        <v>376.92200000000003</v>
      </c>
      <c r="AU250">
        <v>799.96799999999996</v>
      </c>
      <c r="AV250">
        <v>26.267800000000001</v>
      </c>
      <c r="AW250">
        <v>0.14718600000000001</v>
      </c>
      <c r="AX250">
        <v>376.48099999999999</v>
      </c>
      <c r="AY250">
        <v>26.069400000000002</v>
      </c>
      <c r="AZ250">
        <v>300.15899999999999</v>
      </c>
      <c r="BA250">
        <v>98.548100000000005</v>
      </c>
      <c r="BB250">
        <v>0.100053</v>
      </c>
      <c r="BC250">
        <v>25.899000000000001</v>
      </c>
      <c r="BD250">
        <v>26.992999999999999</v>
      </c>
      <c r="BE250">
        <v>27.0322</v>
      </c>
      <c r="BF250">
        <v>0</v>
      </c>
      <c r="BG250">
        <v>0</v>
      </c>
      <c r="BH250">
        <v>9985.6200000000008</v>
      </c>
      <c r="BI250">
        <v>1068.6099999999999</v>
      </c>
      <c r="BJ250">
        <v>1.4016500000000001</v>
      </c>
      <c r="BK250">
        <v>-423.04599999999999</v>
      </c>
      <c r="BL250">
        <v>387.09</v>
      </c>
      <c r="BM250">
        <v>800.08500000000004</v>
      </c>
      <c r="BN250">
        <v>26.1206</v>
      </c>
      <c r="BO250">
        <v>799.96799999999996</v>
      </c>
      <c r="BP250">
        <v>0.14718600000000001</v>
      </c>
      <c r="BQ250">
        <v>2.5886399999999998</v>
      </c>
      <c r="BR250">
        <v>1.4504899999999999E-2</v>
      </c>
      <c r="BS250">
        <v>21.594799999999999</v>
      </c>
      <c r="BT250">
        <v>-42.472900000000003</v>
      </c>
      <c r="BU250">
        <v>1800</v>
      </c>
      <c r="BV250">
        <v>0.91000700000000001</v>
      </c>
      <c r="BW250">
        <v>3.3993200000000001E-2</v>
      </c>
      <c r="BX250">
        <v>2.2000800000000001E-2</v>
      </c>
      <c r="BY250">
        <v>3.39992E-2</v>
      </c>
      <c r="BZ250">
        <v>25</v>
      </c>
      <c r="CA250">
        <v>33528.400000000001</v>
      </c>
      <c r="CB250">
        <v>1690387638</v>
      </c>
      <c r="CC250" t="s">
        <v>332</v>
      </c>
      <c r="CD250">
        <v>1690387638</v>
      </c>
      <c r="CE250">
        <v>1690387638</v>
      </c>
      <c r="CF250">
        <v>6</v>
      </c>
      <c r="CG250">
        <v>0.43</v>
      </c>
      <c r="CH250">
        <v>-8.1000000000000003E-2</v>
      </c>
      <c r="CI250">
        <v>0.14199999999999999</v>
      </c>
      <c r="CJ250">
        <v>-2.7E-2</v>
      </c>
      <c r="CK250">
        <v>800</v>
      </c>
      <c r="CL250">
        <v>0</v>
      </c>
      <c r="CM250">
        <v>0.01</v>
      </c>
      <c r="CN250">
        <v>0.01</v>
      </c>
      <c r="CO250">
        <v>-423.07863414634141</v>
      </c>
      <c r="CP250">
        <v>0.63936585365757881</v>
      </c>
      <c r="CQ250">
        <v>8.2938636175259095E-2</v>
      </c>
      <c r="CR250">
        <v>-1</v>
      </c>
      <c r="CS250">
        <v>26.12407073170732</v>
      </c>
      <c r="CT250">
        <v>-2.5526132404169372E-2</v>
      </c>
      <c r="CU250">
        <v>3.0177720664577548E-3</v>
      </c>
      <c r="CV250">
        <v>-1</v>
      </c>
      <c r="CW250">
        <v>0</v>
      </c>
      <c r="CX250">
        <v>0</v>
      </c>
      <c r="CY250" t="s">
        <v>333</v>
      </c>
      <c r="CZ250">
        <v>2.3650099999999998</v>
      </c>
      <c r="DA250">
        <v>2.7138300000000002</v>
      </c>
      <c r="DB250">
        <v>8.5026699999999997E-2</v>
      </c>
      <c r="DC250">
        <v>0.145314</v>
      </c>
      <c r="DD250">
        <v>0.12078700000000001</v>
      </c>
      <c r="DE250">
        <v>1.2347899999999999E-3</v>
      </c>
      <c r="DF250">
        <v>33438.699999999997</v>
      </c>
      <c r="DG250">
        <v>27583</v>
      </c>
      <c r="DH250">
        <v>31198.2</v>
      </c>
      <c r="DI250">
        <v>28120.6</v>
      </c>
      <c r="DJ250">
        <v>37233.699999999997</v>
      </c>
      <c r="DK250">
        <v>39948.1</v>
      </c>
      <c r="DL250">
        <v>44403.199999999997</v>
      </c>
      <c r="DM250">
        <v>42623.9</v>
      </c>
      <c r="DN250">
        <v>1.47723</v>
      </c>
      <c r="DO250">
        <v>2.0314800000000002</v>
      </c>
      <c r="DP250">
        <v>0.14326</v>
      </c>
      <c r="DQ250">
        <v>0.148587</v>
      </c>
      <c r="DR250">
        <v>24.645600000000002</v>
      </c>
      <c r="DS250">
        <v>24.5974</v>
      </c>
      <c r="DT250">
        <v>20.5</v>
      </c>
      <c r="DU250">
        <v>29.4</v>
      </c>
      <c r="DV250">
        <v>8.5626300000000004</v>
      </c>
      <c r="DW250">
        <v>60.842300000000002</v>
      </c>
      <c r="DX250">
        <v>37.083300000000001</v>
      </c>
      <c r="DY250">
        <v>1</v>
      </c>
      <c r="DZ250">
        <v>-0.120658</v>
      </c>
      <c r="EA250">
        <v>9.9093100000000003E-2</v>
      </c>
      <c r="EB250">
        <v>20.190300000000001</v>
      </c>
      <c r="EC250">
        <v>5.2418500000000003</v>
      </c>
      <c r="ED250">
        <v>12.039899999999999</v>
      </c>
      <c r="EE250">
        <v>5.0170500000000002</v>
      </c>
      <c r="EF250">
        <v>3.2879999999999998</v>
      </c>
      <c r="EG250">
        <v>9999</v>
      </c>
      <c r="EH250">
        <v>9999</v>
      </c>
      <c r="EI250">
        <v>9999</v>
      </c>
      <c r="EJ250">
        <v>999.9</v>
      </c>
      <c r="EK250">
        <v>1.8689</v>
      </c>
      <c r="EL250">
        <v>1.8646199999999999</v>
      </c>
      <c r="EM250">
        <v>1.8692</v>
      </c>
      <c r="EN250">
        <v>1.8672200000000001</v>
      </c>
      <c r="EO250">
        <v>1.8633599999999999</v>
      </c>
      <c r="EP250">
        <v>1.8644700000000001</v>
      </c>
      <c r="EQ250">
        <v>1.8701399999999999</v>
      </c>
      <c r="ER250">
        <v>1.8693500000000001</v>
      </c>
      <c r="ES250">
        <v>0</v>
      </c>
      <c r="ET250">
        <v>0</v>
      </c>
      <c r="EU250">
        <v>0</v>
      </c>
      <c r="EV250">
        <v>0</v>
      </c>
      <c r="EW250" t="s">
        <v>334</v>
      </c>
      <c r="EX250" t="s">
        <v>335</v>
      </c>
      <c r="EY250" t="s">
        <v>336</v>
      </c>
      <c r="EZ250" t="s">
        <v>336</v>
      </c>
      <c r="FA250" t="s">
        <v>336</v>
      </c>
      <c r="FB250" t="s">
        <v>336</v>
      </c>
      <c r="FC250">
        <v>0</v>
      </c>
      <c r="FD250">
        <v>100</v>
      </c>
      <c r="FE250">
        <v>100</v>
      </c>
      <c r="FF250">
        <v>0.441</v>
      </c>
      <c r="FG250">
        <v>0.19839999999999999</v>
      </c>
      <c r="FH250">
        <v>0.69281559908863044</v>
      </c>
      <c r="FI250">
        <v>-6.1462078757559423E-4</v>
      </c>
      <c r="FJ250">
        <v>-1.8861989874597051E-7</v>
      </c>
      <c r="FK250">
        <v>1.1980462299894961E-10</v>
      </c>
      <c r="FL250">
        <v>0.19840465858211129</v>
      </c>
      <c r="FM250">
        <v>0</v>
      </c>
      <c r="FN250">
        <v>0</v>
      </c>
      <c r="FO250">
        <v>0</v>
      </c>
      <c r="FP250">
        <v>3</v>
      </c>
      <c r="FQ250">
        <v>2158</v>
      </c>
      <c r="FR250">
        <v>1</v>
      </c>
      <c r="FS250">
        <v>19</v>
      </c>
      <c r="FT250">
        <v>49.6</v>
      </c>
      <c r="FU250">
        <v>49.6</v>
      </c>
      <c r="FV250">
        <v>1.7626999999999999</v>
      </c>
      <c r="FW250">
        <v>2.5830099999999998</v>
      </c>
      <c r="FX250">
        <v>1.5490699999999999</v>
      </c>
      <c r="FY250">
        <v>2.33521</v>
      </c>
      <c r="FZ250">
        <v>1.50146</v>
      </c>
      <c r="GA250">
        <v>2.3706100000000001</v>
      </c>
      <c r="GB250">
        <v>33.625399999999999</v>
      </c>
      <c r="GC250">
        <v>23.982399999999998</v>
      </c>
      <c r="GD250">
        <v>19</v>
      </c>
      <c r="GE250">
        <v>281.846</v>
      </c>
      <c r="GF250">
        <v>575.34500000000003</v>
      </c>
      <c r="GG250">
        <v>24.065000000000001</v>
      </c>
      <c r="GH250">
        <v>25.890499999999999</v>
      </c>
      <c r="GI250">
        <v>30</v>
      </c>
      <c r="GJ250">
        <v>26.018599999999999</v>
      </c>
      <c r="GK250">
        <v>26.001300000000001</v>
      </c>
      <c r="GL250">
        <v>35.250799999999998</v>
      </c>
      <c r="GM250">
        <v>100</v>
      </c>
      <c r="GN250">
        <v>0</v>
      </c>
      <c r="GO250">
        <v>24.079499999999999</v>
      </c>
      <c r="GP250">
        <v>800</v>
      </c>
      <c r="GQ250">
        <v>0</v>
      </c>
      <c r="GR250">
        <v>99.827799999999996</v>
      </c>
      <c r="GS250">
        <v>99.709599999999995</v>
      </c>
    </row>
    <row r="251" spans="1:201" x14ac:dyDescent="0.25">
      <c r="A251">
        <v>235</v>
      </c>
      <c r="B251">
        <v>1690390626</v>
      </c>
      <c r="C251">
        <v>2367.5</v>
      </c>
      <c r="D251" t="s">
        <v>803</v>
      </c>
      <c r="E251" t="s">
        <v>804</v>
      </c>
      <c r="F251" t="s">
        <v>330</v>
      </c>
      <c r="H251">
        <v>1690390626</v>
      </c>
      <c r="I251">
        <f t="shared" si="90"/>
        <v>2.5326397896184715E-3</v>
      </c>
      <c r="J251">
        <f t="shared" si="91"/>
        <v>2.5326397896184716</v>
      </c>
      <c r="K251">
        <f t="shared" si="92"/>
        <v>38.9833091260655</v>
      </c>
      <c r="L251">
        <f t="shared" si="93"/>
        <v>376.83</v>
      </c>
      <c r="M251">
        <f t="shared" si="94"/>
        <v>110.43435832856889</v>
      </c>
      <c r="N251">
        <f t="shared" si="95"/>
        <v>10.893914669044582</v>
      </c>
      <c r="O251">
        <f t="shared" si="96"/>
        <v>37.172795920289992</v>
      </c>
      <c r="P251">
        <f t="shared" si="97"/>
        <v>0.25093080119294081</v>
      </c>
      <c r="Q251">
        <f t="shared" si="98"/>
        <v>2.1601833467140144</v>
      </c>
      <c r="R251">
        <f t="shared" si="99"/>
        <v>0.23578901553156348</v>
      </c>
      <c r="S251">
        <f t="shared" si="100"/>
        <v>0.14865236318652303</v>
      </c>
      <c r="T251">
        <f t="shared" si="101"/>
        <v>276.11369240852008</v>
      </c>
      <c r="U251">
        <f t="shared" si="102"/>
        <v>27.185493930073655</v>
      </c>
      <c r="V251">
        <f t="shared" si="103"/>
        <v>27.185493930073655</v>
      </c>
      <c r="W251">
        <f t="shared" si="104"/>
        <v>3.6183388223488131</v>
      </c>
      <c r="X251">
        <f t="shared" si="105"/>
        <v>77.273857222214076</v>
      </c>
      <c r="Y251">
        <f t="shared" si="106"/>
        <v>2.5921225974510005</v>
      </c>
      <c r="Z251">
        <f t="shared" si="107"/>
        <v>3.3544625448124226</v>
      </c>
      <c r="AA251">
        <f t="shared" si="108"/>
        <v>1.0262162248978126</v>
      </c>
      <c r="AB251">
        <f t="shared" si="109"/>
        <v>-111.68941472217459</v>
      </c>
      <c r="AC251">
        <f t="shared" si="110"/>
        <v>-149.6384960127441</v>
      </c>
      <c r="AD251">
        <f t="shared" si="111"/>
        <v>-14.881395390933735</v>
      </c>
      <c r="AE251">
        <f t="shared" si="112"/>
        <v>-9.5613717332355463E-2</v>
      </c>
      <c r="AF251">
        <v>0</v>
      </c>
      <c r="AG251">
        <v>0</v>
      </c>
      <c r="AH251">
        <f t="shared" si="113"/>
        <v>1</v>
      </c>
      <c r="AI251">
        <f t="shared" si="114"/>
        <v>0</v>
      </c>
      <c r="AJ251">
        <f t="shared" si="115"/>
        <v>52453.480911263709</v>
      </c>
      <c r="AK251">
        <f t="shared" si="116"/>
        <v>1799.99</v>
      </c>
      <c r="AL251">
        <f t="shared" si="117"/>
        <v>1499.1053167908599</v>
      </c>
      <c r="AM251">
        <f t="shared" si="118"/>
        <v>0.83284091399999993</v>
      </c>
      <c r="AN251">
        <f t="shared" si="119"/>
        <v>0.15339734798999999</v>
      </c>
      <c r="AO251">
        <v>31.8</v>
      </c>
      <c r="AP251">
        <v>0.5</v>
      </c>
      <c r="AQ251" t="s">
        <v>331</v>
      </c>
      <c r="AR251">
        <v>2</v>
      </c>
      <c r="AS251">
        <v>1690390626</v>
      </c>
      <c r="AT251">
        <v>376.83</v>
      </c>
      <c r="AU251">
        <v>800.00300000000004</v>
      </c>
      <c r="AV251">
        <v>26.277000000000001</v>
      </c>
      <c r="AW251">
        <v>0.146728</v>
      </c>
      <c r="AX251">
        <v>376.38900000000001</v>
      </c>
      <c r="AY251">
        <v>26.078600000000002</v>
      </c>
      <c r="AZ251">
        <v>300.11799999999999</v>
      </c>
      <c r="BA251">
        <v>98.546099999999996</v>
      </c>
      <c r="BB251">
        <v>9.9962999999999996E-2</v>
      </c>
      <c r="BC251">
        <v>25.900600000000001</v>
      </c>
      <c r="BD251">
        <v>26.9955</v>
      </c>
      <c r="BE251">
        <v>27.026599999999998</v>
      </c>
      <c r="BF251">
        <v>0</v>
      </c>
      <c r="BG251">
        <v>0</v>
      </c>
      <c r="BH251">
        <v>10030.6</v>
      </c>
      <c r="BI251">
        <v>1068.5899999999999</v>
      </c>
      <c r="BJ251">
        <v>1.4016500000000001</v>
      </c>
      <c r="BK251">
        <v>-423.173</v>
      </c>
      <c r="BL251">
        <v>386.99900000000002</v>
      </c>
      <c r="BM251">
        <v>800.12</v>
      </c>
      <c r="BN251">
        <v>26.130299999999998</v>
      </c>
      <c r="BO251">
        <v>800.00300000000004</v>
      </c>
      <c r="BP251">
        <v>0.146728</v>
      </c>
      <c r="BQ251">
        <v>2.5895000000000001</v>
      </c>
      <c r="BR251">
        <v>1.44595E-2</v>
      </c>
      <c r="BS251">
        <v>21.600200000000001</v>
      </c>
      <c r="BT251">
        <v>-42.502099999999999</v>
      </c>
      <c r="BU251">
        <v>1799.99</v>
      </c>
      <c r="BV251">
        <v>0.91000700000000001</v>
      </c>
      <c r="BW251">
        <v>3.3993000000000002E-2</v>
      </c>
      <c r="BX251">
        <v>2.2000700000000002E-2</v>
      </c>
      <c r="BY251">
        <v>3.3999099999999997E-2</v>
      </c>
      <c r="BZ251">
        <v>25</v>
      </c>
      <c r="CA251">
        <v>33528.300000000003</v>
      </c>
      <c r="CB251">
        <v>1690387638</v>
      </c>
      <c r="CC251" t="s">
        <v>332</v>
      </c>
      <c r="CD251">
        <v>1690387638</v>
      </c>
      <c r="CE251">
        <v>1690387638</v>
      </c>
      <c r="CF251">
        <v>6</v>
      </c>
      <c r="CG251">
        <v>0.43</v>
      </c>
      <c r="CH251">
        <v>-8.1000000000000003E-2</v>
      </c>
      <c r="CI251">
        <v>0.14199999999999999</v>
      </c>
      <c r="CJ251">
        <v>-2.7E-2</v>
      </c>
      <c r="CK251">
        <v>800</v>
      </c>
      <c r="CL251">
        <v>0</v>
      </c>
      <c r="CM251">
        <v>0.01</v>
      </c>
      <c r="CN251">
        <v>0.01</v>
      </c>
      <c r="CO251">
        <v>-423.085825</v>
      </c>
      <c r="CP251">
        <v>-0.76179737335795816</v>
      </c>
      <c r="CQ251">
        <v>8.624554698649721E-2</v>
      </c>
      <c r="CR251">
        <v>-1</v>
      </c>
      <c r="CS251">
        <v>26.122985000000011</v>
      </c>
      <c r="CT251">
        <v>1.7164727954926871E-2</v>
      </c>
      <c r="CU251">
        <v>2.5785218633941152E-3</v>
      </c>
      <c r="CV251">
        <v>-1</v>
      </c>
      <c r="CW251">
        <v>0</v>
      </c>
      <c r="CX251">
        <v>0</v>
      </c>
      <c r="CY251" t="s">
        <v>333</v>
      </c>
      <c r="CZ251">
        <v>2.3648799999999999</v>
      </c>
      <c r="DA251">
        <v>2.7137799999999999</v>
      </c>
      <c r="DB251">
        <v>8.5009100000000004E-2</v>
      </c>
      <c r="DC251">
        <v>0.145315</v>
      </c>
      <c r="DD251">
        <v>0.12081500000000001</v>
      </c>
      <c r="DE251">
        <v>1.2309599999999999E-3</v>
      </c>
      <c r="DF251">
        <v>33438.699999999997</v>
      </c>
      <c r="DG251">
        <v>27583.1</v>
      </c>
      <c r="DH251">
        <v>31197.599999999999</v>
      </c>
      <c r="DI251">
        <v>28120.799999999999</v>
      </c>
      <c r="DJ251">
        <v>37232</v>
      </c>
      <c r="DK251">
        <v>39948.5</v>
      </c>
      <c r="DL251">
        <v>44402.5</v>
      </c>
      <c r="DM251">
        <v>42624.2</v>
      </c>
      <c r="DN251">
        <v>1.4769000000000001</v>
      </c>
      <c r="DO251">
        <v>2.0314800000000002</v>
      </c>
      <c r="DP251">
        <v>0.14363200000000001</v>
      </c>
      <c r="DQ251">
        <v>0.148281</v>
      </c>
      <c r="DR251">
        <v>24.641999999999999</v>
      </c>
      <c r="DS251">
        <v>24.596900000000002</v>
      </c>
      <c r="DT251">
        <v>20.5</v>
      </c>
      <c r="DU251">
        <v>29.4</v>
      </c>
      <c r="DV251">
        <v>8.5614399999999993</v>
      </c>
      <c r="DW251">
        <v>60.982199999999999</v>
      </c>
      <c r="DX251">
        <v>37.379800000000003</v>
      </c>
      <c r="DY251">
        <v>1</v>
      </c>
      <c r="DZ251">
        <v>-0.119931</v>
      </c>
      <c r="EA251">
        <v>0.111002</v>
      </c>
      <c r="EB251">
        <v>20.190100000000001</v>
      </c>
      <c r="EC251">
        <v>5.2411000000000003</v>
      </c>
      <c r="ED251">
        <v>12.039899999999999</v>
      </c>
      <c r="EE251">
        <v>5.0170000000000003</v>
      </c>
      <c r="EF251">
        <v>3.2879999999999998</v>
      </c>
      <c r="EG251">
        <v>9999</v>
      </c>
      <c r="EH251">
        <v>9999</v>
      </c>
      <c r="EI251">
        <v>9999</v>
      </c>
      <c r="EJ251">
        <v>999.9</v>
      </c>
      <c r="EK251">
        <v>1.8689100000000001</v>
      </c>
      <c r="EL251">
        <v>1.8646199999999999</v>
      </c>
      <c r="EM251">
        <v>1.8692</v>
      </c>
      <c r="EN251">
        <v>1.8672200000000001</v>
      </c>
      <c r="EO251">
        <v>1.86338</v>
      </c>
      <c r="EP251">
        <v>1.8644700000000001</v>
      </c>
      <c r="EQ251">
        <v>1.8701300000000001</v>
      </c>
      <c r="ER251">
        <v>1.8693500000000001</v>
      </c>
      <c r="ES251">
        <v>0</v>
      </c>
      <c r="ET251">
        <v>0</v>
      </c>
      <c r="EU251">
        <v>0</v>
      </c>
      <c r="EV251">
        <v>0</v>
      </c>
      <c r="EW251" t="s">
        <v>334</v>
      </c>
      <c r="EX251" t="s">
        <v>335</v>
      </c>
      <c r="EY251" t="s">
        <v>336</v>
      </c>
      <c r="EZ251" t="s">
        <v>336</v>
      </c>
      <c r="FA251" t="s">
        <v>336</v>
      </c>
      <c r="FB251" t="s">
        <v>336</v>
      </c>
      <c r="FC251">
        <v>0</v>
      </c>
      <c r="FD251">
        <v>100</v>
      </c>
      <c r="FE251">
        <v>100</v>
      </c>
      <c r="FF251">
        <v>0.441</v>
      </c>
      <c r="FG251">
        <v>0.19839999999999999</v>
      </c>
      <c r="FH251">
        <v>0.69281559908863044</v>
      </c>
      <c r="FI251">
        <v>-6.1462078757559423E-4</v>
      </c>
      <c r="FJ251">
        <v>-1.8861989874597051E-7</v>
      </c>
      <c r="FK251">
        <v>1.1980462299894961E-10</v>
      </c>
      <c r="FL251">
        <v>0.19840465858211129</v>
      </c>
      <c r="FM251">
        <v>0</v>
      </c>
      <c r="FN251">
        <v>0</v>
      </c>
      <c r="FO251">
        <v>0</v>
      </c>
      <c r="FP251">
        <v>3</v>
      </c>
      <c r="FQ251">
        <v>2158</v>
      </c>
      <c r="FR251">
        <v>1</v>
      </c>
      <c r="FS251">
        <v>19</v>
      </c>
      <c r="FT251">
        <v>49.8</v>
      </c>
      <c r="FU251">
        <v>49.8</v>
      </c>
      <c r="FV251">
        <v>1.7626999999999999</v>
      </c>
      <c r="FW251">
        <v>2.5854499999999998</v>
      </c>
      <c r="FX251">
        <v>1.5490699999999999</v>
      </c>
      <c r="FY251">
        <v>2.33521</v>
      </c>
      <c r="FZ251">
        <v>1.50146</v>
      </c>
      <c r="GA251">
        <v>2.3962400000000001</v>
      </c>
      <c r="GB251">
        <v>33.625399999999999</v>
      </c>
      <c r="GC251">
        <v>23.982399999999998</v>
      </c>
      <c r="GD251">
        <v>19</v>
      </c>
      <c r="GE251">
        <v>281.70699999999999</v>
      </c>
      <c r="GF251">
        <v>575.33900000000006</v>
      </c>
      <c r="GG251">
        <v>24.089200000000002</v>
      </c>
      <c r="GH251">
        <v>25.890499999999999</v>
      </c>
      <c r="GI251">
        <v>30.000399999999999</v>
      </c>
      <c r="GJ251">
        <v>26.018599999999999</v>
      </c>
      <c r="GK251">
        <v>26.000800000000002</v>
      </c>
      <c r="GL251">
        <v>35.247300000000003</v>
      </c>
      <c r="GM251">
        <v>100</v>
      </c>
      <c r="GN251">
        <v>0</v>
      </c>
      <c r="GO251">
        <v>24.092099999999999</v>
      </c>
      <c r="GP251">
        <v>800</v>
      </c>
      <c r="GQ251">
        <v>0</v>
      </c>
      <c r="GR251">
        <v>99.826099999999997</v>
      </c>
      <c r="GS251">
        <v>99.7102</v>
      </c>
    </row>
    <row r="252" spans="1:201" x14ac:dyDescent="0.25">
      <c r="A252">
        <v>236</v>
      </c>
      <c r="B252">
        <v>1690390636</v>
      </c>
      <c r="C252">
        <v>2377.5</v>
      </c>
      <c r="D252" t="s">
        <v>805</v>
      </c>
      <c r="E252" t="s">
        <v>806</v>
      </c>
      <c r="F252" t="s">
        <v>330</v>
      </c>
      <c r="H252">
        <v>1690390636</v>
      </c>
      <c r="I252">
        <f t="shared" si="90"/>
        <v>2.5335118342995873E-3</v>
      </c>
      <c r="J252">
        <f t="shared" si="91"/>
        <v>2.5335118342995875</v>
      </c>
      <c r="K252">
        <f t="shared" si="92"/>
        <v>38.975792726742682</v>
      </c>
      <c r="L252">
        <f t="shared" si="93"/>
        <v>376.88600000000002</v>
      </c>
      <c r="M252">
        <f t="shared" si="94"/>
        <v>110.73043776436045</v>
      </c>
      <c r="N252">
        <f t="shared" si="95"/>
        <v>10.923065377927859</v>
      </c>
      <c r="O252">
        <f t="shared" si="96"/>
        <v>37.178128264844005</v>
      </c>
      <c r="P252">
        <f t="shared" si="97"/>
        <v>0.25118410750279263</v>
      </c>
      <c r="Q252">
        <f t="shared" si="98"/>
        <v>2.1507461333422331</v>
      </c>
      <c r="R252">
        <f t="shared" si="99"/>
        <v>0.23595048978150371</v>
      </c>
      <c r="S252">
        <f t="shared" si="100"/>
        <v>0.14876068492427852</v>
      </c>
      <c r="T252">
        <f t="shared" si="101"/>
        <v>276.11529283799996</v>
      </c>
      <c r="U252">
        <f t="shared" si="102"/>
        <v>27.188735577281594</v>
      </c>
      <c r="V252">
        <f t="shared" si="103"/>
        <v>27.188735577281594</v>
      </c>
      <c r="W252">
        <f t="shared" si="104"/>
        <v>3.6190268220897508</v>
      </c>
      <c r="X252">
        <f t="shared" si="105"/>
        <v>77.3125432321837</v>
      </c>
      <c r="Y252">
        <f t="shared" si="106"/>
        <v>2.5931745944412001</v>
      </c>
      <c r="Z252">
        <f t="shared" si="107"/>
        <v>3.3541447299869862</v>
      </c>
      <c r="AA252">
        <f t="shared" si="108"/>
        <v>1.0258522276485507</v>
      </c>
      <c r="AB252">
        <f t="shared" si="109"/>
        <v>-111.7278718926118</v>
      </c>
      <c r="AC252">
        <f t="shared" si="110"/>
        <v>-149.54616286218743</v>
      </c>
      <c r="AD252">
        <f t="shared" si="111"/>
        <v>-14.937593737623544</v>
      </c>
      <c r="AE252">
        <f t="shared" si="112"/>
        <v>-9.633565442283043E-2</v>
      </c>
      <c r="AF252">
        <v>0</v>
      </c>
      <c r="AG252">
        <v>0</v>
      </c>
      <c r="AH252">
        <f t="shared" si="113"/>
        <v>1</v>
      </c>
      <c r="AI252">
        <f t="shared" si="114"/>
        <v>0</v>
      </c>
      <c r="AJ252">
        <f t="shared" si="115"/>
        <v>52058.463023159675</v>
      </c>
      <c r="AK252">
        <f t="shared" si="116"/>
        <v>1800</v>
      </c>
      <c r="AL252">
        <f t="shared" si="117"/>
        <v>1499.1146028000001</v>
      </c>
      <c r="AM252">
        <f t="shared" si="118"/>
        <v>0.83284144599999999</v>
      </c>
      <c r="AN252">
        <f t="shared" si="119"/>
        <v>0.15339738490999996</v>
      </c>
      <c r="AO252">
        <v>31.8</v>
      </c>
      <c r="AP252">
        <v>0.5</v>
      </c>
      <c r="AQ252" t="s">
        <v>331</v>
      </c>
      <c r="AR252">
        <v>2</v>
      </c>
      <c r="AS252">
        <v>1690390636</v>
      </c>
      <c r="AT252">
        <v>376.88600000000002</v>
      </c>
      <c r="AU252">
        <v>800.02099999999996</v>
      </c>
      <c r="AV252">
        <v>26.287800000000001</v>
      </c>
      <c r="AW252">
        <v>0.14655599999999999</v>
      </c>
      <c r="AX252">
        <v>376.44499999999999</v>
      </c>
      <c r="AY252">
        <v>26.089400000000001</v>
      </c>
      <c r="AZ252">
        <v>300.09199999999998</v>
      </c>
      <c r="BA252">
        <v>98.545500000000004</v>
      </c>
      <c r="BB252">
        <v>0.100054</v>
      </c>
      <c r="BC252">
        <v>25.899000000000001</v>
      </c>
      <c r="BD252">
        <v>26.983799999999999</v>
      </c>
      <c r="BE252">
        <v>27.040800000000001</v>
      </c>
      <c r="BF252">
        <v>0</v>
      </c>
      <c r="BG252">
        <v>0</v>
      </c>
      <c r="BH252">
        <v>9951.8799999999992</v>
      </c>
      <c r="BI252">
        <v>1068.57</v>
      </c>
      <c r="BJ252">
        <v>1.4016500000000001</v>
      </c>
      <c r="BK252">
        <v>-423.13499999999999</v>
      </c>
      <c r="BL252">
        <v>387.06099999999998</v>
      </c>
      <c r="BM252">
        <v>800.13800000000003</v>
      </c>
      <c r="BN252">
        <v>26.141300000000001</v>
      </c>
      <c r="BO252">
        <v>800.02099999999996</v>
      </c>
      <c r="BP252">
        <v>0.14655599999999999</v>
      </c>
      <c r="BQ252">
        <v>2.5905499999999999</v>
      </c>
      <c r="BR252">
        <v>1.44425E-2</v>
      </c>
      <c r="BS252">
        <v>21.6068</v>
      </c>
      <c r="BT252">
        <v>-42.513100000000001</v>
      </c>
      <c r="BU252">
        <v>1800</v>
      </c>
      <c r="BV252">
        <v>0.91000899999999996</v>
      </c>
      <c r="BW252">
        <v>3.3992500000000002E-2</v>
      </c>
      <c r="BX252">
        <v>2.20003E-2</v>
      </c>
      <c r="BY252">
        <v>3.3998500000000001E-2</v>
      </c>
      <c r="BZ252">
        <v>25</v>
      </c>
      <c r="CA252">
        <v>33528.400000000001</v>
      </c>
      <c r="CB252">
        <v>1690387638</v>
      </c>
      <c r="CC252" t="s">
        <v>332</v>
      </c>
      <c r="CD252">
        <v>1690387638</v>
      </c>
      <c r="CE252">
        <v>1690387638</v>
      </c>
      <c r="CF252">
        <v>6</v>
      </c>
      <c r="CG252">
        <v>0.43</v>
      </c>
      <c r="CH252">
        <v>-8.1000000000000003E-2</v>
      </c>
      <c r="CI252">
        <v>0.14199999999999999</v>
      </c>
      <c r="CJ252">
        <v>-2.7E-2</v>
      </c>
      <c r="CK252">
        <v>800</v>
      </c>
      <c r="CL252">
        <v>0</v>
      </c>
      <c r="CM252">
        <v>0.01</v>
      </c>
      <c r="CN252">
        <v>0.01</v>
      </c>
      <c r="CO252">
        <v>-423.13570731707318</v>
      </c>
      <c r="CP252">
        <v>-2.94355400706772E-2</v>
      </c>
      <c r="CQ252">
        <v>6.5533548996081117E-2</v>
      </c>
      <c r="CR252">
        <v>-1</v>
      </c>
      <c r="CS252">
        <v>26.129402439024389</v>
      </c>
      <c r="CT252">
        <v>5.694982578396332E-2</v>
      </c>
      <c r="CU252">
        <v>5.6236646243580362E-3</v>
      </c>
      <c r="CV252">
        <v>-1</v>
      </c>
      <c r="CW252">
        <v>0</v>
      </c>
      <c r="CX252">
        <v>0</v>
      </c>
      <c r="CY252" t="s">
        <v>333</v>
      </c>
      <c r="CZ252">
        <v>2.36476</v>
      </c>
      <c r="DA252">
        <v>2.7138</v>
      </c>
      <c r="DB252">
        <v>8.5018399999999994E-2</v>
      </c>
      <c r="DC252">
        <v>0.145317</v>
      </c>
      <c r="DD252">
        <v>0.120849</v>
      </c>
      <c r="DE252">
        <v>1.2295299999999999E-3</v>
      </c>
      <c r="DF252">
        <v>33439.199999999997</v>
      </c>
      <c r="DG252">
        <v>27583.599999999999</v>
      </c>
      <c r="DH252">
        <v>31198.400000000001</v>
      </c>
      <c r="DI252">
        <v>28121.3</v>
      </c>
      <c r="DJ252">
        <v>37231.300000000003</v>
      </c>
      <c r="DK252">
        <v>39949.5</v>
      </c>
      <c r="DL252">
        <v>44403.5</v>
      </c>
      <c r="DM252">
        <v>42625.1</v>
      </c>
      <c r="DN252">
        <v>1.47682</v>
      </c>
      <c r="DO252">
        <v>2.0312800000000002</v>
      </c>
      <c r="DP252">
        <v>0.14316999999999999</v>
      </c>
      <c r="DQ252">
        <v>0.149339</v>
      </c>
      <c r="DR252">
        <v>24.637799999999999</v>
      </c>
      <c r="DS252">
        <v>24.593800000000002</v>
      </c>
      <c r="DT252">
        <v>20.399999999999999</v>
      </c>
      <c r="DU252">
        <v>29.4</v>
      </c>
      <c r="DV252">
        <v>8.5194200000000002</v>
      </c>
      <c r="DW252">
        <v>61.242199999999997</v>
      </c>
      <c r="DX252">
        <v>37.700299999999999</v>
      </c>
      <c r="DY252">
        <v>1</v>
      </c>
      <c r="DZ252">
        <v>-0.120988</v>
      </c>
      <c r="EA252">
        <v>0.108949</v>
      </c>
      <c r="EB252">
        <v>20.190000000000001</v>
      </c>
      <c r="EC252">
        <v>5.24125</v>
      </c>
      <c r="ED252">
        <v>12.039899999999999</v>
      </c>
      <c r="EE252">
        <v>5.0171999999999999</v>
      </c>
      <c r="EF252">
        <v>3.2879999999999998</v>
      </c>
      <c r="EG252">
        <v>9999</v>
      </c>
      <c r="EH252">
        <v>9999</v>
      </c>
      <c r="EI252">
        <v>9999</v>
      </c>
      <c r="EJ252">
        <v>999.9</v>
      </c>
      <c r="EK252">
        <v>1.8689</v>
      </c>
      <c r="EL252">
        <v>1.8646199999999999</v>
      </c>
      <c r="EM252">
        <v>1.8692</v>
      </c>
      <c r="EN252">
        <v>1.8672200000000001</v>
      </c>
      <c r="EO252">
        <v>1.86337</v>
      </c>
      <c r="EP252">
        <v>1.8644499999999999</v>
      </c>
      <c r="EQ252">
        <v>1.8701300000000001</v>
      </c>
      <c r="ER252">
        <v>1.8693500000000001</v>
      </c>
      <c r="ES252">
        <v>0</v>
      </c>
      <c r="ET252">
        <v>0</v>
      </c>
      <c r="EU252">
        <v>0</v>
      </c>
      <c r="EV252">
        <v>0</v>
      </c>
      <c r="EW252" t="s">
        <v>334</v>
      </c>
      <c r="EX252" t="s">
        <v>335</v>
      </c>
      <c r="EY252" t="s">
        <v>336</v>
      </c>
      <c r="EZ252" t="s">
        <v>336</v>
      </c>
      <c r="FA252" t="s">
        <v>336</v>
      </c>
      <c r="FB252" t="s">
        <v>336</v>
      </c>
      <c r="FC252">
        <v>0</v>
      </c>
      <c r="FD252">
        <v>100</v>
      </c>
      <c r="FE252">
        <v>100</v>
      </c>
      <c r="FF252">
        <v>0.441</v>
      </c>
      <c r="FG252">
        <v>0.19839999999999999</v>
      </c>
      <c r="FH252">
        <v>0.69281559908863044</v>
      </c>
      <c r="FI252">
        <v>-6.1462078757559423E-4</v>
      </c>
      <c r="FJ252">
        <v>-1.8861989874597051E-7</v>
      </c>
      <c r="FK252">
        <v>1.1980462299894961E-10</v>
      </c>
      <c r="FL252">
        <v>0.19840465858211129</v>
      </c>
      <c r="FM252">
        <v>0</v>
      </c>
      <c r="FN252">
        <v>0</v>
      </c>
      <c r="FO252">
        <v>0</v>
      </c>
      <c r="FP252">
        <v>3</v>
      </c>
      <c r="FQ252">
        <v>2158</v>
      </c>
      <c r="FR252">
        <v>1</v>
      </c>
      <c r="FS252">
        <v>19</v>
      </c>
      <c r="FT252">
        <v>50</v>
      </c>
      <c r="FU252">
        <v>50</v>
      </c>
      <c r="FV252">
        <v>1.7626999999999999</v>
      </c>
      <c r="FW252">
        <v>2.5830099999999998</v>
      </c>
      <c r="FX252">
        <v>1.5490699999999999</v>
      </c>
      <c r="FY252">
        <v>2.33521</v>
      </c>
      <c r="FZ252">
        <v>1.50146</v>
      </c>
      <c r="GA252">
        <v>2.36084</v>
      </c>
      <c r="GB252">
        <v>33.625399999999999</v>
      </c>
      <c r="GC252">
        <v>23.991199999999999</v>
      </c>
      <c r="GD252">
        <v>19</v>
      </c>
      <c r="GE252">
        <v>281.67599999999999</v>
      </c>
      <c r="GF252">
        <v>575.16999999999996</v>
      </c>
      <c r="GG252">
        <v>24.098299999999998</v>
      </c>
      <c r="GH252">
        <v>25.890499999999999</v>
      </c>
      <c r="GI252">
        <v>29.9999</v>
      </c>
      <c r="GJ252">
        <v>26.018599999999999</v>
      </c>
      <c r="GK252">
        <v>26.000299999999999</v>
      </c>
      <c r="GL252">
        <v>35.248199999999997</v>
      </c>
      <c r="GM252">
        <v>100</v>
      </c>
      <c r="GN252">
        <v>0</v>
      </c>
      <c r="GO252">
        <v>24.1067</v>
      </c>
      <c r="GP252">
        <v>800</v>
      </c>
      <c r="GQ252">
        <v>0</v>
      </c>
      <c r="GR252">
        <v>99.828500000000005</v>
      </c>
      <c r="GS252">
        <v>99.712199999999996</v>
      </c>
    </row>
    <row r="253" spans="1:201" x14ac:dyDescent="0.25">
      <c r="A253">
        <v>237</v>
      </c>
      <c r="B253">
        <v>1690390646</v>
      </c>
      <c r="C253">
        <v>2387.5</v>
      </c>
      <c r="D253" t="s">
        <v>807</v>
      </c>
      <c r="E253" t="s">
        <v>808</v>
      </c>
      <c r="F253" t="s">
        <v>330</v>
      </c>
      <c r="H253">
        <v>1690390646</v>
      </c>
      <c r="I253">
        <f t="shared" si="90"/>
        <v>2.5333134156601865E-3</v>
      </c>
      <c r="J253">
        <f t="shared" si="91"/>
        <v>2.5333134156601864</v>
      </c>
      <c r="K253">
        <f t="shared" si="92"/>
        <v>38.966860604964708</v>
      </c>
      <c r="L253">
        <f t="shared" si="93"/>
        <v>376.89400000000001</v>
      </c>
      <c r="M253">
        <f t="shared" si="94"/>
        <v>111.00270563800507</v>
      </c>
      <c r="N253">
        <f t="shared" si="95"/>
        <v>10.950910207213056</v>
      </c>
      <c r="O253">
        <f t="shared" si="96"/>
        <v>37.182268016936</v>
      </c>
      <c r="P253">
        <f t="shared" si="97"/>
        <v>0.25133618190030449</v>
      </c>
      <c r="Q253">
        <f t="shared" si="98"/>
        <v>2.159089912876313</v>
      </c>
      <c r="R253">
        <f t="shared" si="99"/>
        <v>0.23613982900498912</v>
      </c>
      <c r="S253">
        <f t="shared" si="100"/>
        <v>0.14887609740993213</v>
      </c>
      <c r="T253">
        <f t="shared" si="101"/>
        <v>276.11527409999997</v>
      </c>
      <c r="U253">
        <f t="shared" si="102"/>
        <v>27.185167026960151</v>
      </c>
      <c r="V253">
        <f t="shared" si="103"/>
        <v>27.185167026960151</v>
      </c>
      <c r="W253">
        <f t="shared" si="104"/>
        <v>3.618269447521723</v>
      </c>
      <c r="X253">
        <f t="shared" si="105"/>
        <v>77.309801854317072</v>
      </c>
      <c r="Y253">
        <f t="shared" si="106"/>
        <v>2.5932208495396001</v>
      </c>
      <c r="Z253">
        <f t="shared" si="107"/>
        <v>3.3543234975899652</v>
      </c>
      <c r="AA253">
        <f t="shared" si="108"/>
        <v>1.0250485979821229</v>
      </c>
      <c r="AB253">
        <f t="shared" si="109"/>
        <v>-111.71912163061423</v>
      </c>
      <c r="AC253">
        <f t="shared" si="110"/>
        <v>-149.60618133371136</v>
      </c>
      <c r="AD253">
        <f t="shared" si="111"/>
        <v>-14.885640020208374</v>
      </c>
      <c r="AE253">
        <f t="shared" si="112"/>
        <v>-9.5668884533978371E-2</v>
      </c>
      <c r="AF253">
        <v>0</v>
      </c>
      <c r="AG253">
        <v>0</v>
      </c>
      <c r="AH253">
        <f t="shared" si="113"/>
        <v>1</v>
      </c>
      <c r="AI253">
        <f t="shared" si="114"/>
        <v>0</v>
      </c>
      <c r="AJ253">
        <f t="shared" si="115"/>
        <v>52407.892352428251</v>
      </c>
      <c r="AK253">
        <f t="shared" si="116"/>
        <v>1800</v>
      </c>
      <c r="AL253">
        <f t="shared" si="117"/>
        <v>1499.1141869999999</v>
      </c>
      <c r="AM253">
        <f t="shared" si="118"/>
        <v>0.83284121499999997</v>
      </c>
      <c r="AN253">
        <f t="shared" si="119"/>
        <v>0.15339737449999999</v>
      </c>
      <c r="AO253">
        <v>31.8</v>
      </c>
      <c r="AP253">
        <v>0.5</v>
      </c>
      <c r="AQ253" t="s">
        <v>331</v>
      </c>
      <c r="AR253">
        <v>2</v>
      </c>
      <c r="AS253">
        <v>1690390646</v>
      </c>
      <c r="AT253">
        <v>376.89400000000001</v>
      </c>
      <c r="AU253">
        <v>799.93799999999999</v>
      </c>
      <c r="AV253">
        <v>26.285900000000002</v>
      </c>
      <c r="AW253">
        <v>0.14639099999999999</v>
      </c>
      <c r="AX253">
        <v>376.45299999999997</v>
      </c>
      <c r="AY253">
        <v>26.087499999999999</v>
      </c>
      <c r="AZ253">
        <v>300.089</v>
      </c>
      <c r="BA253">
        <v>98.554400000000001</v>
      </c>
      <c r="BB253">
        <v>0.10004399999999999</v>
      </c>
      <c r="BC253">
        <v>25.899899999999999</v>
      </c>
      <c r="BD253">
        <v>26.9802</v>
      </c>
      <c r="BE253">
        <v>27.038699999999999</v>
      </c>
      <c r="BF253">
        <v>0</v>
      </c>
      <c r="BG253">
        <v>0</v>
      </c>
      <c r="BH253">
        <v>10020.6</v>
      </c>
      <c r="BI253">
        <v>1068.53</v>
      </c>
      <c r="BJ253">
        <v>1.4016500000000001</v>
      </c>
      <c r="BK253">
        <v>-423.04399999999998</v>
      </c>
      <c r="BL253">
        <v>387.06900000000002</v>
      </c>
      <c r="BM253">
        <v>800.05499999999995</v>
      </c>
      <c r="BN253">
        <v>26.139500000000002</v>
      </c>
      <c r="BO253">
        <v>799.93799999999999</v>
      </c>
      <c r="BP253">
        <v>0.14639099999999999</v>
      </c>
      <c r="BQ253">
        <v>2.5905900000000002</v>
      </c>
      <c r="BR253">
        <v>1.44274E-2</v>
      </c>
      <c r="BS253">
        <v>21.607099999999999</v>
      </c>
      <c r="BT253">
        <v>-42.5229</v>
      </c>
      <c r="BU253">
        <v>1800</v>
      </c>
      <c r="BV253">
        <v>0.91000800000000004</v>
      </c>
      <c r="BW253">
        <v>3.3992799999999997E-2</v>
      </c>
      <c r="BX253">
        <v>2.2000499999999999E-2</v>
      </c>
      <c r="BY253">
        <v>3.3998800000000003E-2</v>
      </c>
      <c r="BZ253">
        <v>25</v>
      </c>
      <c r="CA253">
        <v>33528.5</v>
      </c>
      <c r="CB253">
        <v>1690387638</v>
      </c>
      <c r="CC253" t="s">
        <v>332</v>
      </c>
      <c r="CD253">
        <v>1690387638</v>
      </c>
      <c r="CE253">
        <v>1690387638</v>
      </c>
      <c r="CF253">
        <v>6</v>
      </c>
      <c r="CG253">
        <v>0.43</v>
      </c>
      <c r="CH253">
        <v>-8.1000000000000003E-2</v>
      </c>
      <c r="CI253">
        <v>0.14199999999999999</v>
      </c>
      <c r="CJ253">
        <v>-2.7E-2</v>
      </c>
      <c r="CK253">
        <v>800</v>
      </c>
      <c r="CL253">
        <v>0</v>
      </c>
      <c r="CM253">
        <v>0.01</v>
      </c>
      <c r="CN253">
        <v>0.01</v>
      </c>
      <c r="CO253">
        <v>-423.08404999999999</v>
      </c>
      <c r="CP253">
        <v>0.32685928705611023</v>
      </c>
      <c r="CQ253">
        <v>4.9950450448416762E-2</v>
      </c>
      <c r="CR253">
        <v>-1</v>
      </c>
      <c r="CS253">
        <v>26.137532499999999</v>
      </c>
      <c r="CT253">
        <v>2.977598499060425E-2</v>
      </c>
      <c r="CU253">
        <v>3.3445767669467749E-3</v>
      </c>
      <c r="CV253">
        <v>-1</v>
      </c>
      <c r="CW253">
        <v>0</v>
      </c>
      <c r="CX253">
        <v>0</v>
      </c>
      <c r="CY253" t="s">
        <v>333</v>
      </c>
      <c r="CZ253">
        <v>2.36477</v>
      </c>
      <c r="DA253">
        <v>2.7138499999999999</v>
      </c>
      <c r="DB253">
        <v>8.50273E-2</v>
      </c>
      <c r="DC253">
        <v>0.145319</v>
      </c>
      <c r="DD253">
        <v>0.120853</v>
      </c>
      <c r="DE253">
        <v>1.2282599999999999E-3</v>
      </c>
      <c r="DF253">
        <v>33438.400000000001</v>
      </c>
      <c r="DG253">
        <v>27583</v>
      </c>
      <c r="DH253">
        <v>31197.9</v>
      </c>
      <c r="DI253">
        <v>28120.9</v>
      </c>
      <c r="DJ253">
        <v>37230.699999999997</v>
      </c>
      <c r="DK253">
        <v>39948.800000000003</v>
      </c>
      <c r="DL253">
        <v>44403</v>
      </c>
      <c r="DM253">
        <v>42624.4</v>
      </c>
      <c r="DN253">
        <v>1.47688</v>
      </c>
      <c r="DO253">
        <v>2.03145</v>
      </c>
      <c r="DP253">
        <v>0.14314099999999999</v>
      </c>
      <c r="DQ253">
        <v>0.14933199999999999</v>
      </c>
      <c r="DR253">
        <v>24.634699999999999</v>
      </c>
      <c r="DS253">
        <v>24.591799999999999</v>
      </c>
      <c r="DT253">
        <v>20.399999999999999</v>
      </c>
      <c r="DU253">
        <v>29.4</v>
      </c>
      <c r="DV253">
        <v>8.5184200000000008</v>
      </c>
      <c r="DW253">
        <v>61.082299999999996</v>
      </c>
      <c r="DX253">
        <v>36.875</v>
      </c>
      <c r="DY253">
        <v>1</v>
      </c>
      <c r="DZ253">
        <v>-0.12109499999999999</v>
      </c>
      <c r="EA253">
        <v>7.9411800000000005E-2</v>
      </c>
      <c r="EB253">
        <v>20.190200000000001</v>
      </c>
      <c r="EC253">
        <v>5.24125</v>
      </c>
      <c r="ED253">
        <v>12.039899999999999</v>
      </c>
      <c r="EE253">
        <v>5.0169499999999996</v>
      </c>
      <c r="EF253">
        <v>3.2879999999999998</v>
      </c>
      <c r="EG253">
        <v>9999</v>
      </c>
      <c r="EH253">
        <v>9999</v>
      </c>
      <c r="EI253">
        <v>9999</v>
      </c>
      <c r="EJ253">
        <v>999.9</v>
      </c>
      <c r="EK253">
        <v>1.8689</v>
      </c>
      <c r="EL253">
        <v>1.8646199999999999</v>
      </c>
      <c r="EM253">
        <v>1.8692</v>
      </c>
      <c r="EN253">
        <v>1.8672200000000001</v>
      </c>
      <c r="EO253">
        <v>1.86334</v>
      </c>
      <c r="EP253">
        <v>1.86443</v>
      </c>
      <c r="EQ253">
        <v>1.87012</v>
      </c>
      <c r="ER253">
        <v>1.8693500000000001</v>
      </c>
      <c r="ES253">
        <v>0</v>
      </c>
      <c r="ET253">
        <v>0</v>
      </c>
      <c r="EU253">
        <v>0</v>
      </c>
      <c r="EV253">
        <v>0</v>
      </c>
      <c r="EW253" t="s">
        <v>334</v>
      </c>
      <c r="EX253" t="s">
        <v>335</v>
      </c>
      <c r="EY253" t="s">
        <v>336</v>
      </c>
      <c r="EZ253" t="s">
        <v>336</v>
      </c>
      <c r="FA253" t="s">
        <v>336</v>
      </c>
      <c r="FB253" t="s">
        <v>336</v>
      </c>
      <c r="FC253">
        <v>0</v>
      </c>
      <c r="FD253">
        <v>100</v>
      </c>
      <c r="FE253">
        <v>100</v>
      </c>
      <c r="FF253">
        <v>0.441</v>
      </c>
      <c r="FG253">
        <v>0.19839999999999999</v>
      </c>
      <c r="FH253">
        <v>0.69281559908863044</v>
      </c>
      <c r="FI253">
        <v>-6.1462078757559423E-4</v>
      </c>
      <c r="FJ253">
        <v>-1.8861989874597051E-7</v>
      </c>
      <c r="FK253">
        <v>1.1980462299894961E-10</v>
      </c>
      <c r="FL253">
        <v>0.19840465858211129</v>
      </c>
      <c r="FM253">
        <v>0</v>
      </c>
      <c r="FN253">
        <v>0</v>
      </c>
      <c r="FO253">
        <v>0</v>
      </c>
      <c r="FP253">
        <v>3</v>
      </c>
      <c r="FQ253">
        <v>2158</v>
      </c>
      <c r="FR253">
        <v>1</v>
      </c>
      <c r="FS253">
        <v>19</v>
      </c>
      <c r="FT253">
        <v>50.1</v>
      </c>
      <c r="FU253">
        <v>50.1</v>
      </c>
      <c r="FV253">
        <v>1.7639199999999999</v>
      </c>
      <c r="FW253">
        <v>2.5903299999999998</v>
      </c>
      <c r="FX253">
        <v>1.5490699999999999</v>
      </c>
      <c r="FY253">
        <v>2.33521</v>
      </c>
      <c r="FZ253">
        <v>1.50146</v>
      </c>
      <c r="GA253">
        <v>2.32178</v>
      </c>
      <c r="GB253">
        <v>33.625399999999999</v>
      </c>
      <c r="GC253">
        <v>23.982399999999998</v>
      </c>
      <c r="GD253">
        <v>19</v>
      </c>
      <c r="GE253">
        <v>281.697</v>
      </c>
      <c r="GF253">
        <v>575.31200000000001</v>
      </c>
      <c r="GG253">
        <v>24.1218</v>
      </c>
      <c r="GH253">
        <v>25.890499999999999</v>
      </c>
      <c r="GI253">
        <v>30.0001</v>
      </c>
      <c r="GJ253">
        <v>26.018599999999999</v>
      </c>
      <c r="GK253">
        <v>26.000299999999999</v>
      </c>
      <c r="GL253">
        <v>35.252000000000002</v>
      </c>
      <c r="GM253">
        <v>100</v>
      </c>
      <c r="GN253">
        <v>0</v>
      </c>
      <c r="GO253">
        <v>24.1265</v>
      </c>
      <c r="GP253">
        <v>800</v>
      </c>
      <c r="GQ253">
        <v>0</v>
      </c>
      <c r="GR253">
        <v>99.827200000000005</v>
      </c>
      <c r="GS253">
        <v>99.710499999999996</v>
      </c>
    </row>
    <row r="254" spans="1:201" x14ac:dyDescent="0.25">
      <c r="A254">
        <v>238</v>
      </c>
      <c r="B254">
        <v>1690390656</v>
      </c>
      <c r="C254">
        <v>2397.5</v>
      </c>
      <c r="D254" t="s">
        <v>809</v>
      </c>
      <c r="E254" t="s">
        <v>810</v>
      </c>
      <c r="F254" t="s">
        <v>330</v>
      </c>
      <c r="H254">
        <v>1690390656</v>
      </c>
      <c r="I254">
        <f t="shared" si="90"/>
        <v>2.5343437964923687E-3</v>
      </c>
      <c r="J254">
        <f t="shared" si="91"/>
        <v>2.5343437964923687</v>
      </c>
      <c r="K254">
        <f t="shared" si="92"/>
        <v>38.980957980032208</v>
      </c>
      <c r="L254">
        <f t="shared" si="93"/>
        <v>376.86700000000002</v>
      </c>
      <c r="M254">
        <f t="shared" si="94"/>
        <v>110.71089046657671</v>
      </c>
      <c r="N254">
        <f t="shared" si="95"/>
        <v>10.922111047612212</v>
      </c>
      <c r="O254">
        <f t="shared" si="96"/>
        <v>37.179569298316999</v>
      </c>
      <c r="P254">
        <f t="shared" si="97"/>
        <v>0.25117570703506531</v>
      </c>
      <c r="Q254">
        <f t="shared" si="98"/>
        <v>2.1575225888925198</v>
      </c>
      <c r="R254">
        <f t="shared" si="99"/>
        <v>0.2359878142652363</v>
      </c>
      <c r="S254">
        <f t="shared" si="100"/>
        <v>0.14878036446525711</v>
      </c>
      <c r="T254">
        <f t="shared" si="101"/>
        <v>276.11528371199995</v>
      </c>
      <c r="U254">
        <f t="shared" si="102"/>
        <v>27.192453336994465</v>
      </c>
      <c r="V254">
        <f t="shared" si="103"/>
        <v>27.192453336994465</v>
      </c>
      <c r="W254">
        <f t="shared" si="104"/>
        <v>3.6198160114197226</v>
      </c>
      <c r="X254">
        <f t="shared" si="105"/>
        <v>77.293010568838938</v>
      </c>
      <c r="Y254">
        <f t="shared" si="106"/>
        <v>2.5937018112707997</v>
      </c>
      <c r="Z254">
        <f t="shared" si="107"/>
        <v>3.3556744551446718</v>
      </c>
      <c r="AA254">
        <f t="shared" si="108"/>
        <v>1.026114200148923</v>
      </c>
      <c r="AB254">
        <f t="shared" si="109"/>
        <v>-111.76456142531346</v>
      </c>
      <c r="AC254">
        <f t="shared" si="110"/>
        <v>-149.55414520430136</v>
      </c>
      <c r="AD254">
        <f t="shared" si="111"/>
        <v>-14.892322831447499</v>
      </c>
      <c r="AE254">
        <f t="shared" si="112"/>
        <v>-9.5745749062331242E-2</v>
      </c>
      <c r="AF254">
        <v>0</v>
      </c>
      <c r="AG254">
        <v>0</v>
      </c>
      <c r="AH254">
        <f t="shared" si="113"/>
        <v>1</v>
      </c>
      <c r="AI254">
        <f t="shared" si="114"/>
        <v>0</v>
      </c>
      <c r="AJ254">
        <f t="shared" si="115"/>
        <v>52340.956983682452</v>
      </c>
      <c r="AK254">
        <f t="shared" si="116"/>
        <v>1800</v>
      </c>
      <c r="AL254">
        <f t="shared" si="117"/>
        <v>1499.1139062</v>
      </c>
      <c r="AM254">
        <f t="shared" si="118"/>
        <v>0.83284105899999994</v>
      </c>
      <c r="AN254">
        <f t="shared" si="119"/>
        <v>0.15339737983999999</v>
      </c>
      <c r="AO254">
        <v>31.8</v>
      </c>
      <c r="AP254">
        <v>0.5</v>
      </c>
      <c r="AQ254" t="s">
        <v>331</v>
      </c>
      <c r="AR254">
        <v>2</v>
      </c>
      <c r="AS254">
        <v>1690390656</v>
      </c>
      <c r="AT254">
        <v>376.86700000000002</v>
      </c>
      <c r="AU254">
        <v>799.98199999999997</v>
      </c>
      <c r="AV254">
        <v>26.290800000000001</v>
      </c>
      <c r="AW254">
        <v>0.145844</v>
      </c>
      <c r="AX254">
        <v>376.42599999999999</v>
      </c>
      <c r="AY254">
        <v>26.092400000000001</v>
      </c>
      <c r="AZ254">
        <v>300.14699999999999</v>
      </c>
      <c r="BA254">
        <v>98.554299999999998</v>
      </c>
      <c r="BB254">
        <v>0.100051</v>
      </c>
      <c r="BC254">
        <v>25.906700000000001</v>
      </c>
      <c r="BD254">
        <v>26.9925</v>
      </c>
      <c r="BE254">
        <v>27.0397</v>
      </c>
      <c r="BF254">
        <v>0</v>
      </c>
      <c r="BG254">
        <v>0</v>
      </c>
      <c r="BH254">
        <v>10007.5</v>
      </c>
      <c r="BI254">
        <v>1068.56</v>
      </c>
      <c r="BJ254">
        <v>1.4016500000000001</v>
      </c>
      <c r="BK254">
        <v>-423.11500000000001</v>
      </c>
      <c r="BL254">
        <v>387.04300000000001</v>
      </c>
      <c r="BM254">
        <v>800.09900000000005</v>
      </c>
      <c r="BN254">
        <v>26.145</v>
      </c>
      <c r="BO254">
        <v>799.98199999999997</v>
      </c>
      <c r="BP254">
        <v>0.145844</v>
      </c>
      <c r="BQ254">
        <v>2.5910700000000002</v>
      </c>
      <c r="BR254">
        <v>1.4373500000000001E-2</v>
      </c>
      <c r="BS254">
        <v>21.610199999999999</v>
      </c>
      <c r="BT254">
        <v>-42.5578</v>
      </c>
      <c r="BU254">
        <v>1800</v>
      </c>
      <c r="BV254">
        <v>0.91000700000000001</v>
      </c>
      <c r="BW254">
        <v>3.3993099999999998E-2</v>
      </c>
      <c r="BX254">
        <v>2.2000700000000002E-2</v>
      </c>
      <c r="BY254">
        <v>3.39992E-2</v>
      </c>
      <c r="BZ254">
        <v>25</v>
      </c>
      <c r="CA254">
        <v>33528.5</v>
      </c>
      <c r="CB254">
        <v>1690387638</v>
      </c>
      <c r="CC254" t="s">
        <v>332</v>
      </c>
      <c r="CD254">
        <v>1690387638</v>
      </c>
      <c r="CE254">
        <v>1690387638</v>
      </c>
      <c r="CF254">
        <v>6</v>
      </c>
      <c r="CG254">
        <v>0.43</v>
      </c>
      <c r="CH254">
        <v>-8.1000000000000003E-2</v>
      </c>
      <c r="CI254">
        <v>0.14199999999999999</v>
      </c>
      <c r="CJ254">
        <v>-2.7E-2</v>
      </c>
      <c r="CK254">
        <v>800</v>
      </c>
      <c r="CL254">
        <v>0</v>
      </c>
      <c r="CM254">
        <v>0.01</v>
      </c>
      <c r="CN254">
        <v>0.01</v>
      </c>
      <c r="CO254">
        <v>-423.06852500000002</v>
      </c>
      <c r="CP254">
        <v>5.8649155723678476E-3</v>
      </c>
      <c r="CQ254">
        <v>3.4763477602219692E-2</v>
      </c>
      <c r="CR254">
        <v>-1</v>
      </c>
      <c r="CS254">
        <v>26.139970000000002</v>
      </c>
      <c r="CT254">
        <v>-1.6615384615338009E-3</v>
      </c>
      <c r="CU254">
        <v>6.5314623171213858E-4</v>
      </c>
      <c r="CV254">
        <v>-1</v>
      </c>
      <c r="CW254">
        <v>0</v>
      </c>
      <c r="CX254">
        <v>0</v>
      </c>
      <c r="CY254" t="s">
        <v>333</v>
      </c>
      <c r="CZ254">
        <v>2.36496</v>
      </c>
      <c r="DA254">
        <v>2.7138499999999999</v>
      </c>
      <c r="DB254">
        <v>8.5022600000000004E-2</v>
      </c>
      <c r="DC254">
        <v>0.14532500000000001</v>
      </c>
      <c r="DD254">
        <v>0.120869</v>
      </c>
      <c r="DE254">
        <v>1.22371E-3</v>
      </c>
      <c r="DF254">
        <v>33438.9</v>
      </c>
      <c r="DG254">
        <v>27583.1</v>
      </c>
      <c r="DH254">
        <v>31198.3</v>
      </c>
      <c r="DI254">
        <v>28121.1</v>
      </c>
      <c r="DJ254">
        <v>37230.199999999997</v>
      </c>
      <c r="DK254">
        <v>39949.300000000003</v>
      </c>
      <c r="DL254">
        <v>44403.1</v>
      </c>
      <c r="DM254">
        <v>42624.7</v>
      </c>
      <c r="DN254">
        <v>1.4771700000000001</v>
      </c>
      <c r="DO254">
        <v>2.0313500000000002</v>
      </c>
      <c r="DP254">
        <v>0.14402000000000001</v>
      </c>
      <c r="DQ254">
        <v>0.14942900000000001</v>
      </c>
      <c r="DR254">
        <v>24.6327</v>
      </c>
      <c r="DS254">
        <v>24.591200000000001</v>
      </c>
      <c r="DT254">
        <v>20.399999999999999</v>
      </c>
      <c r="DU254">
        <v>29.4</v>
      </c>
      <c r="DV254">
        <v>8.5200899999999997</v>
      </c>
      <c r="DW254">
        <v>60.802199999999999</v>
      </c>
      <c r="DX254">
        <v>37.888599999999997</v>
      </c>
      <c r="DY254">
        <v>1</v>
      </c>
      <c r="DZ254">
        <v>-0.121118</v>
      </c>
      <c r="EA254">
        <v>6.3428700000000005E-2</v>
      </c>
      <c r="EB254">
        <v>20.190300000000001</v>
      </c>
      <c r="EC254">
        <v>5.2415500000000002</v>
      </c>
      <c r="ED254">
        <v>12.039899999999999</v>
      </c>
      <c r="EE254">
        <v>5.0170000000000003</v>
      </c>
      <c r="EF254">
        <v>3.2879999999999998</v>
      </c>
      <c r="EG254">
        <v>9999</v>
      </c>
      <c r="EH254">
        <v>9999</v>
      </c>
      <c r="EI254">
        <v>9999</v>
      </c>
      <c r="EJ254">
        <v>999.9</v>
      </c>
      <c r="EK254">
        <v>1.8689</v>
      </c>
      <c r="EL254">
        <v>1.8646199999999999</v>
      </c>
      <c r="EM254">
        <v>1.8692</v>
      </c>
      <c r="EN254">
        <v>1.8672200000000001</v>
      </c>
      <c r="EO254">
        <v>1.8633599999999999</v>
      </c>
      <c r="EP254">
        <v>1.8644700000000001</v>
      </c>
      <c r="EQ254">
        <v>1.87012</v>
      </c>
      <c r="ER254">
        <v>1.8693500000000001</v>
      </c>
      <c r="ES254">
        <v>0</v>
      </c>
      <c r="ET254">
        <v>0</v>
      </c>
      <c r="EU254">
        <v>0</v>
      </c>
      <c r="EV254">
        <v>0</v>
      </c>
      <c r="EW254" t="s">
        <v>334</v>
      </c>
      <c r="EX254" t="s">
        <v>335</v>
      </c>
      <c r="EY254" t="s">
        <v>336</v>
      </c>
      <c r="EZ254" t="s">
        <v>336</v>
      </c>
      <c r="FA254" t="s">
        <v>336</v>
      </c>
      <c r="FB254" t="s">
        <v>336</v>
      </c>
      <c r="FC254">
        <v>0</v>
      </c>
      <c r="FD254">
        <v>100</v>
      </c>
      <c r="FE254">
        <v>100</v>
      </c>
      <c r="FF254">
        <v>0.441</v>
      </c>
      <c r="FG254">
        <v>0.19839999999999999</v>
      </c>
      <c r="FH254">
        <v>0.69281559908863044</v>
      </c>
      <c r="FI254">
        <v>-6.1462078757559423E-4</v>
      </c>
      <c r="FJ254">
        <v>-1.8861989874597051E-7</v>
      </c>
      <c r="FK254">
        <v>1.1980462299894961E-10</v>
      </c>
      <c r="FL254">
        <v>0.19840465858211129</v>
      </c>
      <c r="FM254">
        <v>0</v>
      </c>
      <c r="FN254">
        <v>0</v>
      </c>
      <c r="FO254">
        <v>0</v>
      </c>
      <c r="FP254">
        <v>3</v>
      </c>
      <c r="FQ254">
        <v>2158</v>
      </c>
      <c r="FR254">
        <v>1</v>
      </c>
      <c r="FS254">
        <v>19</v>
      </c>
      <c r="FT254">
        <v>50.3</v>
      </c>
      <c r="FU254">
        <v>50.3</v>
      </c>
      <c r="FV254">
        <v>1.7626999999999999</v>
      </c>
      <c r="FW254">
        <v>2.5866699999999998</v>
      </c>
      <c r="FX254">
        <v>1.5490699999999999</v>
      </c>
      <c r="FY254">
        <v>2.33521</v>
      </c>
      <c r="FZ254">
        <v>1.50024</v>
      </c>
      <c r="GA254">
        <v>2.323</v>
      </c>
      <c r="GB254">
        <v>33.625399999999999</v>
      </c>
      <c r="GC254">
        <v>23.982399999999998</v>
      </c>
      <c r="GD254">
        <v>19</v>
      </c>
      <c r="GE254">
        <v>281.82400000000001</v>
      </c>
      <c r="GF254">
        <v>575.23099999999999</v>
      </c>
      <c r="GG254">
        <v>24.143599999999999</v>
      </c>
      <c r="GH254">
        <v>25.890499999999999</v>
      </c>
      <c r="GI254">
        <v>30.0001</v>
      </c>
      <c r="GJ254">
        <v>26.018599999999999</v>
      </c>
      <c r="GK254">
        <v>26.000299999999999</v>
      </c>
      <c r="GL254">
        <v>35.252600000000001</v>
      </c>
      <c r="GM254">
        <v>100</v>
      </c>
      <c r="GN254">
        <v>0</v>
      </c>
      <c r="GO254">
        <v>24.1496</v>
      </c>
      <c r="GP254">
        <v>800</v>
      </c>
      <c r="GQ254">
        <v>0</v>
      </c>
      <c r="GR254">
        <v>99.827799999999996</v>
      </c>
      <c r="GS254">
        <v>99.711399999999998</v>
      </c>
    </row>
    <row r="255" spans="1:201" x14ac:dyDescent="0.25">
      <c r="A255">
        <v>239</v>
      </c>
      <c r="B255">
        <v>1690390666</v>
      </c>
      <c r="C255">
        <v>2407.5</v>
      </c>
      <c r="D255" t="s">
        <v>811</v>
      </c>
      <c r="E255" t="s">
        <v>812</v>
      </c>
      <c r="F255" t="s">
        <v>330</v>
      </c>
      <c r="H255">
        <v>1690390666</v>
      </c>
      <c r="I255">
        <f t="shared" si="90"/>
        <v>2.5353804289019411E-3</v>
      </c>
      <c r="J255">
        <f t="shared" si="91"/>
        <v>2.535380428901941</v>
      </c>
      <c r="K255">
        <f t="shared" si="92"/>
        <v>38.986525273628047</v>
      </c>
      <c r="L255">
        <f t="shared" si="93"/>
        <v>376.83300000000003</v>
      </c>
      <c r="M255">
        <f t="shared" si="94"/>
        <v>110.49352163396358</v>
      </c>
      <c r="N255">
        <f t="shared" si="95"/>
        <v>10.900037991513097</v>
      </c>
      <c r="O255">
        <f t="shared" si="96"/>
        <v>37.174070983662901</v>
      </c>
      <c r="P255">
        <f t="shared" si="97"/>
        <v>0.25105685986756071</v>
      </c>
      <c r="Q255">
        <f t="shared" si="98"/>
        <v>2.1533358084162737</v>
      </c>
      <c r="R255">
        <f t="shared" si="99"/>
        <v>0.23585528431870068</v>
      </c>
      <c r="S255">
        <f t="shared" si="100"/>
        <v>0.1486985879048571</v>
      </c>
      <c r="T255">
        <f t="shared" si="101"/>
        <v>276.11528371199995</v>
      </c>
      <c r="U255">
        <f t="shared" si="102"/>
        <v>27.201561121874558</v>
      </c>
      <c r="V255">
        <f t="shared" si="103"/>
        <v>27.201561121874558</v>
      </c>
      <c r="W255">
        <f t="shared" si="104"/>
        <v>3.6217500058514775</v>
      </c>
      <c r="X255">
        <f t="shared" si="105"/>
        <v>77.29028345866756</v>
      </c>
      <c r="Y255">
        <f t="shared" si="106"/>
        <v>2.5947162787093805</v>
      </c>
      <c r="Z255">
        <f t="shared" si="107"/>
        <v>3.3571053987619983</v>
      </c>
      <c r="AA255">
        <f t="shared" si="108"/>
        <v>1.0270337271420971</v>
      </c>
      <c r="AB255">
        <f t="shared" si="109"/>
        <v>-111.81027691457561</v>
      </c>
      <c r="AC255">
        <f t="shared" si="110"/>
        <v>-149.4854038745998</v>
      </c>
      <c r="AD255">
        <f t="shared" si="111"/>
        <v>-14.915638043455726</v>
      </c>
      <c r="AE255">
        <f t="shared" si="112"/>
        <v>-9.6035120631171367E-2</v>
      </c>
      <c r="AF255">
        <v>0</v>
      </c>
      <c r="AG255">
        <v>0</v>
      </c>
      <c r="AH255">
        <f t="shared" si="113"/>
        <v>1</v>
      </c>
      <c r="AI255">
        <f t="shared" si="114"/>
        <v>0</v>
      </c>
      <c r="AJ255">
        <f t="shared" si="115"/>
        <v>52164.218183416211</v>
      </c>
      <c r="AK255">
        <f t="shared" si="116"/>
        <v>1800</v>
      </c>
      <c r="AL255">
        <f t="shared" si="117"/>
        <v>1499.1139062</v>
      </c>
      <c r="AM255">
        <f t="shared" si="118"/>
        <v>0.83284105899999994</v>
      </c>
      <c r="AN255">
        <f t="shared" si="119"/>
        <v>0.15339737983999999</v>
      </c>
      <c r="AO255">
        <v>31.8</v>
      </c>
      <c r="AP255">
        <v>0.5</v>
      </c>
      <c r="AQ255" t="s">
        <v>331</v>
      </c>
      <c r="AR255">
        <v>2</v>
      </c>
      <c r="AS255">
        <v>1690390666</v>
      </c>
      <c r="AT255">
        <v>376.83300000000003</v>
      </c>
      <c r="AU255">
        <v>800.03700000000003</v>
      </c>
      <c r="AV255">
        <v>26.302600000000002</v>
      </c>
      <c r="AW255">
        <v>0.14561099999999999</v>
      </c>
      <c r="AX255">
        <v>376.392</v>
      </c>
      <c r="AY255">
        <v>26.104199999999999</v>
      </c>
      <c r="AZ255">
        <v>300.12799999999999</v>
      </c>
      <c r="BA255">
        <v>98.548699999999997</v>
      </c>
      <c r="BB255">
        <v>9.9961300000000003E-2</v>
      </c>
      <c r="BC255">
        <v>25.913900000000002</v>
      </c>
      <c r="BD255">
        <v>26.988900000000001</v>
      </c>
      <c r="BE255">
        <v>27.050799999999999</v>
      </c>
      <c r="BF255">
        <v>0</v>
      </c>
      <c r="BG255">
        <v>0</v>
      </c>
      <c r="BH255">
        <v>9973.1200000000008</v>
      </c>
      <c r="BI255">
        <v>1068.7</v>
      </c>
      <c r="BJ255">
        <v>1.4016500000000001</v>
      </c>
      <c r="BK255">
        <v>-423.20400000000001</v>
      </c>
      <c r="BL255">
        <v>387.012</v>
      </c>
      <c r="BM255">
        <v>800.154</v>
      </c>
      <c r="BN255">
        <v>26.157</v>
      </c>
      <c r="BO255">
        <v>800.03700000000003</v>
      </c>
      <c r="BP255">
        <v>0.14561099999999999</v>
      </c>
      <c r="BQ255">
        <v>2.5920899999999998</v>
      </c>
      <c r="BR255">
        <v>1.43497E-2</v>
      </c>
      <c r="BS255">
        <v>21.616599999999998</v>
      </c>
      <c r="BT255">
        <v>-42.573300000000003</v>
      </c>
      <c r="BU255">
        <v>1800</v>
      </c>
      <c r="BV255">
        <v>0.91000700000000001</v>
      </c>
      <c r="BW255">
        <v>3.3993099999999998E-2</v>
      </c>
      <c r="BX255">
        <v>2.2000700000000002E-2</v>
      </c>
      <c r="BY255">
        <v>3.39992E-2</v>
      </c>
      <c r="BZ255">
        <v>25</v>
      </c>
      <c r="CA255">
        <v>33528.5</v>
      </c>
      <c r="CB255">
        <v>1690387638</v>
      </c>
      <c r="CC255" t="s">
        <v>332</v>
      </c>
      <c r="CD255">
        <v>1690387638</v>
      </c>
      <c r="CE255">
        <v>1690387638</v>
      </c>
      <c r="CF255">
        <v>6</v>
      </c>
      <c r="CG255">
        <v>0.43</v>
      </c>
      <c r="CH255">
        <v>-8.1000000000000003E-2</v>
      </c>
      <c r="CI255">
        <v>0.14199999999999999</v>
      </c>
      <c r="CJ255">
        <v>-2.7E-2</v>
      </c>
      <c r="CK255">
        <v>800</v>
      </c>
      <c r="CL255">
        <v>0</v>
      </c>
      <c r="CM255">
        <v>0.01</v>
      </c>
      <c r="CN255">
        <v>0.01</v>
      </c>
      <c r="CO255">
        <v>-423.12602439024391</v>
      </c>
      <c r="CP255">
        <v>-0.67093379791072305</v>
      </c>
      <c r="CQ255">
        <v>8.5770109013792631E-2</v>
      </c>
      <c r="CR255">
        <v>-1</v>
      </c>
      <c r="CS255">
        <v>26.14595365853658</v>
      </c>
      <c r="CT255">
        <v>6.5667595818853036E-2</v>
      </c>
      <c r="CU255">
        <v>6.8666069854883029E-3</v>
      </c>
      <c r="CV255">
        <v>-1</v>
      </c>
      <c r="CW255">
        <v>0</v>
      </c>
      <c r="CX255">
        <v>0</v>
      </c>
      <c r="CY255" t="s">
        <v>333</v>
      </c>
      <c r="CZ255">
        <v>2.3648799999999999</v>
      </c>
      <c r="DA255">
        <v>2.71373</v>
      </c>
      <c r="DB255">
        <v>8.5012000000000004E-2</v>
      </c>
      <c r="DC255">
        <v>0.14532300000000001</v>
      </c>
      <c r="DD255">
        <v>0.12089999999999999</v>
      </c>
      <c r="DE255">
        <v>1.22171E-3</v>
      </c>
      <c r="DF255">
        <v>33438.5</v>
      </c>
      <c r="DG255">
        <v>27582.799999999999</v>
      </c>
      <c r="DH255">
        <v>31197.5</v>
      </c>
      <c r="DI255">
        <v>28120.799999999999</v>
      </c>
      <c r="DJ255">
        <v>37228.199999999997</v>
      </c>
      <c r="DK255">
        <v>39948.800000000003</v>
      </c>
      <c r="DL255">
        <v>44402.400000000001</v>
      </c>
      <c r="DM255">
        <v>42624.1</v>
      </c>
      <c r="DN255">
        <v>1.47705</v>
      </c>
      <c r="DO255">
        <v>2.03165</v>
      </c>
      <c r="DP255">
        <v>0.143766</v>
      </c>
      <c r="DQ255">
        <v>0.14998</v>
      </c>
      <c r="DR255">
        <v>24.633199999999999</v>
      </c>
      <c r="DS255">
        <v>24.593299999999999</v>
      </c>
      <c r="DT255">
        <v>20.399999999999999</v>
      </c>
      <c r="DU255">
        <v>29.4</v>
      </c>
      <c r="DV255">
        <v>8.5198900000000002</v>
      </c>
      <c r="DW255">
        <v>61.152299999999997</v>
      </c>
      <c r="DX255">
        <v>36.951099999999997</v>
      </c>
      <c r="DY255">
        <v>1</v>
      </c>
      <c r="DZ255">
        <v>-0.121049</v>
      </c>
      <c r="EA255">
        <v>8.1301700000000005E-2</v>
      </c>
      <c r="EB255">
        <v>20.190200000000001</v>
      </c>
      <c r="EC255">
        <v>5.2409499999999998</v>
      </c>
      <c r="ED255">
        <v>12.039899999999999</v>
      </c>
      <c r="EE255">
        <v>5.0171000000000001</v>
      </c>
      <c r="EF255">
        <v>3.2879999999999998</v>
      </c>
      <c r="EG255">
        <v>9999</v>
      </c>
      <c r="EH255">
        <v>9999</v>
      </c>
      <c r="EI255">
        <v>9999</v>
      </c>
      <c r="EJ255">
        <v>999.9</v>
      </c>
      <c r="EK255">
        <v>1.8689</v>
      </c>
      <c r="EL255">
        <v>1.8646100000000001</v>
      </c>
      <c r="EM255">
        <v>1.8692</v>
      </c>
      <c r="EN255">
        <v>1.8672299999999999</v>
      </c>
      <c r="EO255">
        <v>1.86337</v>
      </c>
      <c r="EP255">
        <v>1.8644700000000001</v>
      </c>
      <c r="EQ255">
        <v>1.8701300000000001</v>
      </c>
      <c r="ER255">
        <v>1.8693500000000001</v>
      </c>
      <c r="ES255">
        <v>0</v>
      </c>
      <c r="ET255">
        <v>0</v>
      </c>
      <c r="EU255">
        <v>0</v>
      </c>
      <c r="EV255">
        <v>0</v>
      </c>
      <c r="EW255" t="s">
        <v>334</v>
      </c>
      <c r="EX255" t="s">
        <v>335</v>
      </c>
      <c r="EY255" t="s">
        <v>336</v>
      </c>
      <c r="EZ255" t="s">
        <v>336</v>
      </c>
      <c r="FA255" t="s">
        <v>336</v>
      </c>
      <c r="FB255" t="s">
        <v>336</v>
      </c>
      <c r="FC255">
        <v>0</v>
      </c>
      <c r="FD255">
        <v>100</v>
      </c>
      <c r="FE255">
        <v>100</v>
      </c>
      <c r="FF255">
        <v>0.441</v>
      </c>
      <c r="FG255">
        <v>0.19839999999999999</v>
      </c>
      <c r="FH255">
        <v>0.69281559908863044</v>
      </c>
      <c r="FI255">
        <v>-6.1462078757559423E-4</v>
      </c>
      <c r="FJ255">
        <v>-1.8861989874597051E-7</v>
      </c>
      <c r="FK255">
        <v>1.1980462299894961E-10</v>
      </c>
      <c r="FL255">
        <v>0.19840465858211129</v>
      </c>
      <c r="FM255">
        <v>0</v>
      </c>
      <c r="FN255">
        <v>0</v>
      </c>
      <c r="FO255">
        <v>0</v>
      </c>
      <c r="FP255">
        <v>3</v>
      </c>
      <c r="FQ255">
        <v>2158</v>
      </c>
      <c r="FR255">
        <v>1</v>
      </c>
      <c r="FS255">
        <v>19</v>
      </c>
      <c r="FT255">
        <v>50.5</v>
      </c>
      <c r="FU255">
        <v>50.5</v>
      </c>
      <c r="FV255">
        <v>1.7626999999999999</v>
      </c>
      <c r="FW255">
        <v>2.5830099999999998</v>
      </c>
      <c r="FX255">
        <v>1.5490699999999999</v>
      </c>
      <c r="FY255">
        <v>2.33521</v>
      </c>
      <c r="FZ255">
        <v>1.50146</v>
      </c>
      <c r="GA255">
        <v>2.3815900000000001</v>
      </c>
      <c r="GB255">
        <v>33.625399999999999</v>
      </c>
      <c r="GC255">
        <v>23.982399999999998</v>
      </c>
      <c r="GD255">
        <v>19</v>
      </c>
      <c r="GE255">
        <v>281.77100000000002</v>
      </c>
      <c r="GF255">
        <v>575.47500000000002</v>
      </c>
      <c r="GG255">
        <v>24.1615</v>
      </c>
      <c r="GH255">
        <v>25.890499999999999</v>
      </c>
      <c r="GI255">
        <v>30</v>
      </c>
      <c r="GJ255">
        <v>26.018599999999999</v>
      </c>
      <c r="GK255">
        <v>26.000299999999999</v>
      </c>
      <c r="GL255">
        <v>35.247599999999998</v>
      </c>
      <c r="GM255">
        <v>100</v>
      </c>
      <c r="GN255">
        <v>0</v>
      </c>
      <c r="GO255">
        <v>24.159199999999998</v>
      </c>
      <c r="GP255">
        <v>800</v>
      </c>
      <c r="GQ255">
        <v>0</v>
      </c>
      <c r="GR255">
        <v>99.825800000000001</v>
      </c>
      <c r="GS255">
        <v>99.71</v>
      </c>
    </row>
    <row r="256" spans="1:201" x14ac:dyDescent="0.25">
      <c r="A256">
        <v>240</v>
      </c>
      <c r="B256">
        <v>1690390676</v>
      </c>
      <c r="C256">
        <v>2417.5</v>
      </c>
      <c r="D256" t="s">
        <v>813</v>
      </c>
      <c r="E256" t="s">
        <v>814</v>
      </c>
      <c r="F256" t="s">
        <v>330</v>
      </c>
      <c r="H256">
        <v>1690390676</v>
      </c>
      <c r="I256">
        <f t="shared" si="90"/>
        <v>2.5351438268482948E-3</v>
      </c>
      <c r="J256">
        <f t="shared" si="91"/>
        <v>2.5351438268482949</v>
      </c>
      <c r="K256">
        <f t="shared" si="92"/>
        <v>38.978855357867616</v>
      </c>
      <c r="L256">
        <f t="shared" si="93"/>
        <v>376.86099999999999</v>
      </c>
      <c r="M256">
        <f t="shared" si="94"/>
        <v>110.70637065418177</v>
      </c>
      <c r="N256">
        <f t="shared" si="95"/>
        <v>10.921301843357172</v>
      </c>
      <c r="O256">
        <f t="shared" si="96"/>
        <v>37.177740627467294</v>
      </c>
      <c r="P256">
        <f t="shared" si="97"/>
        <v>0.25113078153349311</v>
      </c>
      <c r="Q256">
        <f t="shared" si="98"/>
        <v>2.1627843740828836</v>
      </c>
      <c r="R256">
        <f t="shared" si="99"/>
        <v>0.235982691779137</v>
      </c>
      <c r="S256">
        <f t="shared" si="100"/>
        <v>0.14877397458814123</v>
      </c>
      <c r="T256">
        <f t="shared" si="101"/>
        <v>276.11525536199997</v>
      </c>
      <c r="U256">
        <f t="shared" si="102"/>
        <v>27.197920688461583</v>
      </c>
      <c r="V256">
        <f t="shared" si="103"/>
        <v>27.197920688461583</v>
      </c>
      <c r="W256">
        <f t="shared" si="104"/>
        <v>3.6209768691056339</v>
      </c>
      <c r="X256">
        <f t="shared" si="105"/>
        <v>77.279298855950501</v>
      </c>
      <c r="Y256">
        <f t="shared" si="106"/>
        <v>2.5945625830177201</v>
      </c>
      <c r="Z256">
        <f t="shared" si="107"/>
        <v>3.3573836996813524</v>
      </c>
      <c r="AA256">
        <f t="shared" si="108"/>
        <v>1.0264142860879137</v>
      </c>
      <c r="AB256">
        <f t="shared" si="109"/>
        <v>-111.7998427640098</v>
      </c>
      <c r="AC256">
        <f t="shared" si="110"/>
        <v>-149.55361226103437</v>
      </c>
      <c r="AD256">
        <f t="shared" si="111"/>
        <v>-14.857084908333924</v>
      </c>
      <c r="AE256">
        <f t="shared" si="112"/>
        <v>-9.5284571378130067E-2</v>
      </c>
      <c r="AF256">
        <v>0</v>
      </c>
      <c r="AG256">
        <v>0</v>
      </c>
      <c r="AH256">
        <f t="shared" si="113"/>
        <v>1</v>
      </c>
      <c r="AI256">
        <f t="shared" si="114"/>
        <v>0</v>
      </c>
      <c r="AJ256">
        <f t="shared" si="115"/>
        <v>52560.28015556981</v>
      </c>
      <c r="AK256">
        <f t="shared" si="116"/>
        <v>1800</v>
      </c>
      <c r="AL256">
        <f t="shared" si="117"/>
        <v>1499.1137712</v>
      </c>
      <c r="AM256">
        <f t="shared" si="118"/>
        <v>0.83284098399999995</v>
      </c>
      <c r="AN256">
        <f t="shared" si="119"/>
        <v>0.15339736408999999</v>
      </c>
      <c r="AO256">
        <v>31.8</v>
      </c>
      <c r="AP256">
        <v>0.5</v>
      </c>
      <c r="AQ256" t="s">
        <v>331</v>
      </c>
      <c r="AR256">
        <v>2</v>
      </c>
      <c r="AS256">
        <v>1690390676</v>
      </c>
      <c r="AT256">
        <v>376.86099999999999</v>
      </c>
      <c r="AU256">
        <v>799.99199999999996</v>
      </c>
      <c r="AV256">
        <v>26.3004</v>
      </c>
      <c r="AW256">
        <v>0.14527000000000001</v>
      </c>
      <c r="AX256">
        <v>376.42</v>
      </c>
      <c r="AY256">
        <v>26.102</v>
      </c>
      <c r="AZ256">
        <v>300.12200000000001</v>
      </c>
      <c r="BA256">
        <v>98.551100000000005</v>
      </c>
      <c r="BB256">
        <v>9.9969299999999997E-2</v>
      </c>
      <c r="BC256">
        <v>25.915299999999998</v>
      </c>
      <c r="BD256">
        <v>27.029399999999999</v>
      </c>
      <c r="BE256">
        <v>27.0413</v>
      </c>
      <c r="BF256">
        <v>0</v>
      </c>
      <c r="BG256">
        <v>0</v>
      </c>
      <c r="BH256">
        <v>10051.9</v>
      </c>
      <c r="BI256">
        <v>1068.76</v>
      </c>
      <c r="BJ256">
        <v>1.4016500000000001</v>
      </c>
      <c r="BK256">
        <v>-423.13099999999997</v>
      </c>
      <c r="BL256">
        <v>387.041</v>
      </c>
      <c r="BM256">
        <v>800.10799999999995</v>
      </c>
      <c r="BN256">
        <v>26.155200000000001</v>
      </c>
      <c r="BO256">
        <v>799.99199999999996</v>
      </c>
      <c r="BP256">
        <v>0.14527000000000001</v>
      </c>
      <c r="BQ256">
        <v>2.5919400000000001</v>
      </c>
      <c r="BR256">
        <v>1.4316499999999999E-2</v>
      </c>
      <c r="BS256">
        <v>21.615600000000001</v>
      </c>
      <c r="BT256">
        <v>-42.594900000000003</v>
      </c>
      <c r="BU256">
        <v>1800</v>
      </c>
      <c r="BV256">
        <v>0.91000700000000001</v>
      </c>
      <c r="BW256">
        <v>3.3993099999999998E-2</v>
      </c>
      <c r="BX256">
        <v>2.2000700000000002E-2</v>
      </c>
      <c r="BY256">
        <v>3.3999099999999997E-2</v>
      </c>
      <c r="BZ256">
        <v>25</v>
      </c>
      <c r="CA256">
        <v>33528.400000000001</v>
      </c>
      <c r="CB256">
        <v>1690387638</v>
      </c>
      <c r="CC256" t="s">
        <v>332</v>
      </c>
      <c r="CD256">
        <v>1690387638</v>
      </c>
      <c r="CE256">
        <v>1690387638</v>
      </c>
      <c r="CF256">
        <v>6</v>
      </c>
      <c r="CG256">
        <v>0.43</v>
      </c>
      <c r="CH256">
        <v>-8.1000000000000003E-2</v>
      </c>
      <c r="CI256">
        <v>0.14199999999999999</v>
      </c>
      <c r="CJ256">
        <v>-2.7E-2</v>
      </c>
      <c r="CK256">
        <v>800</v>
      </c>
      <c r="CL256">
        <v>0</v>
      </c>
      <c r="CM256">
        <v>0.01</v>
      </c>
      <c r="CN256">
        <v>0.01</v>
      </c>
      <c r="CO256">
        <v>-423.13319512195119</v>
      </c>
      <c r="CP256">
        <v>0.30158885017403808</v>
      </c>
      <c r="CQ256">
        <v>9.067718660901776E-2</v>
      </c>
      <c r="CR256">
        <v>-1</v>
      </c>
      <c r="CS256">
        <v>26.153719512195121</v>
      </c>
      <c r="CT256">
        <v>2.6491986062743049E-2</v>
      </c>
      <c r="CU256">
        <v>3.7630565879347268E-3</v>
      </c>
      <c r="CV256">
        <v>-1</v>
      </c>
      <c r="CW256">
        <v>0</v>
      </c>
      <c r="CX256">
        <v>0</v>
      </c>
      <c r="CY256" t="s">
        <v>333</v>
      </c>
      <c r="CZ256">
        <v>2.3648500000000001</v>
      </c>
      <c r="DA256">
        <v>2.7138100000000001</v>
      </c>
      <c r="DB256">
        <v>8.5018899999999994E-2</v>
      </c>
      <c r="DC256">
        <v>0.14532100000000001</v>
      </c>
      <c r="DD256">
        <v>0.120896</v>
      </c>
      <c r="DE256">
        <v>1.2189E-3</v>
      </c>
      <c r="DF256">
        <v>33438.6</v>
      </c>
      <c r="DG256">
        <v>27582.9</v>
      </c>
      <c r="DH256">
        <v>31197.9</v>
      </c>
      <c r="DI256">
        <v>28120.799999999999</v>
      </c>
      <c r="DJ256">
        <v>37228.699999999997</v>
      </c>
      <c r="DK256">
        <v>39949.1</v>
      </c>
      <c r="DL256">
        <v>44402.8</v>
      </c>
      <c r="DM256">
        <v>42624.3</v>
      </c>
      <c r="DN256">
        <v>1.4770000000000001</v>
      </c>
      <c r="DO256">
        <v>2.0315699999999999</v>
      </c>
      <c r="DP256">
        <v>0.146151</v>
      </c>
      <c r="DQ256">
        <v>0.14927199999999999</v>
      </c>
      <c r="DR256">
        <v>24.634699999999999</v>
      </c>
      <c r="DS256">
        <v>24.595300000000002</v>
      </c>
      <c r="DT256">
        <v>20.399999999999999</v>
      </c>
      <c r="DU256">
        <v>29.4</v>
      </c>
      <c r="DV256">
        <v>8.5198</v>
      </c>
      <c r="DW256">
        <v>60.542200000000001</v>
      </c>
      <c r="DX256">
        <v>37.527999999999999</v>
      </c>
      <c r="DY256">
        <v>1</v>
      </c>
      <c r="DZ256">
        <v>-0.12045500000000001</v>
      </c>
      <c r="EA256">
        <v>0.21291099999999999</v>
      </c>
      <c r="EB256">
        <v>20.189900000000002</v>
      </c>
      <c r="EC256">
        <v>5.2409499999999998</v>
      </c>
      <c r="ED256">
        <v>12.039899999999999</v>
      </c>
      <c r="EE256">
        <v>5.0171000000000001</v>
      </c>
      <c r="EF256">
        <v>3.2879999999999998</v>
      </c>
      <c r="EG256">
        <v>9999</v>
      </c>
      <c r="EH256">
        <v>9999</v>
      </c>
      <c r="EI256">
        <v>9999</v>
      </c>
      <c r="EJ256">
        <v>999.9</v>
      </c>
      <c r="EK256">
        <v>1.8689</v>
      </c>
      <c r="EL256">
        <v>1.8646199999999999</v>
      </c>
      <c r="EM256">
        <v>1.8692</v>
      </c>
      <c r="EN256">
        <v>1.8672200000000001</v>
      </c>
      <c r="EO256">
        <v>1.8633599999999999</v>
      </c>
      <c r="EP256">
        <v>1.8644499999999999</v>
      </c>
      <c r="EQ256">
        <v>1.8701300000000001</v>
      </c>
      <c r="ER256">
        <v>1.8693500000000001</v>
      </c>
      <c r="ES256">
        <v>0</v>
      </c>
      <c r="ET256">
        <v>0</v>
      </c>
      <c r="EU256">
        <v>0</v>
      </c>
      <c r="EV256">
        <v>0</v>
      </c>
      <c r="EW256" t="s">
        <v>334</v>
      </c>
      <c r="EX256" t="s">
        <v>335</v>
      </c>
      <c r="EY256" t="s">
        <v>336</v>
      </c>
      <c r="EZ256" t="s">
        <v>336</v>
      </c>
      <c r="FA256" t="s">
        <v>336</v>
      </c>
      <c r="FB256" t="s">
        <v>336</v>
      </c>
      <c r="FC256">
        <v>0</v>
      </c>
      <c r="FD256">
        <v>100</v>
      </c>
      <c r="FE256">
        <v>100</v>
      </c>
      <c r="FF256">
        <v>0.441</v>
      </c>
      <c r="FG256">
        <v>0.19839999999999999</v>
      </c>
      <c r="FH256">
        <v>0.69281559908863044</v>
      </c>
      <c r="FI256">
        <v>-6.1462078757559423E-4</v>
      </c>
      <c r="FJ256">
        <v>-1.8861989874597051E-7</v>
      </c>
      <c r="FK256">
        <v>1.1980462299894961E-10</v>
      </c>
      <c r="FL256">
        <v>0.19840465858211129</v>
      </c>
      <c r="FM256">
        <v>0</v>
      </c>
      <c r="FN256">
        <v>0</v>
      </c>
      <c r="FO256">
        <v>0</v>
      </c>
      <c r="FP256">
        <v>3</v>
      </c>
      <c r="FQ256">
        <v>2158</v>
      </c>
      <c r="FR256">
        <v>1</v>
      </c>
      <c r="FS256">
        <v>19</v>
      </c>
      <c r="FT256">
        <v>50.6</v>
      </c>
      <c r="FU256">
        <v>50.6</v>
      </c>
      <c r="FV256">
        <v>1.7626999999999999</v>
      </c>
      <c r="FW256">
        <v>2.5817899999999998</v>
      </c>
      <c r="FX256">
        <v>1.5490699999999999</v>
      </c>
      <c r="FY256">
        <v>2.33521</v>
      </c>
      <c r="FZ256">
        <v>1.50146</v>
      </c>
      <c r="GA256">
        <v>2.2936999999999999</v>
      </c>
      <c r="GB256">
        <v>33.625399999999999</v>
      </c>
      <c r="GC256">
        <v>23.991199999999999</v>
      </c>
      <c r="GD256">
        <v>19</v>
      </c>
      <c r="GE256">
        <v>281.75</v>
      </c>
      <c r="GF256">
        <v>575.41399999999999</v>
      </c>
      <c r="GG256">
        <v>24.161999999999999</v>
      </c>
      <c r="GH256">
        <v>25.890499999999999</v>
      </c>
      <c r="GI256">
        <v>30.000299999999999</v>
      </c>
      <c r="GJ256">
        <v>26.018599999999999</v>
      </c>
      <c r="GK256">
        <v>26.000299999999999</v>
      </c>
      <c r="GL256">
        <v>35.250399999999999</v>
      </c>
      <c r="GM256">
        <v>100</v>
      </c>
      <c r="GN256">
        <v>0</v>
      </c>
      <c r="GO256">
        <v>24.117799999999999</v>
      </c>
      <c r="GP256">
        <v>800</v>
      </c>
      <c r="GQ256">
        <v>0</v>
      </c>
      <c r="GR256">
        <v>99.826800000000006</v>
      </c>
      <c r="GS256">
        <v>99.710300000000004</v>
      </c>
    </row>
    <row r="257" spans="1:201" x14ac:dyDescent="0.25">
      <c r="A257">
        <v>241</v>
      </c>
      <c r="B257">
        <v>1690390686</v>
      </c>
      <c r="C257">
        <v>2427.5</v>
      </c>
      <c r="D257" t="s">
        <v>815</v>
      </c>
      <c r="E257" t="s">
        <v>816</v>
      </c>
      <c r="F257" t="s">
        <v>330</v>
      </c>
      <c r="H257">
        <v>1690390686</v>
      </c>
      <c r="I257">
        <f t="shared" si="90"/>
        <v>2.534747383051057E-3</v>
      </c>
      <c r="J257">
        <f t="shared" si="91"/>
        <v>2.534747383051057</v>
      </c>
      <c r="K257">
        <f t="shared" si="92"/>
        <v>38.97873682308812</v>
      </c>
      <c r="L257">
        <f t="shared" si="93"/>
        <v>376.86900000000003</v>
      </c>
      <c r="M257">
        <f t="shared" si="94"/>
        <v>110.05426189635543</v>
      </c>
      <c r="N257">
        <f t="shared" si="95"/>
        <v>10.856189749093275</v>
      </c>
      <c r="O257">
        <f t="shared" si="96"/>
        <v>37.175855837406004</v>
      </c>
      <c r="P257">
        <f t="shared" si="97"/>
        <v>0.25054058094354881</v>
      </c>
      <c r="Q257">
        <f t="shared" si="98"/>
        <v>2.151476597414594</v>
      </c>
      <c r="R257">
        <f t="shared" si="99"/>
        <v>0.23538720467066793</v>
      </c>
      <c r="S257">
        <f t="shared" si="100"/>
        <v>0.14840203669568763</v>
      </c>
      <c r="T257">
        <f t="shared" si="101"/>
        <v>276.11528371199995</v>
      </c>
      <c r="U257">
        <f t="shared" si="102"/>
        <v>27.205389343052904</v>
      </c>
      <c r="V257">
        <f t="shared" si="103"/>
        <v>27.205389343052904</v>
      </c>
      <c r="W257">
        <f t="shared" si="104"/>
        <v>3.6225631794289193</v>
      </c>
      <c r="X257">
        <f t="shared" si="105"/>
        <v>77.250916689886012</v>
      </c>
      <c r="Y257">
        <f t="shared" si="106"/>
        <v>2.5937939743429999</v>
      </c>
      <c r="Z257">
        <f t="shared" si="107"/>
        <v>3.3576222593648386</v>
      </c>
      <c r="AA257">
        <f t="shared" si="108"/>
        <v>1.0287692050859194</v>
      </c>
      <c r="AB257">
        <f t="shared" si="109"/>
        <v>-111.78235959255161</v>
      </c>
      <c r="AC257">
        <f t="shared" si="110"/>
        <v>-149.49879860198658</v>
      </c>
      <c r="AD257">
        <f t="shared" si="111"/>
        <v>-14.930345864356545</v>
      </c>
      <c r="AE257">
        <f t="shared" si="112"/>
        <v>-9.6220346894767772E-2</v>
      </c>
      <c r="AF257">
        <v>0</v>
      </c>
      <c r="AG257">
        <v>0</v>
      </c>
      <c r="AH257">
        <f t="shared" si="113"/>
        <v>1</v>
      </c>
      <c r="AI257">
        <f t="shared" si="114"/>
        <v>0</v>
      </c>
      <c r="AJ257">
        <f t="shared" si="115"/>
        <v>52085.910225657848</v>
      </c>
      <c r="AK257">
        <f t="shared" si="116"/>
        <v>1800</v>
      </c>
      <c r="AL257">
        <f t="shared" si="117"/>
        <v>1499.1139062</v>
      </c>
      <c r="AM257">
        <f t="shared" si="118"/>
        <v>0.83284105899999994</v>
      </c>
      <c r="AN257">
        <f t="shared" si="119"/>
        <v>0.15339737983999999</v>
      </c>
      <c r="AO257">
        <v>31.8</v>
      </c>
      <c r="AP257">
        <v>0.5</v>
      </c>
      <c r="AQ257" t="s">
        <v>331</v>
      </c>
      <c r="AR257">
        <v>2</v>
      </c>
      <c r="AS257">
        <v>1690390686</v>
      </c>
      <c r="AT257">
        <v>376.86900000000003</v>
      </c>
      <c r="AU257">
        <v>799.97199999999998</v>
      </c>
      <c r="AV257">
        <v>26.294499999999999</v>
      </c>
      <c r="AW257">
        <v>0.14487</v>
      </c>
      <c r="AX257">
        <v>376.428</v>
      </c>
      <c r="AY257">
        <v>26.0961</v>
      </c>
      <c r="AZ257">
        <v>300.14</v>
      </c>
      <c r="BA257">
        <v>98.543899999999994</v>
      </c>
      <c r="BB257">
        <v>0.100074</v>
      </c>
      <c r="BC257">
        <v>25.916499999999999</v>
      </c>
      <c r="BD257">
        <v>26.988700000000001</v>
      </c>
      <c r="BE257">
        <v>27.052</v>
      </c>
      <c r="BF257">
        <v>0</v>
      </c>
      <c r="BG257">
        <v>0</v>
      </c>
      <c r="BH257">
        <v>9958.1200000000008</v>
      </c>
      <c r="BI257">
        <v>1068.74</v>
      </c>
      <c r="BJ257">
        <v>1.4016500000000001</v>
      </c>
      <c r="BK257">
        <v>-423.10300000000001</v>
      </c>
      <c r="BL257">
        <v>387.04599999999999</v>
      </c>
      <c r="BM257">
        <v>800.08799999999997</v>
      </c>
      <c r="BN257">
        <v>26.1496</v>
      </c>
      <c r="BO257">
        <v>799.97199999999998</v>
      </c>
      <c r="BP257">
        <v>0.14487</v>
      </c>
      <c r="BQ257">
        <v>2.59117</v>
      </c>
      <c r="BR257">
        <v>1.42761E-2</v>
      </c>
      <c r="BS257">
        <v>21.610800000000001</v>
      </c>
      <c r="BT257">
        <v>-42.621299999999998</v>
      </c>
      <c r="BU257">
        <v>1800</v>
      </c>
      <c r="BV257">
        <v>0.91000700000000001</v>
      </c>
      <c r="BW257">
        <v>3.3993099999999998E-2</v>
      </c>
      <c r="BX257">
        <v>2.2000700000000002E-2</v>
      </c>
      <c r="BY257">
        <v>3.39992E-2</v>
      </c>
      <c r="BZ257">
        <v>25</v>
      </c>
      <c r="CA257">
        <v>33528.5</v>
      </c>
      <c r="CB257">
        <v>1690387638</v>
      </c>
      <c r="CC257" t="s">
        <v>332</v>
      </c>
      <c r="CD257">
        <v>1690387638</v>
      </c>
      <c r="CE257">
        <v>1690387638</v>
      </c>
      <c r="CF257">
        <v>6</v>
      </c>
      <c r="CG257">
        <v>0.43</v>
      </c>
      <c r="CH257">
        <v>-8.1000000000000003E-2</v>
      </c>
      <c r="CI257">
        <v>0.14199999999999999</v>
      </c>
      <c r="CJ257">
        <v>-2.7E-2</v>
      </c>
      <c r="CK257">
        <v>800</v>
      </c>
      <c r="CL257">
        <v>0</v>
      </c>
      <c r="CM257">
        <v>0.01</v>
      </c>
      <c r="CN257">
        <v>0.01</v>
      </c>
      <c r="CO257">
        <v>-423.12560000000002</v>
      </c>
      <c r="CP257">
        <v>-0.1194146341452063</v>
      </c>
      <c r="CQ257">
        <v>6.3698430121943081E-2</v>
      </c>
      <c r="CR257">
        <v>-1</v>
      </c>
      <c r="CS257">
        <v>26.15522</v>
      </c>
      <c r="CT257">
        <v>-8.6318949344153847E-3</v>
      </c>
      <c r="CU257">
        <v>1.0334892355510299E-3</v>
      </c>
      <c r="CV257">
        <v>-1</v>
      </c>
      <c r="CW257">
        <v>0</v>
      </c>
      <c r="CX257">
        <v>0</v>
      </c>
      <c r="CY257" t="s">
        <v>333</v>
      </c>
      <c r="CZ257">
        <v>2.3649300000000002</v>
      </c>
      <c r="DA257">
        <v>2.7138300000000002</v>
      </c>
      <c r="DB257">
        <v>8.5014199999999998E-2</v>
      </c>
      <c r="DC257">
        <v>0.14530899999999999</v>
      </c>
      <c r="DD257">
        <v>0.120868</v>
      </c>
      <c r="DE257">
        <v>1.2154900000000001E-3</v>
      </c>
      <c r="DF257">
        <v>33438.199999999997</v>
      </c>
      <c r="DG257">
        <v>27583.200000000001</v>
      </c>
      <c r="DH257">
        <v>31197.3</v>
      </c>
      <c r="DI257">
        <v>28120.7</v>
      </c>
      <c r="DJ257">
        <v>37229.199999999997</v>
      </c>
      <c r="DK257">
        <v>39948.9</v>
      </c>
      <c r="DL257">
        <v>44401.9</v>
      </c>
      <c r="DM257">
        <v>42623.9</v>
      </c>
      <c r="DN257">
        <v>1.4771700000000001</v>
      </c>
      <c r="DO257">
        <v>2.0316700000000001</v>
      </c>
      <c r="DP257">
        <v>0.14366200000000001</v>
      </c>
      <c r="DQ257">
        <v>0.14980099999999999</v>
      </c>
      <c r="DR257">
        <v>24.634699999999999</v>
      </c>
      <c r="DS257">
        <v>24.5974</v>
      </c>
      <c r="DT257">
        <v>20.399999999999999</v>
      </c>
      <c r="DU257">
        <v>29.4</v>
      </c>
      <c r="DV257">
        <v>8.5215300000000003</v>
      </c>
      <c r="DW257">
        <v>61.342199999999998</v>
      </c>
      <c r="DX257">
        <v>37.331699999999998</v>
      </c>
      <c r="DY257">
        <v>1</v>
      </c>
      <c r="DZ257">
        <v>-0.119924</v>
      </c>
      <c r="EA257">
        <v>0.20053699999999999</v>
      </c>
      <c r="EB257">
        <v>20.189399999999999</v>
      </c>
      <c r="EC257">
        <v>5.2409499999999998</v>
      </c>
      <c r="ED257">
        <v>12.039899999999999</v>
      </c>
      <c r="EE257">
        <v>5.0170500000000002</v>
      </c>
      <c r="EF257">
        <v>3.2879999999999998</v>
      </c>
      <c r="EG257">
        <v>9999</v>
      </c>
      <c r="EH257">
        <v>9999</v>
      </c>
      <c r="EI257">
        <v>9999</v>
      </c>
      <c r="EJ257">
        <v>999.9</v>
      </c>
      <c r="EK257">
        <v>1.8689</v>
      </c>
      <c r="EL257">
        <v>1.8646199999999999</v>
      </c>
      <c r="EM257">
        <v>1.8692</v>
      </c>
      <c r="EN257">
        <v>1.8672200000000001</v>
      </c>
      <c r="EO257">
        <v>1.8633500000000001</v>
      </c>
      <c r="EP257">
        <v>1.8644499999999999</v>
      </c>
      <c r="EQ257">
        <v>1.87012</v>
      </c>
      <c r="ER257">
        <v>1.8693500000000001</v>
      </c>
      <c r="ES257">
        <v>0</v>
      </c>
      <c r="ET257">
        <v>0</v>
      </c>
      <c r="EU257">
        <v>0</v>
      </c>
      <c r="EV257">
        <v>0</v>
      </c>
      <c r="EW257" t="s">
        <v>334</v>
      </c>
      <c r="EX257" t="s">
        <v>335</v>
      </c>
      <c r="EY257" t="s">
        <v>336</v>
      </c>
      <c r="EZ257" t="s">
        <v>336</v>
      </c>
      <c r="FA257" t="s">
        <v>336</v>
      </c>
      <c r="FB257" t="s">
        <v>336</v>
      </c>
      <c r="FC257">
        <v>0</v>
      </c>
      <c r="FD257">
        <v>100</v>
      </c>
      <c r="FE257">
        <v>100</v>
      </c>
      <c r="FF257">
        <v>0.441</v>
      </c>
      <c r="FG257">
        <v>0.19839999999999999</v>
      </c>
      <c r="FH257">
        <v>0.69281559908863044</v>
      </c>
      <c r="FI257">
        <v>-6.1462078757559423E-4</v>
      </c>
      <c r="FJ257">
        <v>-1.8861989874597051E-7</v>
      </c>
      <c r="FK257">
        <v>1.1980462299894961E-10</v>
      </c>
      <c r="FL257">
        <v>0.19840465858211129</v>
      </c>
      <c r="FM257">
        <v>0</v>
      </c>
      <c r="FN257">
        <v>0</v>
      </c>
      <c r="FO257">
        <v>0</v>
      </c>
      <c r="FP257">
        <v>3</v>
      </c>
      <c r="FQ257">
        <v>2158</v>
      </c>
      <c r="FR257">
        <v>1</v>
      </c>
      <c r="FS257">
        <v>19</v>
      </c>
      <c r="FT257">
        <v>50.8</v>
      </c>
      <c r="FU257">
        <v>50.8</v>
      </c>
      <c r="FV257">
        <v>1.7626999999999999</v>
      </c>
      <c r="FW257">
        <v>2.5854499999999998</v>
      </c>
      <c r="FX257">
        <v>1.5490699999999999</v>
      </c>
      <c r="FY257">
        <v>2.33521</v>
      </c>
      <c r="FZ257">
        <v>1.50146</v>
      </c>
      <c r="GA257">
        <v>2.3071299999999999</v>
      </c>
      <c r="GB257">
        <v>33.602899999999998</v>
      </c>
      <c r="GC257">
        <v>23.991199999999999</v>
      </c>
      <c r="GD257">
        <v>19</v>
      </c>
      <c r="GE257">
        <v>281.82400000000001</v>
      </c>
      <c r="GF257">
        <v>575.49599999999998</v>
      </c>
      <c r="GG257">
        <v>24.093</v>
      </c>
      <c r="GH257">
        <v>25.890499999999999</v>
      </c>
      <c r="GI257">
        <v>30.0001</v>
      </c>
      <c r="GJ257">
        <v>26.018599999999999</v>
      </c>
      <c r="GK257">
        <v>26.000299999999999</v>
      </c>
      <c r="GL257">
        <v>35.2517</v>
      </c>
      <c r="GM257">
        <v>100</v>
      </c>
      <c r="GN257">
        <v>0</v>
      </c>
      <c r="GO257">
        <v>24.109500000000001</v>
      </c>
      <c r="GP257">
        <v>800</v>
      </c>
      <c r="GQ257">
        <v>0</v>
      </c>
      <c r="GR257">
        <v>99.8249</v>
      </c>
      <c r="GS257">
        <v>99.709699999999998</v>
      </c>
    </row>
    <row r="258" spans="1:201" x14ac:dyDescent="0.25">
      <c r="A258">
        <v>242</v>
      </c>
      <c r="B258">
        <v>1690390696</v>
      </c>
      <c r="C258">
        <v>2437.5</v>
      </c>
      <c r="D258" t="s">
        <v>817</v>
      </c>
      <c r="E258" t="s">
        <v>818</v>
      </c>
      <c r="F258" t="s">
        <v>330</v>
      </c>
      <c r="H258">
        <v>1690390696</v>
      </c>
      <c r="I258">
        <f t="shared" si="90"/>
        <v>2.5338193943298505E-3</v>
      </c>
      <c r="J258">
        <f t="shared" si="91"/>
        <v>2.5338193943298504</v>
      </c>
      <c r="K258">
        <f t="shared" si="92"/>
        <v>38.99009780770681</v>
      </c>
      <c r="L258">
        <f t="shared" si="93"/>
        <v>376.779</v>
      </c>
      <c r="M258">
        <f t="shared" si="94"/>
        <v>110.27399945036947</v>
      </c>
      <c r="N258">
        <f t="shared" si="95"/>
        <v>10.87822899776045</v>
      </c>
      <c r="O258">
        <f t="shared" si="96"/>
        <v>37.168219743329999</v>
      </c>
      <c r="P258">
        <f t="shared" si="97"/>
        <v>0.25089137606740247</v>
      </c>
      <c r="Q258">
        <f t="shared" si="98"/>
        <v>2.1564646925302777</v>
      </c>
      <c r="R258">
        <f t="shared" si="99"/>
        <v>0.23572978382254386</v>
      </c>
      <c r="S258">
        <f t="shared" si="100"/>
        <v>0.14861691110508002</v>
      </c>
      <c r="T258">
        <f t="shared" si="101"/>
        <v>276.11531593199993</v>
      </c>
      <c r="U258">
        <f t="shared" si="102"/>
        <v>27.191910042352507</v>
      </c>
      <c r="V258">
        <f t="shared" si="103"/>
        <v>27.191910042352507</v>
      </c>
      <c r="W258">
        <f t="shared" si="104"/>
        <v>3.6197006739030693</v>
      </c>
      <c r="X258">
        <f t="shared" si="105"/>
        <v>77.270481029375617</v>
      </c>
      <c r="Y258">
        <f t="shared" si="106"/>
        <v>2.5927461974100003</v>
      </c>
      <c r="Z258">
        <f t="shared" si="107"/>
        <v>3.3554161471109856</v>
      </c>
      <c r="AA258">
        <f t="shared" si="108"/>
        <v>1.0269544764930689</v>
      </c>
      <c r="AB258">
        <f t="shared" si="109"/>
        <v>-111.74143528994641</v>
      </c>
      <c r="AC258">
        <f t="shared" si="110"/>
        <v>-149.56878849111911</v>
      </c>
      <c r="AD258">
        <f t="shared" si="111"/>
        <v>-14.900949960842555</v>
      </c>
      <c r="AE258">
        <f t="shared" si="112"/>
        <v>-9.5857809908181935E-2</v>
      </c>
      <c r="AF258">
        <v>0</v>
      </c>
      <c r="AG258">
        <v>0</v>
      </c>
      <c r="AH258">
        <f t="shared" si="113"/>
        <v>1</v>
      </c>
      <c r="AI258">
        <f t="shared" si="114"/>
        <v>0</v>
      </c>
      <c r="AJ258">
        <f t="shared" si="115"/>
        <v>52296.686301996851</v>
      </c>
      <c r="AK258">
        <f t="shared" si="116"/>
        <v>1800</v>
      </c>
      <c r="AL258">
        <f t="shared" si="117"/>
        <v>1499.1133572000001</v>
      </c>
      <c r="AM258">
        <f t="shared" si="118"/>
        <v>0.83284075400000002</v>
      </c>
      <c r="AN258">
        <f t="shared" si="119"/>
        <v>0.15339739773999997</v>
      </c>
      <c r="AO258">
        <v>31.8</v>
      </c>
      <c r="AP258">
        <v>0.5</v>
      </c>
      <c r="AQ258" t="s">
        <v>331</v>
      </c>
      <c r="AR258">
        <v>2</v>
      </c>
      <c r="AS258">
        <v>1690390696</v>
      </c>
      <c r="AT258">
        <v>376.779</v>
      </c>
      <c r="AU258">
        <v>799.96100000000001</v>
      </c>
      <c r="AV258">
        <v>26.283000000000001</v>
      </c>
      <c r="AW258">
        <v>0.144812</v>
      </c>
      <c r="AX258">
        <v>376.33800000000002</v>
      </c>
      <c r="AY258">
        <v>26.084599999999998</v>
      </c>
      <c r="AZ258">
        <v>300.16500000000002</v>
      </c>
      <c r="BA258">
        <v>98.547200000000004</v>
      </c>
      <c r="BB258">
        <v>0.10007000000000001</v>
      </c>
      <c r="BC258">
        <v>25.9054</v>
      </c>
      <c r="BD258">
        <v>26.971900000000002</v>
      </c>
      <c r="BE258">
        <v>27.045500000000001</v>
      </c>
      <c r="BF258">
        <v>0</v>
      </c>
      <c r="BG258">
        <v>0</v>
      </c>
      <c r="BH258">
        <v>9999.3799999999992</v>
      </c>
      <c r="BI258">
        <v>1068.8499999999999</v>
      </c>
      <c r="BJ258">
        <v>1.3595999999999999</v>
      </c>
      <c r="BK258">
        <v>-423.18200000000002</v>
      </c>
      <c r="BL258">
        <v>386.94900000000001</v>
      </c>
      <c r="BM258">
        <v>800.077</v>
      </c>
      <c r="BN258">
        <v>26.138200000000001</v>
      </c>
      <c r="BO258">
        <v>799.96100000000001</v>
      </c>
      <c r="BP258">
        <v>0.144812</v>
      </c>
      <c r="BQ258">
        <v>2.5901100000000001</v>
      </c>
      <c r="BR258">
        <v>1.42708E-2</v>
      </c>
      <c r="BS258">
        <v>21.604099999999999</v>
      </c>
      <c r="BT258">
        <v>-42.624699999999997</v>
      </c>
      <c r="BU258">
        <v>1800</v>
      </c>
      <c r="BV258">
        <v>0.91000499999999995</v>
      </c>
      <c r="BW258">
        <v>3.3993799999999998E-2</v>
      </c>
      <c r="BX258">
        <v>2.2001199999999999E-2</v>
      </c>
      <c r="BY258">
        <v>3.3999799999999997E-2</v>
      </c>
      <c r="BZ258">
        <v>25</v>
      </c>
      <c r="CA258">
        <v>33528.5</v>
      </c>
      <c r="CB258">
        <v>1690387638</v>
      </c>
      <c r="CC258" t="s">
        <v>332</v>
      </c>
      <c r="CD258">
        <v>1690387638</v>
      </c>
      <c r="CE258">
        <v>1690387638</v>
      </c>
      <c r="CF258">
        <v>6</v>
      </c>
      <c r="CG258">
        <v>0.43</v>
      </c>
      <c r="CH258">
        <v>-8.1000000000000003E-2</v>
      </c>
      <c r="CI258">
        <v>0.14199999999999999</v>
      </c>
      <c r="CJ258">
        <v>-2.7E-2</v>
      </c>
      <c r="CK258">
        <v>800</v>
      </c>
      <c r="CL258">
        <v>0</v>
      </c>
      <c r="CM258">
        <v>0.01</v>
      </c>
      <c r="CN258">
        <v>0.01</v>
      </c>
      <c r="CO258">
        <v>-423.15697560975599</v>
      </c>
      <c r="CP258">
        <v>-0.16760278745548499</v>
      </c>
      <c r="CQ258">
        <v>4.0826514462599481E-2</v>
      </c>
      <c r="CR258">
        <v>-1</v>
      </c>
      <c r="CS258">
        <v>26.148997560975609</v>
      </c>
      <c r="CT258">
        <v>-6.2349825783929523E-2</v>
      </c>
      <c r="CU258">
        <v>6.4118977748832927E-3</v>
      </c>
      <c r="CV258">
        <v>-1</v>
      </c>
      <c r="CW258">
        <v>0</v>
      </c>
      <c r="CX258">
        <v>0</v>
      </c>
      <c r="CY258" t="s">
        <v>333</v>
      </c>
      <c r="CZ258">
        <v>2.36503</v>
      </c>
      <c r="DA258">
        <v>2.7138599999999999</v>
      </c>
      <c r="DB258">
        <v>8.5001099999999996E-2</v>
      </c>
      <c r="DC258">
        <v>0.145312</v>
      </c>
      <c r="DD258">
        <v>0.120835</v>
      </c>
      <c r="DE258">
        <v>1.2150500000000001E-3</v>
      </c>
      <c r="DF258">
        <v>33439.199999999997</v>
      </c>
      <c r="DG258">
        <v>27583.200000000001</v>
      </c>
      <c r="DH258">
        <v>31197.8</v>
      </c>
      <c r="DI258">
        <v>28120.799999999999</v>
      </c>
      <c r="DJ258">
        <v>37231</v>
      </c>
      <c r="DK258">
        <v>39949.300000000003</v>
      </c>
      <c r="DL258">
        <v>44402.400000000001</v>
      </c>
      <c r="DM258">
        <v>42624.3</v>
      </c>
      <c r="DN258">
        <v>1.4773000000000001</v>
      </c>
      <c r="DO258">
        <v>2.0317500000000002</v>
      </c>
      <c r="DP258">
        <v>0.14250699999999999</v>
      </c>
      <c r="DQ258">
        <v>0.14928</v>
      </c>
      <c r="DR258">
        <v>24.636800000000001</v>
      </c>
      <c r="DS258">
        <v>24.599499999999999</v>
      </c>
      <c r="DT258">
        <v>20.399999999999999</v>
      </c>
      <c r="DU258">
        <v>29.4</v>
      </c>
      <c r="DV258">
        <v>8.5199099999999994</v>
      </c>
      <c r="DW258">
        <v>61.092199999999998</v>
      </c>
      <c r="DX258">
        <v>36.947099999999999</v>
      </c>
      <c r="DY258">
        <v>1</v>
      </c>
      <c r="DZ258">
        <v>-0.12067600000000001</v>
      </c>
      <c r="EA258">
        <v>9.4964599999999996E-2</v>
      </c>
      <c r="EB258">
        <v>20.189900000000002</v>
      </c>
      <c r="EC258">
        <v>5.2413999999999996</v>
      </c>
      <c r="ED258">
        <v>12.039899999999999</v>
      </c>
      <c r="EE258">
        <v>5.0168999999999997</v>
      </c>
      <c r="EF258">
        <v>3.2879999999999998</v>
      </c>
      <c r="EG258">
        <v>9999</v>
      </c>
      <c r="EH258">
        <v>9999</v>
      </c>
      <c r="EI258">
        <v>9999</v>
      </c>
      <c r="EJ258">
        <v>999.9</v>
      </c>
      <c r="EK258">
        <v>1.8689</v>
      </c>
      <c r="EL258">
        <v>1.8646100000000001</v>
      </c>
      <c r="EM258">
        <v>1.8692</v>
      </c>
      <c r="EN258">
        <v>1.8672200000000001</v>
      </c>
      <c r="EO258">
        <v>1.86334</v>
      </c>
      <c r="EP258">
        <v>1.8644499999999999</v>
      </c>
      <c r="EQ258">
        <v>1.8701399999999999</v>
      </c>
      <c r="ER258">
        <v>1.8693599999999999</v>
      </c>
      <c r="ES258">
        <v>0</v>
      </c>
      <c r="ET258">
        <v>0</v>
      </c>
      <c r="EU258">
        <v>0</v>
      </c>
      <c r="EV258">
        <v>0</v>
      </c>
      <c r="EW258" t="s">
        <v>334</v>
      </c>
      <c r="EX258" t="s">
        <v>335</v>
      </c>
      <c r="EY258" t="s">
        <v>336</v>
      </c>
      <c r="EZ258" t="s">
        <v>336</v>
      </c>
      <c r="FA258" t="s">
        <v>336</v>
      </c>
      <c r="FB258" t="s">
        <v>336</v>
      </c>
      <c r="FC258">
        <v>0</v>
      </c>
      <c r="FD258">
        <v>100</v>
      </c>
      <c r="FE258">
        <v>100</v>
      </c>
      <c r="FF258">
        <v>0.441</v>
      </c>
      <c r="FG258">
        <v>0.19839999999999999</v>
      </c>
      <c r="FH258">
        <v>0.69281559908863044</v>
      </c>
      <c r="FI258">
        <v>-6.1462078757559423E-4</v>
      </c>
      <c r="FJ258">
        <v>-1.8861989874597051E-7</v>
      </c>
      <c r="FK258">
        <v>1.1980462299894961E-10</v>
      </c>
      <c r="FL258">
        <v>0.19840465858211129</v>
      </c>
      <c r="FM258">
        <v>0</v>
      </c>
      <c r="FN258">
        <v>0</v>
      </c>
      <c r="FO258">
        <v>0</v>
      </c>
      <c r="FP258">
        <v>3</v>
      </c>
      <c r="FQ258">
        <v>2158</v>
      </c>
      <c r="FR258">
        <v>1</v>
      </c>
      <c r="FS258">
        <v>19</v>
      </c>
      <c r="FT258">
        <v>51</v>
      </c>
      <c r="FU258">
        <v>51</v>
      </c>
      <c r="FV258">
        <v>1.7626999999999999</v>
      </c>
      <c r="FW258">
        <v>2.5866699999999998</v>
      </c>
      <c r="FX258">
        <v>1.5490699999999999</v>
      </c>
      <c r="FY258">
        <v>2.33521</v>
      </c>
      <c r="FZ258">
        <v>1.50146</v>
      </c>
      <c r="GA258">
        <v>2.3107899999999999</v>
      </c>
      <c r="GB258">
        <v>33.625399999999999</v>
      </c>
      <c r="GC258">
        <v>23.982399999999998</v>
      </c>
      <c r="GD258">
        <v>19</v>
      </c>
      <c r="GE258">
        <v>281.87700000000001</v>
      </c>
      <c r="GF258">
        <v>575.55700000000002</v>
      </c>
      <c r="GG258">
        <v>24.108599999999999</v>
      </c>
      <c r="GH258">
        <v>25.890499999999999</v>
      </c>
      <c r="GI258">
        <v>29.9999</v>
      </c>
      <c r="GJ258">
        <v>26.018599999999999</v>
      </c>
      <c r="GK258">
        <v>26.000299999999999</v>
      </c>
      <c r="GL258">
        <v>35.247999999999998</v>
      </c>
      <c r="GM258">
        <v>100</v>
      </c>
      <c r="GN258">
        <v>0</v>
      </c>
      <c r="GO258">
        <v>24.122599999999998</v>
      </c>
      <c r="GP258">
        <v>800</v>
      </c>
      <c r="GQ258">
        <v>0</v>
      </c>
      <c r="GR258">
        <v>99.8262</v>
      </c>
      <c r="GS258">
        <v>99.710400000000007</v>
      </c>
    </row>
    <row r="259" spans="1:201" x14ac:dyDescent="0.25">
      <c r="A259">
        <v>243</v>
      </c>
      <c r="B259">
        <v>1690390706</v>
      </c>
      <c r="C259">
        <v>2447.5</v>
      </c>
      <c r="D259" t="s">
        <v>819</v>
      </c>
      <c r="E259" t="s">
        <v>820</v>
      </c>
      <c r="F259" t="s">
        <v>330</v>
      </c>
      <c r="H259">
        <v>1690390706</v>
      </c>
      <c r="I259">
        <f t="shared" si="90"/>
        <v>2.5349072014536692E-3</v>
      </c>
      <c r="J259">
        <f t="shared" si="91"/>
        <v>2.5349072014536693</v>
      </c>
      <c r="K259">
        <f t="shared" si="92"/>
        <v>38.995418685276967</v>
      </c>
      <c r="L259">
        <f t="shared" si="93"/>
        <v>376.85399999999998</v>
      </c>
      <c r="M259">
        <f t="shared" si="94"/>
        <v>110.22622401136458</v>
      </c>
      <c r="N259">
        <f t="shared" si="95"/>
        <v>10.873407618525137</v>
      </c>
      <c r="O259">
        <f t="shared" si="96"/>
        <v>37.175247464244002</v>
      </c>
      <c r="P259">
        <f t="shared" si="97"/>
        <v>0.25084888708835362</v>
      </c>
      <c r="Q259">
        <f t="shared" si="98"/>
        <v>2.1499273516821531</v>
      </c>
      <c r="R259">
        <f t="shared" si="99"/>
        <v>0.23564917262975041</v>
      </c>
      <c r="S259">
        <f t="shared" si="100"/>
        <v>0.14856955589927523</v>
      </c>
      <c r="T259">
        <f t="shared" si="101"/>
        <v>276.11542034999997</v>
      </c>
      <c r="U259">
        <f t="shared" si="102"/>
        <v>27.197290389886632</v>
      </c>
      <c r="V259">
        <f t="shared" si="103"/>
        <v>27.197290389886632</v>
      </c>
      <c r="W259">
        <f t="shared" si="104"/>
        <v>3.6208430241285163</v>
      </c>
      <c r="X259">
        <f t="shared" si="105"/>
        <v>77.27140291713512</v>
      </c>
      <c r="Y259">
        <f t="shared" si="106"/>
        <v>2.5931149200819998</v>
      </c>
      <c r="Z259">
        <f t="shared" si="107"/>
        <v>3.3558532939576931</v>
      </c>
      <c r="AA259">
        <f t="shared" si="108"/>
        <v>1.0277281040465165</v>
      </c>
      <c r="AB259">
        <f t="shared" si="109"/>
        <v>-111.78940758410681</v>
      </c>
      <c r="AC259">
        <f t="shared" si="110"/>
        <v>-149.4839936219114</v>
      </c>
      <c r="AD259">
        <f t="shared" si="111"/>
        <v>-14.938353573668927</v>
      </c>
      <c r="AE259">
        <f t="shared" si="112"/>
        <v>-9.6334429687146894E-2</v>
      </c>
      <c r="AF259">
        <v>0</v>
      </c>
      <c r="AG259">
        <v>0</v>
      </c>
      <c r="AH259">
        <f t="shared" si="113"/>
        <v>1</v>
      </c>
      <c r="AI259">
        <f t="shared" si="114"/>
        <v>0</v>
      </c>
      <c r="AJ259">
        <f t="shared" si="115"/>
        <v>52022.772039616357</v>
      </c>
      <c r="AK259">
        <f t="shared" si="116"/>
        <v>1800</v>
      </c>
      <c r="AL259">
        <f t="shared" si="117"/>
        <v>1499.1141689999999</v>
      </c>
      <c r="AM259">
        <f t="shared" si="118"/>
        <v>0.83284120499999992</v>
      </c>
      <c r="AN259">
        <f t="shared" si="119"/>
        <v>0.15339745574999999</v>
      </c>
      <c r="AO259">
        <v>31.8</v>
      </c>
      <c r="AP259">
        <v>0.5</v>
      </c>
      <c r="AQ259" t="s">
        <v>331</v>
      </c>
      <c r="AR259">
        <v>2</v>
      </c>
      <c r="AS259">
        <v>1690390706</v>
      </c>
      <c r="AT259">
        <v>376.85399999999998</v>
      </c>
      <c r="AU259">
        <v>799.99300000000005</v>
      </c>
      <c r="AV259">
        <v>26.286999999999999</v>
      </c>
      <c r="AW259">
        <v>0.14423</v>
      </c>
      <c r="AX259">
        <v>376.41300000000001</v>
      </c>
      <c r="AY259">
        <v>26.0886</v>
      </c>
      <c r="AZ259">
        <v>300.24</v>
      </c>
      <c r="BA259">
        <v>98.546199999999999</v>
      </c>
      <c r="BB259">
        <v>0.10008599999999999</v>
      </c>
      <c r="BC259">
        <v>25.907599999999999</v>
      </c>
      <c r="BD259">
        <v>26.9693</v>
      </c>
      <c r="BE259">
        <v>27.037700000000001</v>
      </c>
      <c r="BF259">
        <v>0</v>
      </c>
      <c r="BG259">
        <v>0</v>
      </c>
      <c r="BH259">
        <v>9945</v>
      </c>
      <c r="BI259">
        <v>1068.82</v>
      </c>
      <c r="BJ259">
        <v>1.00919</v>
      </c>
      <c r="BK259">
        <v>-423.13900000000001</v>
      </c>
      <c r="BL259">
        <v>387.02800000000002</v>
      </c>
      <c r="BM259">
        <v>800.10900000000004</v>
      </c>
      <c r="BN259">
        <v>26.142700000000001</v>
      </c>
      <c r="BO259">
        <v>799.99300000000005</v>
      </c>
      <c r="BP259">
        <v>0.14423</v>
      </c>
      <c r="BQ259">
        <v>2.5904799999999999</v>
      </c>
      <c r="BR259">
        <v>1.42133E-2</v>
      </c>
      <c r="BS259">
        <v>21.606400000000001</v>
      </c>
      <c r="BT259">
        <v>-42.662399999999998</v>
      </c>
      <c r="BU259">
        <v>1800</v>
      </c>
      <c r="BV259">
        <v>0.91000599999999998</v>
      </c>
      <c r="BW259">
        <v>3.3993599999999999E-2</v>
      </c>
      <c r="BX259">
        <v>2.2001E-2</v>
      </c>
      <c r="BY259">
        <v>3.3999700000000001E-2</v>
      </c>
      <c r="BZ259">
        <v>25</v>
      </c>
      <c r="CA259">
        <v>33528.5</v>
      </c>
      <c r="CB259">
        <v>1690387638</v>
      </c>
      <c r="CC259" t="s">
        <v>332</v>
      </c>
      <c r="CD259">
        <v>1690387638</v>
      </c>
      <c r="CE259">
        <v>1690387638</v>
      </c>
      <c r="CF259">
        <v>6</v>
      </c>
      <c r="CG259">
        <v>0.43</v>
      </c>
      <c r="CH259">
        <v>-8.1000000000000003E-2</v>
      </c>
      <c r="CI259">
        <v>0.14199999999999999</v>
      </c>
      <c r="CJ259">
        <v>-2.7E-2</v>
      </c>
      <c r="CK259">
        <v>800</v>
      </c>
      <c r="CL259">
        <v>0</v>
      </c>
      <c r="CM259">
        <v>0.01</v>
      </c>
      <c r="CN259">
        <v>0.01</v>
      </c>
      <c r="CO259">
        <v>-423.18787804878042</v>
      </c>
      <c r="CP259">
        <v>-0.35644599303182722</v>
      </c>
      <c r="CQ259">
        <v>4.9076940649454517E-2</v>
      </c>
      <c r="CR259">
        <v>-1</v>
      </c>
      <c r="CS259">
        <v>26.14253658536586</v>
      </c>
      <c r="CT259">
        <v>-1.5924041811811632E-2</v>
      </c>
      <c r="CU259">
        <v>3.545781148073246E-3</v>
      </c>
      <c r="CV259">
        <v>-1</v>
      </c>
      <c r="CW259">
        <v>0</v>
      </c>
      <c r="CX259">
        <v>0</v>
      </c>
      <c r="CY259" t="s">
        <v>333</v>
      </c>
      <c r="CZ259">
        <v>2.3652299999999999</v>
      </c>
      <c r="DA259">
        <v>2.7138300000000002</v>
      </c>
      <c r="DB259">
        <v>8.5013400000000003E-2</v>
      </c>
      <c r="DC259">
        <v>0.145314</v>
      </c>
      <c r="DD259">
        <v>0.120847</v>
      </c>
      <c r="DE259">
        <v>1.2102E-3</v>
      </c>
      <c r="DF259">
        <v>33439.300000000003</v>
      </c>
      <c r="DG259">
        <v>27583.599999999999</v>
      </c>
      <c r="DH259">
        <v>31198.3</v>
      </c>
      <c r="DI259">
        <v>28121.200000000001</v>
      </c>
      <c r="DJ259">
        <v>37231.4</v>
      </c>
      <c r="DK259">
        <v>39949.800000000003</v>
      </c>
      <c r="DL259">
        <v>44403.4</v>
      </c>
      <c r="DM259">
        <v>42624.7</v>
      </c>
      <c r="DN259">
        <v>1.4771000000000001</v>
      </c>
      <c r="DO259">
        <v>2.0311300000000001</v>
      </c>
      <c r="DP259">
        <v>0.14222399999999999</v>
      </c>
      <c r="DQ259">
        <v>0.14880299999999999</v>
      </c>
      <c r="DR259">
        <v>24.6389</v>
      </c>
      <c r="DS259">
        <v>24.599499999999999</v>
      </c>
      <c r="DT259">
        <v>20.3</v>
      </c>
      <c r="DU259">
        <v>29.4</v>
      </c>
      <c r="DV259">
        <v>8.4763900000000003</v>
      </c>
      <c r="DW259">
        <v>61.322200000000002</v>
      </c>
      <c r="DX259">
        <v>37.8245</v>
      </c>
      <c r="DY259">
        <v>1</v>
      </c>
      <c r="DZ259">
        <v>-0.120795</v>
      </c>
      <c r="EA259">
        <v>-4.6024E-4</v>
      </c>
      <c r="EB259">
        <v>20.190000000000001</v>
      </c>
      <c r="EC259">
        <v>5.2411000000000003</v>
      </c>
      <c r="ED259">
        <v>12.039899999999999</v>
      </c>
      <c r="EE259">
        <v>5.0171000000000001</v>
      </c>
      <c r="EF259">
        <v>3.2879999999999998</v>
      </c>
      <c r="EG259">
        <v>9999</v>
      </c>
      <c r="EH259">
        <v>9999</v>
      </c>
      <c r="EI259">
        <v>9999</v>
      </c>
      <c r="EJ259">
        <v>999.9</v>
      </c>
      <c r="EK259">
        <v>1.8689</v>
      </c>
      <c r="EL259">
        <v>1.8646199999999999</v>
      </c>
      <c r="EM259">
        <v>1.8692</v>
      </c>
      <c r="EN259">
        <v>1.8672200000000001</v>
      </c>
      <c r="EO259">
        <v>1.8633299999999999</v>
      </c>
      <c r="EP259">
        <v>1.8644700000000001</v>
      </c>
      <c r="EQ259">
        <v>1.8701399999999999</v>
      </c>
      <c r="ER259">
        <v>1.8693599999999999</v>
      </c>
      <c r="ES259">
        <v>0</v>
      </c>
      <c r="ET259">
        <v>0</v>
      </c>
      <c r="EU259">
        <v>0</v>
      </c>
      <c r="EV259">
        <v>0</v>
      </c>
      <c r="EW259" t="s">
        <v>334</v>
      </c>
      <c r="EX259" t="s">
        <v>335</v>
      </c>
      <c r="EY259" t="s">
        <v>336</v>
      </c>
      <c r="EZ259" t="s">
        <v>336</v>
      </c>
      <c r="FA259" t="s">
        <v>336</v>
      </c>
      <c r="FB259" t="s">
        <v>336</v>
      </c>
      <c r="FC259">
        <v>0</v>
      </c>
      <c r="FD259">
        <v>100</v>
      </c>
      <c r="FE259">
        <v>100</v>
      </c>
      <c r="FF259">
        <v>0.441</v>
      </c>
      <c r="FG259">
        <v>0.19839999999999999</v>
      </c>
      <c r="FH259">
        <v>0.69281559908863044</v>
      </c>
      <c r="FI259">
        <v>-6.1462078757559423E-4</v>
      </c>
      <c r="FJ259">
        <v>-1.8861989874597051E-7</v>
      </c>
      <c r="FK259">
        <v>1.1980462299894961E-10</v>
      </c>
      <c r="FL259">
        <v>0.19840465858211129</v>
      </c>
      <c r="FM259">
        <v>0</v>
      </c>
      <c r="FN259">
        <v>0</v>
      </c>
      <c r="FO259">
        <v>0</v>
      </c>
      <c r="FP259">
        <v>3</v>
      </c>
      <c r="FQ259">
        <v>2158</v>
      </c>
      <c r="FR259">
        <v>1</v>
      </c>
      <c r="FS259">
        <v>19</v>
      </c>
      <c r="FT259">
        <v>51.1</v>
      </c>
      <c r="FU259">
        <v>51.1</v>
      </c>
      <c r="FV259">
        <v>1.7626999999999999</v>
      </c>
      <c r="FW259">
        <v>2.5805699999999998</v>
      </c>
      <c r="FX259">
        <v>1.5490699999999999</v>
      </c>
      <c r="FY259">
        <v>2.33521</v>
      </c>
      <c r="FZ259">
        <v>1.50146</v>
      </c>
      <c r="GA259">
        <v>2.36084</v>
      </c>
      <c r="GB259">
        <v>33.625399999999999</v>
      </c>
      <c r="GC259">
        <v>23.991199999999999</v>
      </c>
      <c r="GD259">
        <v>19</v>
      </c>
      <c r="GE259">
        <v>281.79300000000001</v>
      </c>
      <c r="GF259">
        <v>575.04700000000003</v>
      </c>
      <c r="GG259">
        <v>24.144500000000001</v>
      </c>
      <c r="GH259">
        <v>25.890499999999999</v>
      </c>
      <c r="GI259">
        <v>29.9999</v>
      </c>
      <c r="GJ259">
        <v>26.018599999999999</v>
      </c>
      <c r="GK259">
        <v>26.000299999999999</v>
      </c>
      <c r="GL259">
        <v>35.248600000000003</v>
      </c>
      <c r="GM259">
        <v>100</v>
      </c>
      <c r="GN259">
        <v>0</v>
      </c>
      <c r="GO259">
        <v>24.1693</v>
      </c>
      <c r="GP259">
        <v>800</v>
      </c>
      <c r="GQ259">
        <v>0</v>
      </c>
      <c r="GR259">
        <v>99.828299999999999</v>
      </c>
      <c r="GS259">
        <v>99.711500000000001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2023-07-26T16:58:42Z</dcterms:created>
  <dcterms:modified xsi:type="dcterms:W3CDTF">2023-07-26T17:10:16Z</dcterms:modified>
</cp:coreProperties>
</file>