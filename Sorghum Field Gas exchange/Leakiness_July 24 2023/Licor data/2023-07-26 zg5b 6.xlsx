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leakiness 20230726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9" i="1" l="1"/>
  <c r="AM229" i="1"/>
  <c r="AK229" i="1"/>
  <c r="AL229" i="1" s="1"/>
  <c r="AJ229" i="1"/>
  <c r="AH229" i="1"/>
  <c r="Z229" i="1"/>
  <c r="Y229" i="1"/>
  <c r="X229" i="1"/>
  <c r="Q229" i="1"/>
  <c r="AN228" i="1"/>
  <c r="AM228" i="1"/>
  <c r="AK228" i="1"/>
  <c r="AL228" i="1" s="1"/>
  <c r="AJ228" i="1"/>
  <c r="AH228" i="1"/>
  <c r="L228" i="1" s="1"/>
  <c r="Z228" i="1"/>
  <c r="Y228" i="1"/>
  <c r="X228" i="1"/>
  <c r="Q228" i="1"/>
  <c r="O228" i="1"/>
  <c r="AN227" i="1"/>
  <c r="AM227" i="1"/>
  <c r="AL227" i="1"/>
  <c r="AK227" i="1"/>
  <c r="AJ227" i="1"/>
  <c r="AH227" i="1"/>
  <c r="J227" i="1" s="1"/>
  <c r="I227" i="1" s="1"/>
  <c r="AB227" i="1" s="1"/>
  <c r="Z227" i="1"/>
  <c r="Y227" i="1"/>
  <c r="X227" i="1"/>
  <c r="T227" i="1"/>
  <c r="Q227" i="1"/>
  <c r="O227" i="1"/>
  <c r="L227" i="1"/>
  <c r="K227" i="1"/>
  <c r="AN226" i="1"/>
  <c r="AM226" i="1"/>
  <c r="AK226" i="1"/>
  <c r="AL226" i="1" s="1"/>
  <c r="AJ226" i="1"/>
  <c r="AH226" i="1" s="1"/>
  <c r="Z226" i="1"/>
  <c r="Y226" i="1"/>
  <c r="Q226" i="1"/>
  <c r="J226" i="1"/>
  <c r="I226" i="1" s="1"/>
  <c r="AN225" i="1"/>
  <c r="AM225" i="1"/>
  <c r="AK225" i="1"/>
  <c r="AL225" i="1" s="1"/>
  <c r="AJ225" i="1"/>
  <c r="AH225" i="1"/>
  <c r="Z225" i="1"/>
  <c r="Y225" i="1"/>
  <c r="X225" i="1"/>
  <c r="Q225" i="1"/>
  <c r="AN224" i="1"/>
  <c r="AM224" i="1"/>
  <c r="AK224" i="1"/>
  <c r="AL224" i="1" s="1"/>
  <c r="AJ224" i="1"/>
  <c r="AI224" i="1"/>
  <c r="AH224" i="1"/>
  <c r="L224" i="1" s="1"/>
  <c r="Z224" i="1"/>
  <c r="Y224" i="1"/>
  <c r="X224" i="1" s="1"/>
  <c r="Q224" i="1"/>
  <c r="O224" i="1"/>
  <c r="AN223" i="1"/>
  <c r="AM223" i="1"/>
  <c r="AL223" i="1"/>
  <c r="AK223" i="1"/>
  <c r="AJ223" i="1"/>
  <c r="AI223" i="1"/>
  <c r="AH223" i="1"/>
  <c r="J223" i="1" s="1"/>
  <c r="I223" i="1" s="1"/>
  <c r="AB223" i="1" s="1"/>
  <c r="Z223" i="1"/>
  <c r="Y223" i="1"/>
  <c r="X223" i="1" s="1"/>
  <c r="T223" i="1"/>
  <c r="Q223" i="1"/>
  <c r="O223" i="1"/>
  <c r="L223" i="1"/>
  <c r="K223" i="1"/>
  <c r="AN222" i="1"/>
  <c r="AM222" i="1"/>
  <c r="AK222" i="1"/>
  <c r="AL222" i="1" s="1"/>
  <c r="AJ222" i="1"/>
  <c r="AH222" i="1" s="1"/>
  <c r="Z222" i="1"/>
  <c r="Y222" i="1"/>
  <c r="Q222" i="1"/>
  <c r="J222" i="1"/>
  <c r="I222" i="1" s="1"/>
  <c r="AB222" i="1" s="1"/>
  <c r="AN221" i="1"/>
  <c r="AM221" i="1"/>
  <c r="AK221" i="1"/>
  <c r="AL221" i="1" s="1"/>
  <c r="AJ221" i="1"/>
  <c r="AH221" i="1"/>
  <c r="Z221" i="1"/>
  <c r="Y221" i="1"/>
  <c r="X221" i="1"/>
  <c r="Q221" i="1"/>
  <c r="AN220" i="1"/>
  <c r="AM220" i="1"/>
  <c r="AK220" i="1"/>
  <c r="AL220" i="1" s="1"/>
  <c r="AJ220" i="1"/>
  <c r="AI220" i="1"/>
  <c r="AH220" i="1"/>
  <c r="L220" i="1" s="1"/>
  <c r="Z220" i="1"/>
  <c r="Y220" i="1"/>
  <c r="X220" i="1" s="1"/>
  <c r="Q220" i="1"/>
  <c r="O220" i="1"/>
  <c r="K220" i="1"/>
  <c r="AN219" i="1"/>
  <c r="AM219" i="1"/>
  <c r="AL219" i="1"/>
  <c r="AK219" i="1"/>
  <c r="AJ219" i="1"/>
  <c r="AI219" i="1"/>
  <c r="AH219" i="1"/>
  <c r="J219" i="1" s="1"/>
  <c r="I219" i="1" s="1"/>
  <c r="AB219" i="1" s="1"/>
  <c r="Z219" i="1"/>
  <c r="Y219" i="1"/>
  <c r="X219" i="1" s="1"/>
  <c r="T219" i="1"/>
  <c r="Q219" i="1"/>
  <c r="O219" i="1"/>
  <c r="L219" i="1"/>
  <c r="K219" i="1"/>
  <c r="AN218" i="1"/>
  <c r="AM218" i="1"/>
  <c r="AK218" i="1"/>
  <c r="AL218" i="1" s="1"/>
  <c r="AJ218" i="1"/>
  <c r="AH218" i="1" s="1"/>
  <c r="Z218" i="1"/>
  <c r="Y218" i="1"/>
  <c r="Q218" i="1"/>
  <c r="J218" i="1"/>
  <c r="I218" i="1" s="1"/>
  <c r="AB218" i="1" s="1"/>
  <c r="AN217" i="1"/>
  <c r="AM217" i="1"/>
  <c r="AK217" i="1"/>
  <c r="AL217" i="1" s="1"/>
  <c r="AJ217" i="1"/>
  <c r="AH217" i="1"/>
  <c r="Z217" i="1"/>
  <c r="Y217" i="1"/>
  <c r="X217" i="1"/>
  <c r="Q217" i="1"/>
  <c r="AN216" i="1"/>
  <c r="AM216" i="1"/>
  <c r="AK216" i="1"/>
  <c r="AL216" i="1" s="1"/>
  <c r="AJ216" i="1"/>
  <c r="AI216" i="1"/>
  <c r="AH216" i="1"/>
  <c r="L216" i="1" s="1"/>
  <c r="Z216" i="1"/>
  <c r="Y216" i="1"/>
  <c r="X216" i="1" s="1"/>
  <c r="Q216" i="1"/>
  <c r="O216" i="1"/>
  <c r="K216" i="1"/>
  <c r="AN215" i="1"/>
  <c r="AM215" i="1"/>
  <c r="AL215" i="1"/>
  <c r="AK215" i="1"/>
  <c r="AJ215" i="1"/>
  <c r="AI215" i="1"/>
  <c r="AH215" i="1"/>
  <c r="J215" i="1" s="1"/>
  <c r="I215" i="1" s="1"/>
  <c r="AB215" i="1" s="1"/>
  <c r="Z215" i="1"/>
  <c r="Y215" i="1"/>
  <c r="X215" i="1" s="1"/>
  <c r="T215" i="1"/>
  <c r="Q215" i="1"/>
  <c r="O215" i="1"/>
  <c r="L215" i="1"/>
  <c r="K215" i="1"/>
  <c r="AN214" i="1"/>
  <c r="AM214" i="1"/>
  <c r="AK214" i="1"/>
  <c r="AL214" i="1" s="1"/>
  <c r="AJ214" i="1"/>
  <c r="AH214" i="1" s="1"/>
  <c r="Z214" i="1"/>
  <c r="Y214" i="1"/>
  <c r="Q214" i="1"/>
  <c r="J214" i="1"/>
  <c r="I214" i="1"/>
  <c r="AN213" i="1"/>
  <c r="AM213" i="1"/>
  <c r="AK213" i="1"/>
  <c r="AL213" i="1" s="1"/>
  <c r="AJ213" i="1"/>
  <c r="AH213" i="1"/>
  <c r="Z213" i="1"/>
  <c r="Y213" i="1"/>
  <c r="X213" i="1"/>
  <c r="Q213" i="1"/>
  <c r="O213" i="1"/>
  <c r="K213" i="1"/>
  <c r="AN212" i="1"/>
  <c r="AM212" i="1"/>
  <c r="AK212" i="1"/>
  <c r="AL212" i="1" s="1"/>
  <c r="AJ212" i="1"/>
  <c r="AI212" i="1"/>
  <c r="AH212" i="1"/>
  <c r="L212" i="1" s="1"/>
  <c r="Z212" i="1"/>
  <c r="Y212" i="1"/>
  <c r="X212" i="1" s="1"/>
  <c r="Q212" i="1"/>
  <c r="O212" i="1"/>
  <c r="K212" i="1"/>
  <c r="AN211" i="1"/>
  <c r="AM211" i="1"/>
  <c r="AL211" i="1"/>
  <c r="AK211" i="1"/>
  <c r="AJ211" i="1"/>
  <c r="AI211" i="1"/>
  <c r="AH211" i="1"/>
  <c r="J211" i="1" s="1"/>
  <c r="I211" i="1" s="1"/>
  <c r="Z211" i="1"/>
  <c r="Y211" i="1"/>
  <c r="X211" i="1" s="1"/>
  <c r="T211" i="1"/>
  <c r="Q211" i="1"/>
  <c r="O211" i="1"/>
  <c r="L211" i="1"/>
  <c r="K211" i="1"/>
  <c r="AN210" i="1"/>
  <c r="AM210" i="1"/>
  <c r="AK210" i="1"/>
  <c r="AJ210" i="1"/>
  <c r="AH210" i="1" s="1"/>
  <c r="Z210" i="1"/>
  <c r="Y210" i="1"/>
  <c r="X210" i="1" s="1"/>
  <c r="Q210" i="1"/>
  <c r="K210" i="1"/>
  <c r="AN209" i="1"/>
  <c r="AM209" i="1"/>
  <c r="AK209" i="1"/>
  <c r="AJ209" i="1"/>
  <c r="AH209" i="1"/>
  <c r="Z209" i="1"/>
  <c r="Y209" i="1"/>
  <c r="X209" i="1"/>
  <c r="Q209" i="1"/>
  <c r="O209" i="1"/>
  <c r="K209" i="1"/>
  <c r="AN208" i="1"/>
  <c r="AM208" i="1"/>
  <c r="AK208" i="1"/>
  <c r="AJ208" i="1"/>
  <c r="AI208" i="1"/>
  <c r="AH208" i="1"/>
  <c r="L208" i="1" s="1"/>
  <c r="Z208" i="1"/>
  <c r="Y208" i="1"/>
  <c r="X208" i="1" s="1"/>
  <c r="Q208" i="1"/>
  <c r="O208" i="1"/>
  <c r="K208" i="1"/>
  <c r="J208" i="1"/>
  <c r="I208" i="1"/>
  <c r="AN207" i="1"/>
  <c r="AM207" i="1"/>
  <c r="AK207" i="1"/>
  <c r="AL207" i="1" s="1"/>
  <c r="AJ207" i="1"/>
  <c r="AI207" i="1"/>
  <c r="AH207" i="1"/>
  <c r="J207" i="1" s="1"/>
  <c r="AB207" i="1"/>
  <c r="Z207" i="1"/>
  <c r="Y207" i="1"/>
  <c r="X207" i="1" s="1"/>
  <c r="T207" i="1"/>
  <c r="Q207" i="1"/>
  <c r="O207" i="1"/>
  <c r="L207" i="1"/>
  <c r="K207" i="1"/>
  <c r="I207" i="1"/>
  <c r="AN206" i="1"/>
  <c r="AM206" i="1"/>
  <c r="AK206" i="1"/>
  <c r="AJ206" i="1"/>
  <c r="AH206" i="1" s="1"/>
  <c r="L206" i="1" s="1"/>
  <c r="AI206" i="1"/>
  <c r="Z206" i="1"/>
  <c r="Y206" i="1"/>
  <c r="Q206" i="1"/>
  <c r="O206" i="1"/>
  <c r="J206" i="1"/>
  <c r="I206" i="1" s="1"/>
  <c r="AN205" i="1"/>
  <c r="AM205" i="1"/>
  <c r="AK205" i="1"/>
  <c r="AJ205" i="1"/>
  <c r="AI205" i="1"/>
  <c r="AH205" i="1"/>
  <c r="Z205" i="1"/>
  <c r="Y205" i="1"/>
  <c r="X205" i="1" s="1"/>
  <c r="Q205" i="1"/>
  <c r="O205" i="1"/>
  <c r="K205" i="1"/>
  <c r="AN204" i="1"/>
  <c r="AM204" i="1"/>
  <c r="AK204" i="1"/>
  <c r="AJ204" i="1"/>
  <c r="AI204" i="1"/>
  <c r="AH204" i="1"/>
  <c r="L204" i="1" s="1"/>
  <c r="Z204" i="1"/>
  <c r="Y204" i="1"/>
  <c r="X204" i="1" s="1"/>
  <c r="Q204" i="1"/>
  <c r="O204" i="1"/>
  <c r="K204" i="1"/>
  <c r="J204" i="1"/>
  <c r="I204" i="1"/>
  <c r="AB204" i="1" s="1"/>
  <c r="AN203" i="1"/>
  <c r="AM203" i="1"/>
  <c r="AK203" i="1"/>
  <c r="AJ203" i="1"/>
  <c r="AI203" i="1"/>
  <c r="AH203" i="1"/>
  <c r="J203" i="1" s="1"/>
  <c r="Z203" i="1"/>
  <c r="Y203" i="1"/>
  <c r="X203" i="1" s="1"/>
  <c r="Q203" i="1"/>
  <c r="O203" i="1"/>
  <c r="L203" i="1"/>
  <c r="K203" i="1"/>
  <c r="I203" i="1"/>
  <c r="AN202" i="1"/>
  <c r="AM202" i="1"/>
  <c r="AK202" i="1"/>
  <c r="AL202" i="1" s="1"/>
  <c r="AJ202" i="1"/>
  <c r="AH202" i="1" s="1"/>
  <c r="J202" i="1" s="1"/>
  <c r="I202" i="1" s="1"/>
  <c r="Z202" i="1"/>
  <c r="Y202" i="1"/>
  <c r="Q202" i="1"/>
  <c r="O202" i="1"/>
  <c r="L202" i="1"/>
  <c r="AN201" i="1"/>
  <c r="AM201" i="1"/>
  <c r="AL201" i="1" s="1"/>
  <c r="AK201" i="1"/>
  <c r="AJ201" i="1"/>
  <c r="AH201" i="1" s="1"/>
  <c r="Z201" i="1"/>
  <c r="Y201" i="1"/>
  <c r="X201" i="1" s="1"/>
  <c r="T201" i="1"/>
  <c r="Q201" i="1"/>
  <c r="AN200" i="1"/>
  <c r="AM200" i="1"/>
  <c r="AK200" i="1"/>
  <c r="AL200" i="1" s="1"/>
  <c r="AJ200" i="1"/>
  <c r="AH200" i="1" s="1"/>
  <c r="Z200" i="1"/>
  <c r="Y200" i="1"/>
  <c r="X200" i="1" s="1"/>
  <c r="Q200" i="1"/>
  <c r="AN199" i="1"/>
  <c r="AM199" i="1"/>
  <c r="AK199" i="1"/>
  <c r="AJ199" i="1"/>
  <c r="AI199" i="1"/>
  <c r="AH199" i="1"/>
  <c r="K199" i="1" s="1"/>
  <c r="Z199" i="1"/>
  <c r="Y199" i="1"/>
  <c r="X199" i="1" s="1"/>
  <c r="Q199" i="1"/>
  <c r="AN198" i="1"/>
  <c r="AM198" i="1"/>
  <c r="AK198" i="1"/>
  <c r="AJ198" i="1"/>
  <c r="AH198" i="1" s="1"/>
  <c r="Z198" i="1"/>
  <c r="Y198" i="1"/>
  <c r="X198" i="1" s="1"/>
  <c r="Q198" i="1"/>
  <c r="K198" i="1"/>
  <c r="AN197" i="1"/>
  <c r="AM197" i="1"/>
  <c r="AL197" i="1" s="1"/>
  <c r="AK197" i="1"/>
  <c r="AJ197" i="1"/>
  <c r="AI197" i="1"/>
  <c r="AH197" i="1"/>
  <c r="K197" i="1" s="1"/>
  <c r="Z197" i="1"/>
  <c r="Y197" i="1"/>
  <c r="X197" i="1" s="1"/>
  <c r="T197" i="1"/>
  <c r="Q197" i="1"/>
  <c r="O197" i="1"/>
  <c r="L197" i="1"/>
  <c r="AN196" i="1"/>
  <c r="AM196" i="1"/>
  <c r="AK196" i="1"/>
  <c r="AL196" i="1" s="1"/>
  <c r="AJ196" i="1"/>
  <c r="AH196" i="1" s="1"/>
  <c r="Z196" i="1"/>
  <c r="Y196" i="1"/>
  <c r="X196" i="1" s="1"/>
  <c r="Q196" i="1"/>
  <c r="O196" i="1"/>
  <c r="AN195" i="1"/>
  <c r="AM195" i="1"/>
  <c r="AK195" i="1"/>
  <c r="AL195" i="1" s="1"/>
  <c r="AJ195" i="1"/>
  <c r="AI195" i="1"/>
  <c r="AH195" i="1"/>
  <c r="J195" i="1" s="1"/>
  <c r="I195" i="1" s="1"/>
  <c r="Z195" i="1"/>
  <c r="Y195" i="1"/>
  <c r="X195" i="1" s="1"/>
  <c r="Q195" i="1"/>
  <c r="K195" i="1"/>
  <c r="AN194" i="1"/>
  <c r="AM194" i="1"/>
  <c r="AK194" i="1"/>
  <c r="AJ194" i="1"/>
  <c r="AH194" i="1" s="1"/>
  <c r="Z194" i="1"/>
  <c r="Y194" i="1"/>
  <c r="X194" i="1" s="1"/>
  <c r="Q194" i="1"/>
  <c r="K194" i="1"/>
  <c r="AN193" i="1"/>
  <c r="AM193" i="1"/>
  <c r="AL193" i="1" s="1"/>
  <c r="AK193" i="1"/>
  <c r="AJ193" i="1"/>
  <c r="AI193" i="1"/>
  <c r="AH193" i="1"/>
  <c r="J193" i="1" s="1"/>
  <c r="I193" i="1" s="1"/>
  <c r="Z193" i="1"/>
  <c r="Y193" i="1"/>
  <c r="X193" i="1" s="1"/>
  <c r="T193" i="1"/>
  <c r="Q193" i="1"/>
  <c r="O193" i="1"/>
  <c r="L193" i="1"/>
  <c r="K193" i="1"/>
  <c r="AN192" i="1"/>
  <c r="AM192" i="1"/>
  <c r="AK192" i="1"/>
  <c r="AJ192" i="1"/>
  <c r="AH192" i="1" s="1"/>
  <c r="Z192" i="1"/>
  <c r="Y192" i="1"/>
  <c r="X192" i="1" s="1"/>
  <c r="Q192" i="1"/>
  <c r="O192" i="1"/>
  <c r="AN191" i="1"/>
  <c r="AM191" i="1"/>
  <c r="AK191" i="1"/>
  <c r="AJ191" i="1"/>
  <c r="AI191" i="1"/>
  <c r="AH191" i="1"/>
  <c r="J191" i="1" s="1"/>
  <c r="I191" i="1" s="1"/>
  <c r="Z191" i="1"/>
  <c r="Y191" i="1"/>
  <c r="X191" i="1" s="1"/>
  <c r="Q191" i="1"/>
  <c r="K191" i="1"/>
  <c r="AN190" i="1"/>
  <c r="AM190" i="1"/>
  <c r="AK190" i="1"/>
  <c r="AJ190" i="1"/>
  <c r="AH190" i="1" s="1"/>
  <c r="AI190" i="1"/>
  <c r="Z190" i="1"/>
  <c r="Y190" i="1"/>
  <c r="X190" i="1" s="1"/>
  <c r="Q190" i="1"/>
  <c r="O190" i="1"/>
  <c r="K190" i="1"/>
  <c r="AN189" i="1"/>
  <c r="AM189" i="1"/>
  <c r="AL189" i="1"/>
  <c r="AK189" i="1"/>
  <c r="AJ189" i="1"/>
  <c r="AI189" i="1"/>
  <c r="AH189" i="1"/>
  <c r="J189" i="1" s="1"/>
  <c r="Z189" i="1"/>
  <c r="Y189" i="1"/>
  <c r="X189" i="1" s="1"/>
  <c r="T189" i="1"/>
  <c r="Q189" i="1"/>
  <c r="O189" i="1"/>
  <c r="L189" i="1"/>
  <c r="K189" i="1"/>
  <c r="I189" i="1"/>
  <c r="AN188" i="1"/>
  <c r="AM188" i="1"/>
  <c r="AK188" i="1"/>
  <c r="AJ188" i="1"/>
  <c r="AH188" i="1" s="1"/>
  <c r="L188" i="1" s="1"/>
  <c r="Z188" i="1"/>
  <c r="Y188" i="1"/>
  <c r="X188" i="1" s="1"/>
  <c r="Q188" i="1"/>
  <c r="O188" i="1"/>
  <c r="K188" i="1"/>
  <c r="AN187" i="1"/>
  <c r="AM187" i="1"/>
  <c r="AK187" i="1"/>
  <c r="AJ187" i="1"/>
  <c r="AH187" i="1"/>
  <c r="J187" i="1" s="1"/>
  <c r="I187" i="1" s="1"/>
  <c r="Z187" i="1"/>
  <c r="Y187" i="1"/>
  <c r="X187" i="1" s="1"/>
  <c r="Q187" i="1"/>
  <c r="O187" i="1"/>
  <c r="L187" i="1"/>
  <c r="AN186" i="1"/>
  <c r="AM186" i="1"/>
  <c r="AK186" i="1"/>
  <c r="AJ186" i="1"/>
  <c r="AH186" i="1" s="1"/>
  <c r="Z186" i="1"/>
  <c r="Y186" i="1"/>
  <c r="Q186" i="1"/>
  <c r="AN185" i="1"/>
  <c r="AM185" i="1"/>
  <c r="AL185" i="1"/>
  <c r="AK185" i="1"/>
  <c r="T185" i="1" s="1"/>
  <c r="AJ185" i="1"/>
  <c r="AH185" i="1"/>
  <c r="J185" i="1" s="1"/>
  <c r="I185" i="1" s="1"/>
  <c r="Z185" i="1"/>
  <c r="Y185" i="1"/>
  <c r="X185" i="1" s="1"/>
  <c r="Q185" i="1"/>
  <c r="O185" i="1"/>
  <c r="L185" i="1"/>
  <c r="AN184" i="1"/>
  <c r="AM184" i="1"/>
  <c r="AK184" i="1"/>
  <c r="AJ184" i="1"/>
  <c r="AH184" i="1" s="1"/>
  <c r="Z184" i="1"/>
  <c r="Y184" i="1"/>
  <c r="Q184" i="1"/>
  <c r="AN183" i="1"/>
  <c r="AM183" i="1"/>
  <c r="AL183" i="1"/>
  <c r="AK183" i="1"/>
  <c r="T183" i="1" s="1"/>
  <c r="AJ183" i="1"/>
  <c r="AH183" i="1"/>
  <c r="J183" i="1" s="1"/>
  <c r="I183" i="1" s="1"/>
  <c r="Z183" i="1"/>
  <c r="Y183" i="1"/>
  <c r="X183" i="1" s="1"/>
  <c r="Q183" i="1"/>
  <c r="O183" i="1"/>
  <c r="L183" i="1"/>
  <c r="AN182" i="1"/>
  <c r="AM182" i="1"/>
  <c r="AK182" i="1"/>
  <c r="AJ182" i="1"/>
  <c r="AH182" i="1" s="1"/>
  <c r="Z182" i="1"/>
  <c r="X182" i="1" s="1"/>
  <c r="Y182" i="1"/>
  <c r="Q182" i="1"/>
  <c r="AN181" i="1"/>
  <c r="AM181" i="1"/>
  <c r="AK181" i="1"/>
  <c r="AJ181" i="1"/>
  <c r="AH181" i="1"/>
  <c r="L181" i="1" s="1"/>
  <c r="Z181" i="1"/>
  <c r="Y181" i="1"/>
  <c r="X181" i="1"/>
  <c r="Q181" i="1"/>
  <c r="O181" i="1"/>
  <c r="K181" i="1"/>
  <c r="J181" i="1"/>
  <c r="I181" i="1" s="1"/>
  <c r="AN180" i="1"/>
  <c r="AM180" i="1"/>
  <c r="AK180" i="1"/>
  <c r="AJ180" i="1"/>
  <c r="AI180" i="1"/>
  <c r="AH180" i="1"/>
  <c r="J180" i="1" s="1"/>
  <c r="I180" i="1" s="1"/>
  <c r="Z180" i="1"/>
  <c r="Y180" i="1"/>
  <c r="X180" i="1" s="1"/>
  <c r="Q180" i="1"/>
  <c r="L180" i="1"/>
  <c r="K180" i="1"/>
  <c r="AN179" i="1"/>
  <c r="AM179" i="1"/>
  <c r="AK179" i="1"/>
  <c r="AJ179" i="1"/>
  <c r="AH179" i="1" s="1"/>
  <c r="AI179" i="1"/>
  <c r="Z179" i="1"/>
  <c r="Y179" i="1"/>
  <c r="X179" i="1" s="1"/>
  <c r="Q179" i="1"/>
  <c r="K179" i="1"/>
  <c r="AN178" i="1"/>
  <c r="AM178" i="1"/>
  <c r="AL178" i="1" s="1"/>
  <c r="AK178" i="1"/>
  <c r="AJ178" i="1"/>
  <c r="AI178" i="1"/>
  <c r="AH178" i="1"/>
  <c r="L178" i="1" s="1"/>
  <c r="Z178" i="1"/>
  <c r="Y178" i="1"/>
  <c r="X178" i="1" s="1"/>
  <c r="T178" i="1"/>
  <c r="Q178" i="1"/>
  <c r="O178" i="1"/>
  <c r="AN177" i="1"/>
  <c r="AM177" i="1"/>
  <c r="AK177" i="1"/>
  <c r="AL177" i="1" s="1"/>
  <c r="AJ177" i="1"/>
  <c r="AH177" i="1" s="1"/>
  <c r="Z177" i="1"/>
  <c r="Y177" i="1"/>
  <c r="X177" i="1" s="1"/>
  <c r="Q177" i="1"/>
  <c r="O177" i="1"/>
  <c r="AN176" i="1"/>
  <c r="AM176" i="1"/>
  <c r="AK176" i="1"/>
  <c r="AJ176" i="1"/>
  <c r="AI176" i="1"/>
  <c r="AH176" i="1"/>
  <c r="J176" i="1" s="1"/>
  <c r="I176" i="1" s="1"/>
  <c r="Z176" i="1"/>
  <c r="Y176" i="1"/>
  <c r="X176" i="1" s="1"/>
  <c r="Q176" i="1"/>
  <c r="L176" i="1"/>
  <c r="K176" i="1"/>
  <c r="AN175" i="1"/>
  <c r="AM175" i="1"/>
  <c r="AK175" i="1"/>
  <c r="AJ175" i="1"/>
  <c r="AH175" i="1" s="1"/>
  <c r="AI175" i="1" s="1"/>
  <c r="Z175" i="1"/>
  <c r="Y175" i="1"/>
  <c r="X175" i="1" s="1"/>
  <c r="Q175" i="1"/>
  <c r="K175" i="1"/>
  <c r="AN174" i="1"/>
  <c r="AM174" i="1"/>
  <c r="AK174" i="1"/>
  <c r="AL174" i="1" s="1"/>
  <c r="AJ174" i="1"/>
  <c r="AI174" i="1"/>
  <c r="AH174" i="1"/>
  <c r="L174" i="1" s="1"/>
  <c r="Z174" i="1"/>
  <c r="Y174" i="1"/>
  <c r="X174" i="1" s="1"/>
  <c r="T174" i="1"/>
  <c r="Q174" i="1"/>
  <c r="O174" i="1"/>
  <c r="AN173" i="1"/>
  <c r="AM173" i="1"/>
  <c r="AK173" i="1"/>
  <c r="AJ173" i="1"/>
  <c r="AH173" i="1" s="1"/>
  <c r="Z173" i="1"/>
  <c r="Y173" i="1"/>
  <c r="X173" i="1" s="1"/>
  <c r="Q173" i="1"/>
  <c r="AN172" i="1"/>
  <c r="AM172" i="1"/>
  <c r="AK172" i="1"/>
  <c r="AJ172" i="1"/>
  <c r="AI172" i="1"/>
  <c r="AH172" i="1"/>
  <c r="J172" i="1" s="1"/>
  <c r="I172" i="1" s="1"/>
  <c r="Z172" i="1"/>
  <c r="Y172" i="1"/>
  <c r="X172" i="1" s="1"/>
  <c r="Q172" i="1"/>
  <c r="O172" i="1"/>
  <c r="L172" i="1"/>
  <c r="K172" i="1"/>
  <c r="AN171" i="1"/>
  <c r="AM171" i="1"/>
  <c r="AK171" i="1"/>
  <c r="AJ171" i="1"/>
  <c r="AH171" i="1" s="1"/>
  <c r="AI171" i="1" s="1"/>
  <c r="Z171" i="1"/>
  <c r="Y171" i="1"/>
  <c r="X171" i="1" s="1"/>
  <c r="Q171" i="1"/>
  <c r="K171" i="1"/>
  <c r="AN170" i="1"/>
  <c r="AM170" i="1"/>
  <c r="AK170" i="1"/>
  <c r="AL170" i="1" s="1"/>
  <c r="AJ170" i="1"/>
  <c r="AI170" i="1"/>
  <c r="AH170" i="1"/>
  <c r="L170" i="1" s="1"/>
  <c r="Z170" i="1"/>
  <c r="Y170" i="1"/>
  <c r="X170" i="1" s="1"/>
  <c r="Q170" i="1"/>
  <c r="O170" i="1"/>
  <c r="K170" i="1"/>
  <c r="AN169" i="1"/>
  <c r="AM169" i="1"/>
  <c r="AK169" i="1"/>
  <c r="AJ169" i="1"/>
  <c r="AH169" i="1" s="1"/>
  <c r="Z169" i="1"/>
  <c r="Y169" i="1"/>
  <c r="X169" i="1" s="1"/>
  <c r="Q169" i="1"/>
  <c r="O169" i="1"/>
  <c r="AN168" i="1"/>
  <c r="AM168" i="1"/>
  <c r="AK168" i="1"/>
  <c r="AJ168" i="1"/>
  <c r="AI168" i="1"/>
  <c r="AH168" i="1"/>
  <c r="J168" i="1" s="1"/>
  <c r="Z168" i="1"/>
  <c r="Y168" i="1"/>
  <c r="X168" i="1" s="1"/>
  <c r="Q168" i="1"/>
  <c r="O168" i="1"/>
  <c r="L168" i="1"/>
  <c r="K168" i="1"/>
  <c r="I168" i="1"/>
  <c r="AN167" i="1"/>
  <c r="AM167" i="1"/>
  <c r="AK167" i="1"/>
  <c r="AJ167" i="1"/>
  <c r="AH167" i="1" s="1"/>
  <c r="AI167" i="1"/>
  <c r="Z167" i="1"/>
  <c r="Y167" i="1"/>
  <c r="X167" i="1" s="1"/>
  <c r="Q167" i="1"/>
  <c r="O167" i="1"/>
  <c r="K167" i="1"/>
  <c r="AN166" i="1"/>
  <c r="AM166" i="1"/>
  <c r="AK166" i="1"/>
  <c r="AJ166" i="1"/>
  <c r="AI166" i="1"/>
  <c r="AH166" i="1"/>
  <c r="L166" i="1" s="1"/>
  <c r="Z166" i="1"/>
  <c r="Y166" i="1"/>
  <c r="X166" i="1" s="1"/>
  <c r="Q166" i="1"/>
  <c r="O166" i="1"/>
  <c r="K166" i="1"/>
  <c r="AN165" i="1"/>
  <c r="AM165" i="1"/>
  <c r="AK165" i="1"/>
  <c r="AJ165" i="1"/>
  <c r="AH165" i="1" s="1"/>
  <c r="Z165" i="1"/>
  <c r="Y165" i="1"/>
  <c r="X165" i="1" s="1"/>
  <c r="Q165" i="1"/>
  <c r="AN164" i="1"/>
  <c r="AM164" i="1"/>
  <c r="AK164" i="1"/>
  <c r="AL164" i="1" s="1"/>
  <c r="AJ164" i="1"/>
  <c r="AI164" i="1"/>
  <c r="AH164" i="1"/>
  <c r="J164" i="1" s="1"/>
  <c r="AB164" i="1"/>
  <c r="Z164" i="1"/>
  <c r="Y164" i="1"/>
  <c r="X164" i="1" s="1"/>
  <c r="T164" i="1"/>
  <c r="Q164" i="1"/>
  <c r="O164" i="1"/>
  <c r="L164" i="1"/>
  <c r="I164" i="1"/>
  <c r="AN163" i="1"/>
  <c r="AM163" i="1"/>
  <c r="AK163" i="1"/>
  <c r="AJ163" i="1"/>
  <c r="AH163" i="1" s="1"/>
  <c r="Z163" i="1"/>
  <c r="Y163" i="1"/>
  <c r="X163" i="1" s="1"/>
  <c r="Q163" i="1"/>
  <c r="AN162" i="1"/>
  <c r="AM162" i="1"/>
  <c r="AK162" i="1"/>
  <c r="AJ162" i="1"/>
  <c r="AI162" i="1"/>
  <c r="AH162" i="1"/>
  <c r="J162" i="1" s="1"/>
  <c r="AB162" i="1"/>
  <c r="Z162" i="1"/>
  <c r="Y162" i="1"/>
  <c r="X162" i="1" s="1"/>
  <c r="T162" i="1"/>
  <c r="Q162" i="1"/>
  <c r="O162" i="1"/>
  <c r="L162" i="1"/>
  <c r="I162" i="1"/>
  <c r="AN161" i="1"/>
  <c r="AM161" i="1"/>
  <c r="AK161" i="1"/>
  <c r="AJ161" i="1"/>
  <c r="AH161" i="1" s="1"/>
  <c r="Z161" i="1"/>
  <c r="Y161" i="1"/>
  <c r="X161" i="1" s="1"/>
  <c r="Q161" i="1"/>
  <c r="AN160" i="1"/>
  <c r="AM160" i="1"/>
  <c r="AK160" i="1"/>
  <c r="AJ160" i="1"/>
  <c r="AI160" i="1"/>
  <c r="AH160" i="1"/>
  <c r="O160" i="1" s="1"/>
  <c r="Z160" i="1"/>
  <c r="Y160" i="1"/>
  <c r="Q160" i="1"/>
  <c r="L160" i="1"/>
  <c r="K160" i="1"/>
  <c r="J160" i="1"/>
  <c r="I160" i="1" s="1"/>
  <c r="AN159" i="1"/>
  <c r="AM159" i="1"/>
  <c r="AK159" i="1"/>
  <c r="T159" i="1" s="1"/>
  <c r="AJ159" i="1"/>
  <c r="AI159" i="1"/>
  <c r="AH159" i="1"/>
  <c r="J159" i="1" s="1"/>
  <c r="AB159" i="1"/>
  <c r="Z159" i="1"/>
  <c r="Y159" i="1"/>
  <c r="X159" i="1" s="1"/>
  <c r="Q159" i="1"/>
  <c r="O159" i="1"/>
  <c r="L159" i="1"/>
  <c r="I159" i="1"/>
  <c r="AN158" i="1"/>
  <c r="T158" i="1" s="1"/>
  <c r="AM158" i="1"/>
  <c r="AL158" i="1" s="1"/>
  <c r="AK158" i="1"/>
  <c r="AJ158" i="1"/>
  <c r="AH158" i="1" s="1"/>
  <c r="AI158" i="1"/>
  <c r="Z158" i="1"/>
  <c r="Y158" i="1"/>
  <c r="Q158" i="1"/>
  <c r="AN157" i="1"/>
  <c r="AM157" i="1"/>
  <c r="AL157" i="1" s="1"/>
  <c r="AK157" i="1"/>
  <c r="AJ157" i="1"/>
  <c r="AH157" i="1"/>
  <c r="Z157" i="1"/>
  <c r="Y157" i="1"/>
  <c r="X157" i="1"/>
  <c r="T157" i="1"/>
  <c r="Q157" i="1"/>
  <c r="O157" i="1"/>
  <c r="L157" i="1"/>
  <c r="K157" i="1"/>
  <c r="AN156" i="1"/>
  <c r="AM156" i="1"/>
  <c r="AK156" i="1"/>
  <c r="AJ156" i="1"/>
  <c r="AH156" i="1" s="1"/>
  <c r="AI156" i="1" s="1"/>
  <c r="Z156" i="1"/>
  <c r="Y156" i="1"/>
  <c r="X156" i="1" s="1"/>
  <c r="Q156" i="1"/>
  <c r="K156" i="1"/>
  <c r="J156" i="1"/>
  <c r="I156" i="1" s="1"/>
  <c r="AN155" i="1"/>
  <c r="AM155" i="1"/>
  <c r="AK155" i="1"/>
  <c r="AL155" i="1" s="1"/>
  <c r="AJ155" i="1"/>
  <c r="AH155" i="1"/>
  <c r="Z155" i="1"/>
  <c r="Y155" i="1"/>
  <c r="X155" i="1"/>
  <c r="T155" i="1"/>
  <c r="Q155" i="1"/>
  <c r="AN154" i="1"/>
  <c r="T154" i="1" s="1"/>
  <c r="AM154" i="1"/>
  <c r="AL154" i="1" s="1"/>
  <c r="AK154" i="1"/>
  <c r="AJ154" i="1"/>
  <c r="AH154" i="1" s="1"/>
  <c r="AI154" i="1"/>
  <c r="Z154" i="1"/>
  <c r="Y154" i="1"/>
  <c r="Q154" i="1"/>
  <c r="O154" i="1"/>
  <c r="J154" i="1"/>
  <c r="I154" i="1" s="1"/>
  <c r="AN153" i="1"/>
  <c r="AM153" i="1"/>
  <c r="AK153" i="1"/>
  <c r="AJ153" i="1"/>
  <c r="AH153" i="1"/>
  <c r="L153" i="1" s="1"/>
  <c r="Z153" i="1"/>
  <c r="Y153" i="1"/>
  <c r="X153" i="1"/>
  <c r="Q153" i="1"/>
  <c r="O153" i="1"/>
  <c r="K153" i="1"/>
  <c r="AN152" i="1"/>
  <c r="AM152" i="1"/>
  <c r="AL152" i="1" s="1"/>
  <c r="AK152" i="1"/>
  <c r="T152" i="1" s="1"/>
  <c r="AJ152" i="1"/>
  <c r="AH152" i="1" s="1"/>
  <c r="O152" i="1" s="1"/>
  <c r="AB152" i="1"/>
  <c r="Z152" i="1"/>
  <c r="Y152" i="1"/>
  <c r="Q152" i="1"/>
  <c r="L152" i="1"/>
  <c r="J152" i="1"/>
  <c r="I152" i="1"/>
  <c r="AN151" i="1"/>
  <c r="AM151" i="1"/>
  <c r="AL151" i="1"/>
  <c r="AK151" i="1"/>
  <c r="T151" i="1" s="1"/>
  <c r="AJ151" i="1"/>
  <c r="AH151" i="1" s="1"/>
  <c r="Z151" i="1"/>
  <c r="Y151" i="1"/>
  <c r="X151" i="1" s="1"/>
  <c r="Q151" i="1"/>
  <c r="AN150" i="1"/>
  <c r="AM150" i="1"/>
  <c r="AK150" i="1"/>
  <c r="AJ150" i="1"/>
  <c r="AH150" i="1" s="1"/>
  <c r="Z150" i="1"/>
  <c r="Y150" i="1"/>
  <c r="X150" i="1" s="1"/>
  <c r="Q150" i="1"/>
  <c r="O150" i="1"/>
  <c r="AN149" i="1"/>
  <c r="AM149" i="1"/>
  <c r="AL149" i="1"/>
  <c r="AK149" i="1"/>
  <c r="T149" i="1" s="1"/>
  <c r="AJ149" i="1"/>
  <c r="AH149" i="1"/>
  <c r="Z149" i="1"/>
  <c r="Y149" i="1"/>
  <c r="X149" i="1"/>
  <c r="Q149" i="1"/>
  <c r="O149" i="1"/>
  <c r="L149" i="1"/>
  <c r="K149" i="1"/>
  <c r="AN148" i="1"/>
  <c r="T148" i="1" s="1"/>
  <c r="AM148" i="1"/>
  <c r="AL148" i="1" s="1"/>
  <c r="AK148" i="1"/>
  <c r="AJ148" i="1"/>
  <c r="AH148" i="1" s="1"/>
  <c r="O148" i="1" s="1"/>
  <c r="AI148" i="1"/>
  <c r="AB148" i="1"/>
  <c r="Z148" i="1"/>
  <c r="Y148" i="1"/>
  <c r="Q148" i="1"/>
  <c r="L148" i="1"/>
  <c r="K148" i="1"/>
  <c r="J148" i="1"/>
  <c r="I148" i="1"/>
  <c r="AN147" i="1"/>
  <c r="AM147" i="1"/>
  <c r="AL147" i="1"/>
  <c r="AK147" i="1"/>
  <c r="AJ147" i="1"/>
  <c r="AH147" i="1"/>
  <c r="O147" i="1" s="1"/>
  <c r="AB147" i="1"/>
  <c r="Z147" i="1"/>
  <c r="Y147" i="1"/>
  <c r="X147" i="1" s="1"/>
  <c r="T147" i="1"/>
  <c r="Q147" i="1"/>
  <c r="J147" i="1"/>
  <c r="I147" i="1"/>
  <c r="AN146" i="1"/>
  <c r="AM146" i="1"/>
  <c r="AK146" i="1"/>
  <c r="AJ146" i="1"/>
  <c r="AH146" i="1" s="1"/>
  <c r="Z146" i="1"/>
  <c r="Y146" i="1"/>
  <c r="Q146" i="1"/>
  <c r="AN145" i="1"/>
  <c r="AM145" i="1"/>
  <c r="AL145" i="1"/>
  <c r="AK145" i="1"/>
  <c r="AJ145" i="1"/>
  <c r="AH145" i="1"/>
  <c r="Z145" i="1"/>
  <c r="Y145" i="1"/>
  <c r="X145" i="1"/>
  <c r="T145" i="1"/>
  <c r="Q145" i="1"/>
  <c r="O145" i="1"/>
  <c r="L145" i="1"/>
  <c r="K145" i="1"/>
  <c r="AN144" i="1"/>
  <c r="T144" i="1" s="1"/>
  <c r="AM144" i="1"/>
  <c r="AL144" i="1" s="1"/>
  <c r="AK144" i="1"/>
  <c r="AJ144" i="1"/>
  <c r="AH144" i="1" s="1"/>
  <c r="O144" i="1" s="1"/>
  <c r="AI144" i="1"/>
  <c r="AB144" i="1"/>
  <c r="Z144" i="1"/>
  <c r="Y144" i="1"/>
  <c r="Q144" i="1"/>
  <c r="L144" i="1"/>
  <c r="K144" i="1"/>
  <c r="J144" i="1"/>
  <c r="I144" i="1"/>
  <c r="AN143" i="1"/>
  <c r="AM143" i="1"/>
  <c r="AL143" i="1"/>
  <c r="AK143" i="1"/>
  <c r="AJ143" i="1"/>
  <c r="AH143" i="1"/>
  <c r="O143" i="1" s="1"/>
  <c r="Z143" i="1"/>
  <c r="Y143" i="1"/>
  <c r="X143" i="1"/>
  <c r="T143" i="1"/>
  <c r="Q143" i="1"/>
  <c r="J143" i="1"/>
  <c r="I143" i="1"/>
  <c r="AN142" i="1"/>
  <c r="AM142" i="1"/>
  <c r="AK142" i="1"/>
  <c r="AJ142" i="1"/>
  <c r="AH142" i="1"/>
  <c r="Z142" i="1"/>
  <c r="Y142" i="1"/>
  <c r="X142" i="1" s="1"/>
  <c r="Q142" i="1"/>
  <c r="J142" i="1"/>
  <c r="I142" i="1"/>
  <c r="AB142" i="1" s="1"/>
  <c r="AN141" i="1"/>
  <c r="AM141" i="1"/>
  <c r="AL141" i="1" s="1"/>
  <c r="AK141" i="1"/>
  <c r="AJ141" i="1"/>
  <c r="AH141" i="1"/>
  <c r="Z141" i="1"/>
  <c r="Y141" i="1"/>
  <c r="X141" i="1"/>
  <c r="T141" i="1"/>
  <c r="Q141" i="1"/>
  <c r="O141" i="1"/>
  <c r="L141" i="1"/>
  <c r="K141" i="1"/>
  <c r="AN140" i="1"/>
  <c r="AM140" i="1"/>
  <c r="AK140" i="1"/>
  <c r="AL140" i="1" s="1"/>
  <c r="AJ140" i="1"/>
  <c r="AH140" i="1" s="1"/>
  <c r="O140" i="1" s="1"/>
  <c r="AI140" i="1"/>
  <c r="Z140" i="1"/>
  <c r="Y140" i="1"/>
  <c r="X140" i="1" s="1"/>
  <c r="T140" i="1"/>
  <c r="Q140" i="1"/>
  <c r="L140" i="1"/>
  <c r="K140" i="1"/>
  <c r="J140" i="1"/>
  <c r="I140" i="1" s="1"/>
  <c r="AN139" i="1"/>
  <c r="AM139" i="1"/>
  <c r="AK139" i="1"/>
  <c r="T139" i="1" s="1"/>
  <c r="AJ139" i="1"/>
  <c r="AH139" i="1" s="1"/>
  <c r="AI139" i="1"/>
  <c r="Z139" i="1"/>
  <c r="Y139" i="1"/>
  <c r="X139" i="1" s="1"/>
  <c r="Q139" i="1"/>
  <c r="AN138" i="1"/>
  <c r="AM138" i="1"/>
  <c r="AK138" i="1"/>
  <c r="AJ138" i="1"/>
  <c r="AH138" i="1" s="1"/>
  <c r="Z138" i="1"/>
  <c r="Y138" i="1"/>
  <c r="X138" i="1" s="1"/>
  <c r="Q138" i="1"/>
  <c r="AN137" i="1"/>
  <c r="AM137" i="1"/>
  <c r="AK137" i="1"/>
  <c r="AL137" i="1" s="1"/>
  <c r="AJ137" i="1"/>
  <c r="AH137" i="1"/>
  <c r="L137" i="1" s="1"/>
  <c r="Z137" i="1"/>
  <c r="Y137" i="1"/>
  <c r="X137" i="1"/>
  <c r="Q137" i="1"/>
  <c r="O137" i="1"/>
  <c r="AN136" i="1"/>
  <c r="AM136" i="1"/>
  <c r="AL136" i="1"/>
  <c r="AK136" i="1"/>
  <c r="AJ136" i="1"/>
  <c r="AH136" i="1"/>
  <c r="J136" i="1" s="1"/>
  <c r="I136" i="1" s="1"/>
  <c r="AB136" i="1"/>
  <c r="Z136" i="1"/>
  <c r="Y136" i="1"/>
  <c r="X136" i="1"/>
  <c r="T136" i="1"/>
  <c r="Q136" i="1"/>
  <c r="O136" i="1"/>
  <c r="L136" i="1"/>
  <c r="K136" i="1"/>
  <c r="AN135" i="1"/>
  <c r="AM135" i="1"/>
  <c r="AK135" i="1"/>
  <c r="AJ135" i="1"/>
  <c r="AH135" i="1" s="1"/>
  <c r="Z135" i="1"/>
  <c r="Y135" i="1"/>
  <c r="Q135" i="1"/>
  <c r="J135" i="1"/>
  <c r="I135" i="1" s="1"/>
  <c r="AB135" i="1" s="1"/>
  <c r="AN134" i="1"/>
  <c r="AM134" i="1"/>
  <c r="AK134" i="1"/>
  <c r="AL134" i="1" s="1"/>
  <c r="AJ134" i="1"/>
  <c r="AI134" i="1"/>
  <c r="AH134" i="1"/>
  <c r="Z134" i="1"/>
  <c r="Y134" i="1"/>
  <c r="X134" i="1" s="1"/>
  <c r="Q134" i="1"/>
  <c r="AN133" i="1"/>
  <c r="AM133" i="1"/>
  <c r="AK133" i="1"/>
  <c r="AL133" i="1" s="1"/>
  <c r="AJ133" i="1"/>
  <c r="AI133" i="1"/>
  <c r="AH133" i="1"/>
  <c r="L133" i="1" s="1"/>
  <c r="Z133" i="1"/>
  <c r="Y133" i="1"/>
  <c r="X133" i="1" s="1"/>
  <c r="Q133" i="1"/>
  <c r="O133" i="1"/>
  <c r="AN132" i="1"/>
  <c r="AM132" i="1"/>
  <c r="AL132" i="1"/>
  <c r="AK132" i="1"/>
  <c r="AJ132" i="1"/>
  <c r="AH132" i="1"/>
  <c r="J132" i="1" s="1"/>
  <c r="I132" i="1" s="1"/>
  <c r="Z132" i="1"/>
  <c r="Y132" i="1"/>
  <c r="X132" i="1"/>
  <c r="T132" i="1"/>
  <c r="Q132" i="1"/>
  <c r="O132" i="1"/>
  <c r="L132" i="1"/>
  <c r="K132" i="1"/>
  <c r="AN131" i="1"/>
  <c r="AM131" i="1"/>
  <c r="AK131" i="1"/>
  <c r="AJ131" i="1"/>
  <c r="AH131" i="1" s="1"/>
  <c r="K131" i="1" s="1"/>
  <c r="Z131" i="1"/>
  <c r="Y131" i="1"/>
  <c r="X131" i="1" s="1"/>
  <c r="Q131" i="1"/>
  <c r="J131" i="1"/>
  <c r="I131" i="1"/>
  <c r="AB131" i="1" s="1"/>
  <c r="AN130" i="1"/>
  <c r="AM130" i="1"/>
  <c r="AK130" i="1"/>
  <c r="AJ130" i="1"/>
  <c r="AI130" i="1"/>
  <c r="AH130" i="1"/>
  <c r="L130" i="1" s="1"/>
  <c r="Z130" i="1"/>
  <c r="Y130" i="1"/>
  <c r="X130" i="1"/>
  <c r="Q130" i="1"/>
  <c r="O130" i="1"/>
  <c r="K130" i="1"/>
  <c r="J130" i="1"/>
  <c r="I130" i="1" s="1"/>
  <c r="AN129" i="1"/>
  <c r="AM129" i="1"/>
  <c r="AK129" i="1"/>
  <c r="AL129" i="1" s="1"/>
  <c r="AJ129" i="1"/>
  <c r="AH129" i="1"/>
  <c r="Z129" i="1"/>
  <c r="Y129" i="1"/>
  <c r="X129" i="1"/>
  <c r="Q129" i="1"/>
  <c r="AN128" i="1"/>
  <c r="T128" i="1" s="1"/>
  <c r="AM128" i="1"/>
  <c r="AK128" i="1"/>
  <c r="AL128" i="1" s="1"/>
  <c r="AJ128" i="1"/>
  <c r="AH128" i="1"/>
  <c r="J128" i="1" s="1"/>
  <c r="I128" i="1" s="1"/>
  <c r="AB128" i="1"/>
  <c r="Z128" i="1"/>
  <c r="Y128" i="1"/>
  <c r="X128" i="1"/>
  <c r="Q128" i="1"/>
  <c r="O128" i="1"/>
  <c r="L128" i="1"/>
  <c r="K128" i="1"/>
  <c r="AN127" i="1"/>
  <c r="AM127" i="1"/>
  <c r="AL127" i="1"/>
  <c r="AK127" i="1"/>
  <c r="AJ127" i="1"/>
  <c r="AH127" i="1" s="1"/>
  <c r="O127" i="1" s="1"/>
  <c r="AI127" i="1"/>
  <c r="Z127" i="1"/>
  <c r="Y127" i="1"/>
  <c r="X127" i="1" s="1"/>
  <c r="T127" i="1"/>
  <c r="Q127" i="1"/>
  <c r="K127" i="1"/>
  <c r="AN126" i="1"/>
  <c r="AM126" i="1"/>
  <c r="AK126" i="1"/>
  <c r="AJ126" i="1"/>
  <c r="AH126" i="1" s="1"/>
  <c r="Z126" i="1"/>
  <c r="Y126" i="1"/>
  <c r="X126" i="1"/>
  <c r="Q126" i="1"/>
  <c r="J126" i="1"/>
  <c r="I126" i="1"/>
  <c r="AN125" i="1"/>
  <c r="AM125" i="1"/>
  <c r="AK125" i="1"/>
  <c r="AJ125" i="1"/>
  <c r="AH125" i="1" s="1"/>
  <c r="Z125" i="1"/>
  <c r="X125" i="1" s="1"/>
  <c r="Y125" i="1"/>
  <c r="Q125" i="1"/>
  <c r="AN124" i="1"/>
  <c r="T124" i="1" s="1"/>
  <c r="U124" i="1" s="1"/>
  <c r="V124" i="1" s="1"/>
  <c r="AM124" i="1"/>
  <c r="AL124" i="1"/>
  <c r="AK124" i="1"/>
  <c r="AJ124" i="1"/>
  <c r="AI124" i="1"/>
  <c r="AH124" i="1"/>
  <c r="Z124" i="1"/>
  <c r="Y124" i="1"/>
  <c r="X124" i="1" s="1"/>
  <c r="Q124" i="1"/>
  <c r="O124" i="1"/>
  <c r="L124" i="1"/>
  <c r="K124" i="1"/>
  <c r="J124" i="1"/>
  <c r="I124" i="1"/>
  <c r="AB124" i="1" s="1"/>
  <c r="AN123" i="1"/>
  <c r="AM123" i="1"/>
  <c r="AL123" i="1"/>
  <c r="AK123" i="1"/>
  <c r="AJ123" i="1"/>
  <c r="AH123" i="1" s="1"/>
  <c r="L123" i="1" s="1"/>
  <c r="Z123" i="1"/>
  <c r="X123" i="1" s="1"/>
  <c r="Y123" i="1"/>
  <c r="T123" i="1"/>
  <c r="Q123" i="1"/>
  <c r="AN122" i="1"/>
  <c r="AM122" i="1"/>
  <c r="AK122" i="1"/>
  <c r="AJ122" i="1"/>
  <c r="AH122" i="1" s="1"/>
  <c r="Z122" i="1"/>
  <c r="X122" i="1" s="1"/>
  <c r="Y122" i="1"/>
  <c r="Q122" i="1"/>
  <c r="J122" i="1"/>
  <c r="I122" i="1" s="1"/>
  <c r="AB122" i="1" s="1"/>
  <c r="AN121" i="1"/>
  <c r="AM121" i="1"/>
  <c r="AK121" i="1"/>
  <c r="AL121" i="1" s="1"/>
  <c r="AJ121" i="1"/>
  <c r="AH121" i="1"/>
  <c r="Z121" i="1"/>
  <c r="Y121" i="1"/>
  <c r="X121" i="1"/>
  <c r="Q121" i="1"/>
  <c r="AN120" i="1"/>
  <c r="T120" i="1" s="1"/>
  <c r="AM120" i="1"/>
  <c r="AL120" i="1"/>
  <c r="AK120" i="1"/>
  <c r="AJ120" i="1"/>
  <c r="AH120" i="1" s="1"/>
  <c r="K120" i="1" s="1"/>
  <c r="AI120" i="1"/>
  <c r="Z120" i="1"/>
  <c r="Y120" i="1"/>
  <c r="X120" i="1" s="1"/>
  <c r="Q120" i="1"/>
  <c r="O120" i="1"/>
  <c r="L120" i="1"/>
  <c r="J120" i="1"/>
  <c r="I120" i="1" s="1"/>
  <c r="AN119" i="1"/>
  <c r="AM119" i="1"/>
  <c r="AK119" i="1"/>
  <c r="T119" i="1" s="1"/>
  <c r="AJ119" i="1"/>
  <c r="AH119" i="1"/>
  <c r="AI119" i="1" s="1"/>
  <c r="Z119" i="1"/>
  <c r="X119" i="1" s="1"/>
  <c r="Y119" i="1"/>
  <c r="Q119" i="1"/>
  <c r="L119" i="1"/>
  <c r="J119" i="1"/>
  <c r="I119" i="1" s="1"/>
  <c r="AB119" i="1" s="1"/>
  <c r="AN118" i="1"/>
  <c r="AM118" i="1"/>
  <c r="AK118" i="1"/>
  <c r="AJ118" i="1"/>
  <c r="AH118" i="1"/>
  <c r="Z118" i="1"/>
  <c r="Y118" i="1"/>
  <c r="X118" i="1" s="1"/>
  <c r="Q118" i="1"/>
  <c r="J118" i="1"/>
  <c r="I118" i="1" s="1"/>
  <c r="AN117" i="1"/>
  <c r="AM117" i="1"/>
  <c r="AK117" i="1"/>
  <c r="T117" i="1" s="1"/>
  <c r="AJ117" i="1"/>
  <c r="AH117" i="1"/>
  <c r="J117" i="1" s="1"/>
  <c r="I117" i="1" s="1"/>
  <c r="Z117" i="1"/>
  <c r="Y117" i="1"/>
  <c r="X117" i="1"/>
  <c r="Q117" i="1"/>
  <c r="L117" i="1"/>
  <c r="AN116" i="1"/>
  <c r="T116" i="1" s="1"/>
  <c r="AM116" i="1"/>
  <c r="AL116" i="1" s="1"/>
  <c r="AK116" i="1"/>
  <c r="AJ116" i="1"/>
  <c r="AH116" i="1" s="1"/>
  <c r="K116" i="1" s="1"/>
  <c r="AI116" i="1"/>
  <c r="Z116" i="1"/>
  <c r="Y116" i="1"/>
  <c r="Q116" i="1"/>
  <c r="O116" i="1"/>
  <c r="L116" i="1"/>
  <c r="AN115" i="1"/>
  <c r="AM115" i="1"/>
  <c r="AL115" i="1"/>
  <c r="AK115" i="1"/>
  <c r="AJ115" i="1"/>
  <c r="AH115" i="1"/>
  <c r="AI115" i="1" s="1"/>
  <c r="Z115" i="1"/>
  <c r="X115" i="1" s="1"/>
  <c r="Y115" i="1"/>
  <c r="T115" i="1"/>
  <c r="Q115" i="1"/>
  <c r="AN114" i="1"/>
  <c r="AM114" i="1"/>
  <c r="AK114" i="1"/>
  <c r="AJ114" i="1"/>
  <c r="AH114" i="1" s="1"/>
  <c r="Z114" i="1"/>
  <c r="X114" i="1" s="1"/>
  <c r="Y114" i="1"/>
  <c r="Q114" i="1"/>
  <c r="AN113" i="1"/>
  <c r="AM113" i="1"/>
  <c r="AL113" i="1"/>
  <c r="AK113" i="1"/>
  <c r="AJ113" i="1"/>
  <c r="AI113" i="1"/>
  <c r="AH113" i="1"/>
  <c r="J113" i="1" s="1"/>
  <c r="AB113" i="1"/>
  <c r="Z113" i="1"/>
  <c r="Y113" i="1"/>
  <c r="X113" i="1"/>
  <c r="T113" i="1"/>
  <c r="Q113" i="1"/>
  <c r="O113" i="1"/>
  <c r="L113" i="1"/>
  <c r="K113" i="1"/>
  <c r="I113" i="1"/>
  <c r="AN112" i="1"/>
  <c r="T112" i="1" s="1"/>
  <c r="AM112" i="1"/>
  <c r="AL112" i="1" s="1"/>
  <c r="AK112" i="1"/>
  <c r="AJ112" i="1"/>
  <c r="AH112" i="1" s="1"/>
  <c r="K112" i="1" s="1"/>
  <c r="Z112" i="1"/>
  <c r="Y112" i="1"/>
  <c r="X112" i="1" s="1"/>
  <c r="Q112" i="1"/>
  <c r="AN111" i="1"/>
  <c r="AM111" i="1"/>
  <c r="AK111" i="1"/>
  <c r="AL111" i="1" s="1"/>
  <c r="AJ111" i="1"/>
  <c r="AH111" i="1" s="1"/>
  <c r="Z111" i="1"/>
  <c r="Y111" i="1"/>
  <c r="X111" i="1"/>
  <c r="T111" i="1"/>
  <c r="Q111" i="1"/>
  <c r="AN110" i="1"/>
  <c r="AM110" i="1"/>
  <c r="AK110" i="1"/>
  <c r="AJ110" i="1"/>
  <c r="AH110" i="1"/>
  <c r="L110" i="1" s="1"/>
  <c r="Z110" i="1"/>
  <c r="X110" i="1" s="1"/>
  <c r="Y110" i="1"/>
  <c r="Q110" i="1"/>
  <c r="K110" i="1"/>
  <c r="AN109" i="1"/>
  <c r="AM109" i="1"/>
  <c r="AK109" i="1"/>
  <c r="AL109" i="1" s="1"/>
  <c r="AJ109" i="1"/>
  <c r="AI109" i="1"/>
  <c r="AH109" i="1"/>
  <c r="J109" i="1" s="1"/>
  <c r="Z109" i="1"/>
  <c r="Y109" i="1"/>
  <c r="X109" i="1" s="1"/>
  <c r="Q109" i="1"/>
  <c r="O109" i="1"/>
  <c r="K109" i="1"/>
  <c r="I109" i="1"/>
  <c r="AN108" i="1"/>
  <c r="T108" i="1" s="1"/>
  <c r="AM108" i="1"/>
  <c r="AK108" i="1"/>
  <c r="AJ108" i="1"/>
  <c r="AH108" i="1" s="1"/>
  <c r="AI108" i="1" s="1"/>
  <c r="Z108" i="1"/>
  <c r="Y108" i="1"/>
  <c r="X108" i="1" s="1"/>
  <c r="Q108" i="1"/>
  <c r="O108" i="1"/>
  <c r="K108" i="1"/>
  <c r="J108" i="1"/>
  <c r="I108" i="1" s="1"/>
  <c r="AN107" i="1"/>
  <c r="AM107" i="1"/>
  <c r="AK107" i="1"/>
  <c r="AL107" i="1" s="1"/>
  <c r="AJ107" i="1"/>
  <c r="AH107" i="1"/>
  <c r="Z107" i="1"/>
  <c r="Y107" i="1"/>
  <c r="X107" i="1" s="1"/>
  <c r="Q107" i="1"/>
  <c r="AN106" i="1"/>
  <c r="AM106" i="1"/>
  <c r="AK106" i="1"/>
  <c r="AL106" i="1" s="1"/>
  <c r="AJ106" i="1"/>
  <c r="AH106" i="1"/>
  <c r="L106" i="1" s="1"/>
  <c r="Z106" i="1"/>
  <c r="Y106" i="1"/>
  <c r="X106" i="1"/>
  <c r="Q106" i="1"/>
  <c r="O106" i="1"/>
  <c r="K106" i="1"/>
  <c r="AN105" i="1"/>
  <c r="AM105" i="1"/>
  <c r="AL105" i="1" s="1"/>
  <c r="AK105" i="1"/>
  <c r="AJ105" i="1"/>
  <c r="AH105" i="1" s="1"/>
  <c r="Z105" i="1"/>
  <c r="Y105" i="1"/>
  <c r="X105" i="1" s="1"/>
  <c r="T105" i="1"/>
  <c r="Q105" i="1"/>
  <c r="L105" i="1"/>
  <c r="AN104" i="1"/>
  <c r="AM104" i="1"/>
  <c r="AK104" i="1"/>
  <c r="AJ104" i="1"/>
  <c r="AH104" i="1" s="1"/>
  <c r="Z104" i="1"/>
  <c r="X104" i="1" s="1"/>
  <c r="Y104" i="1"/>
  <c r="Q104" i="1"/>
  <c r="J104" i="1"/>
  <c r="I104" i="1" s="1"/>
  <c r="AB104" i="1" s="1"/>
  <c r="AN103" i="1"/>
  <c r="AM103" i="1"/>
  <c r="AK103" i="1"/>
  <c r="AL103" i="1" s="1"/>
  <c r="AJ103" i="1"/>
  <c r="AI103" i="1"/>
  <c r="AH103" i="1"/>
  <c r="Z103" i="1"/>
  <c r="Y103" i="1"/>
  <c r="X103" i="1" s="1"/>
  <c r="Q103" i="1"/>
  <c r="AN102" i="1"/>
  <c r="AM102" i="1"/>
  <c r="AK102" i="1"/>
  <c r="AL102" i="1" s="1"/>
  <c r="AJ102" i="1"/>
  <c r="AH102" i="1"/>
  <c r="L102" i="1" s="1"/>
  <c r="Z102" i="1"/>
  <c r="Y102" i="1"/>
  <c r="X102" i="1"/>
  <c r="Q102" i="1"/>
  <c r="O102" i="1"/>
  <c r="K102" i="1"/>
  <c r="AN101" i="1"/>
  <c r="AM101" i="1"/>
  <c r="AL101" i="1" s="1"/>
  <c r="AK101" i="1"/>
  <c r="AJ101" i="1"/>
  <c r="AH101" i="1" s="1"/>
  <c r="Z101" i="1"/>
  <c r="Y101" i="1"/>
  <c r="X101" i="1" s="1"/>
  <c r="T101" i="1"/>
  <c r="Q101" i="1"/>
  <c r="L101" i="1"/>
  <c r="AN100" i="1"/>
  <c r="AM100" i="1"/>
  <c r="AK100" i="1"/>
  <c r="AJ100" i="1"/>
  <c r="AH100" i="1" s="1"/>
  <c r="K100" i="1" s="1"/>
  <c r="Z100" i="1"/>
  <c r="Y100" i="1"/>
  <c r="Q100" i="1"/>
  <c r="AN99" i="1"/>
  <c r="AM99" i="1"/>
  <c r="AK99" i="1"/>
  <c r="AL99" i="1" s="1"/>
  <c r="AJ99" i="1"/>
  <c r="AH99" i="1"/>
  <c r="Z99" i="1"/>
  <c r="Y99" i="1"/>
  <c r="X99" i="1" s="1"/>
  <c r="Q99" i="1"/>
  <c r="AN98" i="1"/>
  <c r="AM98" i="1"/>
  <c r="AK98" i="1"/>
  <c r="AL98" i="1" s="1"/>
  <c r="AJ98" i="1"/>
  <c r="AH98" i="1"/>
  <c r="L98" i="1" s="1"/>
  <c r="Z98" i="1"/>
  <c r="Y98" i="1"/>
  <c r="X98" i="1"/>
  <c r="Q98" i="1"/>
  <c r="O98" i="1"/>
  <c r="K98" i="1"/>
  <c r="AN97" i="1"/>
  <c r="AM97" i="1"/>
  <c r="AL97" i="1"/>
  <c r="AK97" i="1"/>
  <c r="AJ97" i="1"/>
  <c r="AH97" i="1" s="1"/>
  <c r="Z97" i="1"/>
  <c r="Y97" i="1"/>
  <c r="X97" i="1" s="1"/>
  <c r="T97" i="1"/>
  <c r="Q97" i="1"/>
  <c r="L97" i="1"/>
  <c r="AN96" i="1"/>
  <c r="AM96" i="1"/>
  <c r="AK96" i="1"/>
  <c r="AJ96" i="1"/>
  <c r="AH96" i="1" s="1"/>
  <c r="Z96" i="1"/>
  <c r="Y96" i="1"/>
  <c r="Q96" i="1"/>
  <c r="J96" i="1"/>
  <c r="I96" i="1" s="1"/>
  <c r="AB96" i="1" s="1"/>
  <c r="AN95" i="1"/>
  <c r="AM95" i="1"/>
  <c r="AK95" i="1"/>
  <c r="AL95" i="1" s="1"/>
  <c r="AJ95" i="1"/>
  <c r="AH95" i="1"/>
  <c r="Z95" i="1"/>
  <c r="Y95" i="1"/>
  <c r="X95" i="1"/>
  <c r="Q95" i="1"/>
  <c r="AN94" i="1"/>
  <c r="AM94" i="1"/>
  <c r="AK94" i="1"/>
  <c r="AL94" i="1" s="1"/>
  <c r="AJ94" i="1"/>
  <c r="AH94" i="1"/>
  <c r="L94" i="1" s="1"/>
  <c r="Z94" i="1"/>
  <c r="Y94" i="1"/>
  <c r="X94" i="1"/>
  <c r="Q94" i="1"/>
  <c r="O94" i="1"/>
  <c r="K94" i="1"/>
  <c r="AN93" i="1"/>
  <c r="AM93" i="1"/>
  <c r="AL93" i="1" s="1"/>
  <c r="AK93" i="1"/>
  <c r="AJ93" i="1"/>
  <c r="AH93" i="1" s="1"/>
  <c r="Z93" i="1"/>
  <c r="Y93" i="1"/>
  <c r="X93" i="1" s="1"/>
  <c r="T93" i="1"/>
  <c r="Q93" i="1"/>
  <c r="AN92" i="1"/>
  <c r="AM92" i="1"/>
  <c r="AK92" i="1"/>
  <c r="AJ92" i="1"/>
  <c r="AH92" i="1" s="1"/>
  <c r="Z92" i="1"/>
  <c r="Y92" i="1"/>
  <c r="X92" i="1" s="1"/>
  <c r="Q92" i="1"/>
  <c r="J92" i="1"/>
  <c r="I92" i="1" s="1"/>
  <c r="AB92" i="1" s="1"/>
  <c r="AN91" i="1"/>
  <c r="AM91" i="1"/>
  <c r="AK91" i="1"/>
  <c r="AL91" i="1" s="1"/>
  <c r="AJ91" i="1"/>
  <c r="AH91" i="1"/>
  <c r="Z91" i="1"/>
  <c r="Y91" i="1"/>
  <c r="X91" i="1" s="1"/>
  <c r="Q91" i="1"/>
  <c r="AN90" i="1"/>
  <c r="AM90" i="1"/>
  <c r="AK90" i="1"/>
  <c r="AL90" i="1" s="1"/>
  <c r="AJ90" i="1"/>
  <c r="AH90" i="1"/>
  <c r="L90" i="1" s="1"/>
  <c r="Z90" i="1"/>
  <c r="Y90" i="1"/>
  <c r="X90" i="1"/>
  <c r="Q90" i="1"/>
  <c r="O90" i="1"/>
  <c r="K90" i="1"/>
  <c r="AN89" i="1"/>
  <c r="AM89" i="1"/>
  <c r="AL89" i="1" s="1"/>
  <c r="AK89" i="1"/>
  <c r="AJ89" i="1"/>
  <c r="AH89" i="1" s="1"/>
  <c r="Z89" i="1"/>
  <c r="Y89" i="1"/>
  <c r="X89" i="1" s="1"/>
  <c r="T89" i="1"/>
  <c r="Q89" i="1"/>
  <c r="L89" i="1"/>
  <c r="AN88" i="1"/>
  <c r="AM88" i="1"/>
  <c r="AK88" i="1"/>
  <c r="AJ88" i="1"/>
  <c r="AH88" i="1" s="1"/>
  <c r="Z88" i="1"/>
  <c r="Y88" i="1"/>
  <c r="Q88" i="1"/>
  <c r="J88" i="1"/>
  <c r="I88" i="1" s="1"/>
  <c r="AB88" i="1" s="1"/>
  <c r="AN87" i="1"/>
  <c r="AM87" i="1"/>
  <c r="AK87" i="1"/>
  <c r="AL87" i="1" s="1"/>
  <c r="AJ87" i="1"/>
  <c r="AH87" i="1"/>
  <c r="Z87" i="1"/>
  <c r="Y87" i="1"/>
  <c r="X87" i="1" s="1"/>
  <c r="Q87" i="1"/>
  <c r="AN86" i="1"/>
  <c r="AM86" i="1"/>
  <c r="AK86" i="1"/>
  <c r="AL86" i="1" s="1"/>
  <c r="AJ86" i="1"/>
  <c r="AH86" i="1"/>
  <c r="L86" i="1" s="1"/>
  <c r="Z86" i="1"/>
  <c r="Y86" i="1"/>
  <c r="X86" i="1"/>
  <c r="Q86" i="1"/>
  <c r="O86" i="1"/>
  <c r="K86" i="1"/>
  <c r="AN85" i="1"/>
  <c r="AM85" i="1"/>
  <c r="AL85" i="1" s="1"/>
  <c r="AK85" i="1"/>
  <c r="AJ85" i="1"/>
  <c r="AH85" i="1" s="1"/>
  <c r="Z85" i="1"/>
  <c r="Y85" i="1"/>
  <c r="X85" i="1" s="1"/>
  <c r="T85" i="1"/>
  <c r="Q85" i="1"/>
  <c r="L85" i="1"/>
  <c r="AN84" i="1"/>
  <c r="AM84" i="1"/>
  <c r="AK84" i="1"/>
  <c r="AJ84" i="1"/>
  <c r="AH84" i="1" s="1"/>
  <c r="Z84" i="1"/>
  <c r="Y84" i="1"/>
  <c r="Q84" i="1"/>
  <c r="AN83" i="1"/>
  <c r="AM83" i="1"/>
  <c r="AK83" i="1"/>
  <c r="AL83" i="1" s="1"/>
  <c r="AJ83" i="1"/>
  <c r="AH83" i="1"/>
  <c r="Z83" i="1"/>
  <c r="Y83" i="1"/>
  <c r="X83" i="1" s="1"/>
  <c r="Q83" i="1"/>
  <c r="AN82" i="1"/>
  <c r="AM82" i="1"/>
  <c r="AK82" i="1"/>
  <c r="AL82" i="1" s="1"/>
  <c r="AJ82" i="1"/>
  <c r="AH82" i="1"/>
  <c r="L82" i="1" s="1"/>
  <c r="Z82" i="1"/>
  <c r="Y82" i="1"/>
  <c r="X82" i="1"/>
  <c r="Q82" i="1"/>
  <c r="O82" i="1"/>
  <c r="K82" i="1"/>
  <c r="AN81" i="1"/>
  <c r="AM81" i="1"/>
  <c r="AL81" i="1"/>
  <c r="AK81" i="1"/>
  <c r="AJ81" i="1"/>
  <c r="AH81" i="1" s="1"/>
  <c r="Z81" i="1"/>
  <c r="Y81" i="1"/>
  <c r="X81" i="1" s="1"/>
  <c r="T81" i="1"/>
  <c r="Q81" i="1"/>
  <c r="L81" i="1"/>
  <c r="AN80" i="1"/>
  <c r="AM80" i="1"/>
  <c r="AK80" i="1"/>
  <c r="AJ80" i="1"/>
  <c r="AH80" i="1" s="1"/>
  <c r="Z80" i="1"/>
  <c r="Y80" i="1"/>
  <c r="Q80" i="1"/>
  <c r="AN79" i="1"/>
  <c r="AM79" i="1"/>
  <c r="AK79" i="1"/>
  <c r="AJ79" i="1"/>
  <c r="AI79" i="1"/>
  <c r="AH79" i="1"/>
  <c r="Z79" i="1"/>
  <c r="Y79" i="1"/>
  <c r="X79" i="1"/>
  <c r="Q79" i="1"/>
  <c r="AN78" i="1"/>
  <c r="AM78" i="1"/>
  <c r="AK78" i="1"/>
  <c r="AJ78" i="1"/>
  <c r="AH78" i="1"/>
  <c r="L78" i="1" s="1"/>
  <c r="Z78" i="1"/>
  <c r="Y78" i="1"/>
  <c r="X78" i="1"/>
  <c r="Q78" i="1"/>
  <c r="O78" i="1"/>
  <c r="K78" i="1"/>
  <c r="AN77" i="1"/>
  <c r="AM77" i="1"/>
  <c r="AL77" i="1"/>
  <c r="AK77" i="1"/>
  <c r="AJ77" i="1"/>
  <c r="AH77" i="1" s="1"/>
  <c r="Z77" i="1"/>
  <c r="Y77" i="1"/>
  <c r="X77" i="1" s="1"/>
  <c r="T77" i="1"/>
  <c r="Q77" i="1"/>
  <c r="AN76" i="1"/>
  <c r="AM76" i="1"/>
  <c r="AK76" i="1"/>
  <c r="AJ76" i="1"/>
  <c r="AH76" i="1" s="1"/>
  <c r="Z76" i="1"/>
  <c r="Y76" i="1"/>
  <c r="Q76" i="1"/>
  <c r="O76" i="1"/>
  <c r="AN75" i="1"/>
  <c r="AM75" i="1"/>
  <c r="AK75" i="1"/>
  <c r="AL75" i="1" s="1"/>
  <c r="AJ75" i="1"/>
  <c r="AI75" i="1"/>
  <c r="AH75" i="1"/>
  <c r="Z75" i="1"/>
  <c r="Y75" i="1"/>
  <c r="X75" i="1"/>
  <c r="Q75" i="1"/>
  <c r="O75" i="1"/>
  <c r="AN74" i="1"/>
  <c r="AM74" i="1"/>
  <c r="AK74" i="1"/>
  <c r="AJ74" i="1"/>
  <c r="AH74" i="1"/>
  <c r="L74" i="1" s="1"/>
  <c r="Z74" i="1"/>
  <c r="Y74" i="1"/>
  <c r="X74" i="1" s="1"/>
  <c r="Q74" i="1"/>
  <c r="O74" i="1"/>
  <c r="K74" i="1"/>
  <c r="AN73" i="1"/>
  <c r="AM73" i="1"/>
  <c r="AL73" i="1"/>
  <c r="AK73" i="1"/>
  <c r="AJ73" i="1"/>
  <c r="AH73" i="1" s="1"/>
  <c r="AI73" i="1"/>
  <c r="Z73" i="1"/>
  <c r="Y73" i="1"/>
  <c r="X73" i="1" s="1"/>
  <c r="T73" i="1"/>
  <c r="Q73" i="1"/>
  <c r="L73" i="1"/>
  <c r="AN72" i="1"/>
  <c r="AM72" i="1"/>
  <c r="AK72" i="1"/>
  <c r="AJ72" i="1"/>
  <c r="AH72" i="1" s="1"/>
  <c r="Z72" i="1"/>
  <c r="Y72" i="1"/>
  <c r="Q72" i="1"/>
  <c r="AN71" i="1"/>
  <c r="AM71" i="1"/>
  <c r="AK71" i="1"/>
  <c r="AJ71" i="1"/>
  <c r="AI71" i="1"/>
  <c r="AH71" i="1"/>
  <c r="Z71" i="1"/>
  <c r="Y71" i="1"/>
  <c r="X71" i="1"/>
  <c r="Q71" i="1"/>
  <c r="O71" i="1"/>
  <c r="AN70" i="1"/>
  <c r="AM70" i="1"/>
  <c r="AK70" i="1"/>
  <c r="AJ70" i="1"/>
  <c r="AI70" i="1"/>
  <c r="AH70" i="1"/>
  <c r="L70" i="1" s="1"/>
  <c r="Z70" i="1"/>
  <c r="Y70" i="1"/>
  <c r="X70" i="1" s="1"/>
  <c r="Q70" i="1"/>
  <c r="O70" i="1"/>
  <c r="K70" i="1"/>
  <c r="J70" i="1"/>
  <c r="I70" i="1"/>
  <c r="AB70" i="1" s="1"/>
  <c r="AN69" i="1"/>
  <c r="AM69" i="1"/>
  <c r="AK69" i="1"/>
  <c r="AJ69" i="1"/>
  <c r="AI69" i="1"/>
  <c r="AH69" i="1"/>
  <c r="AB69" i="1"/>
  <c r="Z69" i="1"/>
  <c r="Y69" i="1"/>
  <c r="X69" i="1" s="1"/>
  <c r="Q69" i="1"/>
  <c r="O69" i="1"/>
  <c r="L69" i="1"/>
  <c r="K69" i="1"/>
  <c r="J69" i="1"/>
  <c r="I69" i="1"/>
  <c r="AN68" i="1"/>
  <c r="AM68" i="1"/>
  <c r="AK68" i="1"/>
  <c r="AJ68" i="1"/>
  <c r="AH68" i="1" s="1"/>
  <c r="Z68" i="1"/>
  <c r="Y68" i="1"/>
  <c r="Q68" i="1"/>
  <c r="AN67" i="1"/>
  <c r="AM67" i="1"/>
  <c r="AK67" i="1"/>
  <c r="AL67" i="1" s="1"/>
  <c r="AJ67" i="1"/>
  <c r="AI67" i="1"/>
  <c r="AH67" i="1"/>
  <c r="Z67" i="1"/>
  <c r="Y67" i="1"/>
  <c r="X67" i="1" s="1"/>
  <c r="Q67" i="1"/>
  <c r="O67" i="1"/>
  <c r="AN66" i="1"/>
  <c r="AM66" i="1"/>
  <c r="AK66" i="1"/>
  <c r="AJ66" i="1"/>
  <c r="AH66" i="1" s="1"/>
  <c r="Z66" i="1"/>
  <c r="Y66" i="1"/>
  <c r="X66" i="1" s="1"/>
  <c r="Q66" i="1"/>
  <c r="O66" i="1"/>
  <c r="K66" i="1"/>
  <c r="AN65" i="1"/>
  <c r="AM65" i="1"/>
  <c r="AK65" i="1"/>
  <c r="AL65" i="1" s="1"/>
  <c r="AJ65" i="1"/>
  <c r="AI65" i="1"/>
  <c r="AH65" i="1"/>
  <c r="Z65" i="1"/>
  <c r="Y65" i="1"/>
  <c r="X65" i="1" s="1"/>
  <c r="U65" i="1"/>
  <c r="V65" i="1" s="1"/>
  <c r="T65" i="1"/>
  <c r="Q65" i="1"/>
  <c r="AC65" i="1" s="1"/>
  <c r="O65" i="1"/>
  <c r="L65" i="1"/>
  <c r="K65" i="1"/>
  <c r="J65" i="1"/>
  <c r="I65" i="1"/>
  <c r="AN64" i="1"/>
  <c r="AM64" i="1"/>
  <c r="AK64" i="1"/>
  <c r="AJ64" i="1"/>
  <c r="AH64" i="1" s="1"/>
  <c r="L64" i="1" s="1"/>
  <c r="Z64" i="1"/>
  <c r="Y64" i="1"/>
  <c r="X64" i="1" s="1"/>
  <c r="Q64" i="1"/>
  <c r="O64" i="1"/>
  <c r="K64" i="1"/>
  <c r="AN63" i="1"/>
  <c r="AM63" i="1"/>
  <c r="AK63" i="1"/>
  <c r="T63" i="1" s="1"/>
  <c r="AJ63" i="1"/>
  <c r="AI63" i="1"/>
  <c r="AH63" i="1"/>
  <c r="J63" i="1" s="1"/>
  <c r="Z63" i="1"/>
  <c r="Y63" i="1"/>
  <c r="X63" i="1"/>
  <c r="Q63" i="1"/>
  <c r="O63" i="1"/>
  <c r="K63" i="1"/>
  <c r="I63" i="1"/>
  <c r="AN62" i="1"/>
  <c r="T62" i="1" s="1"/>
  <c r="AM62" i="1"/>
  <c r="AL62" i="1"/>
  <c r="AK62" i="1"/>
  <c r="AJ62" i="1"/>
  <c r="AH62" i="1" s="1"/>
  <c r="K62" i="1" s="1"/>
  <c r="Z62" i="1"/>
  <c r="Y62" i="1"/>
  <c r="X62" i="1" s="1"/>
  <c r="Q62" i="1"/>
  <c r="L62" i="1"/>
  <c r="J62" i="1"/>
  <c r="I62" i="1" s="1"/>
  <c r="AN61" i="1"/>
  <c r="AM61" i="1"/>
  <c r="AK61" i="1"/>
  <c r="AJ61" i="1"/>
  <c r="AH61" i="1" s="1"/>
  <c r="Z61" i="1"/>
  <c r="X61" i="1" s="1"/>
  <c r="Y61" i="1"/>
  <c r="Q61" i="1"/>
  <c r="K61" i="1"/>
  <c r="J61" i="1"/>
  <c r="I61" i="1" s="1"/>
  <c r="AB61" i="1" s="1"/>
  <c r="AN60" i="1"/>
  <c r="T60" i="1" s="1"/>
  <c r="AM60" i="1"/>
  <c r="AL60" i="1"/>
  <c r="AK60" i="1"/>
  <c r="AJ60" i="1"/>
  <c r="AI60" i="1"/>
  <c r="AH60" i="1"/>
  <c r="Z60" i="1"/>
  <c r="Y60" i="1"/>
  <c r="X60" i="1" s="1"/>
  <c r="Q60" i="1"/>
  <c r="AN59" i="1"/>
  <c r="T59" i="1" s="1"/>
  <c r="AM59" i="1"/>
  <c r="AL59" i="1"/>
  <c r="AK59" i="1"/>
  <c r="AJ59" i="1"/>
  <c r="AH59" i="1" s="1"/>
  <c r="Z59" i="1"/>
  <c r="X59" i="1" s="1"/>
  <c r="Y59" i="1"/>
  <c r="Q59" i="1"/>
  <c r="O59" i="1"/>
  <c r="AN58" i="1"/>
  <c r="AM58" i="1"/>
  <c r="AL58" i="1"/>
  <c r="AK58" i="1"/>
  <c r="AJ58" i="1"/>
  <c r="AH58" i="1" s="1"/>
  <c r="Z58" i="1"/>
  <c r="X58" i="1" s="1"/>
  <c r="Y58" i="1"/>
  <c r="T58" i="1"/>
  <c r="Q58" i="1"/>
  <c r="L58" i="1"/>
  <c r="AN57" i="1"/>
  <c r="AM57" i="1"/>
  <c r="AK57" i="1"/>
  <c r="AJ57" i="1"/>
  <c r="AH57" i="1" s="1"/>
  <c r="Z57" i="1"/>
  <c r="X57" i="1" s="1"/>
  <c r="Y57" i="1"/>
  <c r="Q57" i="1"/>
  <c r="AN56" i="1"/>
  <c r="T56" i="1" s="1"/>
  <c r="AM56" i="1"/>
  <c r="AL56" i="1"/>
  <c r="AK56" i="1"/>
  <c r="AJ56" i="1"/>
  <c r="AI56" i="1"/>
  <c r="AH56" i="1"/>
  <c r="Z56" i="1"/>
  <c r="Y56" i="1"/>
  <c r="X56" i="1" s="1"/>
  <c r="Q56" i="1"/>
  <c r="AN55" i="1"/>
  <c r="T55" i="1" s="1"/>
  <c r="AM55" i="1"/>
  <c r="AL55" i="1"/>
  <c r="AK55" i="1"/>
  <c r="AJ55" i="1"/>
  <c r="AH55" i="1" s="1"/>
  <c r="Z55" i="1"/>
  <c r="X55" i="1" s="1"/>
  <c r="Y55" i="1"/>
  <c r="Q55" i="1"/>
  <c r="O55" i="1"/>
  <c r="AN54" i="1"/>
  <c r="AM54" i="1"/>
  <c r="AL54" i="1"/>
  <c r="AK54" i="1"/>
  <c r="AJ54" i="1"/>
  <c r="AH54" i="1" s="1"/>
  <c r="Z54" i="1"/>
  <c r="X54" i="1" s="1"/>
  <c r="Y54" i="1"/>
  <c r="T54" i="1"/>
  <c r="Q54" i="1"/>
  <c r="L54" i="1"/>
  <c r="AN53" i="1"/>
  <c r="AM53" i="1"/>
  <c r="AK53" i="1"/>
  <c r="AJ53" i="1"/>
  <c r="AH53" i="1" s="1"/>
  <c r="Z53" i="1"/>
  <c r="X53" i="1" s="1"/>
  <c r="Y53" i="1"/>
  <c r="Q53" i="1"/>
  <c r="J53" i="1"/>
  <c r="I53" i="1" s="1"/>
  <c r="AB53" i="1" s="1"/>
  <c r="AN52" i="1"/>
  <c r="T52" i="1" s="1"/>
  <c r="AM52" i="1"/>
  <c r="AL52" i="1"/>
  <c r="AK52" i="1"/>
  <c r="AJ52" i="1"/>
  <c r="AI52" i="1"/>
  <c r="AH52" i="1"/>
  <c r="Z52" i="1"/>
  <c r="Y52" i="1"/>
  <c r="X52" i="1" s="1"/>
  <c r="Q52" i="1"/>
  <c r="AN51" i="1"/>
  <c r="T51" i="1" s="1"/>
  <c r="AM51" i="1"/>
  <c r="AL51" i="1"/>
  <c r="AK51" i="1"/>
  <c r="AJ51" i="1"/>
  <c r="AH51" i="1" s="1"/>
  <c r="Z51" i="1"/>
  <c r="X51" i="1" s="1"/>
  <c r="Y51" i="1"/>
  <c r="Q51" i="1"/>
  <c r="O51" i="1"/>
  <c r="AN50" i="1"/>
  <c r="AM50" i="1"/>
  <c r="AL50" i="1"/>
  <c r="AK50" i="1"/>
  <c r="AJ50" i="1"/>
  <c r="AH50" i="1" s="1"/>
  <c r="Z50" i="1"/>
  <c r="X50" i="1" s="1"/>
  <c r="Y50" i="1"/>
  <c r="T50" i="1"/>
  <c r="Q50" i="1"/>
  <c r="L50" i="1"/>
  <c r="AN49" i="1"/>
  <c r="AM49" i="1"/>
  <c r="AK49" i="1"/>
  <c r="AJ49" i="1"/>
  <c r="AH49" i="1" s="1"/>
  <c r="Z49" i="1"/>
  <c r="X49" i="1" s="1"/>
  <c r="Y49" i="1"/>
  <c r="Q49" i="1"/>
  <c r="K49" i="1"/>
  <c r="J49" i="1"/>
  <c r="I49" i="1" s="1"/>
  <c r="AB49" i="1" s="1"/>
  <c r="AN48" i="1"/>
  <c r="T48" i="1" s="1"/>
  <c r="AM48" i="1"/>
  <c r="AL48" i="1"/>
  <c r="AK48" i="1"/>
  <c r="AJ48" i="1"/>
  <c r="AH48" i="1"/>
  <c r="Z48" i="1"/>
  <c r="Y48" i="1"/>
  <c r="X48" i="1" s="1"/>
  <c r="Q48" i="1"/>
  <c r="AN47" i="1"/>
  <c r="T47" i="1" s="1"/>
  <c r="AM47" i="1"/>
  <c r="AL47" i="1"/>
  <c r="AK47" i="1"/>
  <c r="AJ47" i="1"/>
  <c r="AH47" i="1" s="1"/>
  <c r="Z47" i="1"/>
  <c r="X47" i="1" s="1"/>
  <c r="Y47" i="1"/>
  <c r="Q47" i="1"/>
  <c r="O47" i="1"/>
  <c r="AN46" i="1"/>
  <c r="AM46" i="1"/>
  <c r="AL46" i="1"/>
  <c r="AK46" i="1"/>
  <c r="AJ46" i="1"/>
  <c r="AH46" i="1" s="1"/>
  <c r="Z46" i="1"/>
  <c r="X46" i="1" s="1"/>
  <c r="Y46" i="1"/>
  <c r="T46" i="1"/>
  <c r="Q46" i="1"/>
  <c r="L46" i="1"/>
  <c r="AN45" i="1"/>
  <c r="AM45" i="1"/>
  <c r="AK45" i="1"/>
  <c r="AJ45" i="1"/>
  <c r="AH45" i="1" s="1"/>
  <c r="Z45" i="1"/>
  <c r="X45" i="1" s="1"/>
  <c r="Y45" i="1"/>
  <c r="Q45" i="1"/>
  <c r="K45" i="1"/>
  <c r="J45" i="1"/>
  <c r="I45" i="1" s="1"/>
  <c r="AB45" i="1" s="1"/>
  <c r="AN44" i="1"/>
  <c r="T44" i="1" s="1"/>
  <c r="AM44" i="1"/>
  <c r="AL44" i="1"/>
  <c r="AK44" i="1"/>
  <c r="AJ44" i="1"/>
  <c r="AH44" i="1"/>
  <c r="Z44" i="1"/>
  <c r="Y44" i="1"/>
  <c r="X44" i="1"/>
  <c r="Q44" i="1"/>
  <c r="AN43" i="1"/>
  <c r="T43" i="1" s="1"/>
  <c r="AM43" i="1"/>
  <c r="AL43" i="1"/>
  <c r="AK43" i="1"/>
  <c r="AJ43" i="1"/>
  <c r="AH43" i="1" s="1"/>
  <c r="O43" i="1" s="1"/>
  <c r="Z43" i="1"/>
  <c r="X43" i="1" s="1"/>
  <c r="Y43" i="1"/>
  <c r="Q43" i="1"/>
  <c r="AN42" i="1"/>
  <c r="AM42" i="1"/>
  <c r="AL42" i="1"/>
  <c r="AK42" i="1"/>
  <c r="AJ42" i="1"/>
  <c r="AH42" i="1" s="1"/>
  <c r="Z42" i="1"/>
  <c r="X42" i="1" s="1"/>
  <c r="Y42" i="1"/>
  <c r="T42" i="1"/>
  <c r="Q42" i="1"/>
  <c r="L42" i="1"/>
  <c r="AN41" i="1"/>
  <c r="AM41" i="1"/>
  <c r="AK41" i="1"/>
  <c r="AJ41" i="1"/>
  <c r="AH41" i="1" s="1"/>
  <c r="Z41" i="1"/>
  <c r="X41" i="1" s="1"/>
  <c r="Y41" i="1"/>
  <c r="Q41" i="1"/>
  <c r="K41" i="1"/>
  <c r="J41" i="1"/>
  <c r="I41" i="1" s="1"/>
  <c r="AB41" i="1" s="1"/>
  <c r="AN40" i="1"/>
  <c r="T40" i="1" s="1"/>
  <c r="AM40" i="1"/>
  <c r="AL40" i="1"/>
  <c r="AK40" i="1"/>
  <c r="AJ40" i="1"/>
  <c r="AH40" i="1"/>
  <c r="AI40" i="1" s="1"/>
  <c r="Z40" i="1"/>
  <c r="Y40" i="1"/>
  <c r="X40" i="1"/>
  <c r="Q40" i="1"/>
  <c r="AN39" i="1"/>
  <c r="T39" i="1" s="1"/>
  <c r="AM39" i="1"/>
  <c r="AL39" i="1"/>
  <c r="AK39" i="1"/>
  <c r="AJ39" i="1"/>
  <c r="AH39" i="1" s="1"/>
  <c r="Z39" i="1"/>
  <c r="Y39" i="1"/>
  <c r="X39" i="1" s="1"/>
  <c r="Q39" i="1"/>
  <c r="O39" i="1"/>
  <c r="AN38" i="1"/>
  <c r="AM38" i="1"/>
  <c r="AL38" i="1" s="1"/>
  <c r="AK38" i="1"/>
  <c r="AJ38" i="1"/>
  <c r="AH38" i="1" s="1"/>
  <c r="Z38" i="1"/>
  <c r="X38" i="1" s="1"/>
  <c r="Y38" i="1"/>
  <c r="T38" i="1"/>
  <c r="Q38" i="1"/>
  <c r="L38" i="1"/>
  <c r="AN37" i="1"/>
  <c r="AM37" i="1"/>
  <c r="AK37" i="1"/>
  <c r="AJ37" i="1"/>
  <c r="AH37" i="1" s="1"/>
  <c r="Z37" i="1"/>
  <c r="X37" i="1" s="1"/>
  <c r="Y37" i="1"/>
  <c r="Q37" i="1"/>
  <c r="AN36" i="1"/>
  <c r="T36" i="1" s="1"/>
  <c r="AM36" i="1"/>
  <c r="AL36" i="1" s="1"/>
  <c r="AK36" i="1"/>
  <c r="AJ36" i="1"/>
  <c r="AI36" i="1"/>
  <c r="AH36" i="1"/>
  <c r="Z36" i="1"/>
  <c r="Y36" i="1"/>
  <c r="X36" i="1" s="1"/>
  <c r="Q36" i="1"/>
  <c r="AN35" i="1"/>
  <c r="AM35" i="1"/>
  <c r="AK35" i="1"/>
  <c r="AL35" i="1" s="1"/>
  <c r="AJ35" i="1"/>
  <c r="AH35" i="1" s="1"/>
  <c r="O35" i="1" s="1"/>
  <c r="Z35" i="1"/>
  <c r="Y35" i="1"/>
  <c r="X35" i="1" s="1"/>
  <c r="Q35" i="1"/>
  <c r="AN34" i="1"/>
  <c r="AM34" i="1"/>
  <c r="AL34" i="1"/>
  <c r="AK34" i="1"/>
  <c r="AJ34" i="1"/>
  <c r="AH34" i="1" s="1"/>
  <c r="Z34" i="1"/>
  <c r="Y34" i="1"/>
  <c r="X34" i="1" s="1"/>
  <c r="T34" i="1"/>
  <c r="Q34" i="1"/>
  <c r="L34" i="1"/>
  <c r="AN33" i="1"/>
  <c r="AM33" i="1"/>
  <c r="AK33" i="1"/>
  <c r="AJ33" i="1"/>
  <c r="AH33" i="1" s="1"/>
  <c r="Z33" i="1"/>
  <c r="X33" i="1" s="1"/>
  <c r="Y33" i="1"/>
  <c r="Q33" i="1"/>
  <c r="K33" i="1"/>
  <c r="J33" i="1"/>
  <c r="I33" i="1" s="1"/>
  <c r="AB33" i="1" s="1"/>
  <c r="AN32" i="1"/>
  <c r="T32" i="1" s="1"/>
  <c r="AM32" i="1"/>
  <c r="AL32" i="1" s="1"/>
  <c r="AK32" i="1"/>
  <c r="AJ32" i="1"/>
  <c r="AI32" i="1"/>
  <c r="AH32" i="1"/>
  <c r="Z32" i="1"/>
  <c r="Y32" i="1"/>
  <c r="X32" i="1" s="1"/>
  <c r="Q32" i="1"/>
  <c r="AN31" i="1"/>
  <c r="AM31" i="1"/>
  <c r="AK31" i="1"/>
  <c r="AL31" i="1" s="1"/>
  <c r="AJ31" i="1"/>
  <c r="AH31" i="1" s="1"/>
  <c r="Z31" i="1"/>
  <c r="Y31" i="1"/>
  <c r="X31" i="1" s="1"/>
  <c r="Q31" i="1"/>
  <c r="O31" i="1"/>
  <c r="AN30" i="1"/>
  <c r="AM30" i="1"/>
  <c r="AL30" i="1"/>
  <c r="AK30" i="1"/>
  <c r="AJ30" i="1"/>
  <c r="AH30" i="1" s="1"/>
  <c r="Z30" i="1"/>
  <c r="Y30" i="1"/>
  <c r="X30" i="1" s="1"/>
  <c r="T30" i="1"/>
  <c r="Q30" i="1"/>
  <c r="L30" i="1"/>
  <c r="AN29" i="1"/>
  <c r="AM29" i="1"/>
  <c r="AK29" i="1"/>
  <c r="AJ29" i="1"/>
  <c r="AH29" i="1" s="1"/>
  <c r="K29" i="1" s="1"/>
  <c r="Z29" i="1"/>
  <c r="X29" i="1" s="1"/>
  <c r="Y29" i="1"/>
  <c r="Q29" i="1"/>
  <c r="O29" i="1"/>
  <c r="AN28" i="1"/>
  <c r="T28" i="1" s="1"/>
  <c r="AM28" i="1"/>
  <c r="AL28" i="1" s="1"/>
  <c r="AK28" i="1"/>
  <c r="AJ28" i="1"/>
  <c r="AH28" i="1"/>
  <c r="AI28" i="1" s="1"/>
  <c r="Z28" i="1"/>
  <c r="Y28" i="1"/>
  <c r="X28" i="1" s="1"/>
  <c r="Q28" i="1"/>
  <c r="AN27" i="1"/>
  <c r="AM27" i="1"/>
  <c r="AK27" i="1"/>
  <c r="AJ27" i="1"/>
  <c r="AH27" i="1" s="1"/>
  <c r="AI27" i="1" s="1"/>
  <c r="Z27" i="1"/>
  <c r="Y27" i="1"/>
  <c r="X27" i="1" s="1"/>
  <c r="Q27" i="1"/>
  <c r="O27" i="1"/>
  <c r="L27" i="1"/>
  <c r="AN26" i="1"/>
  <c r="AM26" i="1"/>
  <c r="AL26" i="1"/>
  <c r="AK26" i="1"/>
  <c r="AJ26" i="1"/>
  <c r="AH26" i="1" s="1"/>
  <c r="Z26" i="1"/>
  <c r="X26" i="1" s="1"/>
  <c r="Y26" i="1"/>
  <c r="T26" i="1"/>
  <c r="Q26" i="1"/>
  <c r="AN25" i="1"/>
  <c r="AM25" i="1"/>
  <c r="AK25" i="1"/>
  <c r="AJ25" i="1"/>
  <c r="AH25" i="1"/>
  <c r="K25" i="1" s="1"/>
  <c r="Z25" i="1"/>
  <c r="X25" i="1" s="1"/>
  <c r="Y25" i="1"/>
  <c r="Q25" i="1"/>
  <c r="AN24" i="1"/>
  <c r="AM24" i="1"/>
  <c r="AL24" i="1"/>
  <c r="AK24" i="1"/>
  <c r="AJ24" i="1"/>
  <c r="AH24" i="1"/>
  <c r="Z24" i="1"/>
  <c r="Y24" i="1"/>
  <c r="X24" i="1" s="1"/>
  <c r="T24" i="1"/>
  <c r="Q24" i="1"/>
  <c r="L24" i="1"/>
  <c r="K24" i="1"/>
  <c r="AN23" i="1"/>
  <c r="AM23" i="1"/>
  <c r="AK23" i="1"/>
  <c r="T23" i="1" s="1"/>
  <c r="AJ23" i="1"/>
  <c r="AH23" i="1" s="1"/>
  <c r="AI23" i="1" s="1"/>
  <c r="AB23" i="1"/>
  <c r="Z23" i="1"/>
  <c r="Y23" i="1"/>
  <c r="X23" i="1" s="1"/>
  <c r="Q23" i="1"/>
  <c r="O23" i="1"/>
  <c r="L23" i="1"/>
  <c r="K23" i="1"/>
  <c r="J23" i="1"/>
  <c r="I23" i="1"/>
  <c r="AN22" i="1"/>
  <c r="AM22" i="1"/>
  <c r="AL22" i="1" s="1"/>
  <c r="AK22" i="1"/>
  <c r="AJ22" i="1"/>
  <c r="AH22" i="1"/>
  <c r="O22" i="1" s="1"/>
  <c r="Z22" i="1"/>
  <c r="Y22" i="1"/>
  <c r="X22" i="1" s="1"/>
  <c r="T22" i="1"/>
  <c r="U22" i="1" s="1"/>
  <c r="V22" i="1" s="1"/>
  <c r="Q22" i="1"/>
  <c r="L22" i="1"/>
  <c r="K22" i="1"/>
  <c r="J22" i="1"/>
  <c r="I22" i="1"/>
  <c r="AB22" i="1" s="1"/>
  <c r="AN21" i="1"/>
  <c r="AM21" i="1"/>
  <c r="AK21" i="1"/>
  <c r="AJ21" i="1"/>
  <c r="AH21" i="1"/>
  <c r="AI21" i="1" s="1"/>
  <c r="Z21" i="1"/>
  <c r="Y21" i="1"/>
  <c r="X21" i="1"/>
  <c r="Q21" i="1"/>
  <c r="L21" i="1"/>
  <c r="J21" i="1"/>
  <c r="I21" i="1" s="1"/>
  <c r="AN20" i="1"/>
  <c r="AM20" i="1"/>
  <c r="AK20" i="1"/>
  <c r="AL20" i="1" s="1"/>
  <c r="AJ20" i="1"/>
  <c r="AH20" i="1" s="1"/>
  <c r="Z20" i="1"/>
  <c r="X20" i="1" s="1"/>
  <c r="Y20" i="1"/>
  <c r="Q20" i="1"/>
  <c r="AN19" i="1"/>
  <c r="AM19" i="1"/>
  <c r="AK19" i="1"/>
  <c r="AL19" i="1" s="1"/>
  <c r="AJ19" i="1"/>
  <c r="AH19" i="1"/>
  <c r="AI19" i="1" s="1"/>
  <c r="Z19" i="1"/>
  <c r="Y19" i="1"/>
  <c r="X19" i="1"/>
  <c r="Q19" i="1"/>
  <c r="AN18" i="1"/>
  <c r="T18" i="1" s="1"/>
  <c r="AM18" i="1"/>
  <c r="AL18" i="1"/>
  <c r="AK18" i="1"/>
  <c r="AJ18" i="1"/>
  <c r="AH18" i="1"/>
  <c r="K18" i="1" s="1"/>
  <c r="Z18" i="1"/>
  <c r="Y18" i="1"/>
  <c r="X18" i="1"/>
  <c r="Q18" i="1"/>
  <c r="O18" i="1"/>
  <c r="L18" i="1"/>
  <c r="AN17" i="1"/>
  <c r="AM17" i="1"/>
  <c r="AL17" i="1"/>
  <c r="AK17" i="1"/>
  <c r="AJ17" i="1"/>
  <c r="AH17" i="1" s="1"/>
  <c r="Z17" i="1"/>
  <c r="Y17" i="1"/>
  <c r="X17" i="1" s="1"/>
  <c r="T17" i="1"/>
  <c r="Q17" i="1"/>
  <c r="AB21" i="1" l="1"/>
  <c r="AD22" i="1"/>
  <c r="AC22" i="1"/>
  <c r="AE22" i="1" s="1"/>
  <c r="W22" i="1"/>
  <c r="AA22" i="1" s="1"/>
  <c r="U108" i="1"/>
  <c r="V108" i="1" s="1"/>
  <c r="U23" i="1"/>
  <c r="V23" i="1" s="1"/>
  <c r="O20" i="1"/>
  <c r="J20" i="1"/>
  <c r="I20" i="1" s="1"/>
  <c r="K20" i="1"/>
  <c r="L20" i="1"/>
  <c r="AI20" i="1"/>
  <c r="U26" i="1"/>
  <c r="V26" i="1" s="1"/>
  <c r="U58" i="1"/>
  <c r="V58" i="1" s="1"/>
  <c r="K26" i="1"/>
  <c r="AI26" i="1"/>
  <c r="L26" i="1"/>
  <c r="J26" i="1"/>
  <c r="I26" i="1" s="1"/>
  <c r="O26" i="1"/>
  <c r="J17" i="1"/>
  <c r="I17" i="1" s="1"/>
  <c r="U17" i="1" s="1"/>
  <c r="V17" i="1" s="1"/>
  <c r="L17" i="1"/>
  <c r="AI17" i="1"/>
  <c r="O17" i="1"/>
  <c r="K17" i="1"/>
  <c r="U62" i="1"/>
  <c r="V62" i="1" s="1"/>
  <c r="O19" i="1"/>
  <c r="K21" i="1"/>
  <c r="AL23" i="1"/>
  <c r="O25" i="1"/>
  <c r="K30" i="1"/>
  <c r="J30" i="1"/>
  <c r="I30" i="1" s="1"/>
  <c r="U30" i="1" s="1"/>
  <c r="V30" i="1" s="1"/>
  <c r="AI30" i="1"/>
  <c r="O30" i="1"/>
  <c r="O32" i="1"/>
  <c r="L32" i="1"/>
  <c r="K32" i="1"/>
  <c r="J32" i="1"/>
  <c r="I32" i="1" s="1"/>
  <c r="U36" i="1"/>
  <c r="V36" i="1" s="1"/>
  <c r="AC36" i="1" s="1"/>
  <c r="K46" i="1"/>
  <c r="J46" i="1"/>
  <c r="I46" i="1" s="1"/>
  <c r="AI46" i="1"/>
  <c r="O46" i="1"/>
  <c r="AI49" i="1"/>
  <c r="O49" i="1"/>
  <c r="L49" i="1"/>
  <c r="L55" i="1"/>
  <c r="K55" i="1"/>
  <c r="J55" i="1"/>
  <c r="I55" i="1" s="1"/>
  <c r="AI55" i="1"/>
  <c r="O60" i="1"/>
  <c r="L60" i="1"/>
  <c r="K60" i="1"/>
  <c r="J60" i="1"/>
  <c r="I60" i="1" s="1"/>
  <c r="AL61" i="1"/>
  <c r="T61" i="1"/>
  <c r="AL72" i="1"/>
  <c r="T72" i="1"/>
  <c r="O103" i="1"/>
  <c r="L103" i="1"/>
  <c r="K103" i="1"/>
  <c r="J103" i="1"/>
  <c r="I103" i="1" s="1"/>
  <c r="AL37" i="1"/>
  <c r="T37" i="1"/>
  <c r="AI57" i="1"/>
  <c r="O57" i="1"/>
  <c r="L57" i="1"/>
  <c r="AI84" i="1"/>
  <c r="O84" i="1"/>
  <c r="L84" i="1"/>
  <c r="J19" i="1"/>
  <c r="I19" i="1" s="1"/>
  <c r="T20" i="1"/>
  <c r="AL29" i="1"/>
  <c r="T29" i="1"/>
  <c r="K34" i="1"/>
  <c r="J34" i="1"/>
  <c r="I34" i="1" s="1"/>
  <c r="AI34" i="1"/>
  <c r="O34" i="1"/>
  <c r="O36" i="1"/>
  <c r="L36" i="1"/>
  <c r="K36" i="1"/>
  <c r="J36" i="1"/>
  <c r="I36" i="1" s="1"/>
  <c r="K42" i="1"/>
  <c r="J42" i="1"/>
  <c r="I42" i="1" s="1"/>
  <c r="AI42" i="1"/>
  <c r="O42" i="1"/>
  <c r="AI45" i="1"/>
  <c r="O45" i="1"/>
  <c r="L45" i="1"/>
  <c r="L51" i="1"/>
  <c r="K51" i="1"/>
  <c r="J51" i="1"/>
  <c r="I51" i="1" s="1"/>
  <c r="U51" i="1" s="1"/>
  <c r="V51" i="1" s="1"/>
  <c r="AI51" i="1"/>
  <c r="O56" i="1"/>
  <c r="L56" i="1"/>
  <c r="K56" i="1"/>
  <c r="J56" i="1"/>
  <c r="I56" i="1" s="1"/>
  <c r="K57" i="1"/>
  <c r="AL57" i="1"/>
  <c r="T57" i="1"/>
  <c r="AB62" i="1"/>
  <c r="R62" i="1"/>
  <c r="P62" i="1" s="1"/>
  <c r="S62" i="1" s="1"/>
  <c r="M62" i="1" s="1"/>
  <c r="N62" i="1" s="1"/>
  <c r="AL69" i="1"/>
  <c r="AL84" i="1"/>
  <c r="T84" i="1"/>
  <c r="AD124" i="1"/>
  <c r="W124" i="1"/>
  <c r="AA124" i="1" s="1"/>
  <c r="AB126" i="1"/>
  <c r="AI18" i="1"/>
  <c r="K19" i="1"/>
  <c r="O21" i="1"/>
  <c r="J25" i="1"/>
  <c r="I25" i="1" s="1"/>
  <c r="AC32" i="1"/>
  <c r="L39" i="1"/>
  <c r="K39" i="1"/>
  <c r="J39" i="1"/>
  <c r="I39" i="1" s="1"/>
  <c r="AI39" i="1"/>
  <c r="O44" i="1"/>
  <c r="L44" i="1"/>
  <c r="K44" i="1"/>
  <c r="J44" i="1"/>
  <c r="I44" i="1" s="1"/>
  <c r="AL45" i="1"/>
  <c r="T45" i="1"/>
  <c r="U55" i="1"/>
  <c r="V55" i="1" s="1"/>
  <c r="AC60" i="1"/>
  <c r="W65" i="1"/>
  <c r="AA65" i="1" s="1"/>
  <c r="AD65" i="1"/>
  <c r="AE65" i="1" s="1"/>
  <c r="AI100" i="1"/>
  <c r="O100" i="1"/>
  <c r="L100" i="1"/>
  <c r="R22" i="1"/>
  <c r="P22" i="1" s="1"/>
  <c r="S22" i="1" s="1"/>
  <c r="M22" i="1" s="1"/>
  <c r="N22" i="1" s="1"/>
  <c r="AL25" i="1"/>
  <c r="T25" i="1"/>
  <c r="AI37" i="1"/>
  <c r="O37" i="1"/>
  <c r="L37" i="1"/>
  <c r="L68" i="1"/>
  <c r="AI68" i="1"/>
  <c r="O68" i="1"/>
  <c r="K68" i="1"/>
  <c r="J68" i="1"/>
  <c r="I68" i="1" s="1"/>
  <c r="AL74" i="1"/>
  <c r="T74" i="1"/>
  <c r="AI111" i="1"/>
  <c r="O111" i="1"/>
  <c r="L111" i="1"/>
  <c r="K111" i="1"/>
  <c r="J111" i="1"/>
  <c r="I111" i="1" s="1"/>
  <c r="K37" i="1"/>
  <c r="AB63" i="1"/>
  <c r="AL68" i="1"/>
  <c r="T68" i="1"/>
  <c r="AI80" i="1"/>
  <c r="L80" i="1"/>
  <c r="K80" i="1"/>
  <c r="J80" i="1"/>
  <c r="I80" i="1" s="1"/>
  <c r="J18" i="1"/>
  <c r="I18" i="1" s="1"/>
  <c r="U18" i="1" s="1"/>
  <c r="V18" i="1" s="1"/>
  <c r="L19" i="1"/>
  <c r="T19" i="1"/>
  <c r="AI22" i="1"/>
  <c r="O24" i="1"/>
  <c r="J24" i="1"/>
  <c r="I24" i="1" s="1"/>
  <c r="U24" i="1" s="1"/>
  <c r="V24" i="1" s="1"/>
  <c r="J27" i="1"/>
  <c r="I27" i="1" s="1"/>
  <c r="AL27" i="1"/>
  <c r="T27" i="1"/>
  <c r="U32" i="1"/>
  <c r="V32" i="1" s="1"/>
  <c r="AI44" i="1"/>
  <c r="K50" i="1"/>
  <c r="J50" i="1"/>
  <c r="I50" i="1" s="1"/>
  <c r="U50" i="1" s="1"/>
  <c r="V50" i="1" s="1"/>
  <c r="AI50" i="1"/>
  <c r="O50" i="1"/>
  <c r="AI53" i="1"/>
  <c r="O53" i="1"/>
  <c r="L53" i="1"/>
  <c r="L59" i="1"/>
  <c r="K59" i="1"/>
  <c r="J59" i="1"/>
  <c r="I59" i="1" s="1"/>
  <c r="U59" i="1" s="1"/>
  <c r="V59" i="1" s="1"/>
  <c r="AI59" i="1"/>
  <c r="R65" i="1"/>
  <c r="P65" i="1" s="1"/>
  <c r="S65" i="1" s="1"/>
  <c r="M65" i="1" s="1"/>
  <c r="N65" i="1" s="1"/>
  <c r="AB65" i="1"/>
  <c r="O80" i="1"/>
  <c r="J84" i="1"/>
  <c r="I84" i="1" s="1"/>
  <c r="AL100" i="1"/>
  <c r="T100" i="1"/>
  <c r="O121" i="1"/>
  <c r="L121" i="1"/>
  <c r="J121" i="1"/>
  <c r="I121" i="1" s="1"/>
  <c r="K121" i="1"/>
  <c r="AC23" i="1"/>
  <c r="O28" i="1"/>
  <c r="L28" i="1"/>
  <c r="K28" i="1"/>
  <c r="J28" i="1"/>
  <c r="I28" i="1" s="1"/>
  <c r="J37" i="1"/>
  <c r="I37" i="1" s="1"/>
  <c r="O48" i="1"/>
  <c r="L48" i="1"/>
  <c r="K48" i="1"/>
  <c r="J48" i="1"/>
  <c r="I48" i="1" s="1"/>
  <c r="AL49" i="1"/>
  <c r="T49" i="1"/>
  <c r="U56" i="1"/>
  <c r="V56" i="1" s="1"/>
  <c r="AI29" i="1"/>
  <c r="L29" i="1"/>
  <c r="K54" i="1"/>
  <c r="J54" i="1"/>
  <c r="I54" i="1" s="1"/>
  <c r="U54" i="1" s="1"/>
  <c r="V54" i="1" s="1"/>
  <c r="AI54" i="1"/>
  <c r="O54" i="1"/>
  <c r="J57" i="1"/>
  <c r="I57" i="1" s="1"/>
  <c r="AB117" i="1"/>
  <c r="AL21" i="1"/>
  <c r="T21" i="1"/>
  <c r="AI24" i="1"/>
  <c r="K27" i="1"/>
  <c r="L31" i="1"/>
  <c r="K31" i="1"/>
  <c r="J31" i="1"/>
  <c r="I31" i="1" s="1"/>
  <c r="AI31" i="1"/>
  <c r="AI33" i="1"/>
  <c r="O33" i="1"/>
  <c r="L33" i="1"/>
  <c r="U34" i="1"/>
  <c r="V34" i="1" s="1"/>
  <c r="K38" i="1"/>
  <c r="J38" i="1"/>
  <c r="I38" i="1" s="1"/>
  <c r="AI38" i="1"/>
  <c r="O38" i="1"/>
  <c r="AI41" i="1"/>
  <c r="O41" i="1"/>
  <c r="L41" i="1"/>
  <c r="U42" i="1"/>
  <c r="V42" i="1" s="1"/>
  <c r="L47" i="1"/>
  <c r="K47" i="1"/>
  <c r="J47" i="1"/>
  <c r="I47" i="1" s="1"/>
  <c r="U47" i="1" s="1"/>
  <c r="V47" i="1" s="1"/>
  <c r="AI47" i="1"/>
  <c r="O52" i="1"/>
  <c r="L52" i="1"/>
  <c r="K52" i="1"/>
  <c r="J52" i="1"/>
  <c r="I52" i="1" s="1"/>
  <c r="K53" i="1"/>
  <c r="AL53" i="1"/>
  <c r="T53" i="1"/>
  <c r="U60" i="1"/>
  <c r="V60" i="1" s="1"/>
  <c r="U63" i="1"/>
  <c r="V63" i="1" s="1"/>
  <c r="AI76" i="1"/>
  <c r="L76" i="1"/>
  <c r="K76" i="1"/>
  <c r="J76" i="1"/>
  <c r="I76" i="1" s="1"/>
  <c r="K77" i="1"/>
  <c r="J77" i="1"/>
  <c r="I77" i="1" s="1"/>
  <c r="U77" i="1" s="1"/>
  <c r="V77" i="1" s="1"/>
  <c r="O77" i="1"/>
  <c r="AI77" i="1"/>
  <c r="L77" i="1"/>
  <c r="K84" i="1"/>
  <c r="O87" i="1"/>
  <c r="L87" i="1"/>
  <c r="K87" i="1"/>
  <c r="J87" i="1"/>
  <c r="I87" i="1" s="1"/>
  <c r="K93" i="1"/>
  <c r="J93" i="1"/>
  <c r="I93" i="1" s="1"/>
  <c r="AI93" i="1"/>
  <c r="O93" i="1"/>
  <c r="AI121" i="1"/>
  <c r="L35" i="1"/>
  <c r="K35" i="1"/>
  <c r="J35" i="1"/>
  <c r="I35" i="1" s="1"/>
  <c r="AI35" i="1"/>
  <c r="L43" i="1"/>
  <c r="K43" i="1"/>
  <c r="J43" i="1"/>
  <c r="I43" i="1" s="1"/>
  <c r="U43" i="1" s="1"/>
  <c r="V43" i="1" s="1"/>
  <c r="AI43" i="1"/>
  <c r="U44" i="1"/>
  <c r="V44" i="1" s="1"/>
  <c r="AI48" i="1"/>
  <c r="AI25" i="1"/>
  <c r="L25" i="1"/>
  <c r="J29" i="1"/>
  <c r="I29" i="1" s="1"/>
  <c r="AL33" i="1"/>
  <c r="T33" i="1"/>
  <c r="O40" i="1"/>
  <c r="L40" i="1"/>
  <c r="K40" i="1"/>
  <c r="J40" i="1"/>
  <c r="I40" i="1" s="1"/>
  <c r="AL41" i="1"/>
  <c r="T41" i="1"/>
  <c r="U48" i="1"/>
  <c r="V48" i="1" s="1"/>
  <c r="AC48" i="1" s="1"/>
  <c r="AC56" i="1"/>
  <c r="K58" i="1"/>
  <c r="J58" i="1"/>
  <c r="I58" i="1" s="1"/>
  <c r="AI58" i="1"/>
  <c r="O58" i="1"/>
  <c r="AI61" i="1"/>
  <c r="O61" i="1"/>
  <c r="L61" i="1"/>
  <c r="AL63" i="1"/>
  <c r="AL71" i="1"/>
  <c r="L72" i="1"/>
  <c r="AI72" i="1"/>
  <c r="O72" i="1"/>
  <c r="K72" i="1"/>
  <c r="J72" i="1"/>
  <c r="I72" i="1" s="1"/>
  <c r="O79" i="1"/>
  <c r="L79" i="1"/>
  <c r="K79" i="1"/>
  <c r="J79" i="1"/>
  <c r="I79" i="1" s="1"/>
  <c r="AI87" i="1"/>
  <c r="L93" i="1"/>
  <c r="J100" i="1"/>
  <c r="I100" i="1" s="1"/>
  <c r="J73" i="1"/>
  <c r="I73" i="1" s="1"/>
  <c r="O73" i="1"/>
  <c r="AL76" i="1"/>
  <c r="T76" i="1"/>
  <c r="AL80" i="1"/>
  <c r="T80" i="1"/>
  <c r="O83" i="1"/>
  <c r="L83" i="1"/>
  <c r="K83" i="1"/>
  <c r="J83" i="1"/>
  <c r="I83" i="1" s="1"/>
  <c r="AI96" i="1"/>
  <c r="O96" i="1"/>
  <c r="L96" i="1"/>
  <c r="O99" i="1"/>
  <c r="L99" i="1"/>
  <c r="K99" i="1"/>
  <c r="J99" i="1"/>
  <c r="I99" i="1" s="1"/>
  <c r="U119" i="1"/>
  <c r="V119" i="1" s="1"/>
  <c r="AC120" i="1"/>
  <c r="U120" i="1"/>
  <c r="V120" i="1" s="1"/>
  <c r="U128" i="1"/>
  <c r="V128" i="1" s="1"/>
  <c r="R128" i="1" s="1"/>
  <c r="P128" i="1" s="1"/>
  <c r="S128" i="1" s="1"/>
  <c r="M128" i="1" s="1"/>
  <c r="N128" i="1" s="1"/>
  <c r="O62" i="1"/>
  <c r="AI62" i="1"/>
  <c r="L63" i="1"/>
  <c r="AI64" i="1"/>
  <c r="X68" i="1"/>
  <c r="X72" i="1"/>
  <c r="U73" i="1"/>
  <c r="V73" i="1" s="1"/>
  <c r="AL79" i="1"/>
  <c r="AI83" i="1"/>
  <c r="X88" i="1"/>
  <c r="K89" i="1"/>
  <c r="J89" i="1"/>
  <c r="I89" i="1" s="1"/>
  <c r="AI89" i="1"/>
  <c r="O89" i="1"/>
  <c r="K96" i="1"/>
  <c r="AL96" i="1"/>
  <c r="T96" i="1"/>
  <c r="AI99" i="1"/>
  <c r="K105" i="1"/>
  <c r="J105" i="1"/>
  <c r="I105" i="1" s="1"/>
  <c r="AI105" i="1"/>
  <c r="O105" i="1"/>
  <c r="U117" i="1"/>
  <c r="V117" i="1" s="1"/>
  <c r="R117" i="1" s="1"/>
  <c r="P117" i="1" s="1"/>
  <c r="S117" i="1" s="1"/>
  <c r="M117" i="1" s="1"/>
  <c r="N117" i="1" s="1"/>
  <c r="AL119" i="1"/>
  <c r="T69" i="1"/>
  <c r="AL78" i="1"/>
  <c r="T78" i="1"/>
  <c r="AI92" i="1"/>
  <c r="O92" i="1"/>
  <c r="L92" i="1"/>
  <c r="O95" i="1"/>
  <c r="L95" i="1"/>
  <c r="K95" i="1"/>
  <c r="J95" i="1"/>
  <c r="I95" i="1" s="1"/>
  <c r="R108" i="1"/>
  <c r="P108" i="1" s="1"/>
  <c r="S108" i="1" s="1"/>
  <c r="AB108" i="1"/>
  <c r="AL117" i="1"/>
  <c r="J155" i="1"/>
  <c r="I155" i="1" s="1"/>
  <c r="O155" i="1"/>
  <c r="L155" i="1"/>
  <c r="K155" i="1"/>
  <c r="AI155" i="1"/>
  <c r="J64" i="1"/>
  <c r="I64" i="1" s="1"/>
  <c r="AL64" i="1"/>
  <c r="T64" i="1"/>
  <c r="L66" i="1"/>
  <c r="J66" i="1"/>
  <c r="I66" i="1" s="1"/>
  <c r="AI66" i="1"/>
  <c r="L67" i="1"/>
  <c r="K67" i="1"/>
  <c r="J67" i="1"/>
  <c r="I67" i="1" s="1"/>
  <c r="L71" i="1"/>
  <c r="K71" i="1"/>
  <c r="J71" i="1"/>
  <c r="I71" i="1" s="1"/>
  <c r="K73" i="1"/>
  <c r="X76" i="1"/>
  <c r="X80" i="1"/>
  <c r="X84" i="1"/>
  <c r="K85" i="1"/>
  <c r="J85" i="1"/>
  <c r="I85" i="1" s="1"/>
  <c r="AI85" i="1"/>
  <c r="O85" i="1"/>
  <c r="K92" i="1"/>
  <c r="AL92" i="1"/>
  <c r="T92" i="1"/>
  <c r="AI95" i="1"/>
  <c r="X100" i="1"/>
  <c r="K101" i="1"/>
  <c r="J101" i="1"/>
  <c r="I101" i="1" s="1"/>
  <c r="AI101" i="1"/>
  <c r="O101" i="1"/>
  <c r="U112" i="1"/>
  <c r="V112" i="1" s="1"/>
  <c r="T31" i="1"/>
  <c r="T35" i="1"/>
  <c r="AL66" i="1"/>
  <c r="T66" i="1"/>
  <c r="AL70" i="1"/>
  <c r="T70" i="1"/>
  <c r="AI88" i="1"/>
  <c r="O88" i="1"/>
  <c r="L88" i="1"/>
  <c r="O91" i="1"/>
  <c r="L91" i="1"/>
  <c r="K91" i="1"/>
  <c r="J91" i="1"/>
  <c r="I91" i="1" s="1"/>
  <c r="AI104" i="1"/>
  <c r="O104" i="1"/>
  <c r="L104" i="1"/>
  <c r="O107" i="1"/>
  <c r="L107" i="1"/>
  <c r="K107" i="1"/>
  <c r="J107" i="1"/>
  <c r="I107" i="1" s="1"/>
  <c r="O114" i="1"/>
  <c r="L114" i="1"/>
  <c r="AI114" i="1"/>
  <c r="K114" i="1"/>
  <c r="J114" i="1"/>
  <c r="I114" i="1" s="1"/>
  <c r="R120" i="1"/>
  <c r="P120" i="1" s="1"/>
  <c r="S120" i="1" s="1"/>
  <c r="M120" i="1" s="1"/>
  <c r="N120" i="1" s="1"/>
  <c r="AB120" i="1"/>
  <c r="U132" i="1"/>
  <c r="V132" i="1" s="1"/>
  <c r="L75" i="1"/>
  <c r="K75" i="1"/>
  <c r="J75" i="1"/>
  <c r="I75" i="1" s="1"/>
  <c r="K81" i="1"/>
  <c r="J81" i="1"/>
  <c r="I81" i="1" s="1"/>
  <c r="U81" i="1" s="1"/>
  <c r="V81" i="1" s="1"/>
  <c r="AI81" i="1"/>
  <c r="O81" i="1"/>
  <c r="K88" i="1"/>
  <c r="AL88" i="1"/>
  <c r="T88" i="1"/>
  <c r="AI91" i="1"/>
  <c r="X96" i="1"/>
  <c r="K97" i="1"/>
  <c r="J97" i="1"/>
  <c r="I97" i="1" s="1"/>
  <c r="AI97" i="1"/>
  <c r="O97" i="1"/>
  <c r="K104" i="1"/>
  <c r="AL104" i="1"/>
  <c r="T104" i="1"/>
  <c r="AI107" i="1"/>
  <c r="AL108" i="1"/>
  <c r="AB118" i="1"/>
  <c r="AL118" i="1"/>
  <c r="T118" i="1"/>
  <c r="AL126" i="1"/>
  <c r="T126" i="1"/>
  <c r="L129" i="1"/>
  <c r="K129" i="1"/>
  <c r="J129" i="1"/>
  <c r="I129" i="1" s="1"/>
  <c r="O129" i="1"/>
  <c r="AI129" i="1"/>
  <c r="L108" i="1"/>
  <c r="U113" i="1"/>
  <c r="V113" i="1" s="1"/>
  <c r="AC113" i="1" s="1"/>
  <c r="J115" i="1"/>
  <c r="I115" i="1" s="1"/>
  <c r="R119" i="1"/>
  <c r="P119" i="1" s="1"/>
  <c r="S119" i="1" s="1"/>
  <c r="M119" i="1" s="1"/>
  <c r="N119" i="1" s="1"/>
  <c r="AL131" i="1"/>
  <c r="T131" i="1"/>
  <c r="U154" i="1"/>
  <c r="V154" i="1" s="1"/>
  <c r="AI74" i="1"/>
  <c r="AI78" i="1"/>
  <c r="AI82" i="1"/>
  <c r="AI86" i="1"/>
  <c r="AI90" i="1"/>
  <c r="AI94" i="1"/>
  <c r="AI98" i="1"/>
  <c r="AI102" i="1"/>
  <c r="AI106" i="1"/>
  <c r="T109" i="1"/>
  <c r="AB109" i="1"/>
  <c r="O110" i="1"/>
  <c r="AI110" i="1"/>
  <c r="U111" i="1"/>
  <c r="V111" i="1" s="1"/>
  <c r="J112" i="1"/>
  <c r="I112" i="1" s="1"/>
  <c r="K115" i="1"/>
  <c r="K123" i="1"/>
  <c r="J123" i="1"/>
  <c r="I123" i="1" s="1"/>
  <c r="AI123" i="1"/>
  <c r="O123" i="1"/>
  <c r="L139" i="1"/>
  <c r="K139" i="1"/>
  <c r="J139" i="1"/>
  <c r="I139" i="1" s="1"/>
  <c r="O139" i="1"/>
  <c r="U140" i="1"/>
  <c r="V140" i="1" s="1"/>
  <c r="R143" i="1"/>
  <c r="P143" i="1" s="1"/>
  <c r="S143" i="1" s="1"/>
  <c r="M143" i="1" s="1"/>
  <c r="N143" i="1" s="1"/>
  <c r="AB143" i="1"/>
  <c r="T67" i="1"/>
  <c r="T71" i="1"/>
  <c r="J74" i="1"/>
  <c r="I74" i="1" s="1"/>
  <c r="T75" i="1"/>
  <c r="J78" i="1"/>
  <c r="I78" i="1" s="1"/>
  <c r="T79" i="1"/>
  <c r="J82" i="1"/>
  <c r="I82" i="1" s="1"/>
  <c r="T83" i="1"/>
  <c r="J86" i="1"/>
  <c r="I86" i="1" s="1"/>
  <c r="T87" i="1"/>
  <c r="J90" i="1"/>
  <c r="I90" i="1" s="1"/>
  <c r="T91" i="1"/>
  <c r="J94" i="1"/>
  <c r="I94" i="1" s="1"/>
  <c r="T95" i="1"/>
  <c r="J98" i="1"/>
  <c r="I98" i="1" s="1"/>
  <c r="T99" i="1"/>
  <c r="J102" i="1"/>
  <c r="I102" i="1" s="1"/>
  <c r="T103" i="1"/>
  <c r="J106" i="1"/>
  <c r="I106" i="1" s="1"/>
  <c r="T107" i="1"/>
  <c r="L109" i="1"/>
  <c r="L112" i="1"/>
  <c r="AI112" i="1"/>
  <c r="L115" i="1"/>
  <c r="U115" i="1"/>
  <c r="V115" i="1" s="1"/>
  <c r="J116" i="1"/>
  <c r="I116" i="1" s="1"/>
  <c r="K117" i="1"/>
  <c r="K119" i="1"/>
  <c r="AE124" i="1"/>
  <c r="L125" i="1"/>
  <c r="K125" i="1"/>
  <c r="O125" i="1"/>
  <c r="AI125" i="1"/>
  <c r="J125" i="1"/>
  <c r="I125" i="1" s="1"/>
  <c r="L173" i="1"/>
  <c r="K173" i="1"/>
  <c r="J173" i="1"/>
  <c r="I173" i="1" s="1"/>
  <c r="AI173" i="1"/>
  <c r="O173" i="1"/>
  <c r="AL110" i="1"/>
  <c r="T110" i="1"/>
  <c r="O118" i="1"/>
  <c r="L118" i="1"/>
  <c r="AB130" i="1"/>
  <c r="X135" i="1"/>
  <c r="U144" i="1"/>
  <c r="V144" i="1" s="1"/>
  <c r="U148" i="1"/>
  <c r="V148" i="1" s="1"/>
  <c r="AC148" i="1" s="1"/>
  <c r="AB168" i="1"/>
  <c r="T82" i="1"/>
  <c r="T86" i="1"/>
  <c r="T90" i="1"/>
  <c r="T94" i="1"/>
  <c r="T98" i="1"/>
  <c r="T102" i="1"/>
  <c r="T106" i="1"/>
  <c r="O115" i="1"/>
  <c r="AI117" i="1"/>
  <c r="K118" i="1"/>
  <c r="AI118" i="1"/>
  <c r="AI122" i="1"/>
  <c r="O122" i="1"/>
  <c r="L122" i="1"/>
  <c r="U123" i="1"/>
  <c r="V123" i="1" s="1"/>
  <c r="AC124" i="1"/>
  <c r="J110" i="1"/>
  <c r="I110" i="1" s="1"/>
  <c r="O112" i="1"/>
  <c r="AL114" i="1"/>
  <c r="T114" i="1"/>
  <c r="X116" i="1"/>
  <c r="O117" i="1"/>
  <c r="O119" i="1"/>
  <c r="K122" i="1"/>
  <c r="AL122" i="1"/>
  <c r="T122" i="1"/>
  <c r="L126" i="1"/>
  <c r="AI126" i="1"/>
  <c r="O126" i="1"/>
  <c r="K126" i="1"/>
  <c r="AL130" i="1"/>
  <c r="T130" i="1"/>
  <c r="R132" i="1"/>
  <c r="P132" i="1" s="1"/>
  <c r="S132" i="1" s="1"/>
  <c r="M132" i="1" s="1"/>
  <c r="N132" i="1" s="1"/>
  <c r="AB132" i="1"/>
  <c r="L146" i="1"/>
  <c r="K146" i="1"/>
  <c r="O146" i="1"/>
  <c r="AI146" i="1"/>
  <c r="J146" i="1"/>
  <c r="I146" i="1" s="1"/>
  <c r="U139" i="1"/>
  <c r="V139" i="1" s="1"/>
  <c r="AC139" i="1" s="1"/>
  <c r="AB160" i="1"/>
  <c r="AI135" i="1"/>
  <c r="O135" i="1"/>
  <c r="L135" i="1"/>
  <c r="R136" i="1"/>
  <c r="P136" i="1" s="1"/>
  <c r="S136" i="1" s="1"/>
  <c r="M136" i="1" s="1"/>
  <c r="N136" i="1" s="1"/>
  <c r="T153" i="1"/>
  <c r="AL153" i="1"/>
  <c r="AI182" i="1"/>
  <c r="L182" i="1"/>
  <c r="K182" i="1"/>
  <c r="J182" i="1"/>
  <c r="I182" i="1" s="1"/>
  <c r="O182" i="1"/>
  <c r="T121" i="1"/>
  <c r="R124" i="1"/>
  <c r="P124" i="1" s="1"/>
  <c r="S124" i="1" s="1"/>
  <c r="M124" i="1" s="1"/>
  <c r="N124" i="1" s="1"/>
  <c r="K135" i="1"/>
  <c r="AL135" i="1"/>
  <c r="T135" i="1"/>
  <c r="U155" i="1"/>
  <c r="V155" i="1" s="1"/>
  <c r="AB183" i="1"/>
  <c r="AL125" i="1"/>
  <c r="J127" i="1"/>
  <c r="I127" i="1" s="1"/>
  <c r="U127" i="1" s="1"/>
  <c r="V127" i="1" s="1"/>
  <c r="O134" i="1"/>
  <c r="L134" i="1"/>
  <c r="K134" i="1"/>
  <c r="J134" i="1"/>
  <c r="I134" i="1" s="1"/>
  <c r="U136" i="1"/>
  <c r="V136" i="1" s="1"/>
  <c r="AB140" i="1"/>
  <c r="R140" i="1"/>
  <c r="P140" i="1" s="1"/>
  <c r="S140" i="1" s="1"/>
  <c r="M140" i="1" s="1"/>
  <c r="N140" i="1" s="1"/>
  <c r="X146" i="1"/>
  <c r="L138" i="1"/>
  <c r="AI138" i="1"/>
  <c r="O138" i="1"/>
  <c r="K138" i="1"/>
  <c r="J138" i="1"/>
  <c r="I138" i="1" s="1"/>
  <c r="L150" i="1"/>
  <c r="K150" i="1"/>
  <c r="AI150" i="1"/>
  <c r="J150" i="1"/>
  <c r="I150" i="1" s="1"/>
  <c r="U152" i="1"/>
  <c r="V152" i="1" s="1"/>
  <c r="AB154" i="1"/>
  <c r="R154" i="1"/>
  <c r="P154" i="1" s="1"/>
  <c r="S154" i="1" s="1"/>
  <c r="AL156" i="1"/>
  <c r="T156" i="1"/>
  <c r="U159" i="1"/>
  <c r="V159" i="1" s="1"/>
  <c r="R159" i="1" s="1"/>
  <c r="P159" i="1" s="1"/>
  <c r="S159" i="1" s="1"/>
  <c r="M159" i="1" s="1"/>
  <c r="N159" i="1" s="1"/>
  <c r="L163" i="1"/>
  <c r="AI163" i="1"/>
  <c r="K163" i="1"/>
  <c r="J163" i="1"/>
  <c r="I163" i="1" s="1"/>
  <c r="O163" i="1"/>
  <c r="AL165" i="1"/>
  <c r="T165" i="1"/>
  <c r="L127" i="1"/>
  <c r="AI131" i="1"/>
  <c r="O131" i="1"/>
  <c r="L131" i="1"/>
  <c r="AL138" i="1"/>
  <c r="T138" i="1"/>
  <c r="U145" i="1"/>
  <c r="V145" i="1" s="1"/>
  <c r="AL150" i="1"/>
  <c r="O151" i="1"/>
  <c r="L151" i="1"/>
  <c r="AI151" i="1"/>
  <c r="K151" i="1"/>
  <c r="J151" i="1"/>
  <c r="I151" i="1" s="1"/>
  <c r="U151" i="1" s="1"/>
  <c r="V151" i="1" s="1"/>
  <c r="AB156" i="1"/>
  <c r="AL159" i="1"/>
  <c r="U143" i="1"/>
  <c r="V143" i="1" s="1"/>
  <c r="L158" i="1"/>
  <c r="K158" i="1"/>
  <c r="AL163" i="1"/>
  <c r="T163" i="1"/>
  <c r="AB176" i="1"/>
  <c r="AI137" i="1"/>
  <c r="AL139" i="1"/>
  <c r="L142" i="1"/>
  <c r="K142" i="1"/>
  <c r="K143" i="1"/>
  <c r="AI143" i="1"/>
  <c r="U147" i="1"/>
  <c r="V147" i="1" s="1"/>
  <c r="AC147" i="1" s="1"/>
  <c r="J158" i="1"/>
  <c r="I158" i="1" s="1"/>
  <c r="L161" i="1"/>
  <c r="AI161" i="1"/>
  <c r="K161" i="1"/>
  <c r="J161" i="1"/>
  <c r="I161" i="1" s="1"/>
  <c r="O161" i="1"/>
  <c r="U164" i="1"/>
  <c r="V164" i="1" s="1"/>
  <c r="U183" i="1"/>
  <c r="V183" i="1" s="1"/>
  <c r="AB191" i="1"/>
  <c r="J133" i="1"/>
  <c r="I133" i="1" s="1"/>
  <c r="T134" i="1"/>
  <c r="J137" i="1"/>
  <c r="I137" i="1" s="1"/>
  <c r="J141" i="1"/>
  <c r="I141" i="1" s="1"/>
  <c r="AI141" i="1"/>
  <c r="AI142" i="1"/>
  <c r="L143" i="1"/>
  <c r="K147" i="1"/>
  <c r="AI147" i="1"/>
  <c r="J157" i="1"/>
  <c r="I157" i="1" s="1"/>
  <c r="U157" i="1" s="1"/>
  <c r="V157" i="1" s="1"/>
  <c r="AI157" i="1"/>
  <c r="X158" i="1"/>
  <c r="AL161" i="1"/>
  <c r="T161" i="1"/>
  <c r="AI128" i="1"/>
  <c r="AI132" i="1"/>
  <c r="K133" i="1"/>
  <c r="AI136" i="1"/>
  <c r="K137" i="1"/>
  <c r="X144" i="1"/>
  <c r="J145" i="1"/>
  <c r="I145" i="1" s="1"/>
  <c r="AI145" i="1"/>
  <c r="L147" i="1"/>
  <c r="K152" i="1"/>
  <c r="AI152" i="1"/>
  <c r="L154" i="1"/>
  <c r="K154" i="1"/>
  <c r="U162" i="1"/>
  <c r="V162" i="1" s="1"/>
  <c r="AL162" i="1"/>
  <c r="R164" i="1"/>
  <c r="P164" i="1" s="1"/>
  <c r="S164" i="1" s="1"/>
  <c r="L177" i="1"/>
  <c r="K177" i="1"/>
  <c r="J177" i="1"/>
  <c r="I177" i="1" s="1"/>
  <c r="AI177" i="1"/>
  <c r="AB181" i="1"/>
  <c r="AC193" i="1"/>
  <c r="T125" i="1"/>
  <c r="T129" i="1"/>
  <c r="T133" i="1"/>
  <c r="T137" i="1"/>
  <c r="O142" i="1"/>
  <c r="AL142" i="1"/>
  <c r="X148" i="1"/>
  <c r="J149" i="1"/>
  <c r="I149" i="1" s="1"/>
  <c r="U149" i="1" s="1"/>
  <c r="V149" i="1" s="1"/>
  <c r="AI149" i="1"/>
  <c r="AC155" i="1"/>
  <c r="O158" i="1"/>
  <c r="AL168" i="1"/>
  <c r="T168" i="1"/>
  <c r="L186" i="1"/>
  <c r="AI186" i="1"/>
  <c r="K186" i="1"/>
  <c r="J186" i="1"/>
  <c r="I186" i="1" s="1"/>
  <c r="O186" i="1"/>
  <c r="R189" i="1"/>
  <c r="P189" i="1" s="1"/>
  <c r="S189" i="1" s="1"/>
  <c r="M189" i="1" s="1"/>
  <c r="N189" i="1" s="1"/>
  <c r="AB189" i="1"/>
  <c r="AL146" i="1"/>
  <c r="X152" i="1"/>
  <c r="J153" i="1"/>
  <c r="I153" i="1" s="1"/>
  <c r="AI153" i="1"/>
  <c r="X154" i="1"/>
  <c r="O156" i="1"/>
  <c r="L156" i="1"/>
  <c r="K159" i="1"/>
  <c r="X160" i="1"/>
  <c r="AL160" i="1"/>
  <c r="T160" i="1"/>
  <c r="R162" i="1"/>
  <c r="P162" i="1" s="1"/>
  <c r="S162" i="1" s="1"/>
  <c r="L165" i="1"/>
  <c r="AI165" i="1"/>
  <c r="K165" i="1"/>
  <c r="J165" i="1"/>
  <c r="I165" i="1" s="1"/>
  <c r="O165" i="1"/>
  <c r="AL166" i="1"/>
  <c r="T166" i="1"/>
  <c r="L169" i="1"/>
  <c r="K169" i="1"/>
  <c r="J169" i="1"/>
  <c r="I169" i="1" s="1"/>
  <c r="AI169" i="1"/>
  <c r="AL172" i="1"/>
  <c r="T172" i="1"/>
  <c r="AB180" i="1"/>
  <c r="AB187" i="1"/>
  <c r="L184" i="1"/>
  <c r="AI184" i="1"/>
  <c r="K184" i="1"/>
  <c r="J184" i="1"/>
  <c r="I184" i="1" s="1"/>
  <c r="O184" i="1"/>
  <c r="K162" i="1"/>
  <c r="K164" i="1"/>
  <c r="L167" i="1"/>
  <c r="J167" i="1"/>
  <c r="I167" i="1" s="1"/>
  <c r="AL169" i="1"/>
  <c r="AB172" i="1"/>
  <c r="AL173" i="1"/>
  <c r="O179" i="1"/>
  <c r="L179" i="1"/>
  <c r="J179" i="1"/>
  <c r="I179" i="1" s="1"/>
  <c r="R185" i="1"/>
  <c r="P185" i="1" s="1"/>
  <c r="S185" i="1" s="1"/>
  <c r="M185" i="1" s="1"/>
  <c r="N185" i="1" s="1"/>
  <c r="AB185" i="1"/>
  <c r="U189" i="1"/>
  <c r="V189" i="1" s="1"/>
  <c r="T142" i="1"/>
  <c r="T146" i="1"/>
  <c r="T150" i="1"/>
  <c r="AL167" i="1"/>
  <c r="T167" i="1"/>
  <c r="O171" i="1"/>
  <c r="L171" i="1"/>
  <c r="J171" i="1"/>
  <c r="I171" i="1" s="1"/>
  <c r="O175" i="1"/>
  <c r="L175" i="1"/>
  <c r="J175" i="1"/>
  <c r="I175" i="1" s="1"/>
  <c r="AL179" i="1"/>
  <c r="T179" i="1"/>
  <c r="AL180" i="1"/>
  <c r="T180" i="1"/>
  <c r="AL171" i="1"/>
  <c r="T171" i="1"/>
  <c r="AL175" i="1"/>
  <c r="T175" i="1"/>
  <c r="AL176" i="1"/>
  <c r="T176" i="1"/>
  <c r="AL181" i="1"/>
  <c r="U185" i="1"/>
  <c r="V185" i="1" s="1"/>
  <c r="AC185" i="1" s="1"/>
  <c r="AB193" i="1"/>
  <c r="R193" i="1"/>
  <c r="P193" i="1" s="1"/>
  <c r="S193" i="1" s="1"/>
  <c r="M193" i="1" s="1"/>
  <c r="N193" i="1" s="1"/>
  <c r="U193" i="1"/>
  <c r="V193" i="1" s="1"/>
  <c r="AL182" i="1"/>
  <c r="T182" i="1"/>
  <c r="X184" i="1"/>
  <c r="AL184" i="1"/>
  <c r="T184" i="1"/>
  <c r="X186" i="1"/>
  <c r="AL186" i="1"/>
  <c r="T186" i="1"/>
  <c r="AL187" i="1"/>
  <c r="AB195" i="1"/>
  <c r="AL199" i="1"/>
  <c r="AL205" i="1"/>
  <c r="T205" i="1"/>
  <c r="R211" i="1"/>
  <c r="P211" i="1" s="1"/>
  <c r="S211" i="1" s="1"/>
  <c r="M211" i="1" s="1"/>
  <c r="N211" i="1" s="1"/>
  <c r="AB211" i="1"/>
  <c r="L200" i="1"/>
  <c r="K200" i="1"/>
  <c r="J200" i="1"/>
  <c r="I200" i="1" s="1"/>
  <c r="AI200" i="1"/>
  <c r="AB203" i="1"/>
  <c r="J166" i="1"/>
  <c r="I166" i="1" s="1"/>
  <c r="J170" i="1"/>
  <c r="I170" i="1" s="1"/>
  <c r="J174" i="1"/>
  <c r="I174" i="1" s="1"/>
  <c r="J178" i="1"/>
  <c r="I178" i="1" s="1"/>
  <c r="AI188" i="1"/>
  <c r="L190" i="1"/>
  <c r="J190" i="1"/>
  <c r="I190" i="1" s="1"/>
  <c r="L192" i="1"/>
  <c r="J192" i="1"/>
  <c r="I192" i="1" s="1"/>
  <c r="AI192" i="1"/>
  <c r="O201" i="1"/>
  <c r="L201" i="1"/>
  <c r="K201" i="1"/>
  <c r="J201" i="1"/>
  <c r="I201" i="1" s="1"/>
  <c r="AI201" i="1"/>
  <c r="K174" i="1"/>
  <c r="O176" i="1"/>
  <c r="K178" i="1"/>
  <c r="O180" i="1"/>
  <c r="AI181" i="1"/>
  <c r="T187" i="1"/>
  <c r="AL190" i="1"/>
  <c r="T190" i="1"/>
  <c r="AL191" i="1"/>
  <c r="T191" i="1"/>
  <c r="AL192" i="1"/>
  <c r="T192" i="1"/>
  <c r="AI198" i="1"/>
  <c r="O198" i="1"/>
  <c r="L198" i="1"/>
  <c r="J198" i="1"/>
  <c r="I198" i="1" s="1"/>
  <c r="O200" i="1"/>
  <c r="AB206" i="1"/>
  <c r="T170" i="1"/>
  <c r="K183" i="1"/>
  <c r="K185" i="1"/>
  <c r="K187" i="1"/>
  <c r="J188" i="1"/>
  <c r="I188" i="1" s="1"/>
  <c r="AL188" i="1"/>
  <c r="T188" i="1"/>
  <c r="L196" i="1"/>
  <c r="K196" i="1"/>
  <c r="J196" i="1"/>
  <c r="I196" i="1" s="1"/>
  <c r="AI196" i="1"/>
  <c r="AL198" i="1"/>
  <c r="T198" i="1"/>
  <c r="AI194" i="1"/>
  <c r="O194" i="1"/>
  <c r="L194" i="1"/>
  <c r="J194" i="1"/>
  <c r="I194" i="1" s="1"/>
  <c r="AB202" i="1"/>
  <c r="AL203" i="1"/>
  <c r="T203" i="1"/>
  <c r="AL210" i="1"/>
  <c r="T210" i="1"/>
  <c r="AB214" i="1"/>
  <c r="AB226" i="1"/>
  <c r="T169" i="1"/>
  <c r="T173" i="1"/>
  <c r="T177" i="1"/>
  <c r="T181" i="1"/>
  <c r="AI183" i="1"/>
  <c r="AI185" i="1"/>
  <c r="AI187" i="1"/>
  <c r="K192" i="1"/>
  <c r="AL194" i="1"/>
  <c r="T194" i="1"/>
  <c r="L191" i="1"/>
  <c r="L195" i="1"/>
  <c r="T195" i="1"/>
  <c r="L199" i="1"/>
  <c r="T199" i="1"/>
  <c r="K202" i="1"/>
  <c r="T202" i="1"/>
  <c r="U207" i="1"/>
  <c r="V207" i="1" s="1"/>
  <c r="R207" i="1" s="1"/>
  <c r="P207" i="1" s="1"/>
  <c r="S207" i="1" s="1"/>
  <c r="M207" i="1" s="1"/>
  <c r="N207" i="1" s="1"/>
  <c r="AL209" i="1"/>
  <c r="T209" i="1"/>
  <c r="O210" i="1"/>
  <c r="L210" i="1"/>
  <c r="J197" i="1"/>
  <c r="I197" i="1" s="1"/>
  <c r="U211" i="1"/>
  <c r="V211" i="1" s="1"/>
  <c r="O191" i="1"/>
  <c r="O195" i="1"/>
  <c r="O199" i="1"/>
  <c r="AI202" i="1"/>
  <c r="AL208" i="1"/>
  <c r="T208" i="1"/>
  <c r="R215" i="1"/>
  <c r="P215" i="1" s="1"/>
  <c r="S215" i="1" s="1"/>
  <c r="M215" i="1" s="1"/>
  <c r="N215" i="1" s="1"/>
  <c r="R223" i="1"/>
  <c r="P223" i="1" s="1"/>
  <c r="S223" i="1" s="1"/>
  <c r="M223" i="1" s="1"/>
  <c r="N223" i="1" s="1"/>
  <c r="L229" i="1"/>
  <c r="K229" i="1"/>
  <c r="J229" i="1"/>
  <c r="I229" i="1" s="1"/>
  <c r="AI229" i="1"/>
  <c r="O229" i="1"/>
  <c r="X202" i="1"/>
  <c r="AL204" i="1"/>
  <c r="T204" i="1"/>
  <c r="J210" i="1"/>
  <c r="I210" i="1" s="1"/>
  <c r="L213" i="1"/>
  <c r="J213" i="1"/>
  <c r="I213" i="1" s="1"/>
  <c r="AI213" i="1"/>
  <c r="L225" i="1"/>
  <c r="K225" i="1"/>
  <c r="J225" i="1"/>
  <c r="I225" i="1" s="1"/>
  <c r="AI225" i="1"/>
  <c r="O225" i="1"/>
  <c r="X226" i="1"/>
  <c r="AL206" i="1"/>
  <c r="T206" i="1"/>
  <c r="L209" i="1"/>
  <c r="J209" i="1"/>
  <c r="I209" i="1" s="1"/>
  <c r="X214" i="1"/>
  <c r="L217" i="1"/>
  <c r="K217" i="1"/>
  <c r="J217" i="1"/>
  <c r="I217" i="1" s="1"/>
  <c r="AI217" i="1"/>
  <c r="O217" i="1"/>
  <c r="X218" i="1"/>
  <c r="L221" i="1"/>
  <c r="K221" i="1"/>
  <c r="J221" i="1"/>
  <c r="I221" i="1" s="1"/>
  <c r="AI221" i="1"/>
  <c r="O221" i="1"/>
  <c r="X222" i="1"/>
  <c r="T196" i="1"/>
  <c r="J199" i="1"/>
  <c r="I199" i="1" s="1"/>
  <c r="T200" i="1"/>
  <c r="L205" i="1"/>
  <c r="J205" i="1"/>
  <c r="I205" i="1" s="1"/>
  <c r="K206" i="1"/>
  <c r="X206" i="1"/>
  <c r="AI209" i="1"/>
  <c r="O226" i="1"/>
  <c r="L226" i="1"/>
  <c r="K226" i="1"/>
  <c r="AI226" i="1"/>
  <c r="U227" i="1"/>
  <c r="V227" i="1" s="1"/>
  <c r="AB208" i="1"/>
  <c r="AI210" i="1"/>
  <c r="O214" i="1"/>
  <c r="L214" i="1"/>
  <c r="K214" i="1"/>
  <c r="AI214" i="1"/>
  <c r="U215" i="1"/>
  <c r="V215" i="1" s="1"/>
  <c r="O218" i="1"/>
  <c r="L218" i="1"/>
  <c r="K218" i="1"/>
  <c r="AI218" i="1"/>
  <c r="U219" i="1"/>
  <c r="V219" i="1" s="1"/>
  <c r="O222" i="1"/>
  <c r="L222" i="1"/>
  <c r="K222" i="1"/>
  <c r="AI222" i="1"/>
  <c r="U223" i="1"/>
  <c r="V223" i="1" s="1"/>
  <c r="T214" i="1"/>
  <c r="T218" i="1"/>
  <c r="T222" i="1"/>
  <c r="T226" i="1"/>
  <c r="AI228" i="1"/>
  <c r="J212" i="1"/>
  <c r="I212" i="1" s="1"/>
  <c r="T213" i="1"/>
  <c r="J216" i="1"/>
  <c r="I216" i="1" s="1"/>
  <c r="T217" i="1"/>
  <c r="J220" i="1"/>
  <c r="I220" i="1" s="1"/>
  <c r="T221" i="1"/>
  <c r="J224" i="1"/>
  <c r="I224" i="1" s="1"/>
  <c r="T225" i="1"/>
  <c r="J228" i="1"/>
  <c r="I228" i="1" s="1"/>
  <c r="T229" i="1"/>
  <c r="K224" i="1"/>
  <c r="AI227" i="1"/>
  <c r="K228" i="1"/>
  <c r="T212" i="1"/>
  <c r="T216" i="1"/>
  <c r="T220" i="1"/>
  <c r="T224" i="1"/>
  <c r="T228" i="1"/>
  <c r="W30" i="1" l="1"/>
  <c r="AA30" i="1" s="1"/>
  <c r="AD30" i="1"/>
  <c r="AC30" i="1"/>
  <c r="W24" i="1"/>
  <c r="AA24" i="1" s="1"/>
  <c r="AD24" i="1"/>
  <c r="AC24" i="1"/>
  <c r="AD59" i="1"/>
  <c r="AE59" i="1" s="1"/>
  <c r="W59" i="1"/>
  <c r="AA59" i="1" s="1"/>
  <c r="AC59" i="1"/>
  <c r="W127" i="1"/>
  <c r="AA127" i="1" s="1"/>
  <c r="AD127" i="1"/>
  <c r="AC127" i="1"/>
  <c r="W77" i="1"/>
  <c r="AA77" i="1" s="1"/>
  <c r="AD77" i="1"/>
  <c r="AC77" i="1"/>
  <c r="W149" i="1"/>
  <c r="AA149" i="1" s="1"/>
  <c r="AD149" i="1"/>
  <c r="AC149" i="1"/>
  <c r="W81" i="1"/>
  <c r="AA81" i="1" s="1"/>
  <c r="AD81" i="1"/>
  <c r="AC81" i="1"/>
  <c r="W47" i="1"/>
  <c r="AA47" i="1" s="1"/>
  <c r="AD47" i="1"/>
  <c r="AE47" i="1" s="1"/>
  <c r="AC47" i="1"/>
  <c r="AD157" i="1"/>
  <c r="W157" i="1"/>
  <c r="AA157" i="1" s="1"/>
  <c r="AC157" i="1"/>
  <c r="W54" i="1"/>
  <c r="AA54" i="1" s="1"/>
  <c r="AD54" i="1"/>
  <c r="AC54" i="1"/>
  <c r="W18" i="1"/>
  <c r="AA18" i="1" s="1"/>
  <c r="AD18" i="1"/>
  <c r="AC18" i="1"/>
  <c r="AC17" i="1"/>
  <c r="W17" i="1"/>
  <c r="AA17" i="1" s="1"/>
  <c r="AD17" i="1"/>
  <c r="AD43" i="1"/>
  <c r="W43" i="1"/>
  <c r="AA43" i="1" s="1"/>
  <c r="AC43" i="1"/>
  <c r="AC51" i="1"/>
  <c r="W51" i="1"/>
  <c r="AA51" i="1" s="1"/>
  <c r="AD51" i="1"/>
  <c r="W50" i="1"/>
  <c r="AA50" i="1" s="1"/>
  <c r="AD50" i="1"/>
  <c r="AC50" i="1"/>
  <c r="AD151" i="1"/>
  <c r="W151" i="1"/>
  <c r="AA151" i="1" s="1"/>
  <c r="AC151" i="1"/>
  <c r="AB225" i="1"/>
  <c r="U182" i="1"/>
  <c r="V182" i="1" s="1"/>
  <c r="AD183" i="1"/>
  <c r="W183" i="1"/>
  <c r="AA183" i="1" s="1"/>
  <c r="U138" i="1"/>
  <c r="V138" i="1" s="1"/>
  <c r="U98" i="1"/>
  <c r="V98" i="1" s="1"/>
  <c r="W112" i="1"/>
  <c r="AA112" i="1" s="1"/>
  <c r="AD112" i="1"/>
  <c r="AC112" i="1"/>
  <c r="U72" i="1"/>
  <c r="V72" i="1" s="1"/>
  <c r="U216" i="1"/>
  <c r="V216" i="1" s="1"/>
  <c r="AB224" i="1"/>
  <c r="U226" i="1"/>
  <c r="V226" i="1" s="1"/>
  <c r="AB210" i="1"/>
  <c r="R210" i="1"/>
  <c r="P210" i="1" s="1"/>
  <c r="S210" i="1" s="1"/>
  <c r="M210" i="1" s="1"/>
  <c r="N210" i="1" s="1"/>
  <c r="AD211" i="1"/>
  <c r="AC211" i="1"/>
  <c r="W211" i="1"/>
  <c r="AA211" i="1" s="1"/>
  <c r="AB188" i="1"/>
  <c r="U205" i="1"/>
  <c r="V205" i="1" s="1"/>
  <c r="U142" i="1"/>
  <c r="V142" i="1" s="1"/>
  <c r="AB184" i="1"/>
  <c r="M162" i="1"/>
  <c r="N162" i="1" s="1"/>
  <c r="AD162" i="1"/>
  <c r="W162" i="1"/>
  <c r="AA162" i="1" s="1"/>
  <c r="AC162" i="1"/>
  <c r="R145" i="1"/>
  <c r="P145" i="1" s="1"/>
  <c r="S145" i="1" s="1"/>
  <c r="M145" i="1" s="1"/>
  <c r="N145" i="1" s="1"/>
  <c r="AB145" i="1"/>
  <c r="AC159" i="1"/>
  <c r="AB163" i="1"/>
  <c r="U94" i="1"/>
  <c r="V94" i="1" s="1"/>
  <c r="W144" i="1"/>
  <c r="AA144" i="1" s="1"/>
  <c r="AD144" i="1"/>
  <c r="AE144" i="1" s="1"/>
  <c r="R144" i="1"/>
  <c r="P144" i="1" s="1"/>
  <c r="S144" i="1" s="1"/>
  <c r="M144" i="1" s="1"/>
  <c r="N144" i="1" s="1"/>
  <c r="AC144" i="1"/>
  <c r="U107" i="1"/>
  <c r="V107" i="1" s="1"/>
  <c r="R107" i="1" s="1"/>
  <c r="P107" i="1" s="1"/>
  <c r="S107" i="1" s="1"/>
  <c r="M107" i="1" s="1"/>
  <c r="N107" i="1" s="1"/>
  <c r="U91" i="1"/>
  <c r="V91" i="1" s="1"/>
  <c r="U75" i="1"/>
  <c r="V75" i="1" s="1"/>
  <c r="U88" i="1"/>
  <c r="V88" i="1" s="1"/>
  <c r="AB75" i="1"/>
  <c r="AB107" i="1"/>
  <c r="R85" i="1"/>
  <c r="P85" i="1" s="1"/>
  <c r="S85" i="1" s="1"/>
  <c r="M85" i="1" s="1"/>
  <c r="N85" i="1" s="1"/>
  <c r="AB85" i="1"/>
  <c r="U85" i="1"/>
  <c r="V85" i="1" s="1"/>
  <c r="AC117" i="1"/>
  <c r="U69" i="1"/>
  <c r="V69" i="1" s="1"/>
  <c r="AB72" i="1"/>
  <c r="AB40" i="1"/>
  <c r="R40" i="1"/>
  <c r="P40" i="1" s="1"/>
  <c r="S40" i="1" s="1"/>
  <c r="M40" i="1" s="1"/>
  <c r="N40" i="1" s="1"/>
  <c r="AB29" i="1"/>
  <c r="AB31" i="1"/>
  <c r="AB121" i="1"/>
  <c r="U68" i="1"/>
  <c r="V68" i="1" s="1"/>
  <c r="R42" i="1"/>
  <c r="P42" i="1" s="1"/>
  <c r="S42" i="1" s="1"/>
  <c r="M42" i="1" s="1"/>
  <c r="N42" i="1" s="1"/>
  <c r="AB42" i="1"/>
  <c r="AB19" i="1"/>
  <c r="AD26" i="1"/>
  <c r="W26" i="1"/>
  <c r="AA26" i="1" s="1"/>
  <c r="U220" i="1"/>
  <c r="V220" i="1" s="1"/>
  <c r="R220" i="1" s="1"/>
  <c r="P220" i="1" s="1"/>
  <c r="S220" i="1" s="1"/>
  <c r="M220" i="1" s="1"/>
  <c r="N220" i="1" s="1"/>
  <c r="AB209" i="1"/>
  <c r="U146" i="1"/>
  <c r="V146" i="1" s="1"/>
  <c r="U114" i="1"/>
  <c r="V114" i="1" s="1"/>
  <c r="W73" i="1"/>
  <c r="AA73" i="1" s="1"/>
  <c r="AD73" i="1"/>
  <c r="AC73" i="1"/>
  <c r="U53" i="1"/>
  <c r="V53" i="1" s="1"/>
  <c r="U37" i="1"/>
  <c r="V37" i="1" s="1"/>
  <c r="U212" i="1"/>
  <c r="V212" i="1" s="1"/>
  <c r="U221" i="1"/>
  <c r="V221" i="1" s="1"/>
  <c r="U222" i="1"/>
  <c r="V222" i="1" s="1"/>
  <c r="W215" i="1"/>
  <c r="AA215" i="1" s="1"/>
  <c r="AD215" i="1"/>
  <c r="AC215" i="1"/>
  <c r="U206" i="1"/>
  <c r="V206" i="1" s="1"/>
  <c r="U204" i="1"/>
  <c r="V204" i="1" s="1"/>
  <c r="U208" i="1"/>
  <c r="V208" i="1" s="1"/>
  <c r="U197" i="1"/>
  <c r="V197" i="1" s="1"/>
  <c r="AB197" i="1"/>
  <c r="R197" i="1"/>
  <c r="P197" i="1" s="1"/>
  <c r="S197" i="1" s="1"/>
  <c r="M197" i="1" s="1"/>
  <c r="N197" i="1" s="1"/>
  <c r="U202" i="1"/>
  <c r="V202" i="1" s="1"/>
  <c r="U181" i="1"/>
  <c r="V181" i="1" s="1"/>
  <c r="U191" i="1"/>
  <c r="V191" i="1" s="1"/>
  <c r="U178" i="1"/>
  <c r="V178" i="1" s="1"/>
  <c r="AB178" i="1"/>
  <c r="R178" i="1"/>
  <c r="P178" i="1" s="1"/>
  <c r="S178" i="1" s="1"/>
  <c r="M178" i="1" s="1"/>
  <c r="N178" i="1" s="1"/>
  <c r="AB200" i="1"/>
  <c r="U186" i="1"/>
  <c r="V186" i="1" s="1"/>
  <c r="U176" i="1"/>
  <c r="V176" i="1" s="1"/>
  <c r="AC183" i="1"/>
  <c r="AB171" i="1"/>
  <c r="AD189" i="1"/>
  <c r="AE189" i="1" s="1"/>
  <c r="AC189" i="1"/>
  <c r="W189" i="1"/>
  <c r="AA189" i="1" s="1"/>
  <c r="U166" i="1"/>
  <c r="V166" i="1" s="1"/>
  <c r="U160" i="1"/>
  <c r="V160" i="1" s="1"/>
  <c r="AB153" i="1"/>
  <c r="AB186" i="1"/>
  <c r="R186" i="1"/>
  <c r="P186" i="1" s="1"/>
  <c r="S186" i="1" s="1"/>
  <c r="M186" i="1" s="1"/>
  <c r="N186" i="1" s="1"/>
  <c r="U137" i="1"/>
  <c r="V137" i="1" s="1"/>
  <c r="R141" i="1"/>
  <c r="P141" i="1" s="1"/>
  <c r="S141" i="1" s="1"/>
  <c r="M141" i="1" s="1"/>
  <c r="N141" i="1" s="1"/>
  <c r="AB141" i="1"/>
  <c r="U141" i="1"/>
  <c r="V141" i="1" s="1"/>
  <c r="AD164" i="1"/>
  <c r="W164" i="1"/>
  <c r="AA164" i="1" s="1"/>
  <c r="AC164" i="1"/>
  <c r="AB158" i="1"/>
  <c r="U158" i="1"/>
  <c r="V158" i="1" s="1"/>
  <c r="R158" i="1"/>
  <c r="P158" i="1" s="1"/>
  <c r="S158" i="1" s="1"/>
  <c r="M158" i="1" s="1"/>
  <c r="N158" i="1" s="1"/>
  <c r="M154" i="1"/>
  <c r="N154" i="1" s="1"/>
  <c r="AD155" i="1"/>
  <c r="W155" i="1"/>
  <c r="AA155" i="1" s="1"/>
  <c r="U122" i="1"/>
  <c r="V122" i="1" s="1"/>
  <c r="U90" i="1"/>
  <c r="V90" i="1" s="1"/>
  <c r="AB106" i="1"/>
  <c r="R106" i="1"/>
  <c r="P106" i="1" s="1"/>
  <c r="S106" i="1" s="1"/>
  <c r="M106" i="1" s="1"/>
  <c r="N106" i="1" s="1"/>
  <c r="AB90" i="1"/>
  <c r="AB74" i="1"/>
  <c r="W140" i="1"/>
  <c r="AA140" i="1" s="1"/>
  <c r="AD140" i="1"/>
  <c r="AC140" i="1"/>
  <c r="R123" i="1"/>
  <c r="P123" i="1" s="1"/>
  <c r="S123" i="1" s="1"/>
  <c r="M123" i="1" s="1"/>
  <c r="N123" i="1" s="1"/>
  <c r="AB123" i="1"/>
  <c r="AB129" i="1"/>
  <c r="AB91" i="1"/>
  <c r="R91" i="1"/>
  <c r="P91" i="1" s="1"/>
  <c r="S91" i="1" s="1"/>
  <c r="M91" i="1" s="1"/>
  <c r="N91" i="1" s="1"/>
  <c r="U70" i="1"/>
  <c r="V70" i="1" s="1"/>
  <c r="AB67" i="1"/>
  <c r="AB64" i="1"/>
  <c r="U105" i="1"/>
  <c r="V105" i="1" s="1"/>
  <c r="AB105" i="1"/>
  <c r="W120" i="1"/>
  <c r="AA120" i="1" s="1"/>
  <c r="AD120" i="1"/>
  <c r="AE120" i="1" s="1"/>
  <c r="U80" i="1"/>
  <c r="V80" i="1" s="1"/>
  <c r="AB100" i="1"/>
  <c r="AB93" i="1"/>
  <c r="U93" i="1"/>
  <c r="V93" i="1" s="1"/>
  <c r="R38" i="1"/>
  <c r="P38" i="1" s="1"/>
  <c r="S38" i="1" s="1"/>
  <c r="M38" i="1" s="1"/>
  <c r="N38" i="1" s="1"/>
  <c r="U38" i="1"/>
  <c r="V38" i="1" s="1"/>
  <c r="AB38" i="1"/>
  <c r="R54" i="1"/>
  <c r="P54" i="1" s="1"/>
  <c r="S54" i="1" s="1"/>
  <c r="M54" i="1" s="1"/>
  <c r="N54" i="1" s="1"/>
  <c r="AB54" i="1"/>
  <c r="W56" i="1"/>
  <c r="AA56" i="1" s="1"/>
  <c r="AD56" i="1"/>
  <c r="AB37" i="1"/>
  <c r="R37" i="1"/>
  <c r="P37" i="1" s="1"/>
  <c r="S37" i="1" s="1"/>
  <c r="M37" i="1" s="1"/>
  <c r="N37" i="1" s="1"/>
  <c r="W32" i="1"/>
  <c r="AA32" i="1" s="1"/>
  <c r="AD32" i="1"/>
  <c r="U19" i="1"/>
  <c r="V19" i="1" s="1"/>
  <c r="R19" i="1" s="1"/>
  <c r="P19" i="1" s="1"/>
  <c r="S19" i="1" s="1"/>
  <c r="M19" i="1" s="1"/>
  <c r="N19" i="1" s="1"/>
  <c r="AC55" i="1"/>
  <c r="AD55" i="1"/>
  <c r="W55" i="1"/>
  <c r="AA55" i="1" s="1"/>
  <c r="AB25" i="1"/>
  <c r="R34" i="1"/>
  <c r="P34" i="1" s="1"/>
  <c r="S34" i="1" s="1"/>
  <c r="M34" i="1" s="1"/>
  <c r="N34" i="1" s="1"/>
  <c r="AB34" i="1"/>
  <c r="AB103" i="1"/>
  <c r="AB55" i="1"/>
  <c r="R55" i="1"/>
  <c r="P55" i="1" s="1"/>
  <c r="S55" i="1" s="1"/>
  <c r="M55" i="1" s="1"/>
  <c r="N55" i="1" s="1"/>
  <c r="AB32" i="1"/>
  <c r="R32" i="1"/>
  <c r="P32" i="1" s="1"/>
  <c r="S32" i="1" s="1"/>
  <c r="M32" i="1" s="1"/>
  <c r="N32" i="1" s="1"/>
  <c r="U196" i="1"/>
  <c r="V196" i="1" s="1"/>
  <c r="U118" i="1"/>
  <c r="V118" i="1" s="1"/>
  <c r="W128" i="1"/>
  <c r="AA128" i="1" s="1"/>
  <c r="AD128" i="1"/>
  <c r="AC128" i="1"/>
  <c r="W58" i="1"/>
  <c r="AA58" i="1" s="1"/>
  <c r="AD58" i="1"/>
  <c r="AC58" i="1"/>
  <c r="AB220" i="1"/>
  <c r="U218" i="1"/>
  <c r="V218" i="1" s="1"/>
  <c r="W227" i="1"/>
  <c r="AA227" i="1" s="1"/>
  <c r="AD227" i="1"/>
  <c r="AE227" i="1" s="1"/>
  <c r="AC227" i="1"/>
  <c r="AB217" i="1"/>
  <c r="R217" i="1"/>
  <c r="P217" i="1" s="1"/>
  <c r="S217" i="1" s="1"/>
  <c r="M217" i="1" s="1"/>
  <c r="N217" i="1" s="1"/>
  <c r="R227" i="1"/>
  <c r="P227" i="1" s="1"/>
  <c r="S227" i="1" s="1"/>
  <c r="M227" i="1" s="1"/>
  <c r="N227" i="1" s="1"/>
  <c r="U177" i="1"/>
  <c r="V177" i="1" s="1"/>
  <c r="U210" i="1"/>
  <c r="V210" i="1" s="1"/>
  <c r="AB194" i="1"/>
  <c r="AB196" i="1"/>
  <c r="R196" i="1"/>
  <c r="P196" i="1" s="1"/>
  <c r="S196" i="1" s="1"/>
  <c r="M196" i="1" s="1"/>
  <c r="N196" i="1" s="1"/>
  <c r="AB198" i="1"/>
  <c r="U174" i="1"/>
  <c r="V174" i="1" s="1"/>
  <c r="AB174" i="1"/>
  <c r="W193" i="1"/>
  <c r="AA193" i="1" s="1"/>
  <c r="AD193" i="1"/>
  <c r="AE193" i="1" s="1"/>
  <c r="U180" i="1"/>
  <c r="V180" i="1" s="1"/>
  <c r="U133" i="1"/>
  <c r="V133" i="1" s="1"/>
  <c r="AB177" i="1"/>
  <c r="AB137" i="1"/>
  <c r="R137" i="1"/>
  <c r="P137" i="1" s="1"/>
  <c r="S137" i="1" s="1"/>
  <c r="M137" i="1" s="1"/>
  <c r="N137" i="1" s="1"/>
  <c r="AD143" i="1"/>
  <c r="AE143" i="1" s="1"/>
  <c r="W143" i="1"/>
  <c r="AA143" i="1" s="1"/>
  <c r="AB138" i="1"/>
  <c r="R138" i="1"/>
  <c r="P138" i="1" s="1"/>
  <c r="S138" i="1" s="1"/>
  <c r="M138" i="1" s="1"/>
  <c r="N138" i="1" s="1"/>
  <c r="AB110" i="1"/>
  <c r="U86" i="1"/>
  <c r="V86" i="1" s="1"/>
  <c r="U110" i="1"/>
  <c r="V110" i="1" s="1"/>
  <c r="AB125" i="1"/>
  <c r="R125" i="1"/>
  <c r="P125" i="1" s="1"/>
  <c r="S125" i="1" s="1"/>
  <c r="M125" i="1" s="1"/>
  <c r="N125" i="1" s="1"/>
  <c r="AB116" i="1"/>
  <c r="U103" i="1"/>
  <c r="V103" i="1" s="1"/>
  <c r="R103" i="1" s="1"/>
  <c r="P103" i="1" s="1"/>
  <c r="S103" i="1" s="1"/>
  <c r="M103" i="1" s="1"/>
  <c r="N103" i="1" s="1"/>
  <c r="U87" i="1"/>
  <c r="V87" i="1" s="1"/>
  <c r="U71" i="1"/>
  <c r="V71" i="1" s="1"/>
  <c r="U109" i="1"/>
  <c r="V109" i="1" s="1"/>
  <c r="AB115" i="1"/>
  <c r="R115" i="1"/>
  <c r="P115" i="1" s="1"/>
  <c r="S115" i="1" s="1"/>
  <c r="M115" i="1" s="1"/>
  <c r="N115" i="1" s="1"/>
  <c r="AB114" i="1"/>
  <c r="R114" i="1"/>
  <c r="P114" i="1" s="1"/>
  <c r="S114" i="1" s="1"/>
  <c r="M114" i="1" s="1"/>
  <c r="N114" i="1" s="1"/>
  <c r="U92" i="1"/>
  <c r="V92" i="1" s="1"/>
  <c r="R89" i="1"/>
  <c r="P89" i="1" s="1"/>
  <c r="S89" i="1" s="1"/>
  <c r="M89" i="1" s="1"/>
  <c r="N89" i="1" s="1"/>
  <c r="U89" i="1"/>
  <c r="V89" i="1" s="1"/>
  <c r="AB89" i="1"/>
  <c r="AB35" i="1"/>
  <c r="AD63" i="1"/>
  <c r="W63" i="1"/>
  <c r="AA63" i="1" s="1"/>
  <c r="AB52" i="1"/>
  <c r="AB28" i="1"/>
  <c r="U28" i="1"/>
  <c r="V28" i="1" s="1"/>
  <c r="AB56" i="1"/>
  <c r="R56" i="1"/>
  <c r="P56" i="1" s="1"/>
  <c r="S56" i="1" s="1"/>
  <c r="M56" i="1" s="1"/>
  <c r="N56" i="1" s="1"/>
  <c r="U61" i="1"/>
  <c r="V61" i="1" s="1"/>
  <c r="R46" i="1"/>
  <c r="P46" i="1" s="1"/>
  <c r="S46" i="1" s="1"/>
  <c r="M46" i="1" s="1"/>
  <c r="N46" i="1" s="1"/>
  <c r="AB46" i="1"/>
  <c r="U46" i="1"/>
  <c r="V46" i="1" s="1"/>
  <c r="U201" i="1"/>
  <c r="V201" i="1" s="1"/>
  <c r="AB201" i="1"/>
  <c r="R201" i="1"/>
  <c r="P201" i="1" s="1"/>
  <c r="S201" i="1" s="1"/>
  <c r="M201" i="1" s="1"/>
  <c r="N201" i="1" s="1"/>
  <c r="AB51" i="1"/>
  <c r="R51" i="1"/>
  <c r="P51" i="1" s="1"/>
  <c r="S51" i="1" s="1"/>
  <c r="M51" i="1" s="1"/>
  <c r="N51" i="1" s="1"/>
  <c r="R17" i="1"/>
  <c r="P17" i="1" s="1"/>
  <c r="S17" i="1" s="1"/>
  <c r="M17" i="1" s="1"/>
  <c r="N17" i="1" s="1"/>
  <c r="AB17" i="1"/>
  <c r="U217" i="1"/>
  <c r="V217" i="1" s="1"/>
  <c r="U214" i="1"/>
  <c r="V214" i="1" s="1"/>
  <c r="W219" i="1"/>
  <c r="AA219" i="1" s="1"/>
  <c r="AD219" i="1"/>
  <c r="AE219" i="1" s="1"/>
  <c r="AC219" i="1"/>
  <c r="AB205" i="1"/>
  <c r="R205" i="1"/>
  <c r="P205" i="1" s="1"/>
  <c r="S205" i="1" s="1"/>
  <c r="M205" i="1" s="1"/>
  <c r="N205" i="1" s="1"/>
  <c r="AB221" i="1"/>
  <c r="U199" i="1"/>
  <c r="V199" i="1" s="1"/>
  <c r="U194" i="1"/>
  <c r="V194" i="1" s="1"/>
  <c r="U173" i="1"/>
  <c r="V173" i="1" s="1"/>
  <c r="U190" i="1"/>
  <c r="V190" i="1" s="1"/>
  <c r="AB170" i="1"/>
  <c r="R170" i="1"/>
  <c r="P170" i="1" s="1"/>
  <c r="S170" i="1" s="1"/>
  <c r="M170" i="1" s="1"/>
  <c r="N170" i="1" s="1"/>
  <c r="U175" i="1"/>
  <c r="V175" i="1" s="1"/>
  <c r="AB167" i="1"/>
  <c r="U172" i="1"/>
  <c r="V172" i="1" s="1"/>
  <c r="U129" i="1"/>
  <c r="V129" i="1" s="1"/>
  <c r="R157" i="1"/>
  <c r="P157" i="1" s="1"/>
  <c r="S157" i="1" s="1"/>
  <c r="M157" i="1" s="1"/>
  <c r="N157" i="1" s="1"/>
  <c r="AB157" i="1"/>
  <c r="U134" i="1"/>
  <c r="V134" i="1" s="1"/>
  <c r="AD147" i="1"/>
  <c r="AE147" i="1" s="1"/>
  <c r="W147" i="1"/>
  <c r="AA147" i="1" s="1"/>
  <c r="R147" i="1"/>
  <c r="P147" i="1" s="1"/>
  <c r="S147" i="1" s="1"/>
  <c r="M147" i="1" s="1"/>
  <c r="N147" i="1" s="1"/>
  <c r="W152" i="1"/>
  <c r="AA152" i="1" s="1"/>
  <c r="AD152" i="1"/>
  <c r="AE152" i="1" s="1"/>
  <c r="R152" i="1"/>
  <c r="P152" i="1" s="1"/>
  <c r="S152" i="1" s="1"/>
  <c r="M152" i="1" s="1"/>
  <c r="N152" i="1" s="1"/>
  <c r="R127" i="1"/>
  <c r="P127" i="1" s="1"/>
  <c r="S127" i="1" s="1"/>
  <c r="M127" i="1" s="1"/>
  <c r="N127" i="1" s="1"/>
  <c r="AB127" i="1"/>
  <c r="U121" i="1"/>
  <c r="V121" i="1" s="1"/>
  <c r="R121" i="1" s="1"/>
  <c r="P121" i="1" s="1"/>
  <c r="S121" i="1" s="1"/>
  <c r="M121" i="1" s="1"/>
  <c r="N121" i="1" s="1"/>
  <c r="U153" i="1"/>
  <c r="V153" i="1" s="1"/>
  <c r="R153" i="1" s="1"/>
  <c r="P153" i="1" s="1"/>
  <c r="S153" i="1" s="1"/>
  <c r="M153" i="1" s="1"/>
  <c r="N153" i="1" s="1"/>
  <c r="AB146" i="1"/>
  <c r="R146" i="1"/>
  <c r="P146" i="1" s="1"/>
  <c r="S146" i="1" s="1"/>
  <c r="M146" i="1" s="1"/>
  <c r="N146" i="1" s="1"/>
  <c r="U130" i="1"/>
  <c r="V130" i="1" s="1"/>
  <c r="AC152" i="1"/>
  <c r="U82" i="1"/>
  <c r="V82" i="1" s="1"/>
  <c r="AD115" i="1"/>
  <c r="AE115" i="1" s="1"/>
  <c r="W115" i="1"/>
  <c r="AA115" i="1" s="1"/>
  <c r="AC115" i="1"/>
  <c r="AB102" i="1"/>
  <c r="AB86" i="1"/>
  <c r="R86" i="1"/>
  <c r="P86" i="1" s="1"/>
  <c r="S86" i="1" s="1"/>
  <c r="M86" i="1" s="1"/>
  <c r="N86" i="1" s="1"/>
  <c r="W113" i="1"/>
  <c r="AA113" i="1" s="1"/>
  <c r="AD113" i="1"/>
  <c r="AE113" i="1" s="1"/>
  <c r="R97" i="1"/>
  <c r="P97" i="1" s="1"/>
  <c r="S97" i="1" s="1"/>
  <c r="M97" i="1" s="1"/>
  <c r="N97" i="1" s="1"/>
  <c r="AB97" i="1"/>
  <c r="U66" i="1"/>
  <c r="V66" i="1" s="1"/>
  <c r="M108" i="1"/>
  <c r="N108" i="1" s="1"/>
  <c r="U76" i="1"/>
  <c r="V76" i="1" s="1"/>
  <c r="W48" i="1"/>
  <c r="AA48" i="1" s="1"/>
  <c r="AD48" i="1"/>
  <c r="AE48" i="1" s="1"/>
  <c r="AB87" i="1"/>
  <c r="R87" i="1"/>
  <c r="P87" i="1" s="1"/>
  <c r="S87" i="1" s="1"/>
  <c r="M87" i="1" s="1"/>
  <c r="N87" i="1" s="1"/>
  <c r="W42" i="1"/>
  <c r="AA42" i="1" s="1"/>
  <c r="AD42" i="1"/>
  <c r="AC42" i="1"/>
  <c r="W34" i="1"/>
  <c r="AA34" i="1" s="1"/>
  <c r="AD34" i="1"/>
  <c r="AC34" i="1"/>
  <c r="U97" i="1"/>
  <c r="V97" i="1" s="1"/>
  <c r="U49" i="1"/>
  <c r="V49" i="1" s="1"/>
  <c r="U100" i="1"/>
  <c r="V100" i="1" s="1"/>
  <c r="AC63" i="1"/>
  <c r="U27" i="1"/>
  <c r="V27" i="1" s="1"/>
  <c r="AB18" i="1"/>
  <c r="R18" i="1"/>
  <c r="P18" i="1" s="1"/>
  <c r="S18" i="1" s="1"/>
  <c r="M18" i="1" s="1"/>
  <c r="N18" i="1" s="1"/>
  <c r="R63" i="1"/>
  <c r="P63" i="1" s="1"/>
  <c r="S63" i="1" s="1"/>
  <c r="M63" i="1" s="1"/>
  <c r="N63" i="1" s="1"/>
  <c r="U74" i="1"/>
  <c r="V74" i="1" s="1"/>
  <c r="U52" i="1"/>
  <c r="V52" i="1" s="1"/>
  <c r="R52" i="1" s="1"/>
  <c r="P52" i="1" s="1"/>
  <c r="S52" i="1" s="1"/>
  <c r="M52" i="1" s="1"/>
  <c r="N52" i="1" s="1"/>
  <c r="U116" i="1"/>
  <c r="V116" i="1" s="1"/>
  <c r="R116" i="1" s="1"/>
  <c r="P116" i="1" s="1"/>
  <c r="S116" i="1" s="1"/>
  <c r="M116" i="1" s="1"/>
  <c r="N116" i="1" s="1"/>
  <c r="AB36" i="1"/>
  <c r="R36" i="1"/>
  <c r="P36" i="1" s="1"/>
  <c r="S36" i="1" s="1"/>
  <c r="M36" i="1" s="1"/>
  <c r="N36" i="1" s="1"/>
  <c r="U29" i="1"/>
  <c r="V29" i="1" s="1"/>
  <c r="R26" i="1"/>
  <c r="P26" i="1" s="1"/>
  <c r="S26" i="1" s="1"/>
  <c r="M26" i="1" s="1"/>
  <c r="N26" i="1" s="1"/>
  <c r="AB26" i="1"/>
  <c r="W23" i="1"/>
  <c r="AA23" i="1" s="1"/>
  <c r="R23" i="1"/>
  <c r="P23" i="1" s="1"/>
  <c r="S23" i="1" s="1"/>
  <c r="M23" i="1" s="1"/>
  <c r="N23" i="1" s="1"/>
  <c r="AD23" i="1"/>
  <c r="AE23" i="1" s="1"/>
  <c r="U225" i="1"/>
  <c r="V225" i="1" s="1"/>
  <c r="AD207" i="1"/>
  <c r="W207" i="1"/>
  <c r="AA207" i="1" s="1"/>
  <c r="U192" i="1"/>
  <c r="V192" i="1" s="1"/>
  <c r="R192" i="1" s="1"/>
  <c r="P192" i="1" s="1"/>
  <c r="S192" i="1" s="1"/>
  <c r="M192" i="1" s="1"/>
  <c r="N192" i="1" s="1"/>
  <c r="U161" i="1"/>
  <c r="V161" i="1" s="1"/>
  <c r="R161" i="1" s="1"/>
  <c r="P161" i="1" s="1"/>
  <c r="S161" i="1" s="1"/>
  <c r="M161" i="1" s="1"/>
  <c r="N161" i="1" s="1"/>
  <c r="R183" i="1"/>
  <c r="P183" i="1" s="1"/>
  <c r="S183" i="1" s="1"/>
  <c r="M183" i="1" s="1"/>
  <c r="N183" i="1" s="1"/>
  <c r="AB94" i="1"/>
  <c r="R94" i="1"/>
  <c r="P94" i="1" s="1"/>
  <c r="S94" i="1" s="1"/>
  <c r="M94" i="1" s="1"/>
  <c r="N94" i="1" s="1"/>
  <c r="U131" i="1"/>
  <c r="V131" i="1" s="1"/>
  <c r="W44" i="1"/>
  <c r="AA44" i="1" s="1"/>
  <c r="AD44" i="1"/>
  <c r="AB44" i="1"/>
  <c r="R44" i="1"/>
  <c r="P44" i="1" s="1"/>
  <c r="S44" i="1" s="1"/>
  <c r="M44" i="1" s="1"/>
  <c r="N44" i="1" s="1"/>
  <c r="U57" i="1"/>
  <c r="V57" i="1" s="1"/>
  <c r="U20" i="1"/>
  <c r="V20" i="1" s="1"/>
  <c r="AB216" i="1"/>
  <c r="R216" i="1"/>
  <c r="P216" i="1" s="1"/>
  <c r="S216" i="1" s="1"/>
  <c r="M216" i="1" s="1"/>
  <c r="N216" i="1" s="1"/>
  <c r="U169" i="1"/>
  <c r="V169" i="1" s="1"/>
  <c r="U170" i="1"/>
  <c r="V170" i="1" s="1"/>
  <c r="AC207" i="1"/>
  <c r="AB192" i="1"/>
  <c r="AB166" i="1"/>
  <c r="R166" i="1"/>
  <c r="P166" i="1" s="1"/>
  <c r="S166" i="1" s="1"/>
  <c r="M166" i="1" s="1"/>
  <c r="N166" i="1" s="1"/>
  <c r="U184" i="1"/>
  <c r="V184" i="1" s="1"/>
  <c r="R184" i="1" s="1"/>
  <c r="P184" i="1" s="1"/>
  <c r="S184" i="1" s="1"/>
  <c r="M184" i="1" s="1"/>
  <c r="N184" i="1" s="1"/>
  <c r="U179" i="1"/>
  <c r="V179" i="1" s="1"/>
  <c r="U167" i="1"/>
  <c r="V167" i="1" s="1"/>
  <c r="AB179" i="1"/>
  <c r="R179" i="1"/>
  <c r="P179" i="1" s="1"/>
  <c r="S179" i="1" s="1"/>
  <c r="M179" i="1" s="1"/>
  <c r="N179" i="1" s="1"/>
  <c r="AB165" i="1"/>
  <c r="AC143" i="1"/>
  <c r="U125" i="1"/>
  <c r="V125" i="1" s="1"/>
  <c r="AB133" i="1"/>
  <c r="R133" i="1"/>
  <c r="P133" i="1" s="1"/>
  <c r="S133" i="1" s="1"/>
  <c r="M133" i="1" s="1"/>
  <c r="N133" i="1" s="1"/>
  <c r="AB161" i="1"/>
  <c r="U135" i="1"/>
  <c r="V135" i="1" s="1"/>
  <c r="U99" i="1"/>
  <c r="V99" i="1" s="1"/>
  <c r="U83" i="1"/>
  <c r="V83" i="1" s="1"/>
  <c r="U67" i="1"/>
  <c r="V67" i="1" s="1"/>
  <c r="R67" i="1" s="1"/>
  <c r="P67" i="1" s="1"/>
  <c r="S67" i="1" s="1"/>
  <c r="M67" i="1" s="1"/>
  <c r="N67" i="1" s="1"/>
  <c r="AB139" i="1"/>
  <c r="R139" i="1"/>
  <c r="P139" i="1" s="1"/>
  <c r="S139" i="1" s="1"/>
  <c r="M139" i="1" s="1"/>
  <c r="N139" i="1" s="1"/>
  <c r="R113" i="1"/>
  <c r="P113" i="1" s="1"/>
  <c r="S113" i="1" s="1"/>
  <c r="M113" i="1" s="1"/>
  <c r="N113" i="1" s="1"/>
  <c r="U126" i="1"/>
  <c r="V126" i="1" s="1"/>
  <c r="U96" i="1"/>
  <c r="V96" i="1" s="1"/>
  <c r="AD119" i="1"/>
  <c r="AE119" i="1" s="1"/>
  <c r="W119" i="1"/>
  <c r="AA119" i="1" s="1"/>
  <c r="AC119" i="1"/>
  <c r="AB99" i="1"/>
  <c r="R99" i="1"/>
  <c r="P99" i="1" s="1"/>
  <c r="S99" i="1" s="1"/>
  <c r="M99" i="1" s="1"/>
  <c r="N99" i="1" s="1"/>
  <c r="AB79" i="1"/>
  <c r="R58" i="1"/>
  <c r="P58" i="1" s="1"/>
  <c r="S58" i="1" s="1"/>
  <c r="M58" i="1" s="1"/>
  <c r="N58" i="1" s="1"/>
  <c r="AB58" i="1"/>
  <c r="R77" i="1"/>
  <c r="P77" i="1" s="1"/>
  <c r="S77" i="1" s="1"/>
  <c r="M77" i="1" s="1"/>
  <c r="N77" i="1" s="1"/>
  <c r="AB77" i="1"/>
  <c r="W60" i="1"/>
  <c r="AA60" i="1" s="1"/>
  <c r="AD60" i="1"/>
  <c r="AE60" i="1" s="1"/>
  <c r="AB80" i="1"/>
  <c r="R80" i="1"/>
  <c r="P80" i="1" s="1"/>
  <c r="S80" i="1" s="1"/>
  <c r="M80" i="1" s="1"/>
  <c r="N80" i="1" s="1"/>
  <c r="AB39" i="1"/>
  <c r="AB60" i="1"/>
  <c r="R60" i="1"/>
  <c r="P60" i="1" s="1"/>
  <c r="S60" i="1" s="1"/>
  <c r="M60" i="1" s="1"/>
  <c r="N60" i="1" s="1"/>
  <c r="AC44" i="1"/>
  <c r="W108" i="1"/>
  <c r="AA108" i="1" s="1"/>
  <c r="AD108" i="1"/>
  <c r="AC108" i="1"/>
  <c r="R30" i="1"/>
  <c r="P30" i="1" s="1"/>
  <c r="S30" i="1" s="1"/>
  <c r="M30" i="1" s="1"/>
  <c r="N30" i="1" s="1"/>
  <c r="AB30" i="1"/>
  <c r="U228" i="1"/>
  <c r="V228" i="1" s="1"/>
  <c r="U229" i="1"/>
  <c r="V229" i="1" s="1"/>
  <c r="U213" i="1"/>
  <c r="V213" i="1" s="1"/>
  <c r="W223" i="1"/>
  <c r="AA223" i="1" s="1"/>
  <c r="AD223" i="1"/>
  <c r="AE223" i="1" s="1"/>
  <c r="AC223" i="1"/>
  <c r="U200" i="1"/>
  <c r="V200" i="1" s="1"/>
  <c r="R219" i="1"/>
  <c r="P219" i="1" s="1"/>
  <c r="S219" i="1" s="1"/>
  <c r="M219" i="1" s="1"/>
  <c r="N219" i="1" s="1"/>
  <c r="U209" i="1"/>
  <c r="V209" i="1" s="1"/>
  <c r="U195" i="1"/>
  <c r="V195" i="1" s="1"/>
  <c r="U203" i="1"/>
  <c r="V203" i="1" s="1"/>
  <c r="U187" i="1"/>
  <c r="V187" i="1" s="1"/>
  <c r="AD185" i="1"/>
  <c r="AE185" i="1" s="1"/>
  <c r="W185" i="1"/>
  <c r="AA185" i="1" s="1"/>
  <c r="U171" i="1"/>
  <c r="V171" i="1" s="1"/>
  <c r="R149" i="1"/>
  <c r="P149" i="1" s="1"/>
  <c r="S149" i="1" s="1"/>
  <c r="M149" i="1" s="1"/>
  <c r="N149" i="1" s="1"/>
  <c r="AB149" i="1"/>
  <c r="W145" i="1"/>
  <c r="AA145" i="1" s="1"/>
  <c r="AD145" i="1"/>
  <c r="AE145" i="1" s="1"/>
  <c r="AC145" i="1"/>
  <c r="U165" i="1"/>
  <c r="V165" i="1" s="1"/>
  <c r="AD159" i="1"/>
  <c r="AE159" i="1" s="1"/>
  <c r="W159" i="1"/>
  <c r="AA159" i="1" s="1"/>
  <c r="AB150" i="1"/>
  <c r="W136" i="1"/>
  <c r="AA136" i="1" s="1"/>
  <c r="AD136" i="1"/>
  <c r="AC136" i="1"/>
  <c r="AB182" i="1"/>
  <c r="R182" i="1"/>
  <c r="P182" i="1" s="1"/>
  <c r="S182" i="1" s="1"/>
  <c r="M182" i="1" s="1"/>
  <c r="N182" i="1" s="1"/>
  <c r="AD139" i="1"/>
  <c r="AE139" i="1" s="1"/>
  <c r="W139" i="1"/>
  <c r="AA139" i="1" s="1"/>
  <c r="W123" i="1"/>
  <c r="AA123" i="1" s="1"/>
  <c r="AD123" i="1"/>
  <c r="AE123" i="1" s="1"/>
  <c r="AC123" i="1"/>
  <c r="U106" i="1"/>
  <c r="V106" i="1" s="1"/>
  <c r="AB98" i="1"/>
  <c r="R98" i="1"/>
  <c r="P98" i="1" s="1"/>
  <c r="S98" i="1" s="1"/>
  <c r="M98" i="1" s="1"/>
  <c r="N98" i="1" s="1"/>
  <c r="AB82" i="1"/>
  <c r="R82" i="1"/>
  <c r="P82" i="1" s="1"/>
  <c r="S82" i="1" s="1"/>
  <c r="M82" i="1" s="1"/>
  <c r="N82" i="1" s="1"/>
  <c r="R112" i="1"/>
  <c r="P112" i="1" s="1"/>
  <c r="S112" i="1" s="1"/>
  <c r="M112" i="1" s="1"/>
  <c r="N112" i="1" s="1"/>
  <c r="AB112" i="1"/>
  <c r="W154" i="1"/>
  <c r="AA154" i="1" s="1"/>
  <c r="AD154" i="1"/>
  <c r="AE154" i="1" s="1"/>
  <c r="AC154" i="1"/>
  <c r="U104" i="1"/>
  <c r="V104" i="1" s="1"/>
  <c r="U35" i="1"/>
  <c r="V35" i="1" s="1"/>
  <c r="R35" i="1" s="1"/>
  <c r="P35" i="1" s="1"/>
  <c r="S35" i="1" s="1"/>
  <c r="M35" i="1" s="1"/>
  <c r="N35" i="1" s="1"/>
  <c r="AB101" i="1"/>
  <c r="U101" i="1"/>
  <c r="V101" i="1" s="1"/>
  <c r="AB66" i="1"/>
  <c r="R66" i="1"/>
  <c r="P66" i="1" s="1"/>
  <c r="S66" i="1" s="1"/>
  <c r="M66" i="1" s="1"/>
  <c r="N66" i="1" s="1"/>
  <c r="W117" i="1"/>
  <c r="AA117" i="1" s="1"/>
  <c r="AD117" i="1"/>
  <c r="AE117" i="1" s="1"/>
  <c r="AB83" i="1"/>
  <c r="U33" i="1"/>
  <c r="V33" i="1" s="1"/>
  <c r="AB48" i="1"/>
  <c r="R48" i="1"/>
  <c r="P48" i="1" s="1"/>
  <c r="S48" i="1" s="1"/>
  <c r="M48" i="1" s="1"/>
  <c r="N48" i="1" s="1"/>
  <c r="AB59" i="1"/>
  <c r="R59" i="1"/>
  <c r="P59" i="1" s="1"/>
  <c r="S59" i="1" s="1"/>
  <c r="M59" i="1" s="1"/>
  <c r="N59" i="1" s="1"/>
  <c r="U40" i="1"/>
  <c r="V40" i="1" s="1"/>
  <c r="AB27" i="1"/>
  <c r="R27" i="1"/>
  <c r="P27" i="1" s="1"/>
  <c r="S27" i="1" s="1"/>
  <c r="M27" i="1" s="1"/>
  <c r="N27" i="1" s="1"/>
  <c r="AB68" i="1"/>
  <c r="R68" i="1"/>
  <c r="P68" i="1" s="1"/>
  <c r="S68" i="1" s="1"/>
  <c r="M68" i="1" s="1"/>
  <c r="N68" i="1" s="1"/>
  <c r="U45" i="1"/>
  <c r="V45" i="1" s="1"/>
  <c r="U84" i="1"/>
  <c r="V84" i="1" s="1"/>
  <c r="U39" i="1"/>
  <c r="V39" i="1" s="1"/>
  <c r="R39" i="1" s="1"/>
  <c r="P39" i="1" s="1"/>
  <c r="S39" i="1" s="1"/>
  <c r="M39" i="1" s="1"/>
  <c r="N39" i="1" s="1"/>
  <c r="U156" i="1"/>
  <c r="V156" i="1" s="1"/>
  <c r="AB78" i="1"/>
  <c r="U64" i="1"/>
  <c r="V64" i="1" s="1"/>
  <c r="AB47" i="1"/>
  <c r="R47" i="1"/>
  <c r="P47" i="1" s="1"/>
  <c r="S47" i="1" s="1"/>
  <c r="M47" i="1" s="1"/>
  <c r="N47" i="1" s="1"/>
  <c r="W36" i="1"/>
  <c r="AA36" i="1" s="1"/>
  <c r="AD36" i="1"/>
  <c r="AE36" i="1" s="1"/>
  <c r="U224" i="1"/>
  <c r="V224" i="1" s="1"/>
  <c r="R224" i="1" s="1"/>
  <c r="P224" i="1" s="1"/>
  <c r="S224" i="1" s="1"/>
  <c r="M224" i="1" s="1"/>
  <c r="N224" i="1" s="1"/>
  <c r="AB228" i="1"/>
  <c r="R228" i="1"/>
  <c r="P228" i="1" s="1"/>
  <c r="S228" i="1" s="1"/>
  <c r="M228" i="1" s="1"/>
  <c r="N228" i="1" s="1"/>
  <c r="AB212" i="1"/>
  <c r="R212" i="1"/>
  <c r="P212" i="1" s="1"/>
  <c r="S212" i="1" s="1"/>
  <c r="M212" i="1" s="1"/>
  <c r="N212" i="1" s="1"/>
  <c r="R199" i="1"/>
  <c r="P199" i="1" s="1"/>
  <c r="S199" i="1" s="1"/>
  <c r="M199" i="1" s="1"/>
  <c r="N199" i="1" s="1"/>
  <c r="AB199" i="1"/>
  <c r="AB213" i="1"/>
  <c r="R213" i="1"/>
  <c r="P213" i="1" s="1"/>
  <c r="S213" i="1" s="1"/>
  <c r="M213" i="1" s="1"/>
  <c r="N213" i="1" s="1"/>
  <c r="AB229" i="1"/>
  <c r="R229" i="1"/>
  <c r="P229" i="1" s="1"/>
  <c r="S229" i="1" s="1"/>
  <c r="M229" i="1" s="1"/>
  <c r="N229" i="1" s="1"/>
  <c r="U198" i="1"/>
  <c r="V198" i="1" s="1"/>
  <c r="R198" i="1" s="1"/>
  <c r="P198" i="1" s="1"/>
  <c r="S198" i="1" s="1"/>
  <c r="M198" i="1" s="1"/>
  <c r="N198" i="1" s="1"/>
  <c r="U188" i="1"/>
  <c r="V188" i="1" s="1"/>
  <c r="AB190" i="1"/>
  <c r="R190" i="1"/>
  <c r="P190" i="1" s="1"/>
  <c r="S190" i="1" s="1"/>
  <c r="M190" i="1" s="1"/>
  <c r="N190" i="1" s="1"/>
  <c r="AB175" i="1"/>
  <c r="R175" i="1"/>
  <c r="P175" i="1" s="1"/>
  <c r="S175" i="1" s="1"/>
  <c r="M175" i="1" s="1"/>
  <c r="N175" i="1" s="1"/>
  <c r="U150" i="1"/>
  <c r="V150" i="1" s="1"/>
  <c r="AB169" i="1"/>
  <c r="R169" i="1"/>
  <c r="P169" i="1" s="1"/>
  <c r="S169" i="1" s="1"/>
  <c r="M169" i="1" s="1"/>
  <c r="N169" i="1" s="1"/>
  <c r="U168" i="1"/>
  <c r="V168" i="1" s="1"/>
  <c r="M164" i="1"/>
  <c r="N164" i="1" s="1"/>
  <c r="U163" i="1"/>
  <c r="V163" i="1" s="1"/>
  <c r="AB151" i="1"/>
  <c r="R151" i="1"/>
  <c r="P151" i="1" s="1"/>
  <c r="S151" i="1" s="1"/>
  <c r="M151" i="1" s="1"/>
  <c r="N151" i="1" s="1"/>
  <c r="AB134" i="1"/>
  <c r="R134" i="1"/>
  <c r="P134" i="1" s="1"/>
  <c r="S134" i="1" s="1"/>
  <c r="M134" i="1" s="1"/>
  <c r="N134" i="1" s="1"/>
  <c r="U102" i="1"/>
  <c r="V102" i="1" s="1"/>
  <c r="R102" i="1" s="1"/>
  <c r="P102" i="1" s="1"/>
  <c r="S102" i="1" s="1"/>
  <c r="M102" i="1" s="1"/>
  <c r="N102" i="1" s="1"/>
  <c r="W148" i="1"/>
  <c r="AA148" i="1" s="1"/>
  <c r="AD148" i="1"/>
  <c r="AE148" i="1" s="1"/>
  <c r="R148" i="1"/>
  <c r="P148" i="1" s="1"/>
  <c r="S148" i="1" s="1"/>
  <c r="M148" i="1" s="1"/>
  <c r="N148" i="1" s="1"/>
  <c r="AB173" i="1"/>
  <c r="R173" i="1"/>
  <c r="P173" i="1" s="1"/>
  <c r="S173" i="1" s="1"/>
  <c r="M173" i="1" s="1"/>
  <c r="N173" i="1" s="1"/>
  <c r="U95" i="1"/>
  <c r="V95" i="1" s="1"/>
  <c r="U79" i="1"/>
  <c r="V79" i="1" s="1"/>
  <c r="R79" i="1" s="1"/>
  <c r="P79" i="1" s="1"/>
  <c r="S79" i="1" s="1"/>
  <c r="M79" i="1" s="1"/>
  <c r="N79" i="1" s="1"/>
  <c r="AD111" i="1"/>
  <c r="AE111" i="1" s="1"/>
  <c r="W111" i="1"/>
  <c r="AA111" i="1" s="1"/>
  <c r="AC111" i="1"/>
  <c r="R81" i="1"/>
  <c r="P81" i="1" s="1"/>
  <c r="S81" i="1" s="1"/>
  <c r="M81" i="1" s="1"/>
  <c r="N81" i="1" s="1"/>
  <c r="AB81" i="1"/>
  <c r="AD132" i="1"/>
  <c r="AE132" i="1" s="1"/>
  <c r="AC132" i="1"/>
  <c r="W132" i="1"/>
  <c r="AA132" i="1" s="1"/>
  <c r="U31" i="1"/>
  <c r="V31" i="1" s="1"/>
  <c r="AB71" i="1"/>
  <c r="R71" i="1"/>
  <c r="P71" i="1" s="1"/>
  <c r="S71" i="1" s="1"/>
  <c r="M71" i="1" s="1"/>
  <c r="N71" i="1" s="1"/>
  <c r="R155" i="1"/>
  <c r="P155" i="1" s="1"/>
  <c r="S155" i="1" s="1"/>
  <c r="M155" i="1" s="1"/>
  <c r="N155" i="1" s="1"/>
  <c r="AB155" i="1"/>
  <c r="AB95" i="1"/>
  <c r="R95" i="1"/>
  <c r="P95" i="1" s="1"/>
  <c r="S95" i="1" s="1"/>
  <c r="M95" i="1" s="1"/>
  <c r="N95" i="1" s="1"/>
  <c r="U78" i="1"/>
  <c r="V78" i="1" s="1"/>
  <c r="R73" i="1"/>
  <c r="P73" i="1" s="1"/>
  <c r="S73" i="1" s="1"/>
  <c r="M73" i="1" s="1"/>
  <c r="N73" i="1" s="1"/>
  <c r="AB73" i="1"/>
  <c r="U41" i="1"/>
  <c r="V41" i="1" s="1"/>
  <c r="AB43" i="1"/>
  <c r="R43" i="1"/>
  <c r="P43" i="1" s="1"/>
  <c r="S43" i="1" s="1"/>
  <c r="M43" i="1" s="1"/>
  <c r="N43" i="1" s="1"/>
  <c r="AB76" i="1"/>
  <c r="R76" i="1"/>
  <c r="P76" i="1" s="1"/>
  <c r="S76" i="1" s="1"/>
  <c r="M76" i="1" s="1"/>
  <c r="N76" i="1" s="1"/>
  <c r="U21" i="1"/>
  <c r="V21" i="1" s="1"/>
  <c r="AB57" i="1"/>
  <c r="R57" i="1"/>
  <c r="P57" i="1" s="1"/>
  <c r="S57" i="1" s="1"/>
  <c r="M57" i="1" s="1"/>
  <c r="N57" i="1" s="1"/>
  <c r="AB84" i="1"/>
  <c r="R50" i="1"/>
  <c r="P50" i="1" s="1"/>
  <c r="S50" i="1" s="1"/>
  <c r="M50" i="1" s="1"/>
  <c r="N50" i="1" s="1"/>
  <c r="AB50" i="1"/>
  <c r="R24" i="1"/>
  <c r="P24" i="1" s="1"/>
  <c r="S24" i="1" s="1"/>
  <c r="M24" i="1" s="1"/>
  <c r="N24" i="1" s="1"/>
  <c r="AB24" i="1"/>
  <c r="AB111" i="1"/>
  <c r="R111" i="1"/>
  <c r="P111" i="1" s="1"/>
  <c r="S111" i="1" s="1"/>
  <c r="M111" i="1" s="1"/>
  <c r="N111" i="1" s="1"/>
  <c r="U25" i="1"/>
  <c r="V25" i="1" s="1"/>
  <c r="R25" i="1" s="1"/>
  <c r="P25" i="1" s="1"/>
  <c r="S25" i="1" s="1"/>
  <c r="M25" i="1" s="1"/>
  <c r="N25" i="1" s="1"/>
  <c r="W62" i="1"/>
  <c r="AA62" i="1" s="1"/>
  <c r="AD62" i="1"/>
  <c r="AC62" i="1"/>
  <c r="R20" i="1"/>
  <c r="P20" i="1" s="1"/>
  <c r="S20" i="1" s="1"/>
  <c r="M20" i="1" s="1"/>
  <c r="N20" i="1" s="1"/>
  <c r="AB20" i="1"/>
  <c r="AC26" i="1"/>
  <c r="W101" i="1" l="1"/>
  <c r="AA101" i="1" s="1"/>
  <c r="AD101" i="1"/>
  <c r="AC101" i="1"/>
  <c r="W171" i="1"/>
  <c r="AA171" i="1" s="1"/>
  <c r="AD171" i="1"/>
  <c r="AC171" i="1"/>
  <c r="W195" i="1"/>
  <c r="AA195" i="1" s="1"/>
  <c r="AD195" i="1"/>
  <c r="AE195" i="1" s="1"/>
  <c r="AC195" i="1"/>
  <c r="R195" i="1"/>
  <c r="P195" i="1" s="1"/>
  <c r="S195" i="1" s="1"/>
  <c r="M195" i="1" s="1"/>
  <c r="N195" i="1" s="1"/>
  <c r="AD225" i="1"/>
  <c r="AE225" i="1" s="1"/>
  <c r="W225" i="1"/>
  <c r="AA225" i="1" s="1"/>
  <c r="AC225" i="1"/>
  <c r="W97" i="1"/>
  <c r="AA97" i="1" s="1"/>
  <c r="AD97" i="1"/>
  <c r="AE97" i="1" s="1"/>
  <c r="AC97" i="1"/>
  <c r="W175" i="1"/>
  <c r="AA175" i="1" s="1"/>
  <c r="AD175" i="1"/>
  <c r="AC175" i="1"/>
  <c r="W194" i="1"/>
  <c r="AA194" i="1" s="1"/>
  <c r="AD194" i="1"/>
  <c r="AC194" i="1"/>
  <c r="W210" i="1"/>
  <c r="AA210" i="1" s="1"/>
  <c r="AD210" i="1"/>
  <c r="AE210" i="1" s="1"/>
  <c r="AC210" i="1"/>
  <c r="W38" i="1"/>
  <c r="AA38" i="1" s="1"/>
  <c r="AD38" i="1"/>
  <c r="AE38" i="1" s="1"/>
  <c r="AC38" i="1"/>
  <c r="AD80" i="1"/>
  <c r="W80" i="1"/>
  <c r="AA80" i="1" s="1"/>
  <c r="AC80" i="1"/>
  <c r="AE155" i="1"/>
  <c r="W141" i="1"/>
  <c r="AA141" i="1" s="1"/>
  <c r="AD141" i="1"/>
  <c r="AC141" i="1"/>
  <c r="R171" i="1"/>
  <c r="P171" i="1" s="1"/>
  <c r="S171" i="1" s="1"/>
  <c r="M171" i="1" s="1"/>
  <c r="N171" i="1" s="1"/>
  <c r="W202" i="1"/>
  <c r="AA202" i="1" s="1"/>
  <c r="AD202" i="1"/>
  <c r="AC202" i="1"/>
  <c r="R202" i="1"/>
  <c r="P202" i="1" s="1"/>
  <c r="S202" i="1" s="1"/>
  <c r="M202" i="1" s="1"/>
  <c r="N202" i="1" s="1"/>
  <c r="AD204" i="1"/>
  <c r="W204" i="1"/>
  <c r="AA204" i="1" s="1"/>
  <c r="AC204" i="1"/>
  <c r="R204" i="1"/>
  <c r="P204" i="1" s="1"/>
  <c r="S204" i="1" s="1"/>
  <c r="M204" i="1" s="1"/>
  <c r="N204" i="1" s="1"/>
  <c r="W85" i="1"/>
  <c r="AA85" i="1" s="1"/>
  <c r="AD85" i="1"/>
  <c r="AC85" i="1"/>
  <c r="W142" i="1"/>
  <c r="AA142" i="1" s="1"/>
  <c r="R142" i="1"/>
  <c r="P142" i="1" s="1"/>
  <c r="S142" i="1" s="1"/>
  <c r="M142" i="1" s="1"/>
  <c r="N142" i="1" s="1"/>
  <c r="AD142" i="1"/>
  <c r="AC142" i="1"/>
  <c r="AE211" i="1"/>
  <c r="W138" i="1"/>
  <c r="AA138" i="1" s="1"/>
  <c r="AD138" i="1"/>
  <c r="AC138" i="1"/>
  <c r="AE18" i="1"/>
  <c r="AD169" i="1"/>
  <c r="W169" i="1"/>
  <c r="AA169" i="1" s="1"/>
  <c r="AC169" i="1"/>
  <c r="AD188" i="1"/>
  <c r="AE188" i="1" s="1"/>
  <c r="W188" i="1"/>
  <c r="AA188" i="1" s="1"/>
  <c r="AC188" i="1"/>
  <c r="W106" i="1"/>
  <c r="AA106" i="1" s="1"/>
  <c r="AD106" i="1"/>
  <c r="AE106" i="1" s="1"/>
  <c r="AC106" i="1"/>
  <c r="W83" i="1"/>
  <c r="AA83" i="1" s="1"/>
  <c r="AD83" i="1"/>
  <c r="AE83" i="1" s="1"/>
  <c r="AC83" i="1"/>
  <c r="AE44" i="1"/>
  <c r="W116" i="1"/>
  <c r="AA116" i="1" s="1"/>
  <c r="AD116" i="1"/>
  <c r="AE116" i="1" s="1"/>
  <c r="AC116" i="1"/>
  <c r="W27" i="1"/>
  <c r="AA27" i="1" s="1"/>
  <c r="AD27" i="1"/>
  <c r="AC27" i="1"/>
  <c r="AE34" i="1"/>
  <c r="W153" i="1"/>
  <c r="AA153" i="1" s="1"/>
  <c r="AD153" i="1"/>
  <c r="AC153" i="1"/>
  <c r="AD129" i="1"/>
  <c r="AE129" i="1" s="1"/>
  <c r="AC129" i="1"/>
  <c r="W129" i="1"/>
  <c r="AA129" i="1" s="1"/>
  <c r="W199" i="1"/>
  <c r="AA199" i="1" s="1"/>
  <c r="AD199" i="1"/>
  <c r="AE199" i="1" s="1"/>
  <c r="AC199" i="1"/>
  <c r="AD71" i="1"/>
  <c r="W71" i="1"/>
  <c r="AA71" i="1" s="1"/>
  <c r="AC71" i="1"/>
  <c r="AD133" i="1"/>
  <c r="W133" i="1"/>
  <c r="AA133" i="1" s="1"/>
  <c r="AC133" i="1"/>
  <c r="W218" i="1"/>
  <c r="AA218" i="1" s="1"/>
  <c r="AD218" i="1"/>
  <c r="AE218" i="1" s="1"/>
  <c r="AC218" i="1"/>
  <c r="R218" i="1"/>
  <c r="P218" i="1" s="1"/>
  <c r="S218" i="1" s="1"/>
  <c r="M218" i="1" s="1"/>
  <c r="N218" i="1" s="1"/>
  <c r="AE128" i="1"/>
  <c r="W93" i="1"/>
  <c r="AA93" i="1" s="1"/>
  <c r="AD93" i="1"/>
  <c r="AC93" i="1"/>
  <c r="W70" i="1"/>
  <c r="AA70" i="1" s="1"/>
  <c r="AD70" i="1"/>
  <c r="AE70" i="1" s="1"/>
  <c r="AC70" i="1"/>
  <c r="R70" i="1"/>
  <c r="P70" i="1" s="1"/>
  <c r="S70" i="1" s="1"/>
  <c r="M70" i="1" s="1"/>
  <c r="N70" i="1" s="1"/>
  <c r="AD206" i="1"/>
  <c r="AE206" i="1" s="1"/>
  <c r="W206" i="1"/>
  <c r="AA206" i="1" s="1"/>
  <c r="AC206" i="1"/>
  <c r="R206" i="1"/>
  <c r="P206" i="1" s="1"/>
  <c r="S206" i="1" s="1"/>
  <c r="M206" i="1" s="1"/>
  <c r="N206" i="1" s="1"/>
  <c r="W212" i="1"/>
  <c r="AA212" i="1" s="1"/>
  <c r="AD212" i="1"/>
  <c r="AE212" i="1" s="1"/>
  <c r="AC212" i="1"/>
  <c r="AD68" i="1"/>
  <c r="AE68" i="1" s="1"/>
  <c r="W68" i="1"/>
  <c r="AA68" i="1" s="1"/>
  <c r="AC68" i="1"/>
  <c r="AD72" i="1"/>
  <c r="W72" i="1"/>
  <c r="AA72" i="1" s="1"/>
  <c r="AC72" i="1"/>
  <c r="AE151" i="1"/>
  <c r="AE77" i="1"/>
  <c r="AD67" i="1"/>
  <c r="AE67" i="1" s="1"/>
  <c r="W67" i="1"/>
  <c r="AA67" i="1" s="1"/>
  <c r="AC67" i="1"/>
  <c r="AD221" i="1"/>
  <c r="W221" i="1"/>
  <c r="AA221" i="1" s="1"/>
  <c r="AC221" i="1"/>
  <c r="AD75" i="1"/>
  <c r="W75" i="1"/>
  <c r="AA75" i="1" s="1"/>
  <c r="AC75" i="1"/>
  <c r="AE62" i="1"/>
  <c r="W150" i="1"/>
  <c r="AA150" i="1" s="1"/>
  <c r="AD150" i="1"/>
  <c r="AC150" i="1"/>
  <c r="W198" i="1"/>
  <c r="AA198" i="1" s="1"/>
  <c r="AD198" i="1"/>
  <c r="AE198" i="1" s="1"/>
  <c r="AC198" i="1"/>
  <c r="W39" i="1"/>
  <c r="AA39" i="1" s="1"/>
  <c r="AD39" i="1"/>
  <c r="AE39" i="1" s="1"/>
  <c r="AC39" i="1"/>
  <c r="R83" i="1"/>
  <c r="P83" i="1" s="1"/>
  <c r="S83" i="1" s="1"/>
  <c r="M83" i="1" s="1"/>
  <c r="N83" i="1" s="1"/>
  <c r="R101" i="1"/>
  <c r="P101" i="1" s="1"/>
  <c r="S101" i="1" s="1"/>
  <c r="M101" i="1" s="1"/>
  <c r="N101" i="1" s="1"/>
  <c r="AE136" i="1"/>
  <c r="AD209" i="1"/>
  <c r="W209" i="1"/>
  <c r="AA209" i="1" s="1"/>
  <c r="AC209" i="1"/>
  <c r="AD213" i="1"/>
  <c r="AE213" i="1" s="1"/>
  <c r="W213" i="1"/>
  <c r="AA213" i="1" s="1"/>
  <c r="AC213" i="1"/>
  <c r="AE108" i="1"/>
  <c r="W52" i="1"/>
  <c r="AA52" i="1" s="1"/>
  <c r="AD52" i="1"/>
  <c r="AE52" i="1" s="1"/>
  <c r="AC52" i="1"/>
  <c r="W214" i="1"/>
  <c r="AA214" i="1" s="1"/>
  <c r="AD214" i="1"/>
  <c r="AE214" i="1" s="1"/>
  <c r="R214" i="1"/>
  <c r="P214" i="1" s="1"/>
  <c r="S214" i="1" s="1"/>
  <c r="M214" i="1" s="1"/>
  <c r="N214" i="1" s="1"/>
  <c r="AC214" i="1"/>
  <c r="AE63" i="1"/>
  <c r="W87" i="1"/>
  <c r="AA87" i="1" s="1"/>
  <c r="AD87" i="1"/>
  <c r="AE87" i="1" s="1"/>
  <c r="AC87" i="1"/>
  <c r="W110" i="1"/>
  <c r="AA110" i="1" s="1"/>
  <c r="AD110" i="1"/>
  <c r="AE110" i="1" s="1"/>
  <c r="AC110" i="1"/>
  <c r="W180" i="1"/>
  <c r="AA180" i="1" s="1"/>
  <c r="AD180" i="1"/>
  <c r="AE180" i="1" s="1"/>
  <c r="AC180" i="1"/>
  <c r="R180" i="1"/>
  <c r="P180" i="1" s="1"/>
  <c r="S180" i="1" s="1"/>
  <c r="M180" i="1" s="1"/>
  <c r="N180" i="1" s="1"/>
  <c r="AD177" i="1"/>
  <c r="W177" i="1"/>
  <c r="AA177" i="1" s="1"/>
  <c r="AC177" i="1"/>
  <c r="AE55" i="1"/>
  <c r="AE56" i="1"/>
  <c r="AE140" i="1"/>
  <c r="AD158" i="1"/>
  <c r="AE158" i="1" s="1"/>
  <c r="W158" i="1"/>
  <c r="AA158" i="1" s="1"/>
  <c r="AC158" i="1"/>
  <c r="W176" i="1"/>
  <c r="AA176" i="1" s="1"/>
  <c r="AD176" i="1"/>
  <c r="AE176" i="1" s="1"/>
  <c r="AC176" i="1"/>
  <c r="R176" i="1"/>
  <c r="P176" i="1" s="1"/>
  <c r="S176" i="1" s="1"/>
  <c r="M176" i="1" s="1"/>
  <c r="N176" i="1" s="1"/>
  <c r="AD178" i="1"/>
  <c r="AE178" i="1" s="1"/>
  <c r="W178" i="1"/>
  <c r="AA178" i="1" s="1"/>
  <c r="AC178" i="1"/>
  <c r="W114" i="1"/>
  <c r="AA114" i="1" s="1"/>
  <c r="AD114" i="1"/>
  <c r="AE114" i="1" s="1"/>
  <c r="AC114" i="1"/>
  <c r="R72" i="1"/>
  <c r="P72" i="1" s="1"/>
  <c r="S72" i="1" s="1"/>
  <c r="M72" i="1" s="1"/>
  <c r="N72" i="1" s="1"/>
  <c r="W91" i="1"/>
  <c r="AA91" i="1" s="1"/>
  <c r="AD91" i="1"/>
  <c r="AE91" i="1" s="1"/>
  <c r="AC91" i="1"/>
  <c r="AD205" i="1"/>
  <c r="W205" i="1"/>
  <c r="AA205" i="1" s="1"/>
  <c r="AC205" i="1"/>
  <c r="W226" i="1"/>
  <c r="AA226" i="1" s="1"/>
  <c r="AD226" i="1"/>
  <c r="R226" i="1"/>
  <c r="P226" i="1" s="1"/>
  <c r="S226" i="1" s="1"/>
  <c r="M226" i="1" s="1"/>
  <c r="N226" i="1" s="1"/>
  <c r="AC226" i="1"/>
  <c r="AE183" i="1"/>
  <c r="AE43" i="1"/>
  <c r="AE54" i="1"/>
  <c r="AE24" i="1"/>
  <c r="W156" i="1"/>
  <c r="AA156" i="1" s="1"/>
  <c r="AD156" i="1"/>
  <c r="R156" i="1"/>
  <c r="P156" i="1" s="1"/>
  <c r="S156" i="1" s="1"/>
  <c r="M156" i="1" s="1"/>
  <c r="N156" i="1" s="1"/>
  <c r="AC156" i="1"/>
  <c r="W96" i="1"/>
  <c r="AA96" i="1" s="1"/>
  <c r="AD96" i="1"/>
  <c r="AE96" i="1" s="1"/>
  <c r="AC96" i="1"/>
  <c r="R96" i="1"/>
  <c r="P96" i="1" s="1"/>
  <c r="S96" i="1" s="1"/>
  <c r="M96" i="1" s="1"/>
  <c r="N96" i="1" s="1"/>
  <c r="AD161" i="1"/>
  <c r="W161" i="1"/>
  <c r="AA161" i="1" s="1"/>
  <c r="AC161" i="1"/>
  <c r="W61" i="1"/>
  <c r="AA61" i="1" s="1"/>
  <c r="AD61" i="1"/>
  <c r="AE61" i="1" s="1"/>
  <c r="R61" i="1"/>
  <c r="P61" i="1" s="1"/>
  <c r="S61" i="1" s="1"/>
  <c r="M61" i="1" s="1"/>
  <c r="N61" i="1" s="1"/>
  <c r="AC61" i="1"/>
  <c r="AC78" i="1"/>
  <c r="W78" i="1"/>
  <c r="AA78" i="1" s="1"/>
  <c r="AD78" i="1"/>
  <c r="W31" i="1"/>
  <c r="AA31" i="1" s="1"/>
  <c r="AD31" i="1"/>
  <c r="AE31" i="1" s="1"/>
  <c r="AC31" i="1"/>
  <c r="AD163" i="1"/>
  <c r="W163" i="1"/>
  <c r="AA163" i="1" s="1"/>
  <c r="AC163" i="1"/>
  <c r="W84" i="1"/>
  <c r="AA84" i="1" s="1"/>
  <c r="AD84" i="1"/>
  <c r="AC84" i="1"/>
  <c r="W40" i="1"/>
  <c r="AA40" i="1" s="1"/>
  <c r="AD40" i="1"/>
  <c r="AC40" i="1"/>
  <c r="AD187" i="1"/>
  <c r="W187" i="1"/>
  <c r="AA187" i="1" s="1"/>
  <c r="R187" i="1"/>
  <c r="P187" i="1" s="1"/>
  <c r="S187" i="1" s="1"/>
  <c r="M187" i="1" s="1"/>
  <c r="N187" i="1" s="1"/>
  <c r="AC187" i="1"/>
  <c r="AD126" i="1"/>
  <c r="AE126" i="1" s="1"/>
  <c r="W126" i="1"/>
  <c r="AA126" i="1" s="1"/>
  <c r="AC126" i="1"/>
  <c r="R126" i="1"/>
  <c r="P126" i="1" s="1"/>
  <c r="S126" i="1" s="1"/>
  <c r="M126" i="1" s="1"/>
  <c r="N126" i="1" s="1"/>
  <c r="W99" i="1"/>
  <c r="AA99" i="1" s="1"/>
  <c r="AD99" i="1"/>
  <c r="AE99" i="1" s="1"/>
  <c r="AC99" i="1"/>
  <c r="AD167" i="1"/>
  <c r="W167" i="1"/>
  <c r="AA167" i="1" s="1"/>
  <c r="AC167" i="1"/>
  <c r="W20" i="1"/>
  <c r="AA20" i="1" s="1"/>
  <c r="AD20" i="1"/>
  <c r="AE20" i="1" s="1"/>
  <c r="AC20" i="1"/>
  <c r="W131" i="1"/>
  <c r="AA131" i="1" s="1"/>
  <c r="AD131" i="1"/>
  <c r="AE131" i="1" s="1"/>
  <c r="AC131" i="1"/>
  <c r="R131" i="1"/>
  <c r="P131" i="1" s="1"/>
  <c r="S131" i="1" s="1"/>
  <c r="M131" i="1" s="1"/>
  <c r="N131" i="1" s="1"/>
  <c r="AD192" i="1"/>
  <c r="AE192" i="1" s="1"/>
  <c r="W192" i="1"/>
  <c r="AA192" i="1" s="1"/>
  <c r="AC192" i="1"/>
  <c r="W74" i="1"/>
  <c r="AA74" i="1" s="1"/>
  <c r="AD74" i="1"/>
  <c r="AE74" i="1" s="1"/>
  <c r="AC74" i="1"/>
  <c r="W100" i="1"/>
  <c r="AA100" i="1" s="1"/>
  <c r="AD100" i="1"/>
  <c r="AC100" i="1"/>
  <c r="AD76" i="1"/>
  <c r="AE76" i="1" s="1"/>
  <c r="W76" i="1"/>
  <c r="AA76" i="1" s="1"/>
  <c r="AC76" i="1"/>
  <c r="AC82" i="1"/>
  <c r="AD82" i="1"/>
  <c r="W82" i="1"/>
  <c r="AA82" i="1" s="1"/>
  <c r="W121" i="1"/>
  <c r="AA121" i="1" s="1"/>
  <c r="AD121" i="1"/>
  <c r="AE121" i="1" s="1"/>
  <c r="AC121" i="1"/>
  <c r="W172" i="1"/>
  <c r="AA172" i="1" s="1"/>
  <c r="AD172" i="1"/>
  <c r="AC172" i="1"/>
  <c r="R172" i="1"/>
  <c r="P172" i="1" s="1"/>
  <c r="S172" i="1" s="1"/>
  <c r="M172" i="1" s="1"/>
  <c r="N172" i="1" s="1"/>
  <c r="R221" i="1"/>
  <c r="P221" i="1" s="1"/>
  <c r="S221" i="1" s="1"/>
  <c r="M221" i="1" s="1"/>
  <c r="N221" i="1" s="1"/>
  <c r="W118" i="1"/>
  <c r="AA118" i="1" s="1"/>
  <c r="AD118" i="1"/>
  <c r="AE118" i="1" s="1"/>
  <c r="AC118" i="1"/>
  <c r="R118" i="1"/>
  <c r="P118" i="1" s="1"/>
  <c r="S118" i="1" s="1"/>
  <c r="M118" i="1" s="1"/>
  <c r="N118" i="1" s="1"/>
  <c r="R93" i="1"/>
  <c r="P93" i="1" s="1"/>
  <c r="S93" i="1" s="1"/>
  <c r="M93" i="1" s="1"/>
  <c r="N93" i="1" s="1"/>
  <c r="W105" i="1"/>
  <c r="AA105" i="1" s="1"/>
  <c r="AD105" i="1"/>
  <c r="AE105" i="1" s="1"/>
  <c r="AC105" i="1"/>
  <c r="AC90" i="1"/>
  <c r="W90" i="1"/>
  <c r="AA90" i="1" s="1"/>
  <c r="AD90" i="1"/>
  <c r="W137" i="1"/>
  <c r="AA137" i="1" s="1"/>
  <c r="AD137" i="1"/>
  <c r="AC137" i="1"/>
  <c r="AD166" i="1"/>
  <c r="W166" i="1"/>
  <c r="AA166" i="1" s="1"/>
  <c r="AC166" i="1"/>
  <c r="W191" i="1"/>
  <c r="AA191" i="1" s="1"/>
  <c r="AD191" i="1"/>
  <c r="AC191" i="1"/>
  <c r="R191" i="1"/>
  <c r="P191" i="1" s="1"/>
  <c r="S191" i="1" s="1"/>
  <c r="M191" i="1" s="1"/>
  <c r="N191" i="1" s="1"/>
  <c r="W197" i="1"/>
  <c r="AA197" i="1" s="1"/>
  <c r="AD197" i="1"/>
  <c r="AE197" i="1" s="1"/>
  <c r="AC197" i="1"/>
  <c r="AE215" i="1"/>
  <c r="W37" i="1"/>
  <c r="AA37" i="1" s="1"/>
  <c r="AD37" i="1"/>
  <c r="AC37" i="1"/>
  <c r="AE26" i="1"/>
  <c r="AC94" i="1"/>
  <c r="AD94" i="1"/>
  <c r="W94" i="1"/>
  <c r="AA94" i="1" s="1"/>
  <c r="AE162" i="1"/>
  <c r="R188" i="1"/>
  <c r="P188" i="1" s="1"/>
  <c r="S188" i="1" s="1"/>
  <c r="M188" i="1" s="1"/>
  <c r="N188" i="1" s="1"/>
  <c r="AE112" i="1"/>
  <c r="W182" i="1"/>
  <c r="AA182" i="1" s="1"/>
  <c r="AD182" i="1"/>
  <c r="AC182" i="1"/>
  <c r="AE50" i="1"/>
  <c r="AE17" i="1"/>
  <c r="AE81" i="1"/>
  <c r="AD21" i="1"/>
  <c r="AE21" i="1" s="1"/>
  <c r="W21" i="1"/>
  <c r="AA21" i="1" s="1"/>
  <c r="AC21" i="1"/>
  <c r="R21" i="1"/>
  <c r="P21" i="1" s="1"/>
  <c r="S21" i="1" s="1"/>
  <c r="M21" i="1" s="1"/>
  <c r="N21" i="1" s="1"/>
  <c r="W33" i="1"/>
  <c r="AA33" i="1" s="1"/>
  <c r="AD33" i="1"/>
  <c r="AE33" i="1" s="1"/>
  <c r="AC33" i="1"/>
  <c r="R33" i="1"/>
  <c r="P33" i="1" s="1"/>
  <c r="S33" i="1" s="1"/>
  <c r="M33" i="1" s="1"/>
  <c r="N33" i="1" s="1"/>
  <c r="W92" i="1"/>
  <c r="AA92" i="1" s="1"/>
  <c r="AD92" i="1"/>
  <c r="AE92" i="1" s="1"/>
  <c r="R92" i="1"/>
  <c r="P92" i="1" s="1"/>
  <c r="S92" i="1" s="1"/>
  <c r="M92" i="1" s="1"/>
  <c r="N92" i="1" s="1"/>
  <c r="AC92" i="1"/>
  <c r="W160" i="1"/>
  <c r="AA160" i="1" s="1"/>
  <c r="AD160" i="1"/>
  <c r="AE160" i="1" s="1"/>
  <c r="AC160" i="1"/>
  <c r="R160" i="1"/>
  <c r="P160" i="1" s="1"/>
  <c r="S160" i="1" s="1"/>
  <c r="M160" i="1" s="1"/>
  <c r="N160" i="1" s="1"/>
  <c r="W220" i="1"/>
  <c r="AA220" i="1" s="1"/>
  <c r="AD220" i="1"/>
  <c r="AC220" i="1"/>
  <c r="W25" i="1"/>
  <c r="AA25" i="1" s="1"/>
  <c r="AD25" i="1"/>
  <c r="AE25" i="1" s="1"/>
  <c r="AC25" i="1"/>
  <c r="R84" i="1"/>
  <c r="P84" i="1" s="1"/>
  <c r="S84" i="1" s="1"/>
  <c r="M84" i="1" s="1"/>
  <c r="N84" i="1" s="1"/>
  <c r="W79" i="1"/>
  <c r="AA79" i="1" s="1"/>
  <c r="AD79" i="1"/>
  <c r="AE79" i="1" s="1"/>
  <c r="AC79" i="1"/>
  <c r="AD35" i="1"/>
  <c r="W35" i="1"/>
  <c r="AA35" i="1" s="1"/>
  <c r="AC35" i="1"/>
  <c r="R150" i="1"/>
  <c r="P150" i="1" s="1"/>
  <c r="S150" i="1" s="1"/>
  <c r="M150" i="1" s="1"/>
  <c r="N150" i="1" s="1"/>
  <c r="AD229" i="1"/>
  <c r="W229" i="1"/>
  <c r="AA229" i="1" s="1"/>
  <c r="AC229" i="1"/>
  <c r="W125" i="1"/>
  <c r="AA125" i="1" s="1"/>
  <c r="AD125" i="1"/>
  <c r="AE125" i="1" s="1"/>
  <c r="AC125" i="1"/>
  <c r="W179" i="1"/>
  <c r="AA179" i="1" s="1"/>
  <c r="AD179" i="1"/>
  <c r="AE179" i="1" s="1"/>
  <c r="AC179" i="1"/>
  <c r="AE42" i="1"/>
  <c r="W190" i="1"/>
  <c r="AA190" i="1" s="1"/>
  <c r="AD190" i="1"/>
  <c r="AC190" i="1"/>
  <c r="AD201" i="1"/>
  <c r="W201" i="1"/>
  <c r="AA201" i="1" s="1"/>
  <c r="AC201" i="1"/>
  <c r="W28" i="1"/>
  <c r="AA28" i="1" s="1"/>
  <c r="AD28" i="1"/>
  <c r="AC28" i="1"/>
  <c r="W103" i="1"/>
  <c r="AA103" i="1" s="1"/>
  <c r="AD103" i="1"/>
  <c r="AE103" i="1" s="1"/>
  <c r="AC103" i="1"/>
  <c r="R100" i="1"/>
  <c r="P100" i="1" s="1"/>
  <c r="S100" i="1" s="1"/>
  <c r="M100" i="1" s="1"/>
  <c r="N100" i="1" s="1"/>
  <c r="R105" i="1"/>
  <c r="P105" i="1" s="1"/>
  <c r="S105" i="1" s="1"/>
  <c r="M105" i="1" s="1"/>
  <c r="N105" i="1" s="1"/>
  <c r="R74" i="1"/>
  <c r="P74" i="1" s="1"/>
  <c r="S74" i="1" s="1"/>
  <c r="M74" i="1" s="1"/>
  <c r="N74" i="1" s="1"/>
  <c r="W122" i="1"/>
  <c r="AA122" i="1" s="1"/>
  <c r="AD122" i="1"/>
  <c r="AE122" i="1" s="1"/>
  <c r="R122" i="1"/>
  <c r="P122" i="1" s="1"/>
  <c r="S122" i="1" s="1"/>
  <c r="M122" i="1" s="1"/>
  <c r="N122" i="1" s="1"/>
  <c r="AC122" i="1"/>
  <c r="AD186" i="1"/>
  <c r="AC186" i="1"/>
  <c r="W186" i="1"/>
  <c r="AA186" i="1" s="1"/>
  <c r="AD208" i="1"/>
  <c r="W208" i="1"/>
  <c r="AA208" i="1" s="1"/>
  <c r="AC208" i="1"/>
  <c r="R208" i="1"/>
  <c r="P208" i="1" s="1"/>
  <c r="S208" i="1" s="1"/>
  <c r="M208" i="1" s="1"/>
  <c r="N208" i="1" s="1"/>
  <c r="W146" i="1"/>
  <c r="AA146" i="1" s="1"/>
  <c r="AD146" i="1"/>
  <c r="AC146" i="1"/>
  <c r="R31" i="1"/>
  <c r="P31" i="1" s="1"/>
  <c r="S31" i="1" s="1"/>
  <c r="M31" i="1" s="1"/>
  <c r="N31" i="1" s="1"/>
  <c r="W69" i="1"/>
  <c r="AA69" i="1" s="1"/>
  <c r="AD69" i="1"/>
  <c r="AC69" i="1"/>
  <c r="R69" i="1"/>
  <c r="P69" i="1" s="1"/>
  <c r="S69" i="1" s="1"/>
  <c r="M69" i="1" s="1"/>
  <c r="N69" i="1" s="1"/>
  <c r="R75" i="1"/>
  <c r="P75" i="1" s="1"/>
  <c r="S75" i="1" s="1"/>
  <c r="M75" i="1" s="1"/>
  <c r="N75" i="1" s="1"/>
  <c r="W107" i="1"/>
  <c r="AA107" i="1" s="1"/>
  <c r="AD107" i="1"/>
  <c r="AE107" i="1" s="1"/>
  <c r="AC107" i="1"/>
  <c r="R163" i="1"/>
  <c r="P163" i="1" s="1"/>
  <c r="S163" i="1" s="1"/>
  <c r="M163" i="1" s="1"/>
  <c r="N163" i="1" s="1"/>
  <c r="AE127" i="1"/>
  <c r="AD165" i="1"/>
  <c r="AE165" i="1" s="1"/>
  <c r="W165" i="1"/>
  <c r="AA165" i="1" s="1"/>
  <c r="AC165" i="1"/>
  <c r="AD174" i="1"/>
  <c r="W174" i="1"/>
  <c r="AA174" i="1" s="1"/>
  <c r="AC174" i="1"/>
  <c r="AD64" i="1"/>
  <c r="W64" i="1"/>
  <c r="AA64" i="1" s="1"/>
  <c r="AC64" i="1"/>
  <c r="W45" i="1"/>
  <c r="AA45" i="1" s="1"/>
  <c r="AD45" i="1"/>
  <c r="R45" i="1"/>
  <c r="P45" i="1" s="1"/>
  <c r="S45" i="1" s="1"/>
  <c r="M45" i="1" s="1"/>
  <c r="N45" i="1" s="1"/>
  <c r="AC45" i="1"/>
  <c r="W104" i="1"/>
  <c r="AA104" i="1" s="1"/>
  <c r="AD104" i="1"/>
  <c r="R104" i="1"/>
  <c r="P104" i="1" s="1"/>
  <c r="S104" i="1" s="1"/>
  <c r="M104" i="1" s="1"/>
  <c r="N104" i="1" s="1"/>
  <c r="AC104" i="1"/>
  <c r="W203" i="1"/>
  <c r="AA203" i="1" s="1"/>
  <c r="AD203" i="1"/>
  <c r="AE203" i="1" s="1"/>
  <c r="AC203" i="1"/>
  <c r="R203" i="1"/>
  <c r="P203" i="1" s="1"/>
  <c r="S203" i="1" s="1"/>
  <c r="M203" i="1" s="1"/>
  <c r="N203" i="1" s="1"/>
  <c r="AC200" i="1"/>
  <c r="AD200" i="1"/>
  <c r="W200" i="1"/>
  <c r="AA200" i="1" s="1"/>
  <c r="W228" i="1"/>
  <c r="AA228" i="1" s="1"/>
  <c r="AD228" i="1"/>
  <c r="AC228" i="1"/>
  <c r="W135" i="1"/>
  <c r="AA135" i="1" s="1"/>
  <c r="AD135" i="1"/>
  <c r="AE135" i="1" s="1"/>
  <c r="AC135" i="1"/>
  <c r="R135" i="1"/>
  <c r="P135" i="1" s="1"/>
  <c r="S135" i="1" s="1"/>
  <c r="M135" i="1" s="1"/>
  <c r="N135" i="1" s="1"/>
  <c r="W57" i="1"/>
  <c r="AA57" i="1" s="1"/>
  <c r="AD57" i="1"/>
  <c r="AE57" i="1" s="1"/>
  <c r="AC57" i="1"/>
  <c r="AE207" i="1"/>
  <c r="W49" i="1"/>
  <c r="AA49" i="1" s="1"/>
  <c r="AD49" i="1"/>
  <c r="AE49" i="1" s="1"/>
  <c r="AC49" i="1"/>
  <c r="R49" i="1"/>
  <c r="P49" i="1" s="1"/>
  <c r="S49" i="1" s="1"/>
  <c r="M49" i="1" s="1"/>
  <c r="N49" i="1" s="1"/>
  <c r="W66" i="1"/>
  <c r="AA66" i="1" s="1"/>
  <c r="AD66" i="1"/>
  <c r="AE66" i="1" s="1"/>
  <c r="AC66" i="1"/>
  <c r="W134" i="1"/>
  <c r="AA134" i="1" s="1"/>
  <c r="AD134" i="1"/>
  <c r="AC134" i="1"/>
  <c r="R167" i="1"/>
  <c r="P167" i="1" s="1"/>
  <c r="S167" i="1" s="1"/>
  <c r="M167" i="1" s="1"/>
  <c r="N167" i="1" s="1"/>
  <c r="AD217" i="1"/>
  <c r="W217" i="1"/>
  <c r="AA217" i="1" s="1"/>
  <c r="AC217" i="1"/>
  <c r="W46" i="1"/>
  <c r="AA46" i="1" s="1"/>
  <c r="AD46" i="1"/>
  <c r="AE46" i="1" s="1"/>
  <c r="AC46" i="1"/>
  <c r="R28" i="1"/>
  <c r="P28" i="1" s="1"/>
  <c r="S28" i="1" s="1"/>
  <c r="M28" i="1" s="1"/>
  <c r="N28" i="1" s="1"/>
  <c r="AC86" i="1"/>
  <c r="W86" i="1"/>
  <c r="AA86" i="1" s="1"/>
  <c r="AD86" i="1"/>
  <c r="R194" i="1"/>
  <c r="P194" i="1" s="1"/>
  <c r="S194" i="1" s="1"/>
  <c r="M194" i="1" s="1"/>
  <c r="N194" i="1" s="1"/>
  <c r="AD19" i="1"/>
  <c r="AE19" i="1" s="1"/>
  <c r="W19" i="1"/>
  <c r="AA19" i="1" s="1"/>
  <c r="AC19" i="1"/>
  <c r="R64" i="1"/>
  <c r="P64" i="1" s="1"/>
  <c r="S64" i="1" s="1"/>
  <c r="M64" i="1" s="1"/>
  <c r="N64" i="1" s="1"/>
  <c r="R129" i="1"/>
  <c r="P129" i="1" s="1"/>
  <c r="S129" i="1" s="1"/>
  <c r="M129" i="1" s="1"/>
  <c r="N129" i="1" s="1"/>
  <c r="W222" i="1"/>
  <c r="AA222" i="1" s="1"/>
  <c r="AD222" i="1"/>
  <c r="AC222" i="1"/>
  <c r="R222" i="1"/>
  <c r="P222" i="1" s="1"/>
  <c r="S222" i="1" s="1"/>
  <c r="M222" i="1" s="1"/>
  <c r="N222" i="1" s="1"/>
  <c r="W53" i="1"/>
  <c r="AA53" i="1" s="1"/>
  <c r="AD53" i="1"/>
  <c r="R53" i="1"/>
  <c r="P53" i="1" s="1"/>
  <c r="S53" i="1" s="1"/>
  <c r="M53" i="1" s="1"/>
  <c r="N53" i="1" s="1"/>
  <c r="AC53" i="1"/>
  <c r="R225" i="1"/>
  <c r="P225" i="1" s="1"/>
  <c r="S225" i="1" s="1"/>
  <c r="M225" i="1" s="1"/>
  <c r="N225" i="1" s="1"/>
  <c r="AE51" i="1"/>
  <c r="AE30" i="1"/>
  <c r="AE73" i="1"/>
  <c r="W41" i="1"/>
  <c r="AA41" i="1" s="1"/>
  <c r="AD41" i="1"/>
  <c r="AC41" i="1"/>
  <c r="R41" i="1"/>
  <c r="P41" i="1" s="1"/>
  <c r="S41" i="1" s="1"/>
  <c r="M41" i="1" s="1"/>
  <c r="N41" i="1" s="1"/>
  <c r="W95" i="1"/>
  <c r="AA95" i="1" s="1"/>
  <c r="AD95" i="1"/>
  <c r="AC95" i="1"/>
  <c r="W102" i="1"/>
  <c r="AA102" i="1" s="1"/>
  <c r="AD102" i="1"/>
  <c r="AE102" i="1" s="1"/>
  <c r="AC102" i="1"/>
  <c r="W168" i="1"/>
  <c r="AA168" i="1" s="1"/>
  <c r="AD168" i="1"/>
  <c r="AE168" i="1" s="1"/>
  <c r="AC168" i="1"/>
  <c r="R168" i="1"/>
  <c r="P168" i="1" s="1"/>
  <c r="S168" i="1" s="1"/>
  <c r="M168" i="1" s="1"/>
  <c r="N168" i="1" s="1"/>
  <c r="W224" i="1"/>
  <c r="AA224" i="1" s="1"/>
  <c r="AD224" i="1"/>
  <c r="AC224" i="1"/>
  <c r="R78" i="1"/>
  <c r="P78" i="1" s="1"/>
  <c r="S78" i="1" s="1"/>
  <c r="M78" i="1" s="1"/>
  <c r="N78" i="1" s="1"/>
  <c r="R165" i="1"/>
  <c r="P165" i="1" s="1"/>
  <c r="S165" i="1" s="1"/>
  <c r="M165" i="1" s="1"/>
  <c r="N165" i="1" s="1"/>
  <c r="AD184" i="1"/>
  <c r="AE184" i="1" s="1"/>
  <c r="W184" i="1"/>
  <c r="AA184" i="1" s="1"/>
  <c r="AC184" i="1"/>
  <c r="AD170" i="1"/>
  <c r="AE170" i="1" s="1"/>
  <c r="W170" i="1"/>
  <c r="AA170" i="1" s="1"/>
  <c r="AC170" i="1"/>
  <c r="AD29" i="1"/>
  <c r="AC29" i="1"/>
  <c r="W29" i="1"/>
  <c r="AA29" i="1" s="1"/>
  <c r="AD130" i="1"/>
  <c r="AE130" i="1" s="1"/>
  <c r="W130" i="1"/>
  <c r="AA130" i="1" s="1"/>
  <c r="R130" i="1"/>
  <c r="P130" i="1" s="1"/>
  <c r="S130" i="1" s="1"/>
  <c r="M130" i="1" s="1"/>
  <c r="N130" i="1" s="1"/>
  <c r="AC130" i="1"/>
  <c r="AD173" i="1"/>
  <c r="W173" i="1"/>
  <c r="AA173" i="1" s="1"/>
  <c r="AC173" i="1"/>
  <c r="W89" i="1"/>
  <c r="AA89" i="1" s="1"/>
  <c r="AD89" i="1"/>
  <c r="AE89" i="1" s="1"/>
  <c r="AC89" i="1"/>
  <c r="W109" i="1"/>
  <c r="AA109" i="1" s="1"/>
  <c r="AD109" i="1"/>
  <c r="AE109" i="1" s="1"/>
  <c r="R109" i="1"/>
  <c r="P109" i="1" s="1"/>
  <c r="S109" i="1" s="1"/>
  <c r="M109" i="1" s="1"/>
  <c r="N109" i="1" s="1"/>
  <c r="AC109" i="1"/>
  <c r="R110" i="1"/>
  <c r="P110" i="1" s="1"/>
  <c r="S110" i="1" s="1"/>
  <c r="M110" i="1" s="1"/>
  <c r="N110" i="1" s="1"/>
  <c r="R177" i="1"/>
  <c r="P177" i="1" s="1"/>
  <c r="S177" i="1" s="1"/>
  <c r="M177" i="1" s="1"/>
  <c r="N177" i="1" s="1"/>
  <c r="R174" i="1"/>
  <c r="P174" i="1" s="1"/>
  <c r="S174" i="1" s="1"/>
  <c r="M174" i="1" s="1"/>
  <c r="N174" i="1" s="1"/>
  <c r="AE58" i="1"/>
  <c r="AC196" i="1"/>
  <c r="AD196" i="1"/>
  <c r="W196" i="1"/>
  <c r="AA196" i="1" s="1"/>
  <c r="AE32" i="1"/>
  <c r="R90" i="1"/>
  <c r="P90" i="1" s="1"/>
  <c r="S90" i="1" s="1"/>
  <c r="M90" i="1" s="1"/>
  <c r="N90" i="1" s="1"/>
  <c r="AE164" i="1"/>
  <c r="R200" i="1"/>
  <c r="P200" i="1" s="1"/>
  <c r="S200" i="1" s="1"/>
  <c r="M200" i="1" s="1"/>
  <c r="N200" i="1" s="1"/>
  <c r="AD181" i="1"/>
  <c r="AE181" i="1" s="1"/>
  <c r="W181" i="1"/>
  <c r="AA181" i="1" s="1"/>
  <c r="AC181" i="1"/>
  <c r="R181" i="1"/>
  <c r="P181" i="1" s="1"/>
  <c r="S181" i="1" s="1"/>
  <c r="M181" i="1" s="1"/>
  <c r="N181" i="1" s="1"/>
  <c r="R209" i="1"/>
  <c r="P209" i="1" s="1"/>
  <c r="S209" i="1" s="1"/>
  <c r="M209" i="1" s="1"/>
  <c r="N209" i="1" s="1"/>
  <c r="R29" i="1"/>
  <c r="P29" i="1" s="1"/>
  <c r="S29" i="1" s="1"/>
  <c r="M29" i="1" s="1"/>
  <c r="N29" i="1" s="1"/>
  <c r="W88" i="1"/>
  <c r="AA88" i="1" s="1"/>
  <c r="AD88" i="1"/>
  <c r="R88" i="1"/>
  <c r="P88" i="1" s="1"/>
  <c r="S88" i="1" s="1"/>
  <c r="M88" i="1" s="1"/>
  <c r="N88" i="1" s="1"/>
  <c r="AC88" i="1"/>
  <c r="W216" i="1"/>
  <c r="AA216" i="1" s="1"/>
  <c r="AC216" i="1"/>
  <c r="AD216" i="1"/>
  <c r="AC98" i="1"/>
  <c r="AD98" i="1"/>
  <c r="W98" i="1"/>
  <c r="AA98" i="1" s="1"/>
  <c r="AE157" i="1"/>
  <c r="AE149" i="1"/>
  <c r="AE98" i="1" l="1"/>
  <c r="AE94" i="1"/>
  <c r="AE166" i="1"/>
  <c r="AE82" i="1"/>
  <c r="AE161" i="1"/>
  <c r="AE216" i="1"/>
  <c r="AE29" i="1"/>
  <c r="AE41" i="1"/>
  <c r="AE53" i="1"/>
  <c r="AE134" i="1"/>
  <c r="AE174" i="1"/>
  <c r="AE146" i="1"/>
  <c r="AE186" i="1"/>
  <c r="AE201" i="1"/>
  <c r="AE182" i="1"/>
  <c r="AE137" i="1"/>
  <c r="AE172" i="1"/>
  <c r="AE187" i="1"/>
  <c r="AE177" i="1"/>
  <c r="AE71" i="1"/>
  <c r="AE153" i="1"/>
  <c r="AE138" i="1"/>
  <c r="AE85" i="1"/>
  <c r="AE202" i="1"/>
  <c r="AE173" i="1"/>
  <c r="AE45" i="1"/>
  <c r="AE35" i="1"/>
  <c r="AE163" i="1"/>
  <c r="AE205" i="1"/>
  <c r="AE209" i="1"/>
  <c r="AE75" i="1"/>
  <c r="AE80" i="1"/>
  <c r="AE194" i="1"/>
  <c r="AE171" i="1"/>
  <c r="AE196" i="1"/>
  <c r="AE224" i="1"/>
  <c r="AE228" i="1"/>
  <c r="AE190" i="1"/>
  <c r="AE220" i="1"/>
  <c r="AE37" i="1"/>
  <c r="AE191" i="1"/>
  <c r="AE90" i="1"/>
  <c r="AE40" i="1"/>
  <c r="AE95" i="1"/>
  <c r="AE222" i="1"/>
  <c r="AE86" i="1"/>
  <c r="AE69" i="1"/>
  <c r="AE28" i="1"/>
  <c r="AE100" i="1"/>
  <c r="AE150" i="1"/>
  <c r="AE221" i="1"/>
  <c r="AE72" i="1"/>
  <c r="AE93" i="1"/>
  <c r="AE27" i="1"/>
  <c r="AE142" i="1"/>
  <c r="AE141" i="1"/>
  <c r="AE175" i="1"/>
  <c r="AE101" i="1"/>
  <c r="AE88" i="1"/>
  <c r="AE217" i="1"/>
  <c r="AE200" i="1"/>
  <c r="AE104" i="1"/>
  <c r="AE64" i="1"/>
  <c r="AE208" i="1"/>
  <c r="AE229" i="1"/>
  <c r="AE167" i="1"/>
  <c r="AE84" i="1"/>
  <c r="AE78" i="1"/>
  <c r="AE156" i="1"/>
  <c r="AE226" i="1"/>
  <c r="AE133" i="1"/>
  <c r="AE169" i="1"/>
  <c r="AE204" i="1"/>
</calcChain>
</file>

<file path=xl/sharedStrings.xml><?xml version="1.0" encoding="utf-8"?>
<sst xmlns="http://schemas.openxmlformats.org/spreadsheetml/2006/main" count="3201" uniqueCount="761">
  <si>
    <t>File opened</t>
  </si>
  <si>
    <t>2023-07-26 10:17:41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</si>
  <si>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</si>
  <si>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</si>
  <si>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</si>
  <si>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</si>
  <si>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</si>
  <si>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</si>
  <si>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</si>
  <si>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</si>
  <si>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</si>
  <si>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</si>
  <si>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</si>
  <si>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</si>
  <si>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</si>
  <si>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</si>
  <si>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</si>
  <si>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</si>
  <si>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</si>
  <si>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</si>
  <si>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</si>
  <si>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</si>
  <si>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</si>
  <si>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</si>
  <si>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</si>
  <si>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</si>
  <si>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</si>
  <si>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</si>
  <si>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</si>
  <si>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</si>
  <si>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</si>
  <si>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</si>
  <si>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</si>
  <si>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</si>
  <si>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10:17:41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</si>
  <si>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</si>
  <si>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</si>
  <si>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</si>
  <si>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</si>
  <si>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</si>
  <si>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</si>
  <si>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</si>
  <si>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</si>
  <si>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</si>
  <si>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</si>
  <si>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</si>
  <si>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</si>
  <si>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</si>
  <si>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</si>
  <si>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</si>
  <si>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</si>
  <si>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</si>
  <si>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</si>
  <si>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</si>
  <si>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</si>
  <si>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</si>
  <si>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</si>
  <si>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</si>
  <si>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</si>
  <si>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</si>
  <si>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</si>
  <si>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</si>
  <si>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</si>
  <si>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</si>
  <si>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</si>
  <si>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</si>
  <si>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</si>
  <si>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</si>
  <si>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</si>
  <si>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</si>
  <si>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</si>
  <si>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</si>
  <si>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</si>
  <si>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</si>
  <si>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</si>
  <si>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</si>
  <si>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</si>
  <si>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</si>
  <si>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</si>
  <si>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</si>
  <si>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</si>
  <si>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</si>
  <si>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</si>
  <si>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</si>
  <si>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</si>
  <si>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</si>
  <si>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</si>
  <si>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9.91589 89.2799 373.467 608.908 843.11 1054.96 1243.37 1426.36</t>
  </si>
  <si>
    <t>Fs_true</t>
  </si>
  <si>
    <t>-0.0224448 102.496 401.746 601.314 801.108 1000.34 1201.96 1401.15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</si>
  <si>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</si>
  <si>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</si>
  <si>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</si>
  <si>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</si>
  <si>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</si>
  <si>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</si>
  <si>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</si>
  <si>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</si>
  <si>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</si>
  <si>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</si>
  <si>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</si>
  <si>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</si>
  <si>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</si>
  <si>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</si>
  <si>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</si>
  <si>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</si>
  <si>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</si>
  <si>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</si>
  <si>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</si>
  <si>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</si>
  <si>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</si>
  <si>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</si>
  <si>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</si>
  <si>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</si>
  <si>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</si>
  <si>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</si>
  <si>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</si>
  <si>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</si>
  <si>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</si>
  <si>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</si>
  <si>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</si>
  <si>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</si>
  <si>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</si>
  <si>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</si>
  <si>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</si>
  <si>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</si>
  <si>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</si>
  <si>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</si>
  <si>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</si>
  <si>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</si>
  <si>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</si>
  <si>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</si>
  <si>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</si>
  <si>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</si>
  <si>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</si>
  <si>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</si>
  <si>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</si>
  <si>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</si>
  <si>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</si>
  <si>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</si>
  <si>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</si>
  <si>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</si>
  <si>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</si>
  <si>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</si>
  <si>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</si>
  <si>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</si>
  <si>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</si>
  <si>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</si>
  <si>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</si>
  <si>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</si>
  <si>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</si>
  <si>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</si>
  <si>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</si>
  <si>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</si>
  <si>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</si>
  <si>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</si>
  <si>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</si>
  <si>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</si>
  <si>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</si>
  <si>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</si>
  <si>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</si>
  <si>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</si>
  <si>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</si>
  <si>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</si>
  <si>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</si>
  <si>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</si>
  <si>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</si>
  <si>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</si>
  <si>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</si>
  <si>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</si>
  <si>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</si>
  <si>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</si>
  <si>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</si>
  <si>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</si>
  <si>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</si>
  <si>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</si>
  <si>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</si>
  <si>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</si>
  <si>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</si>
  <si>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</si>
  <si>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</si>
  <si>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</si>
  <si>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</si>
  <si>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</si>
  <si>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</si>
  <si>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</si>
  <si>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</si>
  <si>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</si>
  <si>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</si>
  <si>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</si>
  <si>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</si>
  <si>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</si>
  <si>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</si>
  <si>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</si>
  <si>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</si>
  <si>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</si>
  <si>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</si>
  <si>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</si>
  <si>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</si>
  <si>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</si>
  <si>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</si>
  <si>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</si>
  <si>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</si>
  <si>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</si>
  <si>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</si>
  <si>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</si>
  <si>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</si>
  <si>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</si>
  <si>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</si>
  <si>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</si>
  <si>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</si>
  <si>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</si>
  <si>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</si>
  <si>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</si>
  <si>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</si>
  <si>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</si>
  <si>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</si>
  <si>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</si>
  <si>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</si>
  <si>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</si>
  <si>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</si>
  <si>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</si>
  <si>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</si>
  <si>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</si>
  <si>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</si>
  <si>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</si>
  <si>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</si>
  <si>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</si>
  <si>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</si>
  <si>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</si>
  <si>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</si>
  <si>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</si>
  <si>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</si>
  <si>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</si>
  <si>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</si>
  <si>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</si>
  <si>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</si>
  <si>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</si>
  <si>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</si>
  <si>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</si>
  <si>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</si>
  <si>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</si>
  <si>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</si>
  <si>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</si>
  <si>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</si>
  <si>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</si>
  <si>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</si>
  <si>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</si>
  <si>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</si>
  <si>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</si>
  <si>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</si>
  <si>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</si>
  <si>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</si>
  <si>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</si>
  <si>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</si>
  <si>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</si>
  <si>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</si>
  <si>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</si>
  <si>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</si>
  <si>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</si>
  <si>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</si>
  <si>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</si>
  <si>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</si>
  <si>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</si>
  <si>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</si>
  <si>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</si>
  <si>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</si>
  <si>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</si>
  <si>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</si>
  <si>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</si>
  <si>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</si>
  <si>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</si>
  <si>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</si>
  <si>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</si>
  <si>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</si>
  <si>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</si>
  <si>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</si>
  <si>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</si>
  <si>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</si>
  <si>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</si>
  <si>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</si>
  <si>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</si>
  <si>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</si>
  <si>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</si>
  <si>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</si>
  <si>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</si>
  <si>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</si>
  <si>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</si>
  <si>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</si>
  <si>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</si>
  <si>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</si>
  <si>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</si>
  <si>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</si>
  <si>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</si>
  <si>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</si>
  <si>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</si>
  <si>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</si>
  <si>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</si>
  <si>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</si>
  <si>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</si>
  <si>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</si>
  <si>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</si>
  <si>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</si>
  <si>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</si>
  <si>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</si>
  <si>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</si>
  <si>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</si>
  <si>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</si>
  <si>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</si>
  <si>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</si>
  <si>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</si>
  <si>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</si>
  <si>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</si>
  <si>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</si>
  <si>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</si>
  <si>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</si>
  <si>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</si>
  <si>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</si>
  <si>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</si>
  <si>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</si>
  <si>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</si>
  <si>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</si>
  <si>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</si>
  <si>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</si>
  <si>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</si>
  <si>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</si>
  <si>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</si>
  <si>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</si>
  <si>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20230726 10:28:54</t>
  </si>
  <si>
    <t>10:28:54</t>
  </si>
  <si>
    <t>none</t>
  </si>
  <si>
    <t>0: Broadleaf</t>
  </si>
  <si>
    <t>10:20:21</t>
  </si>
  <si>
    <t>0/0</t>
  </si>
  <si>
    <t>00000000</t>
  </si>
  <si>
    <t>iiiiiiii</t>
  </si>
  <si>
    <t>off</t>
  </si>
  <si>
    <t>20230726 10:28:55</t>
  </si>
  <si>
    <t>10:28:55</t>
  </si>
  <si>
    <t>20230726 10:28:56</t>
  </si>
  <si>
    <t>10:28:56</t>
  </si>
  <si>
    <t>20230726 10:28:57</t>
  </si>
  <si>
    <t>10:28:57</t>
  </si>
  <si>
    <t>20230726 10:29:00</t>
  </si>
  <si>
    <t>10:29:00</t>
  </si>
  <si>
    <t>20230726 10:30:55</t>
  </si>
  <si>
    <t>10:30:55</t>
  </si>
  <si>
    <t>20230726 10:31:05</t>
  </si>
  <si>
    <t>10:31:05</t>
  </si>
  <si>
    <t>20230726 10:31:15</t>
  </si>
  <si>
    <t>10:31:15</t>
  </si>
  <si>
    <t>20230726 10:31:25</t>
  </si>
  <si>
    <t>10:31:25</t>
  </si>
  <si>
    <t>20230726 10:31:35</t>
  </si>
  <si>
    <t>10:31:35</t>
  </si>
  <si>
    <t>20230726 10:31:45</t>
  </si>
  <si>
    <t>10:31:45</t>
  </si>
  <si>
    <t>20230726 10:31:55</t>
  </si>
  <si>
    <t>10:31:55</t>
  </si>
  <si>
    <t>20230726 10:32:05</t>
  </si>
  <si>
    <t>10:32:05</t>
  </si>
  <si>
    <t>20230726 10:32:15</t>
  </si>
  <si>
    <t>10:32:15</t>
  </si>
  <si>
    <t>20230726 10:32:25</t>
  </si>
  <si>
    <t>10:32:25</t>
  </si>
  <si>
    <t>20230726 10:32:35</t>
  </si>
  <si>
    <t>10:32:35</t>
  </si>
  <si>
    <t>20230726 10:32:45</t>
  </si>
  <si>
    <t>10:32:45</t>
  </si>
  <si>
    <t>20230726 10:32:55</t>
  </si>
  <si>
    <t>10:32:55</t>
  </si>
  <si>
    <t>20230726 10:33:05</t>
  </si>
  <si>
    <t>10:33:05</t>
  </si>
  <si>
    <t>20230726 10:33:15</t>
  </si>
  <si>
    <t>10:33:15</t>
  </si>
  <si>
    <t>20230726 10:33:25</t>
  </si>
  <si>
    <t>10:33:25</t>
  </si>
  <si>
    <t>20230726 10:33:35</t>
  </si>
  <si>
    <t>10:33:35</t>
  </si>
  <si>
    <t>20230726 10:33:45</t>
  </si>
  <si>
    <t>10:33:45</t>
  </si>
  <si>
    <t>20230726 10:33:55</t>
  </si>
  <si>
    <t>10:33:55</t>
  </si>
  <si>
    <t>20230726 10:34:05</t>
  </si>
  <si>
    <t>10:34:05</t>
  </si>
  <si>
    <t>20230726 10:34:15</t>
  </si>
  <si>
    <t>10:34:15</t>
  </si>
  <si>
    <t>20230726 10:34:25</t>
  </si>
  <si>
    <t>10:34:25</t>
  </si>
  <si>
    <t>20230726 10:34:35</t>
  </si>
  <si>
    <t>10:34:35</t>
  </si>
  <si>
    <t>20230726 10:34:45</t>
  </si>
  <si>
    <t>10:34:45</t>
  </si>
  <si>
    <t>20230726 10:34:55</t>
  </si>
  <si>
    <t>10:34:55</t>
  </si>
  <si>
    <t>20230726 10:35:05</t>
  </si>
  <si>
    <t>10:35:05</t>
  </si>
  <si>
    <t>20230726 10:35:15</t>
  </si>
  <si>
    <t>10:35:15</t>
  </si>
  <si>
    <t>20230726 10:35:25</t>
  </si>
  <si>
    <t>10:35:25</t>
  </si>
  <si>
    <t>20230726 10:35:35</t>
  </si>
  <si>
    <t>10:35:35</t>
  </si>
  <si>
    <t>20230726 10:35:45</t>
  </si>
  <si>
    <t>10:35:45</t>
  </si>
  <si>
    <t>20230726 10:35:55</t>
  </si>
  <si>
    <t>10:35:55</t>
  </si>
  <si>
    <t>20230726 10:36:05</t>
  </si>
  <si>
    <t>10:36:05</t>
  </si>
  <si>
    <t>20230726 10:36:15</t>
  </si>
  <si>
    <t>10:36:15</t>
  </si>
  <si>
    <t>20230726 10:36:25</t>
  </si>
  <si>
    <t>10:36:25</t>
  </si>
  <si>
    <t>20230726 10:36:35</t>
  </si>
  <si>
    <t>10:36:35</t>
  </si>
  <si>
    <t>20230726 10:36:45</t>
  </si>
  <si>
    <t>10:36:45</t>
  </si>
  <si>
    <t>20230726 10:36:55</t>
  </si>
  <si>
    <t>10:36:55</t>
  </si>
  <si>
    <t>20230726 10:37:05</t>
  </si>
  <si>
    <t>10:37:05</t>
  </si>
  <si>
    <t>20230726 10:37:15</t>
  </si>
  <si>
    <t>10:37:15</t>
  </si>
  <si>
    <t>20230726 10:37:25</t>
  </si>
  <si>
    <t>10:37:25</t>
  </si>
  <si>
    <t>20230726 10:37:35</t>
  </si>
  <si>
    <t>10:37:35</t>
  </si>
  <si>
    <t>20230726 10:37:45</t>
  </si>
  <si>
    <t>10:37:45</t>
  </si>
  <si>
    <t>20230726 10:37:55</t>
  </si>
  <si>
    <t>10:37:55</t>
  </si>
  <si>
    <t>20230726 10:38:05</t>
  </si>
  <si>
    <t>10:38:05</t>
  </si>
  <si>
    <t>20230726 10:38:15</t>
  </si>
  <si>
    <t>10:38:15</t>
  </si>
  <si>
    <t>20230726 10:38:25</t>
  </si>
  <si>
    <t>10:38:25</t>
  </si>
  <si>
    <t>20230726 10:38:35</t>
  </si>
  <si>
    <t>10:38:35</t>
  </si>
  <si>
    <t>20230726 10:38:45</t>
  </si>
  <si>
    <t>10:38:45</t>
  </si>
  <si>
    <t>20230726 10:38:55</t>
  </si>
  <si>
    <t>10:38:55</t>
  </si>
  <si>
    <t>20230726 10:39:05</t>
  </si>
  <si>
    <t>10:39:05</t>
  </si>
  <si>
    <t>20230726 10:39:15</t>
  </si>
  <si>
    <t>10:39:15</t>
  </si>
  <si>
    <t>20230726 10:39:25</t>
  </si>
  <si>
    <t>10:39:25</t>
  </si>
  <si>
    <t>20230726 10:39:35</t>
  </si>
  <si>
    <t>10:39:35</t>
  </si>
  <si>
    <t>20230726 10:39:45</t>
  </si>
  <si>
    <t>10:39:45</t>
  </si>
  <si>
    <t>20230726 10:39:55</t>
  </si>
  <si>
    <t>10:39:55</t>
  </si>
  <si>
    <t>20230726 10:40:05</t>
  </si>
  <si>
    <t>10:40:05</t>
  </si>
  <si>
    <t>20230726 10:40:15</t>
  </si>
  <si>
    <t>10:40:15</t>
  </si>
  <si>
    <t>20230726 10:40:25</t>
  </si>
  <si>
    <t>10:40:25</t>
  </si>
  <si>
    <t>20230726 10:40:35</t>
  </si>
  <si>
    <t>10:40:35</t>
  </si>
  <si>
    <t>20230726 10:40:45</t>
  </si>
  <si>
    <t>10:40:45</t>
  </si>
  <si>
    <t>20230726 10:40:55</t>
  </si>
  <si>
    <t>10:40:55</t>
  </si>
  <si>
    <t>20230726 10:41:05</t>
  </si>
  <si>
    <t>10:41:05</t>
  </si>
  <si>
    <t>20230726 10:41:15</t>
  </si>
  <si>
    <t>10:41:15</t>
  </si>
  <si>
    <t>20230726 10:41:25</t>
  </si>
  <si>
    <t>10:41:25</t>
  </si>
  <si>
    <t>20230726 10:41:35</t>
  </si>
  <si>
    <t>10:41:35</t>
  </si>
  <si>
    <t>20230726 10:41:45</t>
  </si>
  <si>
    <t>10:41:45</t>
  </si>
  <si>
    <t>20230726 10:41:55</t>
  </si>
  <si>
    <t>10:41:55</t>
  </si>
  <si>
    <t>20230726 10:42:05</t>
  </si>
  <si>
    <t>10:42:05</t>
  </si>
  <si>
    <t>20230726 10:42:15</t>
  </si>
  <si>
    <t>10:42:15</t>
  </si>
  <si>
    <t>20230726 10:42:25</t>
  </si>
  <si>
    <t>10:42:25</t>
  </si>
  <si>
    <t>20230726 10:42:35</t>
  </si>
  <si>
    <t>10:42:35</t>
  </si>
  <si>
    <t>20230726 10:42:45</t>
  </si>
  <si>
    <t>10:42:45</t>
  </si>
  <si>
    <t>20230726 10:42:55</t>
  </si>
  <si>
    <t>10:42:55</t>
  </si>
  <si>
    <t>20230726 10:43:05</t>
  </si>
  <si>
    <t>10:43:05</t>
  </si>
  <si>
    <t>20230726 10:43:15</t>
  </si>
  <si>
    <t>10:43:15</t>
  </si>
  <si>
    <t>20230726 10:43:25</t>
  </si>
  <si>
    <t>10:43:25</t>
  </si>
  <si>
    <t>20230726 10:43:35</t>
  </si>
  <si>
    <t>10:43:35</t>
  </si>
  <si>
    <t>20230726 10:43:45</t>
  </si>
  <si>
    <t>10:43:45</t>
  </si>
  <si>
    <t>20230726 10:43:55</t>
  </si>
  <si>
    <t>10:43:55</t>
  </si>
  <si>
    <t>20230726 10:44:05</t>
  </si>
  <si>
    <t>10:44:05</t>
  </si>
  <si>
    <t>20230726 10:44:15</t>
  </si>
  <si>
    <t>10:44:15</t>
  </si>
  <si>
    <t>20230726 10:44:25</t>
  </si>
  <si>
    <t>10:44:25</t>
  </si>
  <si>
    <t>20230726 10:44:35</t>
  </si>
  <si>
    <t>10:44:35</t>
  </si>
  <si>
    <t>20230726 10:44:45</t>
  </si>
  <si>
    <t>10:44:45</t>
  </si>
  <si>
    <t>20230726 10:44:55</t>
  </si>
  <si>
    <t>10:44:55</t>
  </si>
  <si>
    <t>20230726 10:45:05</t>
  </si>
  <si>
    <t>10:45:05</t>
  </si>
  <si>
    <t>20230726 10:45:15</t>
  </si>
  <si>
    <t>10:45:15</t>
  </si>
  <si>
    <t>20230726 10:45:25</t>
  </si>
  <si>
    <t>10:45:25</t>
  </si>
  <si>
    <t>20230726 10:45:35</t>
  </si>
  <si>
    <t>10:45:35</t>
  </si>
  <si>
    <t>20230726 10:45:45</t>
  </si>
  <si>
    <t>10:45:45</t>
  </si>
  <si>
    <t>20230726 10:45:55</t>
  </si>
  <si>
    <t>10:45:55</t>
  </si>
  <si>
    <t>20230726 10:46:05</t>
  </si>
  <si>
    <t>10:46:05</t>
  </si>
  <si>
    <t>20230726 10:46:15</t>
  </si>
  <si>
    <t>10:46:15</t>
  </si>
  <si>
    <t>20230726 10:46:25</t>
  </si>
  <si>
    <t>10:46:25</t>
  </si>
  <si>
    <t>20230726 10:46:35</t>
  </si>
  <si>
    <t>10:46:35</t>
  </si>
  <si>
    <t>20230726 10:46:45</t>
  </si>
  <si>
    <t>10:46:45</t>
  </si>
  <si>
    <t>20230726 10:46:55</t>
  </si>
  <si>
    <t>10:46:55</t>
  </si>
  <si>
    <t>20230726 10:47:05</t>
  </si>
  <si>
    <t>10:47:05</t>
  </si>
  <si>
    <t>20230726 10:47:15</t>
  </si>
  <si>
    <t>10:47:15</t>
  </si>
  <si>
    <t>20230726 10:47:25</t>
  </si>
  <si>
    <t>10:47:25</t>
  </si>
  <si>
    <t>20230726 10:47:35</t>
  </si>
  <si>
    <t>10:47:35</t>
  </si>
  <si>
    <t>20230726 10:47:45</t>
  </si>
  <si>
    <t>10:47:45</t>
  </si>
  <si>
    <t>20230726 10:47:55</t>
  </si>
  <si>
    <t>10:47:55</t>
  </si>
  <si>
    <t>20230726 10:48:05</t>
  </si>
  <si>
    <t>10:48:05</t>
  </si>
  <si>
    <t>20230726 10:48:15</t>
  </si>
  <si>
    <t>10:48:15</t>
  </si>
  <si>
    <t>20230726 10:48:25</t>
  </si>
  <si>
    <t>10:48:25</t>
  </si>
  <si>
    <t>20230726 10:48:35</t>
  </si>
  <si>
    <t>10:48:35</t>
  </si>
  <si>
    <t>20230726 10:48:45</t>
  </si>
  <si>
    <t>10:48:45</t>
  </si>
  <si>
    <t>20230726 10:48:55</t>
  </si>
  <si>
    <t>10:48:55</t>
  </si>
  <si>
    <t>20230726 10:49:05</t>
  </si>
  <si>
    <t>10:49:05</t>
  </si>
  <si>
    <t>20230726 10:49:15</t>
  </si>
  <si>
    <t>10:49:15</t>
  </si>
  <si>
    <t>20230726 10:49:25</t>
  </si>
  <si>
    <t>10:49:25</t>
  </si>
  <si>
    <t>20230726 10:49:35</t>
  </si>
  <si>
    <t>10:49:35</t>
  </si>
  <si>
    <t>20230726 10:49:45</t>
  </si>
  <si>
    <t>10:49:45</t>
  </si>
  <si>
    <t>20230726 10:49:55</t>
  </si>
  <si>
    <t>10:49:55</t>
  </si>
  <si>
    <t>20230726 10:50:05</t>
  </si>
  <si>
    <t>10:50:05</t>
  </si>
  <si>
    <t>20230726 10:50:15</t>
  </si>
  <si>
    <t>10:50:15</t>
  </si>
  <si>
    <t>20230726 10:50:25</t>
  </si>
  <si>
    <t>10:50:25</t>
  </si>
  <si>
    <t>20230726 10:50:35</t>
  </si>
  <si>
    <t>10:50:35</t>
  </si>
  <si>
    <t>20230726 10:50:45</t>
  </si>
  <si>
    <t>10:50:45</t>
  </si>
  <si>
    <t>20230726 10:50:55</t>
  </si>
  <si>
    <t>10:50:55</t>
  </si>
  <si>
    <t>20230726 10:51:05</t>
  </si>
  <si>
    <t>10:51:05</t>
  </si>
  <si>
    <t>20230726 10:51:15</t>
  </si>
  <si>
    <t>10:51:15</t>
  </si>
  <si>
    <t>20230726 10:51:25</t>
  </si>
  <si>
    <t>10:51:25</t>
  </si>
  <si>
    <t>20230726 10:51:35</t>
  </si>
  <si>
    <t>10:51:35</t>
  </si>
  <si>
    <t>20230726 10:51:45</t>
  </si>
  <si>
    <t>10:51:45</t>
  </si>
  <si>
    <t>20230726 10:51:55</t>
  </si>
  <si>
    <t>10:51:55</t>
  </si>
  <si>
    <t>20230726 10:52:05</t>
  </si>
  <si>
    <t>10:52:05</t>
  </si>
  <si>
    <t>20230726 10:52:15</t>
  </si>
  <si>
    <t>10:52:15</t>
  </si>
  <si>
    <t>20230726 10:52:25</t>
  </si>
  <si>
    <t>10:52:25</t>
  </si>
  <si>
    <t>20230726 10:52:35</t>
  </si>
  <si>
    <t>10:52:35</t>
  </si>
  <si>
    <t>20230726 10:52:45</t>
  </si>
  <si>
    <t>10:52:45</t>
  </si>
  <si>
    <t>20230726 10:52:55</t>
  </si>
  <si>
    <t>10:52:55</t>
  </si>
  <si>
    <t>20230726 10:53:05</t>
  </si>
  <si>
    <t>10:53:05</t>
  </si>
  <si>
    <t>20230726 10:53:15</t>
  </si>
  <si>
    <t>10:53:15</t>
  </si>
  <si>
    <t>20230726 10:53:26</t>
  </si>
  <si>
    <t>10:53:26</t>
  </si>
  <si>
    <t>20230726 10:53:36</t>
  </si>
  <si>
    <t>10:53:36</t>
  </si>
  <si>
    <t>20230726 10:53:46</t>
  </si>
  <si>
    <t>10:53:46</t>
  </si>
  <si>
    <t>20230726 10:53:56</t>
  </si>
  <si>
    <t>10:53:56</t>
  </si>
  <si>
    <t>20230726 10:54:06</t>
  </si>
  <si>
    <t>10:54:06</t>
  </si>
  <si>
    <t>20230726 10:54:16</t>
  </si>
  <si>
    <t>10:54:16</t>
  </si>
  <si>
    <t>20230726 10:54:26</t>
  </si>
  <si>
    <t>10:54:26</t>
  </si>
  <si>
    <t>20230726 10:54:36</t>
  </si>
  <si>
    <t>10:54:36</t>
  </si>
  <si>
    <t>20230726 10:54:46</t>
  </si>
  <si>
    <t>10:54:46</t>
  </si>
  <si>
    <t>20230726 10:54:56</t>
  </si>
  <si>
    <t>10:54:56</t>
  </si>
  <si>
    <t>20230726 10:55:06</t>
  </si>
  <si>
    <t>10:55:06</t>
  </si>
  <si>
    <t>20230726 10:55:16</t>
  </si>
  <si>
    <t>10:55:16</t>
  </si>
  <si>
    <t>20230726 10:55:26</t>
  </si>
  <si>
    <t>10:55:26</t>
  </si>
  <si>
    <t>20230726 10:55:36</t>
  </si>
  <si>
    <t>10:55:36</t>
  </si>
  <si>
    <t>20230726 10:55:46</t>
  </si>
  <si>
    <t>10:55:46</t>
  </si>
  <si>
    <t>20230726 10:55:56</t>
  </si>
  <si>
    <t>10:55:56</t>
  </si>
  <si>
    <t>20230726 10:56:06</t>
  </si>
  <si>
    <t>10:56:06</t>
  </si>
  <si>
    <t>20230726 10:56:16</t>
  </si>
  <si>
    <t>10:56:16</t>
  </si>
  <si>
    <t>20230726 10:56:26</t>
  </si>
  <si>
    <t>10:56:26</t>
  </si>
  <si>
    <t>20230726 10:56:36</t>
  </si>
  <si>
    <t>10:56:36</t>
  </si>
  <si>
    <t>20230726 10:56:46</t>
  </si>
  <si>
    <t>10:56:46</t>
  </si>
  <si>
    <t>20230726 10:56:56</t>
  </si>
  <si>
    <t>10:56:56</t>
  </si>
  <si>
    <t>20230726 10:57:06</t>
  </si>
  <si>
    <t>10:57:06</t>
  </si>
  <si>
    <t>20230726 10:57:16</t>
  </si>
  <si>
    <t>10:57:16</t>
  </si>
  <si>
    <t>20230726 10:57:26</t>
  </si>
  <si>
    <t>10:57:26</t>
  </si>
  <si>
    <t>20230726 10:57:36</t>
  </si>
  <si>
    <t>10:57:36</t>
  </si>
  <si>
    <t>20230726 10:57:46</t>
  </si>
  <si>
    <t>10:57:46</t>
  </si>
  <si>
    <t>20230726 10:57:56</t>
  </si>
  <si>
    <t>10:57:56</t>
  </si>
  <si>
    <t>20230726 10:58:06</t>
  </si>
  <si>
    <t>10:58:06</t>
  </si>
  <si>
    <t>20230726 10:58:16</t>
  </si>
  <si>
    <t>10:58:16</t>
  </si>
  <si>
    <t>20230726 10:58:26</t>
  </si>
  <si>
    <t>10:58:26</t>
  </si>
  <si>
    <t>20230726 10:58:36</t>
  </si>
  <si>
    <t>10:58:36</t>
  </si>
  <si>
    <t>20230726 10:58:46</t>
  </si>
  <si>
    <t>10:58:46</t>
  </si>
  <si>
    <t>20230726 10:58:56</t>
  </si>
  <si>
    <t>10:58:56</t>
  </si>
  <si>
    <t>20230726 10:59:06</t>
  </si>
  <si>
    <t>10:59:06</t>
  </si>
  <si>
    <t>20230726 10:59:16</t>
  </si>
  <si>
    <t>10:59:16</t>
  </si>
  <si>
    <t>20230726 10:59:26</t>
  </si>
  <si>
    <t>10:59:26</t>
  </si>
  <si>
    <t>20230726 10:59:36</t>
  </si>
  <si>
    <t>10:59:36</t>
  </si>
  <si>
    <t>20230726 10:59:46</t>
  </si>
  <si>
    <t>10:59:46</t>
  </si>
  <si>
    <t>20230726 10:59:56</t>
  </si>
  <si>
    <t>10:59:56</t>
  </si>
  <si>
    <t>20230726 11:00:06</t>
  </si>
  <si>
    <t>11:00:06</t>
  </si>
  <si>
    <t>20230726 11:00:16</t>
  </si>
  <si>
    <t>11:00:16</t>
  </si>
  <si>
    <t>20230726 11:00:26</t>
  </si>
  <si>
    <t>11:00:26</t>
  </si>
  <si>
    <t>20230726 11:00:36</t>
  </si>
  <si>
    <t>11:00:36</t>
  </si>
  <si>
    <t>20230726 11:00:46</t>
  </si>
  <si>
    <t>11:00:46</t>
  </si>
  <si>
    <t>20230726 11:00:56</t>
  </si>
  <si>
    <t>11:00:56</t>
  </si>
  <si>
    <t>20230726 11:01:06</t>
  </si>
  <si>
    <t>11:01:06</t>
  </si>
  <si>
    <t>20230726 11:01:16</t>
  </si>
  <si>
    <t>11:01:16</t>
  </si>
  <si>
    <t>20230726 11:01:26</t>
  </si>
  <si>
    <t>11:01:26</t>
  </si>
  <si>
    <t>20230726 11:01:36</t>
  </si>
  <si>
    <t>11:01:36</t>
  </si>
  <si>
    <t>20230726 11:01:46</t>
  </si>
  <si>
    <t>11:01:46</t>
  </si>
  <si>
    <t>20230726 11:01:56</t>
  </si>
  <si>
    <t>11:01:56</t>
  </si>
  <si>
    <t>20230726 11:02:06</t>
  </si>
  <si>
    <t>11:02:06</t>
  </si>
  <si>
    <t>20230726 11:02:16</t>
  </si>
  <si>
    <t>11:02:16</t>
  </si>
  <si>
    <t>20230726 11:02:26</t>
  </si>
  <si>
    <t>11:02:26</t>
  </si>
  <si>
    <t>20230726 11:02:36</t>
  </si>
  <si>
    <t>11:02:36</t>
  </si>
  <si>
    <t>20230726 11:02:46</t>
  </si>
  <si>
    <t>11:02:46</t>
  </si>
  <si>
    <t>20230726 11:02:56</t>
  </si>
  <si>
    <t>11:02:56</t>
  </si>
  <si>
    <t>20230726 11:03:06</t>
  </si>
  <si>
    <t>11:03:06</t>
  </si>
  <si>
    <t>20230726 11:03:16</t>
  </si>
  <si>
    <t>11:03:16</t>
  </si>
  <si>
    <t>20230726 11:03:26</t>
  </si>
  <si>
    <t>11:03:26</t>
  </si>
  <si>
    <t>20230726 11:03:36</t>
  </si>
  <si>
    <t>11:03:36</t>
  </si>
  <si>
    <t>20230726 11:03:46</t>
  </si>
  <si>
    <t>11:03:46</t>
  </si>
  <si>
    <t>20230726 11:03:56</t>
  </si>
  <si>
    <t>11:03:56</t>
  </si>
  <si>
    <t>20230726 11:04:06</t>
  </si>
  <si>
    <t>11:04:06</t>
  </si>
  <si>
    <t>20230726 11:04:16</t>
  </si>
  <si>
    <t>11:04:16</t>
  </si>
  <si>
    <t>20230726 11:04:26</t>
  </si>
  <si>
    <t>11:04:26</t>
  </si>
  <si>
    <t>20230726 11:04:36</t>
  </si>
  <si>
    <t>11:04:36</t>
  </si>
  <si>
    <t>20230726 11:04:46</t>
  </si>
  <si>
    <t>11:04:46</t>
  </si>
  <si>
    <t>20230726 11:04:56</t>
  </si>
  <si>
    <t>11:04:56</t>
  </si>
  <si>
    <t>20230726 11:05:06</t>
  </si>
  <si>
    <t>11:05:06</t>
  </si>
  <si>
    <t>20230726 11:05:16</t>
  </si>
  <si>
    <t>11:05:16</t>
  </si>
  <si>
    <t>20230726 11:05:26</t>
  </si>
  <si>
    <t>11:05:26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</si>
</sst>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9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1690385334.5999999</v>
      </c>
      <c r="C17">
        <v>0</v>
      </c>
      <c r="D17" t="s">
        <v>328</v>
      </c>
      <c r="E17" t="s">
        <v>329</v>
      </c>
      <c r="F17" t="s">
        <v>330</v>
      </c>
      <c r="H17">
        <v>1690385334.5999999</v>
      </c>
      <c r="I17">
        <f t="shared" ref="I17:I80" si="0">(J17)/1000</f>
        <v>1.5179726270107033E-4</v>
      </c>
      <c r="J17">
        <f t="shared" ref="J17:J80" si="1">1000*AZ17*AH17*(AV17-AW17)/(100*AO17*(1000-AH17*AV17))</f>
        <v>0.15179726270107033</v>
      </c>
      <c r="K17">
        <f t="shared" ref="K17:K80" si="2">AZ17*AH17*(AU17-AT17*(1000-AH17*AW17)/(1000-AH17*AV17))/(100*AO17)</f>
        <v>-0.75656610796151191</v>
      </c>
      <c r="L17">
        <f t="shared" ref="L17:L80" si="3">AT17 - IF(AH17&gt;1, K17*AO17*100/(AJ17*BH17), 0)</f>
        <v>806.65599999999995</v>
      </c>
      <c r="M17">
        <f t="shared" ref="M17:M80" si="4">((S17-I17/2)*L17-K17)/(S17+I17/2)</f>
        <v>891.88845250283191</v>
      </c>
      <c r="N17">
        <f t="shared" ref="N17:N80" si="5">M17*(BA17+BB17)/1000</f>
        <v>88.088622893070195</v>
      </c>
      <c r="O17">
        <f t="shared" ref="O17:O80" si="6">(AT17 - IF(AH17&gt;1, K17*AO17*100/(AJ17*BH17), 0))*(BA17+BB17)/1000</f>
        <v>79.670519322265591</v>
      </c>
      <c r="P17">
        <f t="shared" ref="P17:P80" si="7">2/((1/R17-1/Q17)+SIGN(R17)*SQRT((1/R17-1/Q17)*(1/R17-1/Q17) + 4*AP17/((AP17+1)*(AP17+1))*(2*1/R17*1/Q17-1/Q17*1/Q17)))</f>
        <v>1.1813041179444875E-2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2.1565642224273773</v>
      </c>
      <c r="R17">
        <f t="shared" ref="R17:R80" si="9">I17*(1000-(1000*0.61365*EXP(17.502*V17/(240.97+V17))/(BA17+BB17)+AV17)/2)/(1000*0.61365*EXP(17.502*V17/(240.97+V17))/(BA17+BB17)-AV17)</f>
        <v>1.1777209782421073E-2</v>
      </c>
      <c r="S17">
        <f t="shared" ref="S17:S80" si="10">1/((AP17+1)/(P17/1.6)+1/(Q17/1.37)) + AP17/((AP17+1)/(P17/1.6) + AP17/(Q17/1.37))</f>
        <v>7.3639663097533007E-3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26.885857074644921</v>
      </c>
      <c r="V17">
        <f t="shared" ref="V17:V80" si="13">($C$7*BD17+$D$7*BE17+$E$7*U17)</f>
        <v>26.885857074644921</v>
      </c>
      <c r="W17">
        <f t="shared" ref="W17:W80" si="14">0.61365*EXP(17.502*V17/(240.97+V17))</f>
        <v>3.5552354682648999</v>
      </c>
      <c r="X17">
        <f t="shared" ref="X17:X80" si="15">(Y17/Z17*100)</f>
        <v>65.058024268075272</v>
      </c>
      <c r="Y17">
        <f t="shared" ref="Y17:Y80" si="16">AV17*(BA17+BB17)/1000</f>
        <v>2.3200921684628195</v>
      </c>
      <c r="Z17">
        <f t="shared" ref="Z17:Z80" si="17">0.61365*EXP(17.502*BC17/(240.97+BC17))</f>
        <v>3.5661890974474546</v>
      </c>
      <c r="AA17">
        <f t="shared" ref="AA17:AA80" si="18">(W17-AV17*(BA17+BB17)/1000)</f>
        <v>1.2351432998020804</v>
      </c>
      <c r="AB17">
        <f t="shared" ref="AB17:AB80" si="19">(-I17*44100)</f>
        <v>-6.6942592851172016</v>
      </c>
      <c r="AC17">
        <f t="shared" ref="AC17:AC80" si="20">2*29.3*Q17*0.92*(BC17-V17)</f>
        <v>6.0856340089187384</v>
      </c>
      <c r="AD17">
        <f t="shared" ref="AD17:AD80" si="21">2*0.95*0.0000000567*(((BC17+$B$7)+273)^4-(V17+273)^4)</f>
        <v>0.60846597577617889</v>
      </c>
      <c r="AE17">
        <f t="shared" ref="AE17:AE80" si="22">T17+AD17+AB17+AC17</f>
        <v>-1.59300422284403E-4</v>
      </c>
      <c r="AF17">
        <v>1</v>
      </c>
      <c r="AG17">
        <v>0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52123.334330037796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31.8</v>
      </c>
      <c r="AP17">
        <v>0.5</v>
      </c>
      <c r="AQ17" t="s">
        <v>331</v>
      </c>
      <c r="AR17">
        <v>2</v>
      </c>
      <c r="AS17">
        <v>1690385334.5999999</v>
      </c>
      <c r="AT17">
        <v>806.65599999999995</v>
      </c>
      <c r="AU17">
        <v>799.93799999999999</v>
      </c>
      <c r="AV17">
        <v>23.4907</v>
      </c>
      <c r="AW17">
        <v>21.920300000000001</v>
      </c>
      <c r="AX17">
        <v>806.94899999999996</v>
      </c>
      <c r="AY17">
        <v>23.210999999999999</v>
      </c>
      <c r="AZ17">
        <v>300.16300000000001</v>
      </c>
      <c r="BA17">
        <v>98.666499999999999</v>
      </c>
      <c r="BB17">
        <v>9.9912600000000004E-2</v>
      </c>
      <c r="BC17">
        <v>26.938199999999998</v>
      </c>
      <c r="BD17">
        <v>27.037700000000001</v>
      </c>
      <c r="BE17">
        <v>26.836099999999998</v>
      </c>
      <c r="BF17">
        <v>0</v>
      </c>
      <c r="BG17">
        <v>0</v>
      </c>
      <c r="BH17">
        <v>9988.1200000000008</v>
      </c>
      <c r="BI17">
        <v>0.73452300000000004</v>
      </c>
      <c r="BJ17">
        <v>1.2951299999999999</v>
      </c>
      <c r="BK17">
        <v>6.7185699999999997</v>
      </c>
      <c r="BL17">
        <v>826.06100000000004</v>
      </c>
      <c r="BM17">
        <v>817.86500000000001</v>
      </c>
      <c r="BN17">
        <v>1.5703800000000001</v>
      </c>
      <c r="BO17">
        <v>799.93799999999999</v>
      </c>
      <c r="BP17">
        <v>21.920300000000001</v>
      </c>
      <c r="BQ17">
        <v>2.3177400000000001</v>
      </c>
      <c r="BR17">
        <v>2.1627999999999998</v>
      </c>
      <c r="BS17">
        <v>19.8002</v>
      </c>
      <c r="BT17">
        <v>18.689399999999999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1690384821</v>
      </c>
      <c r="CC17" t="s">
        <v>332</v>
      </c>
      <c r="CD17">
        <v>1690384820</v>
      </c>
      <c r="CE17">
        <v>1690384821</v>
      </c>
      <c r="CF17">
        <v>5</v>
      </c>
      <c r="CG17">
        <v>-2.5000000000000001E-2</v>
      </c>
      <c r="CH17">
        <v>0.104</v>
      </c>
      <c r="CI17">
        <v>-0.28799999999999998</v>
      </c>
      <c r="CJ17">
        <v>0.28000000000000003</v>
      </c>
      <c r="CK17">
        <v>800</v>
      </c>
      <c r="CL17">
        <v>24</v>
      </c>
      <c r="CM17">
        <v>0.08</v>
      </c>
      <c r="CN17">
        <v>0.11</v>
      </c>
      <c r="CO17">
        <v>6.6643600000000003</v>
      </c>
      <c r="CP17">
        <v>8.0735958188162052E-2</v>
      </c>
      <c r="CQ17">
        <v>3.5172806499811353E-2</v>
      </c>
      <c r="CR17">
        <v>-1</v>
      </c>
      <c r="CS17">
        <v>1.5727995121951219</v>
      </c>
      <c r="CT17">
        <v>-2.3458954703826401E-2</v>
      </c>
      <c r="CU17">
        <v>2.577627904819644E-3</v>
      </c>
      <c r="CV17">
        <v>-1</v>
      </c>
      <c r="CW17">
        <v>0</v>
      </c>
      <c r="CX17">
        <v>0</v>
      </c>
      <c r="CY17" t="s">
        <v>333</v>
      </c>
      <c r="CZ17">
        <v>2.3645200000000002</v>
      </c>
      <c r="DA17">
        <v>2.7136900000000002</v>
      </c>
      <c r="DB17">
        <v>0.14702599999999999</v>
      </c>
      <c r="DC17">
        <v>0.145841</v>
      </c>
      <c r="DD17">
        <v>0.11144800000000001</v>
      </c>
      <c r="DE17">
        <v>0.10488599999999999</v>
      </c>
      <c r="DF17">
        <v>31155.5</v>
      </c>
      <c r="DG17">
        <v>27539.9</v>
      </c>
      <c r="DH17">
        <v>31181.4</v>
      </c>
      <c r="DI17">
        <v>28093.7</v>
      </c>
      <c r="DJ17">
        <v>37618.300000000003</v>
      </c>
      <c r="DK17">
        <v>35756.300000000003</v>
      </c>
      <c r="DL17">
        <v>44376.3</v>
      </c>
      <c r="DM17">
        <v>42581</v>
      </c>
      <c r="DN17">
        <v>1.4616199999999999</v>
      </c>
      <c r="DO17">
        <v>2.0632000000000001</v>
      </c>
      <c r="DP17">
        <v>8.5480500000000001E-2</v>
      </c>
      <c r="DQ17">
        <v>6.8262199999999995E-2</v>
      </c>
      <c r="DR17">
        <v>25.638300000000001</v>
      </c>
      <c r="DS17">
        <v>25.718399999999999</v>
      </c>
      <c r="DT17">
        <v>56.7</v>
      </c>
      <c r="DU17">
        <v>29.1</v>
      </c>
      <c r="DV17">
        <v>23.244199999999999</v>
      </c>
      <c r="DW17">
        <v>61.372199999999999</v>
      </c>
      <c r="DX17">
        <v>35.512799999999999</v>
      </c>
      <c r="DY17">
        <v>1</v>
      </c>
      <c r="DZ17">
        <v>-9.8394300000000004E-2</v>
      </c>
      <c r="EA17">
        <v>-1.2973600000000001</v>
      </c>
      <c r="EB17">
        <v>20.298999999999999</v>
      </c>
      <c r="EC17">
        <v>5.2418500000000003</v>
      </c>
      <c r="ED17">
        <v>12.039899999999999</v>
      </c>
      <c r="EE17">
        <v>5.0175000000000001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1.8689100000000001</v>
      </c>
      <c r="EL17">
        <v>1.8646199999999999</v>
      </c>
      <c r="EM17">
        <v>1.86921</v>
      </c>
      <c r="EN17">
        <v>1.8672299999999999</v>
      </c>
      <c r="EO17">
        <v>1.86338</v>
      </c>
      <c r="EP17">
        <v>1.86446</v>
      </c>
      <c r="EQ17">
        <v>1.87015</v>
      </c>
      <c r="ER17">
        <v>1.8693900000000001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-0.29299999999999998</v>
      </c>
      <c r="FG17">
        <v>0.2797</v>
      </c>
      <c r="FH17">
        <v>0.26269369235785539</v>
      </c>
      <c r="FI17">
        <v>-6.1462078757559423E-4</v>
      </c>
      <c r="FJ17">
        <v>-1.8861989874597051E-7</v>
      </c>
      <c r="FK17">
        <v>1.1980462299894961E-10</v>
      </c>
      <c r="FL17">
        <v>0.27968571428570849</v>
      </c>
      <c r="FM17">
        <v>0</v>
      </c>
      <c r="FN17">
        <v>0</v>
      </c>
      <c r="FO17">
        <v>0</v>
      </c>
      <c r="FP17">
        <v>3</v>
      </c>
      <c r="FQ17">
        <v>2158</v>
      </c>
      <c r="FR17">
        <v>1</v>
      </c>
      <c r="FS17">
        <v>19</v>
      </c>
      <c r="FT17">
        <v>8.6</v>
      </c>
      <c r="FU17">
        <v>8.6</v>
      </c>
      <c r="FV17">
        <v>1.79688</v>
      </c>
      <c r="FW17">
        <v>2.5781200000000002</v>
      </c>
      <c r="FX17">
        <v>1.5490699999999999</v>
      </c>
      <c r="FY17">
        <v>2.3315399999999999</v>
      </c>
      <c r="FZ17">
        <v>1.50146</v>
      </c>
      <c r="GA17">
        <v>2.3925800000000002</v>
      </c>
      <c r="GB17">
        <v>33.512999999999998</v>
      </c>
      <c r="GC17">
        <v>24.026199999999999</v>
      </c>
      <c r="GD17">
        <v>19</v>
      </c>
      <c r="GE17">
        <v>276.322</v>
      </c>
      <c r="GF17">
        <v>604.36599999999999</v>
      </c>
      <c r="GG17">
        <v>28.6021</v>
      </c>
      <c r="GH17">
        <v>26.189</v>
      </c>
      <c r="GI17">
        <v>30.000399999999999</v>
      </c>
      <c r="GJ17">
        <v>26.259899999999998</v>
      </c>
      <c r="GK17">
        <v>26.229199999999999</v>
      </c>
      <c r="GL17">
        <v>35.934399999999997</v>
      </c>
      <c r="GM17">
        <v>14.404199999999999</v>
      </c>
      <c r="GN17">
        <v>100</v>
      </c>
      <c r="GO17">
        <v>28.5913</v>
      </c>
      <c r="GP17">
        <v>800</v>
      </c>
      <c r="GQ17">
        <v>21.957999999999998</v>
      </c>
      <c r="GR17">
        <v>99.770099999999999</v>
      </c>
      <c r="GS17">
        <v>99.611199999999997</v>
      </c>
    </row>
    <row r="18" spans="1:201" x14ac:dyDescent="0.25">
      <c r="A18">
        <v>2</v>
      </c>
      <c r="B18">
        <v>1690385335.5999999</v>
      </c>
      <c r="C18">
        <v>1</v>
      </c>
      <c r="D18" t="s">
        <v>337</v>
      </c>
      <c r="E18" t="s">
        <v>338</v>
      </c>
      <c r="F18" t="s">
        <v>330</v>
      </c>
      <c r="H18">
        <v>1690385335.5999999</v>
      </c>
      <c r="I18">
        <f t="shared" si="0"/>
        <v>1.5168639992087045E-4</v>
      </c>
      <c r="J18">
        <f t="shared" si="1"/>
        <v>0.15168639992087046</v>
      </c>
      <c r="K18">
        <f t="shared" si="2"/>
        <v>-0.7548852888617581</v>
      </c>
      <c r="L18">
        <f t="shared" si="3"/>
        <v>806.68</v>
      </c>
      <c r="M18">
        <f t="shared" si="4"/>
        <v>891.7375253838419</v>
      </c>
      <c r="N18">
        <f t="shared" si="5"/>
        <v>88.074056828350692</v>
      </c>
      <c r="O18">
        <f t="shared" si="6"/>
        <v>79.673197706591992</v>
      </c>
      <c r="P18">
        <f t="shared" si="7"/>
        <v>1.1807550894803166E-2</v>
      </c>
      <c r="Q18">
        <f t="shared" si="8"/>
        <v>2.15851867748062</v>
      </c>
      <c r="R18">
        <f t="shared" si="9"/>
        <v>1.1771785049728666E-2</v>
      </c>
      <c r="S18">
        <f t="shared" si="10"/>
        <v>7.3605699912202777E-3</v>
      </c>
      <c r="T18">
        <f t="shared" si="11"/>
        <v>0</v>
      </c>
      <c r="U18">
        <f t="shared" si="12"/>
        <v>26.883638250854375</v>
      </c>
      <c r="V18">
        <f t="shared" si="13"/>
        <v>26.883638250854375</v>
      </c>
      <c r="W18">
        <f t="shared" si="14"/>
        <v>3.5547717920465316</v>
      </c>
      <c r="X18">
        <f t="shared" si="15"/>
        <v>65.062914002463103</v>
      </c>
      <c r="Y18">
        <f t="shared" si="16"/>
        <v>2.3199529870204803</v>
      </c>
      <c r="Z18">
        <f t="shared" si="17"/>
        <v>3.5657071660403239</v>
      </c>
      <c r="AA18">
        <f t="shared" si="18"/>
        <v>1.2348188050260513</v>
      </c>
      <c r="AB18">
        <f t="shared" si="19"/>
        <v>-6.6893702365103866</v>
      </c>
      <c r="AC18">
        <f t="shared" si="20"/>
        <v>6.0817028284014176</v>
      </c>
      <c r="AD18">
        <f t="shared" si="21"/>
        <v>0.60750860381430449</v>
      </c>
      <c r="AE18">
        <f t="shared" si="22"/>
        <v>-1.5880429466452739E-4</v>
      </c>
      <c r="AF18">
        <v>1</v>
      </c>
      <c r="AG18">
        <v>0</v>
      </c>
      <c r="AH18">
        <f t="shared" si="23"/>
        <v>1</v>
      </c>
      <c r="AI18">
        <f t="shared" si="24"/>
        <v>0</v>
      </c>
      <c r="AJ18">
        <f t="shared" si="25"/>
        <v>52205.436513438355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31.8</v>
      </c>
      <c r="AP18">
        <v>0.5</v>
      </c>
      <c r="AQ18" t="s">
        <v>331</v>
      </c>
      <c r="AR18">
        <v>2</v>
      </c>
      <c r="AS18">
        <v>1690385335.5999999</v>
      </c>
      <c r="AT18">
        <v>806.68</v>
      </c>
      <c r="AU18">
        <v>799.97699999999998</v>
      </c>
      <c r="AV18">
        <v>23.4892</v>
      </c>
      <c r="AW18">
        <v>21.919499999999999</v>
      </c>
      <c r="AX18">
        <v>806.97299999999996</v>
      </c>
      <c r="AY18">
        <v>23.209499999999998</v>
      </c>
      <c r="AZ18">
        <v>300.07799999999997</v>
      </c>
      <c r="BA18">
        <v>98.666899999999998</v>
      </c>
      <c r="BB18">
        <v>9.9894399999999994E-2</v>
      </c>
      <c r="BC18">
        <v>26.9359</v>
      </c>
      <c r="BD18">
        <v>27.029599999999999</v>
      </c>
      <c r="BE18">
        <v>26.833600000000001</v>
      </c>
      <c r="BF18">
        <v>0</v>
      </c>
      <c r="BG18">
        <v>0</v>
      </c>
      <c r="BH18">
        <v>10004.4</v>
      </c>
      <c r="BI18">
        <v>0.72603799999999996</v>
      </c>
      <c r="BJ18">
        <v>1.22645</v>
      </c>
      <c r="BK18">
        <v>6.70343</v>
      </c>
      <c r="BL18">
        <v>826.08399999999995</v>
      </c>
      <c r="BM18">
        <v>817.90499999999997</v>
      </c>
      <c r="BN18">
        <v>1.5697099999999999</v>
      </c>
      <c r="BO18">
        <v>799.97699999999998</v>
      </c>
      <c r="BP18">
        <v>21.919499999999999</v>
      </c>
      <c r="BQ18">
        <v>2.3176000000000001</v>
      </c>
      <c r="BR18">
        <v>2.1627299999999998</v>
      </c>
      <c r="BS18">
        <v>19.799299999999999</v>
      </c>
      <c r="BT18">
        <v>18.688800000000001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1690384821</v>
      </c>
      <c r="CC18" t="s">
        <v>332</v>
      </c>
      <c r="CD18">
        <v>1690384820</v>
      </c>
      <c r="CE18">
        <v>1690384821</v>
      </c>
      <c r="CF18">
        <v>5</v>
      </c>
      <c r="CG18">
        <v>-2.5000000000000001E-2</v>
      </c>
      <c r="CH18">
        <v>0.104</v>
      </c>
      <c r="CI18">
        <v>-0.28799999999999998</v>
      </c>
      <c r="CJ18">
        <v>0.28000000000000003</v>
      </c>
      <c r="CK18">
        <v>800</v>
      </c>
      <c r="CL18">
        <v>24</v>
      </c>
      <c r="CM18">
        <v>0.08</v>
      </c>
      <c r="CN18">
        <v>0.11</v>
      </c>
      <c r="CO18">
        <v>6.6697653658536584</v>
      </c>
      <c r="CP18">
        <v>6.0861951219505002E-2</v>
      </c>
      <c r="CQ18">
        <v>3.3366010681059703E-2</v>
      </c>
      <c r="CR18">
        <v>-1</v>
      </c>
      <c r="CS18">
        <v>1.572428780487805</v>
      </c>
      <c r="CT18">
        <v>-2.056243902438885E-2</v>
      </c>
      <c r="CU18">
        <v>2.3218938812350591E-3</v>
      </c>
      <c r="CV18">
        <v>-1</v>
      </c>
      <c r="CW18">
        <v>0</v>
      </c>
      <c r="CX18">
        <v>0</v>
      </c>
      <c r="CY18" t="s">
        <v>333</v>
      </c>
      <c r="CZ18">
        <v>2.3642500000000002</v>
      </c>
      <c r="DA18">
        <v>2.7136900000000002</v>
      </c>
      <c r="DB18">
        <v>0.14702899999999999</v>
      </c>
      <c r="DC18">
        <v>0.145847</v>
      </c>
      <c r="DD18">
        <v>0.111443</v>
      </c>
      <c r="DE18">
        <v>0.10488400000000001</v>
      </c>
      <c r="DF18">
        <v>31155.3</v>
      </c>
      <c r="DG18">
        <v>27539.8</v>
      </c>
      <c r="DH18">
        <v>31181.4</v>
      </c>
      <c r="DI18">
        <v>28093.8</v>
      </c>
      <c r="DJ18">
        <v>37618.5</v>
      </c>
      <c r="DK18">
        <v>35756.300000000003</v>
      </c>
      <c r="DL18">
        <v>44376.2</v>
      </c>
      <c r="DM18">
        <v>42581</v>
      </c>
      <c r="DN18">
        <v>1.4616499999999999</v>
      </c>
      <c r="DO18">
        <v>2.0632000000000001</v>
      </c>
      <c r="DP18">
        <v>8.4981299999999996E-2</v>
      </c>
      <c r="DQ18">
        <v>6.8079700000000007E-2</v>
      </c>
      <c r="DR18">
        <v>25.638300000000001</v>
      </c>
      <c r="DS18">
        <v>25.718900000000001</v>
      </c>
      <c r="DT18">
        <v>56.7</v>
      </c>
      <c r="DU18">
        <v>29.1</v>
      </c>
      <c r="DV18">
        <v>23.246200000000002</v>
      </c>
      <c r="DW18">
        <v>61.5122</v>
      </c>
      <c r="DX18">
        <v>36.193899999999999</v>
      </c>
      <c r="DY18">
        <v>1</v>
      </c>
      <c r="DZ18">
        <v>-9.8312999999999998E-2</v>
      </c>
      <c r="EA18">
        <v>-1.2920499999999999</v>
      </c>
      <c r="EB18">
        <v>20.299099999999999</v>
      </c>
      <c r="EC18">
        <v>5.242</v>
      </c>
      <c r="ED18">
        <v>12.039899999999999</v>
      </c>
      <c r="EE18">
        <v>5.0175000000000001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</v>
      </c>
      <c r="EL18">
        <v>1.8646199999999999</v>
      </c>
      <c r="EM18">
        <v>1.86921</v>
      </c>
      <c r="EN18">
        <v>1.8672200000000001</v>
      </c>
      <c r="EO18">
        <v>1.8633900000000001</v>
      </c>
      <c r="EP18">
        <v>1.86446</v>
      </c>
      <c r="EQ18">
        <v>1.87015</v>
      </c>
      <c r="ER18">
        <v>1.8693900000000001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-0.29299999999999998</v>
      </c>
      <c r="FG18">
        <v>0.2797</v>
      </c>
      <c r="FH18">
        <v>0.26269369235785539</v>
      </c>
      <c r="FI18">
        <v>-6.1462078757559423E-4</v>
      </c>
      <c r="FJ18">
        <v>-1.8861989874597051E-7</v>
      </c>
      <c r="FK18">
        <v>1.1980462299894961E-10</v>
      </c>
      <c r="FL18">
        <v>0.27968571428570849</v>
      </c>
      <c r="FM18">
        <v>0</v>
      </c>
      <c r="FN18">
        <v>0</v>
      </c>
      <c r="FO18">
        <v>0</v>
      </c>
      <c r="FP18">
        <v>3</v>
      </c>
      <c r="FQ18">
        <v>2158</v>
      </c>
      <c r="FR18">
        <v>1</v>
      </c>
      <c r="FS18">
        <v>19</v>
      </c>
      <c r="FT18">
        <v>8.6</v>
      </c>
      <c r="FU18">
        <v>8.6</v>
      </c>
      <c r="FV18">
        <v>1.79688</v>
      </c>
      <c r="FW18">
        <v>2.5793499999999998</v>
      </c>
      <c r="FX18">
        <v>1.5490699999999999</v>
      </c>
      <c r="FY18">
        <v>2.3315399999999999</v>
      </c>
      <c r="FZ18">
        <v>1.50146</v>
      </c>
      <c r="GA18">
        <v>2.3767100000000001</v>
      </c>
      <c r="GB18">
        <v>33.512999999999998</v>
      </c>
      <c r="GC18">
        <v>24.017499999999998</v>
      </c>
      <c r="GD18">
        <v>19</v>
      </c>
      <c r="GE18">
        <v>276.33199999999999</v>
      </c>
      <c r="GF18">
        <v>604.36500000000001</v>
      </c>
      <c r="GG18">
        <v>28.593699999999998</v>
      </c>
      <c r="GH18">
        <v>26.189</v>
      </c>
      <c r="GI18">
        <v>30.000399999999999</v>
      </c>
      <c r="GJ18">
        <v>26.259899999999998</v>
      </c>
      <c r="GK18">
        <v>26.229199999999999</v>
      </c>
      <c r="GL18">
        <v>35.932499999999997</v>
      </c>
      <c r="GM18">
        <v>14.404199999999999</v>
      </c>
      <c r="GN18">
        <v>100</v>
      </c>
      <c r="GO18">
        <v>28.5913</v>
      </c>
      <c r="GP18">
        <v>800</v>
      </c>
      <c r="GQ18">
        <v>21.957999999999998</v>
      </c>
      <c r="GR18">
        <v>99.77</v>
      </c>
      <c r="GS18">
        <v>99.6113</v>
      </c>
    </row>
    <row r="19" spans="1:201" x14ac:dyDescent="0.25">
      <c r="A19">
        <v>3</v>
      </c>
      <c r="B19">
        <v>1690385336.0999999</v>
      </c>
      <c r="C19">
        <v>1.5</v>
      </c>
      <c r="D19" t="s">
        <v>339</v>
      </c>
      <c r="E19" t="s">
        <v>340</v>
      </c>
      <c r="F19" t="s">
        <v>330</v>
      </c>
      <c r="H19">
        <v>1690385336.0999999</v>
      </c>
      <c r="I19">
        <f t="shared" si="0"/>
        <v>1.5171207115309047E-4</v>
      </c>
      <c r="J19">
        <f t="shared" si="1"/>
        <v>0.15171207115309046</v>
      </c>
      <c r="K19">
        <f t="shared" si="2"/>
        <v>-0.75624165442416569</v>
      </c>
      <c r="L19">
        <f t="shared" si="3"/>
        <v>806.68799999999999</v>
      </c>
      <c r="M19">
        <f t="shared" si="4"/>
        <v>891.89640982563071</v>
      </c>
      <c r="N19">
        <f t="shared" si="5"/>
        <v>88.090449295648639</v>
      </c>
      <c r="O19">
        <f t="shared" si="6"/>
        <v>79.674620929689596</v>
      </c>
      <c r="P19">
        <f t="shared" si="7"/>
        <v>1.1811579927118019E-2</v>
      </c>
      <c r="Q19">
        <f t="shared" si="8"/>
        <v>2.1556796743267506</v>
      </c>
      <c r="R19">
        <f t="shared" si="9"/>
        <v>1.1775742728546602E-2</v>
      </c>
      <c r="S19">
        <f t="shared" si="10"/>
        <v>7.3630499182716427E-3</v>
      </c>
      <c r="T19">
        <f t="shared" si="11"/>
        <v>0</v>
      </c>
      <c r="U19">
        <f t="shared" si="12"/>
        <v>26.88246677498875</v>
      </c>
      <c r="V19">
        <f t="shared" si="13"/>
        <v>26.88246677498875</v>
      </c>
      <c r="W19">
        <f t="shared" si="14"/>
        <v>3.5545270054834472</v>
      </c>
      <c r="X19">
        <f t="shared" si="15"/>
        <v>65.06569755056772</v>
      </c>
      <c r="Y19">
        <f t="shared" si="16"/>
        <v>2.3199022840392001</v>
      </c>
      <c r="Z19">
        <f t="shared" si="17"/>
        <v>3.5654766972047289</v>
      </c>
      <c r="AA19">
        <f t="shared" si="18"/>
        <v>1.2346247214442472</v>
      </c>
      <c r="AB19">
        <f t="shared" si="19"/>
        <v>-6.6905023378512896</v>
      </c>
      <c r="AC19">
        <f t="shared" si="20"/>
        <v>6.082010547319344</v>
      </c>
      <c r="AD19">
        <f t="shared" si="21"/>
        <v>0.608332552755252</v>
      </c>
      <c r="AE19">
        <f t="shared" si="22"/>
        <v>-1.5923777669346606E-4</v>
      </c>
      <c r="AF19">
        <v>1</v>
      </c>
      <c r="AG19">
        <v>0</v>
      </c>
      <c r="AH19">
        <f t="shared" si="23"/>
        <v>1</v>
      </c>
      <c r="AI19">
        <f t="shared" si="24"/>
        <v>0</v>
      </c>
      <c r="AJ19">
        <f t="shared" si="25"/>
        <v>52087.003651849656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31.8</v>
      </c>
      <c r="AP19">
        <v>0.5</v>
      </c>
      <c r="AQ19" t="s">
        <v>331</v>
      </c>
      <c r="AR19">
        <v>2</v>
      </c>
      <c r="AS19">
        <v>1690385336.0999999</v>
      </c>
      <c r="AT19">
        <v>806.68799999999999</v>
      </c>
      <c r="AU19">
        <v>799.97199999999998</v>
      </c>
      <c r="AV19">
        <v>23.488499999999998</v>
      </c>
      <c r="AW19">
        <v>21.918800000000001</v>
      </c>
      <c r="AX19">
        <v>806.98099999999999</v>
      </c>
      <c r="AY19">
        <v>23.2088</v>
      </c>
      <c r="AZ19">
        <v>300.12900000000002</v>
      </c>
      <c r="BA19">
        <v>98.667699999999996</v>
      </c>
      <c r="BB19">
        <v>9.9879200000000001E-2</v>
      </c>
      <c r="BC19">
        <v>26.934799999999999</v>
      </c>
      <c r="BD19">
        <v>27.027100000000001</v>
      </c>
      <c r="BE19">
        <v>26.8352</v>
      </c>
      <c r="BF19">
        <v>0</v>
      </c>
      <c r="BG19">
        <v>0</v>
      </c>
      <c r="BH19">
        <v>9980.6200000000008</v>
      </c>
      <c r="BI19">
        <v>0.71997699999999998</v>
      </c>
      <c r="BJ19">
        <v>1.1914</v>
      </c>
      <c r="BK19">
        <v>6.7157</v>
      </c>
      <c r="BL19">
        <v>826.09199999999998</v>
      </c>
      <c r="BM19">
        <v>817.9</v>
      </c>
      <c r="BN19">
        <v>1.5697399999999999</v>
      </c>
      <c r="BO19">
        <v>799.97199999999998</v>
      </c>
      <c r="BP19">
        <v>21.918800000000001</v>
      </c>
      <c r="BQ19">
        <v>2.3175599999999998</v>
      </c>
      <c r="BR19">
        <v>2.1626799999999999</v>
      </c>
      <c r="BS19">
        <v>19.798999999999999</v>
      </c>
      <c r="BT19">
        <v>18.688500000000001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1690384821</v>
      </c>
      <c r="CC19" t="s">
        <v>332</v>
      </c>
      <c r="CD19">
        <v>1690384820</v>
      </c>
      <c r="CE19">
        <v>1690384821</v>
      </c>
      <c r="CF19">
        <v>5</v>
      </c>
      <c r="CG19">
        <v>-2.5000000000000001E-2</v>
      </c>
      <c r="CH19">
        <v>0.104</v>
      </c>
      <c r="CI19">
        <v>-0.28799999999999998</v>
      </c>
      <c r="CJ19">
        <v>0.28000000000000003</v>
      </c>
      <c r="CK19">
        <v>800</v>
      </c>
      <c r="CL19">
        <v>24</v>
      </c>
      <c r="CM19">
        <v>0.08</v>
      </c>
      <c r="CN19">
        <v>0.11</v>
      </c>
      <c r="CO19">
        <v>6.6697653658536584</v>
      </c>
      <c r="CP19">
        <v>6.0861951219505002E-2</v>
      </c>
      <c r="CQ19">
        <v>3.3366010681059703E-2</v>
      </c>
      <c r="CR19">
        <v>-1</v>
      </c>
      <c r="CS19">
        <v>1.572428780487805</v>
      </c>
      <c r="CT19">
        <v>-2.056243902438885E-2</v>
      </c>
      <c r="CU19">
        <v>2.3218938812350591E-3</v>
      </c>
      <c r="CV19">
        <v>-1</v>
      </c>
      <c r="CW19">
        <v>0</v>
      </c>
      <c r="CX19">
        <v>0</v>
      </c>
      <c r="CY19" t="s">
        <v>333</v>
      </c>
      <c r="CZ19">
        <v>2.3644099999999999</v>
      </c>
      <c r="DA19">
        <v>2.7136499999999999</v>
      </c>
      <c r="DB19">
        <v>0.147032</v>
      </c>
      <c r="DC19">
        <v>0.145847</v>
      </c>
      <c r="DD19">
        <v>0.111442</v>
      </c>
      <c r="DE19">
        <v>0.104883</v>
      </c>
      <c r="DF19">
        <v>31155.3</v>
      </c>
      <c r="DG19">
        <v>27539.8</v>
      </c>
      <c r="DH19">
        <v>31181.4</v>
      </c>
      <c r="DI19">
        <v>28093.8</v>
      </c>
      <c r="DJ19">
        <v>37618.6</v>
      </c>
      <c r="DK19">
        <v>35756.400000000001</v>
      </c>
      <c r="DL19">
        <v>44376.2</v>
      </c>
      <c r="DM19">
        <v>42581</v>
      </c>
      <c r="DN19">
        <v>1.4613499999999999</v>
      </c>
      <c r="DO19">
        <v>2.0631699999999999</v>
      </c>
      <c r="DP19">
        <v>8.4832299999999999E-2</v>
      </c>
      <c r="DQ19">
        <v>6.8172800000000006E-2</v>
      </c>
      <c r="DR19">
        <v>25.638300000000001</v>
      </c>
      <c r="DS19">
        <v>25.719000000000001</v>
      </c>
      <c r="DT19">
        <v>56.7</v>
      </c>
      <c r="DU19">
        <v>29.1</v>
      </c>
      <c r="DV19">
        <v>23.2438</v>
      </c>
      <c r="DW19">
        <v>61.232199999999999</v>
      </c>
      <c r="DX19">
        <v>35.528799999999997</v>
      </c>
      <c r="DY19">
        <v>1</v>
      </c>
      <c r="DZ19">
        <v>-9.8379099999999997E-2</v>
      </c>
      <c r="EA19">
        <v>-1.2897700000000001</v>
      </c>
      <c r="EB19">
        <v>20.299099999999999</v>
      </c>
      <c r="EC19">
        <v>5.2418500000000003</v>
      </c>
      <c r="ED19">
        <v>12.039899999999999</v>
      </c>
      <c r="EE19">
        <v>5.0175000000000001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</v>
      </c>
      <c r="EL19">
        <v>1.8646199999999999</v>
      </c>
      <c r="EM19">
        <v>1.86921</v>
      </c>
      <c r="EN19">
        <v>1.8672200000000001</v>
      </c>
      <c r="EO19">
        <v>1.8633900000000001</v>
      </c>
      <c r="EP19">
        <v>1.86446</v>
      </c>
      <c r="EQ19">
        <v>1.87015</v>
      </c>
      <c r="ER19">
        <v>1.8693900000000001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-0.29299999999999998</v>
      </c>
      <c r="FG19">
        <v>0.2797</v>
      </c>
      <c r="FH19">
        <v>0.26269369235785539</v>
      </c>
      <c r="FI19">
        <v>-6.1462078757559423E-4</v>
      </c>
      <c r="FJ19">
        <v>-1.8861989874597051E-7</v>
      </c>
      <c r="FK19">
        <v>1.1980462299894961E-10</v>
      </c>
      <c r="FL19">
        <v>0.27968571428570849</v>
      </c>
      <c r="FM19">
        <v>0</v>
      </c>
      <c r="FN19">
        <v>0</v>
      </c>
      <c r="FO19">
        <v>0</v>
      </c>
      <c r="FP19">
        <v>3</v>
      </c>
      <c r="FQ19">
        <v>2158</v>
      </c>
      <c r="FR19">
        <v>1</v>
      </c>
      <c r="FS19">
        <v>19</v>
      </c>
      <c r="FT19">
        <v>8.6</v>
      </c>
      <c r="FU19">
        <v>8.6</v>
      </c>
      <c r="FV19">
        <v>1.79688</v>
      </c>
      <c r="FW19">
        <v>2.5769000000000002</v>
      </c>
      <c r="FX19">
        <v>1.5490699999999999</v>
      </c>
      <c r="FY19">
        <v>2.3315399999999999</v>
      </c>
      <c r="FZ19">
        <v>1.50146</v>
      </c>
      <c r="GA19">
        <v>2.4060100000000002</v>
      </c>
      <c r="GB19">
        <v>33.535499999999999</v>
      </c>
      <c r="GC19">
        <v>24.026199999999999</v>
      </c>
      <c r="GD19">
        <v>19</v>
      </c>
      <c r="GE19">
        <v>276.20699999999999</v>
      </c>
      <c r="GF19">
        <v>604.34400000000005</v>
      </c>
      <c r="GG19">
        <v>28.589300000000001</v>
      </c>
      <c r="GH19">
        <v>26.189</v>
      </c>
      <c r="GI19">
        <v>30.000299999999999</v>
      </c>
      <c r="GJ19">
        <v>26.259899999999998</v>
      </c>
      <c r="GK19">
        <v>26.229199999999999</v>
      </c>
      <c r="GL19">
        <v>35.933799999999998</v>
      </c>
      <c r="GM19">
        <v>14.404199999999999</v>
      </c>
      <c r="GN19">
        <v>100</v>
      </c>
      <c r="GO19">
        <v>28.5913</v>
      </c>
      <c r="GP19">
        <v>800</v>
      </c>
      <c r="GQ19">
        <v>21.957999999999998</v>
      </c>
      <c r="GR19">
        <v>99.770099999999999</v>
      </c>
      <c r="GS19">
        <v>99.611199999999997</v>
      </c>
    </row>
    <row r="20" spans="1:201" x14ac:dyDescent="0.25">
      <c r="A20">
        <v>4</v>
      </c>
      <c r="B20">
        <v>1690385337.5999999</v>
      </c>
      <c r="C20">
        <v>3</v>
      </c>
      <c r="D20" t="s">
        <v>341</v>
      </c>
      <c r="E20" t="s">
        <v>342</v>
      </c>
      <c r="F20" t="s">
        <v>330</v>
      </c>
      <c r="H20">
        <v>1690385337.5999999</v>
      </c>
      <c r="I20">
        <f t="shared" si="0"/>
        <v>1.5152923151481916E-4</v>
      </c>
      <c r="J20">
        <f t="shared" si="1"/>
        <v>0.15152923151481917</v>
      </c>
      <c r="K20">
        <f t="shared" si="2"/>
        <v>-0.75645466290550689</v>
      </c>
      <c r="L20">
        <f t="shared" si="3"/>
        <v>806.72</v>
      </c>
      <c r="M20">
        <f t="shared" si="4"/>
        <v>892.06628747858633</v>
      </c>
      <c r="N20">
        <f t="shared" si="5"/>
        <v>88.107328771301624</v>
      </c>
      <c r="O20">
        <f t="shared" si="6"/>
        <v>79.677872893599996</v>
      </c>
      <c r="P20">
        <f t="shared" si="7"/>
        <v>1.1799036981524753E-2</v>
      </c>
      <c r="Q20">
        <f t="shared" si="8"/>
        <v>2.1601668416043061</v>
      </c>
      <c r="R20">
        <f t="shared" si="9"/>
        <v>1.1763349772406189E-2</v>
      </c>
      <c r="S20">
        <f t="shared" si="10"/>
        <v>7.3552909110222329E-3</v>
      </c>
      <c r="T20">
        <f t="shared" si="11"/>
        <v>0</v>
      </c>
      <c r="U20">
        <f t="shared" si="12"/>
        <v>26.880328457679312</v>
      </c>
      <c r="V20">
        <f t="shared" si="13"/>
        <v>26.880328457679312</v>
      </c>
      <c r="W20">
        <f t="shared" si="14"/>
        <v>3.5540802298305989</v>
      </c>
      <c r="X20">
        <f t="shared" si="15"/>
        <v>65.067086215277783</v>
      </c>
      <c r="Y20">
        <f t="shared" si="16"/>
        <v>2.3196382725164999</v>
      </c>
      <c r="Z20">
        <f t="shared" si="17"/>
        <v>3.5649948498413746</v>
      </c>
      <c r="AA20">
        <f t="shared" si="18"/>
        <v>1.234441957314099</v>
      </c>
      <c r="AB20">
        <f t="shared" si="19"/>
        <v>-6.682439109803525</v>
      </c>
      <c r="AC20">
        <f t="shared" si="20"/>
        <v>6.0758412002613724</v>
      </c>
      <c r="AD20">
        <f t="shared" si="21"/>
        <v>0.60643965654168774</v>
      </c>
      <c r="AE20">
        <f t="shared" si="22"/>
        <v>-1.5825300046490298E-4</v>
      </c>
      <c r="AF20">
        <v>1</v>
      </c>
      <c r="AG20">
        <v>0</v>
      </c>
      <c r="AH20">
        <f t="shared" si="23"/>
        <v>1</v>
      </c>
      <c r="AI20">
        <f t="shared" si="24"/>
        <v>0</v>
      </c>
      <c r="AJ20">
        <f t="shared" si="25"/>
        <v>52274.999656710766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31.8</v>
      </c>
      <c r="AP20">
        <v>0.5</v>
      </c>
      <c r="AQ20" t="s">
        <v>331</v>
      </c>
      <c r="AR20">
        <v>2</v>
      </c>
      <c r="AS20">
        <v>1690385337.5999999</v>
      </c>
      <c r="AT20">
        <v>806.72</v>
      </c>
      <c r="AU20">
        <v>800.00199999999995</v>
      </c>
      <c r="AV20">
        <v>23.485800000000001</v>
      </c>
      <c r="AW20">
        <v>21.918399999999998</v>
      </c>
      <c r="AX20">
        <v>807.01300000000003</v>
      </c>
      <c r="AY20">
        <v>23.206099999999999</v>
      </c>
      <c r="AZ20">
        <v>300.20800000000003</v>
      </c>
      <c r="BA20">
        <v>98.667699999999996</v>
      </c>
      <c r="BB20">
        <v>9.9992499999999998E-2</v>
      </c>
      <c r="BC20">
        <v>26.932500000000001</v>
      </c>
      <c r="BD20">
        <v>27.0228</v>
      </c>
      <c r="BE20">
        <v>26.8339</v>
      </c>
      <c r="BF20">
        <v>0</v>
      </c>
      <c r="BG20">
        <v>0</v>
      </c>
      <c r="BH20">
        <v>10018.1</v>
      </c>
      <c r="BI20">
        <v>0.74543700000000002</v>
      </c>
      <c r="BJ20">
        <v>1.0862799999999999</v>
      </c>
      <c r="BK20">
        <v>6.71814</v>
      </c>
      <c r="BL20">
        <v>826.12199999999996</v>
      </c>
      <c r="BM20">
        <v>817.92899999999997</v>
      </c>
      <c r="BN20">
        <v>1.5673699999999999</v>
      </c>
      <c r="BO20">
        <v>800.00199999999995</v>
      </c>
      <c r="BP20">
        <v>21.918399999999998</v>
      </c>
      <c r="BQ20">
        <v>2.3172899999999998</v>
      </c>
      <c r="BR20">
        <v>2.1626400000000001</v>
      </c>
      <c r="BS20">
        <v>19.7971</v>
      </c>
      <c r="BT20">
        <v>18.688199999999998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1690384821</v>
      </c>
      <c r="CC20" t="s">
        <v>332</v>
      </c>
      <c r="CD20">
        <v>1690384820</v>
      </c>
      <c r="CE20">
        <v>1690384821</v>
      </c>
      <c r="CF20">
        <v>5</v>
      </c>
      <c r="CG20">
        <v>-2.5000000000000001E-2</v>
      </c>
      <c r="CH20">
        <v>0.104</v>
      </c>
      <c r="CI20">
        <v>-0.28799999999999998</v>
      </c>
      <c r="CJ20">
        <v>0.28000000000000003</v>
      </c>
      <c r="CK20">
        <v>800</v>
      </c>
      <c r="CL20">
        <v>24</v>
      </c>
      <c r="CM20">
        <v>0.08</v>
      </c>
      <c r="CN20">
        <v>0.11</v>
      </c>
      <c r="CO20">
        <v>6.6727935</v>
      </c>
      <c r="CP20">
        <v>0.118467692307689</v>
      </c>
      <c r="CQ20">
        <v>3.516871852584337E-2</v>
      </c>
      <c r="CR20">
        <v>-1</v>
      </c>
      <c r="CS20">
        <v>1.5717224999999999</v>
      </c>
      <c r="CT20">
        <v>-1.5192045028146939E-2</v>
      </c>
      <c r="CU20">
        <v>1.6999569847499141E-3</v>
      </c>
      <c r="CV20">
        <v>-1</v>
      </c>
      <c r="CW20">
        <v>0</v>
      </c>
      <c r="CX20">
        <v>0</v>
      </c>
      <c r="CY20" t="s">
        <v>333</v>
      </c>
      <c r="CZ20">
        <v>2.3646799999999999</v>
      </c>
      <c r="DA20">
        <v>2.7138</v>
      </c>
      <c r="DB20">
        <v>0.147035</v>
      </c>
      <c r="DC20">
        <v>0.14585100000000001</v>
      </c>
      <c r="DD20">
        <v>0.111433</v>
      </c>
      <c r="DE20">
        <v>0.104882</v>
      </c>
      <c r="DF20">
        <v>31155.3</v>
      </c>
      <c r="DG20">
        <v>27539.7</v>
      </c>
      <c r="DH20">
        <v>31181.599999999999</v>
      </c>
      <c r="DI20">
        <v>28093.8</v>
      </c>
      <c r="DJ20">
        <v>37619.199999999997</v>
      </c>
      <c r="DK20">
        <v>35756.400000000001</v>
      </c>
      <c r="DL20">
        <v>44376.5</v>
      </c>
      <c r="DM20">
        <v>42581</v>
      </c>
      <c r="DN20">
        <v>1.4616199999999999</v>
      </c>
      <c r="DO20">
        <v>2.0630999999999999</v>
      </c>
      <c r="DP20">
        <v>8.4567799999999999E-2</v>
      </c>
      <c r="DQ20">
        <v>6.8064799999999995E-2</v>
      </c>
      <c r="DR20">
        <v>25.638300000000001</v>
      </c>
      <c r="DS20">
        <v>25.7195</v>
      </c>
      <c r="DT20">
        <v>56.7</v>
      </c>
      <c r="DU20">
        <v>29.1</v>
      </c>
      <c r="DV20">
        <v>23.2455</v>
      </c>
      <c r="DW20">
        <v>61.432200000000002</v>
      </c>
      <c r="DX20">
        <v>35.556899999999999</v>
      </c>
      <c r="DY20">
        <v>1</v>
      </c>
      <c r="DZ20">
        <v>-9.8399399999999998E-2</v>
      </c>
      <c r="EA20">
        <v>-1.3395300000000001</v>
      </c>
      <c r="EB20">
        <v>20.2988</v>
      </c>
      <c r="EC20">
        <v>5.2423000000000002</v>
      </c>
      <c r="ED20">
        <v>12.039899999999999</v>
      </c>
      <c r="EE20">
        <v>5.0175000000000001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</v>
      </c>
      <c r="EL20">
        <v>1.8646199999999999</v>
      </c>
      <c r="EM20">
        <v>1.86921</v>
      </c>
      <c r="EN20">
        <v>1.8672200000000001</v>
      </c>
      <c r="EO20">
        <v>1.86338</v>
      </c>
      <c r="EP20">
        <v>1.86446</v>
      </c>
      <c r="EQ20">
        <v>1.87016</v>
      </c>
      <c r="ER20">
        <v>1.86941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-0.29299999999999998</v>
      </c>
      <c r="FG20">
        <v>0.2797</v>
      </c>
      <c r="FH20">
        <v>0.26269369235785539</v>
      </c>
      <c r="FI20">
        <v>-6.1462078757559423E-4</v>
      </c>
      <c r="FJ20">
        <v>-1.8861989874597051E-7</v>
      </c>
      <c r="FK20">
        <v>1.1980462299894961E-10</v>
      </c>
      <c r="FL20">
        <v>0.27968571428570849</v>
      </c>
      <c r="FM20">
        <v>0</v>
      </c>
      <c r="FN20">
        <v>0</v>
      </c>
      <c r="FO20">
        <v>0</v>
      </c>
      <c r="FP20">
        <v>3</v>
      </c>
      <c r="FQ20">
        <v>2158</v>
      </c>
      <c r="FR20">
        <v>1</v>
      </c>
      <c r="FS20">
        <v>19</v>
      </c>
      <c r="FT20">
        <v>8.6</v>
      </c>
      <c r="FU20">
        <v>8.6</v>
      </c>
      <c r="FV20">
        <v>1.79688</v>
      </c>
      <c r="FW20">
        <v>2.5854499999999998</v>
      </c>
      <c r="FX20">
        <v>1.5490699999999999</v>
      </c>
      <c r="FY20">
        <v>2.3315399999999999</v>
      </c>
      <c r="FZ20">
        <v>1.50146</v>
      </c>
      <c r="GA20">
        <v>2.3022499999999999</v>
      </c>
      <c r="GB20">
        <v>33.535499999999999</v>
      </c>
      <c r="GC20">
        <v>24.017499999999998</v>
      </c>
      <c r="GD20">
        <v>19</v>
      </c>
      <c r="GE20">
        <v>276.322</v>
      </c>
      <c r="GF20">
        <v>604.28099999999995</v>
      </c>
      <c r="GG20">
        <v>28.576599999999999</v>
      </c>
      <c r="GH20">
        <v>26.189</v>
      </c>
      <c r="GI20">
        <v>30.0002</v>
      </c>
      <c r="GJ20">
        <v>26.259899999999998</v>
      </c>
      <c r="GK20">
        <v>26.229199999999999</v>
      </c>
      <c r="GL20">
        <v>35.934600000000003</v>
      </c>
      <c r="GM20">
        <v>14.404199999999999</v>
      </c>
      <c r="GN20">
        <v>100</v>
      </c>
      <c r="GO20">
        <v>28.5579</v>
      </c>
      <c r="GP20">
        <v>800</v>
      </c>
      <c r="GQ20">
        <v>21.957999999999998</v>
      </c>
      <c r="GR20">
        <v>99.770600000000002</v>
      </c>
      <c r="GS20">
        <v>99.6113</v>
      </c>
    </row>
    <row r="21" spans="1:201" x14ac:dyDescent="0.25">
      <c r="A21">
        <v>5</v>
      </c>
      <c r="B21">
        <v>1690385340.5999999</v>
      </c>
      <c r="C21">
        <v>6</v>
      </c>
      <c r="D21" t="s">
        <v>343</v>
      </c>
      <c r="E21" t="s">
        <v>344</v>
      </c>
      <c r="F21" t="s">
        <v>330</v>
      </c>
      <c r="H21">
        <v>1690385340.5999999</v>
      </c>
      <c r="I21">
        <f t="shared" si="0"/>
        <v>1.513719514383531E-4</v>
      </c>
      <c r="J21">
        <f t="shared" si="1"/>
        <v>0.15137195143835311</v>
      </c>
      <c r="K21">
        <f t="shared" si="2"/>
        <v>-0.75411645657321769</v>
      </c>
      <c r="L21">
        <f t="shared" si="3"/>
        <v>806.68799999999999</v>
      </c>
      <c r="M21">
        <f t="shared" si="4"/>
        <v>891.76476104717358</v>
      </c>
      <c r="N21">
        <f t="shared" si="5"/>
        <v>88.078505456796591</v>
      </c>
      <c r="O21">
        <f t="shared" si="6"/>
        <v>79.675578710351999</v>
      </c>
      <c r="P21">
        <f t="shared" si="7"/>
        <v>1.179532133885707E-2</v>
      </c>
      <c r="Q21">
        <f t="shared" si="8"/>
        <v>2.1596661443610934</v>
      </c>
      <c r="R21">
        <f t="shared" si="9"/>
        <v>1.1759648324563617E-2</v>
      </c>
      <c r="S21">
        <f t="shared" si="10"/>
        <v>7.3529762351151016E-3</v>
      </c>
      <c r="T21">
        <f t="shared" si="11"/>
        <v>0</v>
      </c>
      <c r="U21">
        <f t="shared" si="12"/>
        <v>26.87407132515434</v>
      </c>
      <c r="V21">
        <f t="shared" si="13"/>
        <v>26.87407132515434</v>
      </c>
      <c r="W21">
        <f t="shared" si="14"/>
        <v>3.5527731589327569</v>
      </c>
      <c r="X21">
        <f t="shared" si="15"/>
        <v>65.078860699346521</v>
      </c>
      <c r="Y21">
        <f t="shared" si="16"/>
        <v>2.31919928306315</v>
      </c>
      <c r="Z21">
        <f t="shared" si="17"/>
        <v>3.5636752981547475</v>
      </c>
      <c r="AA21">
        <f t="shared" si="18"/>
        <v>1.2335738758696069</v>
      </c>
      <c r="AB21">
        <f t="shared" si="19"/>
        <v>-6.6755030584313717</v>
      </c>
      <c r="AC21">
        <f t="shared" si="20"/>
        <v>6.0694417605766215</v>
      </c>
      <c r="AD21">
        <f t="shared" si="21"/>
        <v>0.60590331143135423</v>
      </c>
      <c r="AE21">
        <f t="shared" si="22"/>
        <v>-1.579864233960393E-4</v>
      </c>
      <c r="AF21">
        <v>1</v>
      </c>
      <c r="AG21">
        <v>0</v>
      </c>
      <c r="AH21">
        <f t="shared" si="23"/>
        <v>1</v>
      </c>
      <c r="AI21">
        <f t="shared" si="24"/>
        <v>0</v>
      </c>
      <c r="AJ21">
        <f t="shared" si="25"/>
        <v>52255.167679408587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31.8</v>
      </c>
      <c r="AP21">
        <v>0.5</v>
      </c>
      <c r="AQ21" t="s">
        <v>331</v>
      </c>
      <c r="AR21">
        <v>2</v>
      </c>
      <c r="AS21">
        <v>1690385340.5999999</v>
      </c>
      <c r="AT21">
        <v>806.68799999999999</v>
      </c>
      <c r="AU21">
        <v>799.995</v>
      </c>
      <c r="AV21">
        <v>23.481100000000001</v>
      </c>
      <c r="AW21">
        <v>21.915700000000001</v>
      </c>
      <c r="AX21">
        <v>806.98199999999997</v>
      </c>
      <c r="AY21">
        <v>23.2014</v>
      </c>
      <c r="AZ21">
        <v>300.28100000000001</v>
      </c>
      <c r="BA21">
        <v>98.668800000000005</v>
      </c>
      <c r="BB21">
        <v>9.99665E-2</v>
      </c>
      <c r="BC21">
        <v>26.926200000000001</v>
      </c>
      <c r="BD21">
        <v>27.018000000000001</v>
      </c>
      <c r="BE21">
        <v>26.8293</v>
      </c>
      <c r="BF21">
        <v>0</v>
      </c>
      <c r="BG21">
        <v>0</v>
      </c>
      <c r="BH21">
        <v>10013.799999999999</v>
      </c>
      <c r="BI21">
        <v>0.72603799999999996</v>
      </c>
      <c r="BJ21">
        <v>1.0652600000000001</v>
      </c>
      <c r="BK21">
        <v>6.6936</v>
      </c>
      <c r="BL21">
        <v>826.08600000000001</v>
      </c>
      <c r="BM21">
        <v>817.92</v>
      </c>
      <c r="BN21">
        <v>1.5653300000000001</v>
      </c>
      <c r="BO21">
        <v>799.995</v>
      </c>
      <c r="BP21">
        <v>21.915700000000001</v>
      </c>
      <c r="BQ21">
        <v>2.3168500000000001</v>
      </c>
      <c r="BR21">
        <v>2.1623999999999999</v>
      </c>
      <c r="BS21">
        <v>19.794</v>
      </c>
      <c r="BT21">
        <v>18.686399999999999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1690384821</v>
      </c>
      <c r="CC21" t="s">
        <v>332</v>
      </c>
      <c r="CD21">
        <v>1690384820</v>
      </c>
      <c r="CE21">
        <v>1690384821</v>
      </c>
      <c r="CF21">
        <v>5</v>
      </c>
      <c r="CG21">
        <v>-2.5000000000000001E-2</v>
      </c>
      <c r="CH21">
        <v>0.104</v>
      </c>
      <c r="CI21">
        <v>-0.28799999999999998</v>
      </c>
      <c r="CJ21">
        <v>0.28000000000000003</v>
      </c>
      <c r="CK21">
        <v>800</v>
      </c>
      <c r="CL21">
        <v>24</v>
      </c>
      <c r="CM21">
        <v>0.08</v>
      </c>
      <c r="CN21">
        <v>0.11</v>
      </c>
      <c r="CO21">
        <v>6.6709180000000003</v>
      </c>
      <c r="CP21">
        <v>0.21453095684802501</v>
      </c>
      <c r="CQ21">
        <v>3.4348494814183637E-2</v>
      </c>
      <c r="CR21">
        <v>-1</v>
      </c>
      <c r="CS21">
        <v>1.5701229999999999</v>
      </c>
      <c r="CT21">
        <v>-1.7264465290809689E-2</v>
      </c>
      <c r="CU21">
        <v>1.9630883831351109E-3</v>
      </c>
      <c r="CV21">
        <v>-1</v>
      </c>
      <c r="CW21">
        <v>0</v>
      </c>
      <c r="CX21">
        <v>0</v>
      </c>
      <c r="CY21" t="s">
        <v>333</v>
      </c>
      <c r="CZ21">
        <v>2.3649300000000002</v>
      </c>
      <c r="DA21">
        <v>2.7137699999999998</v>
      </c>
      <c r="DB21">
        <v>0.147033</v>
      </c>
      <c r="DC21">
        <v>0.14585100000000001</v>
      </c>
      <c r="DD21">
        <v>0.111418</v>
      </c>
      <c r="DE21">
        <v>0.10487299999999999</v>
      </c>
      <c r="DF21">
        <v>31155.4</v>
      </c>
      <c r="DG21">
        <v>27539.8</v>
      </c>
      <c r="DH21">
        <v>31181.599999999999</v>
      </c>
      <c r="DI21">
        <v>28093.9</v>
      </c>
      <c r="DJ21">
        <v>37619.800000000003</v>
      </c>
      <c r="DK21">
        <v>35756.9</v>
      </c>
      <c r="DL21">
        <v>44376.4</v>
      </c>
      <c r="DM21">
        <v>42581.2</v>
      </c>
      <c r="DN21">
        <v>1.4619500000000001</v>
      </c>
      <c r="DO21">
        <v>2.0630999999999999</v>
      </c>
      <c r="DP21">
        <v>8.4273500000000001E-2</v>
      </c>
      <c r="DQ21">
        <v>6.7718299999999995E-2</v>
      </c>
      <c r="DR21">
        <v>25.638300000000001</v>
      </c>
      <c r="DS21">
        <v>25.720500000000001</v>
      </c>
      <c r="DT21">
        <v>56.7</v>
      </c>
      <c r="DU21">
        <v>29.1</v>
      </c>
      <c r="DV21">
        <v>23.245799999999999</v>
      </c>
      <c r="DW21">
        <v>61.102200000000003</v>
      </c>
      <c r="DX21">
        <v>35.600999999999999</v>
      </c>
      <c r="DY21">
        <v>1</v>
      </c>
      <c r="DZ21">
        <v>-9.87373E-2</v>
      </c>
      <c r="EA21">
        <v>-1.32291</v>
      </c>
      <c r="EB21">
        <v>20.298999999999999</v>
      </c>
      <c r="EC21">
        <v>5.24275</v>
      </c>
      <c r="ED21">
        <v>12.039899999999999</v>
      </c>
      <c r="EE21">
        <v>5.0171999999999999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</v>
      </c>
      <c r="EL21">
        <v>1.8646199999999999</v>
      </c>
      <c r="EM21">
        <v>1.8692</v>
      </c>
      <c r="EN21">
        <v>1.8672200000000001</v>
      </c>
      <c r="EO21">
        <v>1.8633900000000001</v>
      </c>
      <c r="EP21">
        <v>1.8644499999999999</v>
      </c>
      <c r="EQ21">
        <v>1.87015</v>
      </c>
      <c r="ER21">
        <v>1.8693900000000001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-0.29399999999999998</v>
      </c>
      <c r="FG21">
        <v>0.2797</v>
      </c>
      <c r="FH21">
        <v>0.26269369235785539</v>
      </c>
      <c r="FI21">
        <v>-6.1462078757559423E-4</v>
      </c>
      <c r="FJ21">
        <v>-1.8861989874597051E-7</v>
      </c>
      <c r="FK21">
        <v>1.1980462299894961E-10</v>
      </c>
      <c r="FL21">
        <v>0.27968571428570849</v>
      </c>
      <c r="FM21">
        <v>0</v>
      </c>
      <c r="FN21">
        <v>0</v>
      </c>
      <c r="FO21">
        <v>0</v>
      </c>
      <c r="FP21">
        <v>3</v>
      </c>
      <c r="FQ21">
        <v>2158</v>
      </c>
      <c r="FR21">
        <v>1</v>
      </c>
      <c r="FS21">
        <v>19</v>
      </c>
      <c r="FT21">
        <v>8.6999999999999993</v>
      </c>
      <c r="FU21">
        <v>8.6999999999999993</v>
      </c>
      <c r="FV21">
        <v>1.79688</v>
      </c>
      <c r="FW21">
        <v>2.5769000000000002</v>
      </c>
      <c r="FX21">
        <v>1.5490699999999999</v>
      </c>
      <c r="FY21">
        <v>2.3315399999999999</v>
      </c>
      <c r="FZ21">
        <v>1.50146</v>
      </c>
      <c r="GA21">
        <v>2.3938000000000001</v>
      </c>
      <c r="GB21">
        <v>33.535499999999999</v>
      </c>
      <c r="GC21">
        <v>24.026199999999999</v>
      </c>
      <c r="GD21">
        <v>19</v>
      </c>
      <c r="GE21">
        <v>276.45800000000003</v>
      </c>
      <c r="GF21">
        <v>604.28599999999994</v>
      </c>
      <c r="GG21">
        <v>28.559200000000001</v>
      </c>
      <c r="GH21">
        <v>26.189</v>
      </c>
      <c r="GI21">
        <v>29.9999</v>
      </c>
      <c r="GJ21">
        <v>26.259899999999998</v>
      </c>
      <c r="GK21">
        <v>26.229700000000001</v>
      </c>
      <c r="GL21">
        <v>35.932400000000001</v>
      </c>
      <c r="GM21">
        <v>14.404199999999999</v>
      </c>
      <c r="GN21">
        <v>100</v>
      </c>
      <c r="GO21">
        <v>28.5579</v>
      </c>
      <c r="GP21">
        <v>800</v>
      </c>
      <c r="GQ21">
        <v>21.957999999999998</v>
      </c>
      <c r="GR21">
        <v>99.770600000000002</v>
      </c>
      <c r="GS21">
        <v>99.611699999999999</v>
      </c>
    </row>
    <row r="22" spans="1:201" x14ac:dyDescent="0.25">
      <c r="A22">
        <v>6</v>
      </c>
      <c r="B22">
        <v>1690385455.5999999</v>
      </c>
      <c r="C22">
        <v>121</v>
      </c>
      <c r="D22" t="s">
        <v>345</v>
      </c>
      <c r="E22" t="s">
        <v>346</v>
      </c>
      <c r="F22" t="s">
        <v>330</v>
      </c>
      <c r="H22">
        <v>1690385455.5999999</v>
      </c>
      <c r="I22">
        <f t="shared" si="0"/>
        <v>1.4925821603508423E-4</v>
      </c>
      <c r="J22">
        <f t="shared" si="1"/>
        <v>0.14925821603508424</v>
      </c>
      <c r="K22">
        <f t="shared" si="2"/>
        <v>-0.76190273252915142</v>
      </c>
      <c r="L22">
        <f t="shared" si="3"/>
        <v>806.61</v>
      </c>
      <c r="M22">
        <f t="shared" si="4"/>
        <v>935.06871927439647</v>
      </c>
      <c r="N22">
        <f t="shared" si="5"/>
        <v>92.356214138276826</v>
      </c>
      <c r="O22">
        <f t="shared" si="6"/>
        <v>79.668418321044001</v>
      </c>
      <c r="P22">
        <f t="shared" si="7"/>
        <v>7.8845073979171686E-3</v>
      </c>
      <c r="Q22">
        <f t="shared" si="8"/>
        <v>2.1577242604771962</v>
      </c>
      <c r="R22">
        <f t="shared" si="9"/>
        <v>7.8685364881515077E-3</v>
      </c>
      <c r="S22">
        <f t="shared" si="10"/>
        <v>4.9192675034128077E-3</v>
      </c>
      <c r="T22">
        <f t="shared" si="11"/>
        <v>276.07522745622498</v>
      </c>
      <c r="U22">
        <f t="shared" si="12"/>
        <v>29.472334275448894</v>
      </c>
      <c r="V22">
        <f t="shared" si="13"/>
        <v>29.472334275448894</v>
      </c>
      <c r="W22">
        <f t="shared" si="14"/>
        <v>4.133013956702432</v>
      </c>
      <c r="X22">
        <f t="shared" si="15"/>
        <v>63.457567205835296</v>
      </c>
      <c r="Y22">
        <f t="shared" si="16"/>
        <v>2.3206670177503197</v>
      </c>
      <c r="Z22">
        <f t="shared" si="17"/>
        <v>3.6570374817913294</v>
      </c>
      <c r="AA22">
        <f t="shared" si="18"/>
        <v>1.8123469389521123</v>
      </c>
      <c r="AB22">
        <f t="shared" si="19"/>
        <v>-6.5822873271472142</v>
      </c>
      <c r="AC22">
        <f t="shared" si="20"/>
        <v>-244.90770518356942</v>
      </c>
      <c r="AD22">
        <f t="shared" si="21"/>
        <v>-24.844929385699022</v>
      </c>
      <c r="AE22">
        <f t="shared" si="22"/>
        <v>-0.25969444019068533</v>
      </c>
      <c r="AF22">
        <v>0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52097.397411179896</v>
      </c>
      <c r="AK22">
        <f t="shared" si="26"/>
        <v>1799.74</v>
      </c>
      <c r="AL22">
        <f t="shared" si="27"/>
        <v>1498.8952996234</v>
      </c>
      <c r="AM22">
        <f t="shared" si="28"/>
        <v>0.83283991000000002</v>
      </c>
      <c r="AN22">
        <f t="shared" si="29"/>
        <v>0.15339728375</v>
      </c>
      <c r="AO22">
        <v>31.8</v>
      </c>
      <c r="AP22">
        <v>0.5</v>
      </c>
      <c r="AQ22" t="s">
        <v>331</v>
      </c>
      <c r="AR22">
        <v>2</v>
      </c>
      <c r="AS22">
        <v>1690385455.5999999</v>
      </c>
      <c r="AT22">
        <v>806.61</v>
      </c>
      <c r="AU22">
        <v>799.81600000000003</v>
      </c>
      <c r="AV22">
        <v>23.495799999999999</v>
      </c>
      <c r="AW22">
        <v>21.952200000000001</v>
      </c>
      <c r="AX22">
        <v>806.90300000000002</v>
      </c>
      <c r="AY22">
        <v>23.216200000000001</v>
      </c>
      <c r="AZ22">
        <v>300.26499999999999</v>
      </c>
      <c r="BA22">
        <v>98.669499999999999</v>
      </c>
      <c r="BB22">
        <v>9.9940399999999999E-2</v>
      </c>
      <c r="BC22">
        <v>27.367000000000001</v>
      </c>
      <c r="BD22">
        <v>27.926500000000001</v>
      </c>
      <c r="BE22">
        <v>28.495000000000001</v>
      </c>
      <c r="BF22">
        <v>0</v>
      </c>
      <c r="BG22">
        <v>0</v>
      </c>
      <c r="BH22">
        <v>9997.5</v>
      </c>
      <c r="BI22">
        <v>1079.2</v>
      </c>
      <c r="BJ22">
        <v>1.3147500000000001</v>
      </c>
      <c r="BK22">
        <v>6.7937599999999998</v>
      </c>
      <c r="BL22">
        <v>826.01800000000003</v>
      </c>
      <c r="BM22">
        <v>817.76800000000003</v>
      </c>
      <c r="BN22">
        <v>1.5436799999999999</v>
      </c>
      <c r="BO22">
        <v>799.81600000000003</v>
      </c>
      <c r="BP22">
        <v>21.952200000000001</v>
      </c>
      <c r="BQ22">
        <v>2.3183199999999999</v>
      </c>
      <c r="BR22">
        <v>2.16601</v>
      </c>
      <c r="BS22">
        <v>19.804300000000001</v>
      </c>
      <c r="BT22">
        <v>18.713100000000001</v>
      </c>
      <c r="BU22">
        <v>1799.74</v>
      </c>
      <c r="BV22">
        <v>0.91000300000000001</v>
      </c>
      <c r="BW22">
        <v>3.4000000000000002E-2</v>
      </c>
      <c r="BX22">
        <v>2.1999500000000002E-2</v>
      </c>
      <c r="BY22">
        <v>3.3997100000000002E-2</v>
      </c>
      <c r="BZ22">
        <v>26</v>
      </c>
      <c r="CA22">
        <v>33523.599999999999</v>
      </c>
      <c r="CB22">
        <v>1690384821</v>
      </c>
      <c r="CC22" t="s">
        <v>332</v>
      </c>
      <c r="CD22">
        <v>1690384820</v>
      </c>
      <c r="CE22">
        <v>1690384821</v>
      </c>
      <c r="CF22">
        <v>5</v>
      </c>
      <c r="CG22">
        <v>-2.5000000000000001E-2</v>
      </c>
      <c r="CH22">
        <v>0.104</v>
      </c>
      <c r="CI22">
        <v>-0.28799999999999998</v>
      </c>
      <c r="CJ22">
        <v>0.28000000000000003</v>
      </c>
      <c r="CK22">
        <v>800</v>
      </c>
      <c r="CL22">
        <v>24</v>
      </c>
      <c r="CM22">
        <v>0.08</v>
      </c>
      <c r="CN22">
        <v>0.11</v>
      </c>
      <c r="CO22">
        <v>6.9076815000000007</v>
      </c>
      <c r="CP22">
        <v>6.314836772980631E-2</v>
      </c>
      <c r="CQ22">
        <v>3.9533406730890251E-2</v>
      </c>
      <c r="CR22">
        <v>-1</v>
      </c>
      <c r="CS22">
        <v>1.5479894999999999</v>
      </c>
      <c r="CT22">
        <v>-7.9162851782364832E-2</v>
      </c>
      <c r="CU22">
        <v>1.0056519266127811E-2</v>
      </c>
      <c r="CV22">
        <v>-1</v>
      </c>
      <c r="CW22">
        <v>0</v>
      </c>
      <c r="CX22">
        <v>0</v>
      </c>
      <c r="CY22" t="s">
        <v>333</v>
      </c>
      <c r="CZ22">
        <v>2.3648600000000002</v>
      </c>
      <c r="DA22">
        <v>2.71373</v>
      </c>
      <c r="DB22">
        <v>0.14702399999999999</v>
      </c>
      <c r="DC22">
        <v>0.14582999999999999</v>
      </c>
      <c r="DD22">
        <v>0.111468</v>
      </c>
      <c r="DE22">
        <v>0.104995</v>
      </c>
      <c r="DF22">
        <v>31155.4</v>
      </c>
      <c r="DG22">
        <v>27540.2</v>
      </c>
      <c r="DH22">
        <v>31181.3</v>
      </c>
      <c r="DI22">
        <v>28093.599999999999</v>
      </c>
      <c r="DJ22">
        <v>37617.4</v>
      </c>
      <c r="DK22">
        <v>35751.9</v>
      </c>
      <c r="DL22">
        <v>44376.2</v>
      </c>
      <c r="DM22">
        <v>42581</v>
      </c>
      <c r="DN22">
        <v>1.46448</v>
      </c>
      <c r="DO22">
        <v>2.0632299999999999</v>
      </c>
      <c r="DP22">
        <v>0.139289</v>
      </c>
      <c r="DQ22">
        <v>0.16909099999999999</v>
      </c>
      <c r="DR22">
        <v>25.6478</v>
      </c>
      <c r="DS22">
        <v>25.7302</v>
      </c>
      <c r="DT22">
        <v>57</v>
      </c>
      <c r="DU22">
        <v>29</v>
      </c>
      <c r="DV22">
        <v>23.230499999999999</v>
      </c>
      <c r="DW22">
        <v>61.722200000000001</v>
      </c>
      <c r="DX22">
        <v>36.057699999999997</v>
      </c>
      <c r="DY22">
        <v>1</v>
      </c>
      <c r="DZ22">
        <v>-9.8490900000000006E-2</v>
      </c>
      <c r="EA22">
        <v>-1.64283</v>
      </c>
      <c r="EB22">
        <v>20.180299999999999</v>
      </c>
      <c r="EC22">
        <v>5.2409499999999998</v>
      </c>
      <c r="ED22">
        <v>12.039899999999999</v>
      </c>
      <c r="EE22">
        <v>5.0169499999999996</v>
      </c>
      <c r="EF22">
        <v>3.2879499999999999</v>
      </c>
      <c r="EG22">
        <v>9999</v>
      </c>
      <c r="EH22">
        <v>9999</v>
      </c>
      <c r="EI22">
        <v>9999</v>
      </c>
      <c r="EJ22">
        <v>999.9</v>
      </c>
      <c r="EK22">
        <v>1.8689100000000001</v>
      </c>
      <c r="EL22">
        <v>1.8646199999999999</v>
      </c>
      <c r="EM22">
        <v>1.8692</v>
      </c>
      <c r="EN22">
        <v>1.8672200000000001</v>
      </c>
      <c r="EO22">
        <v>1.86338</v>
      </c>
      <c r="EP22">
        <v>1.8644700000000001</v>
      </c>
      <c r="EQ22">
        <v>1.8701399999999999</v>
      </c>
      <c r="ER22">
        <v>1.86937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-0.29299999999999998</v>
      </c>
      <c r="FG22">
        <v>0.27960000000000002</v>
      </c>
      <c r="FH22">
        <v>0.26269369235785539</v>
      </c>
      <c r="FI22">
        <v>-6.1462078757559423E-4</v>
      </c>
      <c r="FJ22">
        <v>-1.8861989874597051E-7</v>
      </c>
      <c r="FK22">
        <v>1.1980462299894961E-10</v>
      </c>
      <c r="FL22">
        <v>0.27968571428570849</v>
      </c>
      <c r="FM22">
        <v>0</v>
      </c>
      <c r="FN22">
        <v>0</v>
      </c>
      <c r="FO22">
        <v>0</v>
      </c>
      <c r="FP22">
        <v>3</v>
      </c>
      <c r="FQ22">
        <v>2158</v>
      </c>
      <c r="FR22">
        <v>1</v>
      </c>
      <c r="FS22">
        <v>19</v>
      </c>
      <c r="FT22">
        <v>10.6</v>
      </c>
      <c r="FU22">
        <v>10.6</v>
      </c>
      <c r="FV22">
        <v>1.7981</v>
      </c>
      <c r="FW22">
        <v>2.5830099999999998</v>
      </c>
      <c r="FX22">
        <v>1.5490699999999999</v>
      </c>
      <c r="FY22">
        <v>2.3315399999999999</v>
      </c>
      <c r="FZ22">
        <v>1.50146</v>
      </c>
      <c r="GA22">
        <v>2.34253</v>
      </c>
      <c r="GB22">
        <v>33.512999999999998</v>
      </c>
      <c r="GC22">
        <v>23.982399999999998</v>
      </c>
      <c r="GD22">
        <v>19</v>
      </c>
      <c r="GE22">
        <v>277.53699999999998</v>
      </c>
      <c r="GF22">
        <v>604.48900000000003</v>
      </c>
      <c r="GG22">
        <v>28.7515</v>
      </c>
      <c r="GH22">
        <v>26.189599999999999</v>
      </c>
      <c r="GI22">
        <v>29.9999</v>
      </c>
      <c r="GJ22">
        <v>26.264299999999999</v>
      </c>
      <c r="GK22">
        <v>26.238</v>
      </c>
      <c r="GL22">
        <v>35.948399999999999</v>
      </c>
      <c r="GM22">
        <v>13.1469</v>
      </c>
      <c r="GN22">
        <v>100</v>
      </c>
      <c r="GO22">
        <v>28.741299999999999</v>
      </c>
      <c r="GP22">
        <v>800</v>
      </c>
      <c r="GQ22">
        <v>22.182300000000001</v>
      </c>
      <c r="GR22">
        <v>99.769900000000007</v>
      </c>
      <c r="GS22">
        <v>99.611099999999993</v>
      </c>
    </row>
    <row r="23" spans="1:201" x14ac:dyDescent="0.25">
      <c r="A23">
        <v>7</v>
      </c>
      <c r="B23">
        <v>1690385465.5999999</v>
      </c>
      <c r="C23">
        <v>131</v>
      </c>
      <c r="D23" t="s">
        <v>347</v>
      </c>
      <c r="E23" t="s">
        <v>348</v>
      </c>
      <c r="F23" t="s">
        <v>330</v>
      </c>
      <c r="H23">
        <v>1690385465.5999999</v>
      </c>
      <c r="I23">
        <f t="shared" si="0"/>
        <v>1.3549346172413414E-4</v>
      </c>
      <c r="J23">
        <f t="shared" si="1"/>
        <v>0.13549346172413415</v>
      </c>
      <c r="K23">
        <f t="shared" si="2"/>
        <v>-0.6752409676405603</v>
      </c>
      <c r="L23">
        <f t="shared" si="3"/>
        <v>805.74599999999998</v>
      </c>
      <c r="M23">
        <f t="shared" si="4"/>
        <v>934.53856488995757</v>
      </c>
      <c r="N23">
        <f t="shared" si="5"/>
        <v>92.302436755736096</v>
      </c>
      <c r="O23">
        <f t="shared" si="6"/>
        <v>79.581862108541998</v>
      </c>
      <c r="P23">
        <f t="shared" si="7"/>
        <v>6.9345106403319451E-3</v>
      </c>
      <c r="Q23">
        <f t="shared" si="8"/>
        <v>2.1538076448463039</v>
      </c>
      <c r="R23">
        <f t="shared" si="9"/>
        <v>6.9221308257132307E-3</v>
      </c>
      <c r="S23">
        <f t="shared" si="10"/>
        <v>4.3274421786362715E-3</v>
      </c>
      <c r="T23">
        <f t="shared" si="11"/>
        <v>276.10483674609992</v>
      </c>
      <c r="U23">
        <f t="shared" si="12"/>
        <v>29.760054492126407</v>
      </c>
      <c r="V23">
        <f t="shared" si="13"/>
        <v>29.760054492126407</v>
      </c>
      <c r="W23">
        <f t="shared" si="14"/>
        <v>4.2020825459417352</v>
      </c>
      <c r="X23">
        <f t="shared" si="15"/>
        <v>62.752450367649629</v>
      </c>
      <c r="Y23">
        <f t="shared" si="16"/>
        <v>2.3327601606421999</v>
      </c>
      <c r="Z23">
        <f t="shared" si="17"/>
        <v>3.7174009094070262</v>
      </c>
      <c r="AA23">
        <f t="shared" si="18"/>
        <v>1.8693223852995353</v>
      </c>
      <c r="AB23">
        <f t="shared" si="19"/>
        <v>-5.975261662034316</v>
      </c>
      <c r="AC23">
        <f t="shared" si="20"/>
        <v>-245.38282291107626</v>
      </c>
      <c r="AD23">
        <f t="shared" si="21"/>
        <v>-25.00889537573061</v>
      </c>
      <c r="AE23">
        <f t="shared" si="22"/>
        <v>-0.2621432027412709</v>
      </c>
      <c r="AF23">
        <v>1</v>
      </c>
      <c r="AG23">
        <v>0</v>
      </c>
      <c r="AH23">
        <f t="shared" si="23"/>
        <v>1</v>
      </c>
      <c r="AI23">
        <f t="shared" si="24"/>
        <v>0</v>
      </c>
      <c r="AJ23">
        <f t="shared" si="25"/>
        <v>51885.698297494499</v>
      </c>
      <c r="AK23">
        <f t="shared" si="26"/>
        <v>1799.93</v>
      </c>
      <c r="AL23">
        <f t="shared" si="27"/>
        <v>1499.0553625353898</v>
      </c>
      <c r="AM23">
        <f t="shared" si="28"/>
        <v>0.8328409229999999</v>
      </c>
      <c r="AN23">
        <f t="shared" si="29"/>
        <v>0.15339754143000001</v>
      </c>
      <c r="AO23">
        <v>31.8</v>
      </c>
      <c r="AP23">
        <v>0.5</v>
      </c>
      <c r="AQ23" t="s">
        <v>331</v>
      </c>
      <c r="AR23">
        <v>2</v>
      </c>
      <c r="AS23">
        <v>1690385465.5999999</v>
      </c>
      <c r="AT23">
        <v>805.74599999999998</v>
      </c>
      <c r="AU23">
        <v>799.75</v>
      </c>
      <c r="AV23">
        <v>23.618600000000001</v>
      </c>
      <c r="AW23">
        <v>22.217300000000002</v>
      </c>
      <c r="AX23">
        <v>806.03899999999999</v>
      </c>
      <c r="AY23">
        <v>23.338899999999999</v>
      </c>
      <c r="AZ23">
        <v>300.21600000000001</v>
      </c>
      <c r="BA23">
        <v>98.667900000000003</v>
      </c>
      <c r="BB23">
        <v>0.100027</v>
      </c>
      <c r="BC23">
        <v>27.646799999999999</v>
      </c>
      <c r="BD23">
        <v>28.587800000000001</v>
      </c>
      <c r="BE23">
        <v>29.444500000000001</v>
      </c>
      <c r="BF23">
        <v>0</v>
      </c>
      <c r="BG23">
        <v>0</v>
      </c>
      <c r="BH23">
        <v>9965</v>
      </c>
      <c r="BI23">
        <v>1082.1400000000001</v>
      </c>
      <c r="BJ23">
        <v>1.5137799999999999</v>
      </c>
      <c r="BK23">
        <v>5.9961500000000001</v>
      </c>
      <c r="BL23">
        <v>825.23699999999997</v>
      </c>
      <c r="BM23">
        <v>817.92200000000003</v>
      </c>
      <c r="BN23">
        <v>1.40124</v>
      </c>
      <c r="BO23">
        <v>799.75</v>
      </c>
      <c r="BP23">
        <v>22.217300000000002</v>
      </c>
      <c r="BQ23">
        <v>2.3304</v>
      </c>
      <c r="BR23">
        <v>2.1921400000000002</v>
      </c>
      <c r="BS23">
        <v>19.888100000000001</v>
      </c>
      <c r="BT23">
        <v>18.905000000000001</v>
      </c>
      <c r="BU23">
        <v>1799.93</v>
      </c>
      <c r="BV23">
        <v>0.91000599999999998</v>
      </c>
      <c r="BW23">
        <v>3.3999599999999998E-2</v>
      </c>
      <c r="BX23">
        <v>2.2002399999999998E-2</v>
      </c>
      <c r="BY23">
        <v>3.3992099999999997E-2</v>
      </c>
      <c r="BZ23">
        <v>26</v>
      </c>
      <c r="CA23">
        <v>33527</v>
      </c>
      <c r="CB23">
        <v>1690384821</v>
      </c>
      <c r="CC23" t="s">
        <v>332</v>
      </c>
      <c r="CD23">
        <v>1690384820</v>
      </c>
      <c r="CE23">
        <v>1690384821</v>
      </c>
      <c r="CF23">
        <v>5</v>
      </c>
      <c r="CG23">
        <v>-2.5000000000000001E-2</v>
      </c>
      <c r="CH23">
        <v>0.104</v>
      </c>
      <c r="CI23">
        <v>-0.28799999999999998</v>
      </c>
      <c r="CJ23">
        <v>0.28000000000000003</v>
      </c>
      <c r="CK23">
        <v>800</v>
      </c>
      <c r="CL23">
        <v>24</v>
      </c>
      <c r="CM23">
        <v>0.08</v>
      </c>
      <c r="CN23">
        <v>0.11</v>
      </c>
      <c r="CO23">
        <v>6.6772119512195109</v>
      </c>
      <c r="CP23">
        <v>-2.6661294773519142</v>
      </c>
      <c r="CQ23">
        <v>0.291120878072754</v>
      </c>
      <c r="CR23">
        <v>-1</v>
      </c>
      <c r="CS23">
        <v>1.533430731707317</v>
      </c>
      <c r="CT23">
        <v>-0.1795992334494742</v>
      </c>
      <c r="CU23">
        <v>2.8449475402617119E-2</v>
      </c>
      <c r="CV23">
        <v>-1</v>
      </c>
      <c r="CW23">
        <v>0</v>
      </c>
      <c r="CX23">
        <v>0</v>
      </c>
      <c r="CY23" t="s">
        <v>333</v>
      </c>
      <c r="CZ23">
        <v>2.36469</v>
      </c>
      <c r="DA23">
        <v>2.7137899999999999</v>
      </c>
      <c r="DB23">
        <v>0.14691699999999999</v>
      </c>
      <c r="DC23">
        <v>0.14582300000000001</v>
      </c>
      <c r="DD23">
        <v>0.11187800000000001</v>
      </c>
      <c r="DE23">
        <v>0.10588</v>
      </c>
      <c r="DF23">
        <v>31159.200000000001</v>
      </c>
      <c r="DG23">
        <v>27540.400000000001</v>
      </c>
      <c r="DH23">
        <v>31181.3</v>
      </c>
      <c r="DI23">
        <v>28093.599999999999</v>
      </c>
      <c r="DJ23">
        <v>37599.800000000003</v>
      </c>
      <c r="DK23">
        <v>35716.199999999997</v>
      </c>
      <c r="DL23">
        <v>44376.1</v>
      </c>
      <c r="DM23">
        <v>42580.7</v>
      </c>
      <c r="DN23">
        <v>1.4612499999999999</v>
      </c>
      <c r="DO23">
        <v>2.0635500000000002</v>
      </c>
      <c r="DP23">
        <v>0.177119</v>
      </c>
      <c r="DQ23">
        <v>0.22559199999999999</v>
      </c>
      <c r="DR23">
        <v>25.691800000000001</v>
      </c>
      <c r="DS23">
        <v>25.758800000000001</v>
      </c>
      <c r="DT23">
        <v>57</v>
      </c>
      <c r="DU23">
        <v>29</v>
      </c>
      <c r="DV23">
        <v>23.231200000000001</v>
      </c>
      <c r="DW23">
        <v>61.772199999999998</v>
      </c>
      <c r="DX23">
        <v>35.544899999999998</v>
      </c>
      <c r="DY23">
        <v>1</v>
      </c>
      <c r="DZ23">
        <v>-9.1923299999999999E-2</v>
      </c>
      <c r="EA23">
        <v>5.4266300000000003</v>
      </c>
      <c r="EB23">
        <v>20.052399999999999</v>
      </c>
      <c r="EC23">
        <v>5.242</v>
      </c>
      <c r="ED23">
        <v>12.039899999999999</v>
      </c>
      <c r="EE23">
        <v>5.0170000000000003</v>
      </c>
      <c r="EF23">
        <v>3.2879499999999999</v>
      </c>
      <c r="EG23">
        <v>9999</v>
      </c>
      <c r="EH23">
        <v>9999</v>
      </c>
      <c r="EI23">
        <v>9999</v>
      </c>
      <c r="EJ23">
        <v>999.9</v>
      </c>
      <c r="EK23">
        <v>1.8689</v>
      </c>
      <c r="EL23">
        <v>1.8646199999999999</v>
      </c>
      <c r="EM23">
        <v>1.8692</v>
      </c>
      <c r="EN23">
        <v>1.8672299999999999</v>
      </c>
      <c r="EO23">
        <v>1.8633999999999999</v>
      </c>
      <c r="EP23">
        <v>1.86446</v>
      </c>
      <c r="EQ23">
        <v>1.87015</v>
      </c>
      <c r="ER23">
        <v>1.8693599999999999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-0.29299999999999998</v>
      </c>
      <c r="FG23">
        <v>0.2797</v>
      </c>
      <c r="FH23">
        <v>0.26269369235785539</v>
      </c>
      <c r="FI23">
        <v>-6.1462078757559423E-4</v>
      </c>
      <c r="FJ23">
        <v>-1.8861989874597051E-7</v>
      </c>
      <c r="FK23">
        <v>1.1980462299894961E-10</v>
      </c>
      <c r="FL23">
        <v>0.27968571428570849</v>
      </c>
      <c r="FM23">
        <v>0</v>
      </c>
      <c r="FN23">
        <v>0</v>
      </c>
      <c r="FO23">
        <v>0</v>
      </c>
      <c r="FP23">
        <v>3</v>
      </c>
      <c r="FQ23">
        <v>2158</v>
      </c>
      <c r="FR23">
        <v>1</v>
      </c>
      <c r="FS23">
        <v>19</v>
      </c>
      <c r="FT23">
        <v>10.8</v>
      </c>
      <c r="FU23">
        <v>10.7</v>
      </c>
      <c r="FV23">
        <v>1.7981</v>
      </c>
      <c r="FW23">
        <v>2.5842299999999998</v>
      </c>
      <c r="FX23">
        <v>1.5490699999999999</v>
      </c>
      <c r="FY23">
        <v>2.3315399999999999</v>
      </c>
      <c r="FZ23">
        <v>1.50146</v>
      </c>
      <c r="GA23">
        <v>2.36206</v>
      </c>
      <c r="GB23">
        <v>33.512999999999998</v>
      </c>
      <c r="GC23">
        <v>23.947399999999998</v>
      </c>
      <c r="GD23">
        <v>19</v>
      </c>
      <c r="GE23">
        <v>276.19299999999998</v>
      </c>
      <c r="GF23">
        <v>604.78399999999999</v>
      </c>
      <c r="GG23">
        <v>27.551500000000001</v>
      </c>
      <c r="GH23">
        <v>26.191199999999998</v>
      </c>
      <c r="GI23">
        <v>30.004200000000001</v>
      </c>
      <c r="GJ23">
        <v>26.266500000000001</v>
      </c>
      <c r="GK23">
        <v>26.239599999999999</v>
      </c>
      <c r="GL23">
        <v>35.963500000000003</v>
      </c>
      <c r="GM23">
        <v>10.517799999999999</v>
      </c>
      <c r="GN23">
        <v>100</v>
      </c>
      <c r="GO23">
        <v>26.607700000000001</v>
      </c>
      <c r="GP23">
        <v>800</v>
      </c>
      <c r="GQ23">
        <v>22.6051</v>
      </c>
      <c r="GR23">
        <v>99.7697</v>
      </c>
      <c r="GS23">
        <v>99.610600000000005</v>
      </c>
    </row>
    <row r="24" spans="1:201" x14ac:dyDescent="0.25">
      <c r="A24">
        <v>8</v>
      </c>
      <c r="B24">
        <v>1690385475.5999999</v>
      </c>
      <c r="C24">
        <v>141</v>
      </c>
      <c r="D24" t="s">
        <v>349</v>
      </c>
      <c r="E24" t="s">
        <v>350</v>
      </c>
      <c r="F24" t="s">
        <v>330</v>
      </c>
      <c r="H24">
        <v>1690385475.5999999</v>
      </c>
      <c r="I24">
        <f t="shared" si="0"/>
        <v>1.0927842466891777E-4</v>
      </c>
      <c r="J24">
        <f t="shared" si="1"/>
        <v>0.10927842466891777</v>
      </c>
      <c r="K24">
        <f t="shared" si="2"/>
        <v>-0.58640255902496796</v>
      </c>
      <c r="L24">
        <f t="shared" si="3"/>
        <v>805.16499999999996</v>
      </c>
      <c r="M24">
        <f t="shared" si="4"/>
        <v>943.77063016540478</v>
      </c>
      <c r="N24">
        <f t="shared" si="5"/>
        <v>93.210646324487996</v>
      </c>
      <c r="O24">
        <f t="shared" si="6"/>
        <v>79.521387558651995</v>
      </c>
      <c r="P24">
        <f t="shared" si="7"/>
        <v>5.6731513527993518E-3</v>
      </c>
      <c r="Q24">
        <f t="shared" si="8"/>
        <v>2.1550362708560415</v>
      </c>
      <c r="R24">
        <f t="shared" si="9"/>
        <v>5.6648674255659181E-3</v>
      </c>
      <c r="S24">
        <f t="shared" si="10"/>
        <v>3.5412853949966837E-3</v>
      </c>
      <c r="T24">
        <f t="shared" si="11"/>
        <v>276.10423627145263</v>
      </c>
      <c r="U24">
        <f t="shared" si="12"/>
        <v>29.650622644278432</v>
      </c>
      <c r="V24">
        <f t="shared" si="13"/>
        <v>29.650622644278432</v>
      </c>
      <c r="W24">
        <f t="shared" si="14"/>
        <v>4.1756952773776561</v>
      </c>
      <c r="X24">
        <f t="shared" si="15"/>
        <v>63.199064425004778</v>
      </c>
      <c r="Y24">
        <f t="shared" si="16"/>
        <v>2.3332620922644804</v>
      </c>
      <c r="Z24">
        <f t="shared" si="17"/>
        <v>3.6919250522027074</v>
      </c>
      <c r="AA24">
        <f t="shared" si="18"/>
        <v>1.8424331851131757</v>
      </c>
      <c r="AB24">
        <f t="shared" si="19"/>
        <v>-4.8191785278992736</v>
      </c>
      <c r="AC24">
        <f t="shared" si="20"/>
        <v>-246.47179482721648</v>
      </c>
      <c r="AD24">
        <f t="shared" si="21"/>
        <v>-25.077235142202589</v>
      </c>
      <c r="AE24">
        <f t="shared" si="22"/>
        <v>-0.26397222586572866</v>
      </c>
      <c r="AF24">
        <v>2</v>
      </c>
      <c r="AG24">
        <v>1</v>
      </c>
      <c r="AH24">
        <f t="shared" si="23"/>
        <v>1</v>
      </c>
      <c r="AI24">
        <f t="shared" si="24"/>
        <v>0</v>
      </c>
      <c r="AJ24">
        <f t="shared" si="25"/>
        <v>51957.095854531093</v>
      </c>
      <c r="AK24">
        <f t="shared" si="26"/>
        <v>1799.93</v>
      </c>
      <c r="AL24">
        <f t="shared" si="27"/>
        <v>1499.0533448138599</v>
      </c>
      <c r="AM24">
        <f t="shared" si="28"/>
        <v>0.83283980199999996</v>
      </c>
      <c r="AN24">
        <f t="shared" si="29"/>
        <v>0.15339720782000002</v>
      </c>
      <c r="AO24">
        <v>31.8</v>
      </c>
      <c r="AP24">
        <v>0.5</v>
      </c>
      <c r="AQ24" t="s">
        <v>331</v>
      </c>
      <c r="AR24">
        <v>2</v>
      </c>
      <c r="AS24">
        <v>1690385475.5999999</v>
      </c>
      <c r="AT24">
        <v>805.16499999999996</v>
      </c>
      <c r="AU24">
        <v>799.88499999999999</v>
      </c>
      <c r="AV24">
        <v>23.624600000000001</v>
      </c>
      <c r="AW24">
        <v>22.494299999999999</v>
      </c>
      <c r="AX24">
        <v>805.45699999999999</v>
      </c>
      <c r="AY24">
        <v>23.344999999999999</v>
      </c>
      <c r="AZ24">
        <v>300.18200000000002</v>
      </c>
      <c r="BA24">
        <v>98.664100000000005</v>
      </c>
      <c r="BB24">
        <v>9.9988800000000003E-2</v>
      </c>
      <c r="BC24">
        <v>27.529199999999999</v>
      </c>
      <c r="BD24">
        <v>28.5305</v>
      </c>
      <c r="BE24">
        <v>29.5213</v>
      </c>
      <c r="BF24">
        <v>0</v>
      </c>
      <c r="BG24">
        <v>0</v>
      </c>
      <c r="BH24">
        <v>9975.6200000000008</v>
      </c>
      <c r="BI24">
        <v>1083.76</v>
      </c>
      <c r="BJ24">
        <v>1.55443</v>
      </c>
      <c r="BK24">
        <v>5.2796599999999998</v>
      </c>
      <c r="BL24">
        <v>824.64700000000005</v>
      </c>
      <c r="BM24">
        <v>818.29200000000003</v>
      </c>
      <c r="BN24">
        <v>1.1303099999999999</v>
      </c>
      <c r="BO24">
        <v>799.88499999999999</v>
      </c>
      <c r="BP24">
        <v>22.494299999999999</v>
      </c>
      <c r="BQ24">
        <v>2.3309000000000002</v>
      </c>
      <c r="BR24">
        <v>2.2193800000000001</v>
      </c>
      <c r="BS24">
        <v>19.8916</v>
      </c>
      <c r="BT24">
        <v>19.102900000000002</v>
      </c>
      <c r="BU24">
        <v>1799.93</v>
      </c>
      <c r="BV24">
        <v>0.91</v>
      </c>
      <c r="BW24">
        <v>3.3996699999999998E-2</v>
      </c>
      <c r="BX24">
        <v>2.1997599999999999E-2</v>
      </c>
      <c r="BY24">
        <v>3.4005599999999997E-2</v>
      </c>
      <c r="BZ24">
        <v>26</v>
      </c>
      <c r="CA24">
        <v>33527.199999999997</v>
      </c>
      <c r="CB24">
        <v>1690384821</v>
      </c>
      <c r="CC24" t="s">
        <v>332</v>
      </c>
      <c r="CD24">
        <v>1690384820</v>
      </c>
      <c r="CE24">
        <v>1690384821</v>
      </c>
      <c r="CF24">
        <v>5</v>
      </c>
      <c r="CG24">
        <v>-2.5000000000000001E-2</v>
      </c>
      <c r="CH24">
        <v>0.104</v>
      </c>
      <c r="CI24">
        <v>-0.28799999999999998</v>
      </c>
      <c r="CJ24">
        <v>0.28000000000000003</v>
      </c>
      <c r="CK24">
        <v>800</v>
      </c>
      <c r="CL24">
        <v>24</v>
      </c>
      <c r="CM24">
        <v>0.08</v>
      </c>
      <c r="CN24">
        <v>0.11</v>
      </c>
      <c r="CO24">
        <v>6.0058467499999999</v>
      </c>
      <c r="CP24">
        <v>-4.5339312945591184</v>
      </c>
      <c r="CQ24">
        <v>0.43909616282989478</v>
      </c>
      <c r="CR24">
        <v>-1</v>
      </c>
      <c r="CS24">
        <v>1.3944810000000001</v>
      </c>
      <c r="CT24">
        <v>-1.4042255909943739</v>
      </c>
      <c r="CU24">
        <v>0.13786160870235051</v>
      </c>
      <c r="CV24">
        <v>-1</v>
      </c>
      <c r="CW24">
        <v>0</v>
      </c>
      <c r="CX24">
        <v>0</v>
      </c>
      <c r="CY24" t="s">
        <v>333</v>
      </c>
      <c r="CZ24">
        <v>2.3645800000000001</v>
      </c>
      <c r="DA24">
        <v>2.7137600000000002</v>
      </c>
      <c r="DB24">
        <v>0.146842</v>
      </c>
      <c r="DC24">
        <v>0.145839</v>
      </c>
      <c r="DD24">
        <v>0.11189499999999999</v>
      </c>
      <c r="DE24">
        <v>0.10679900000000001</v>
      </c>
      <c r="DF24">
        <v>31159.5</v>
      </c>
      <c r="DG24">
        <v>27536.9</v>
      </c>
      <c r="DH24">
        <v>31178.7</v>
      </c>
      <c r="DI24">
        <v>28090.6</v>
      </c>
      <c r="DJ24">
        <v>37596</v>
      </c>
      <c r="DK24">
        <v>35675.800000000003</v>
      </c>
      <c r="DL24">
        <v>44372.5</v>
      </c>
      <c r="DM24">
        <v>42576.4</v>
      </c>
      <c r="DN24">
        <v>1.45855</v>
      </c>
      <c r="DO24">
        <v>2.0640000000000001</v>
      </c>
      <c r="DP24">
        <v>0.16983999999999999</v>
      </c>
      <c r="DQ24">
        <v>0.22778699999999999</v>
      </c>
      <c r="DR24">
        <v>25.753599999999999</v>
      </c>
      <c r="DS24">
        <v>25.8001</v>
      </c>
      <c r="DT24">
        <v>57</v>
      </c>
      <c r="DU24">
        <v>29</v>
      </c>
      <c r="DV24">
        <v>23.235099999999999</v>
      </c>
      <c r="DW24">
        <v>62.242199999999997</v>
      </c>
      <c r="DX24">
        <v>35.376600000000003</v>
      </c>
      <c r="DY24">
        <v>1</v>
      </c>
      <c r="DZ24">
        <v>-7.4199699999999993E-2</v>
      </c>
      <c r="EA24">
        <v>9.0905900000000006</v>
      </c>
      <c r="EB24">
        <v>19.872699999999998</v>
      </c>
      <c r="EC24">
        <v>5.2416999999999998</v>
      </c>
      <c r="ED24">
        <v>12.039899999999999</v>
      </c>
      <c r="EE24">
        <v>5.01715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1.8689</v>
      </c>
      <c r="EL24">
        <v>1.8646199999999999</v>
      </c>
      <c r="EM24">
        <v>1.8692</v>
      </c>
      <c r="EN24">
        <v>1.8672200000000001</v>
      </c>
      <c r="EO24">
        <v>1.8633299999999999</v>
      </c>
      <c r="EP24">
        <v>1.86443</v>
      </c>
      <c r="EQ24">
        <v>1.8701399999999999</v>
      </c>
      <c r="ER24">
        <v>1.8693500000000001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-0.29199999999999998</v>
      </c>
      <c r="FG24">
        <v>0.27960000000000002</v>
      </c>
      <c r="FH24">
        <v>0.26269369235785539</v>
      </c>
      <c r="FI24">
        <v>-6.1462078757559423E-4</v>
      </c>
      <c r="FJ24">
        <v>-1.8861989874597051E-7</v>
      </c>
      <c r="FK24">
        <v>1.1980462299894961E-10</v>
      </c>
      <c r="FL24">
        <v>0.27968571428570849</v>
      </c>
      <c r="FM24">
        <v>0</v>
      </c>
      <c r="FN24">
        <v>0</v>
      </c>
      <c r="FO24">
        <v>0</v>
      </c>
      <c r="FP24">
        <v>3</v>
      </c>
      <c r="FQ24">
        <v>2158</v>
      </c>
      <c r="FR24">
        <v>1</v>
      </c>
      <c r="FS24">
        <v>19</v>
      </c>
      <c r="FT24">
        <v>10.9</v>
      </c>
      <c r="FU24">
        <v>10.9</v>
      </c>
      <c r="FV24">
        <v>1.79932</v>
      </c>
      <c r="FW24">
        <v>2.5781200000000002</v>
      </c>
      <c r="FX24">
        <v>1.5490699999999999</v>
      </c>
      <c r="FY24">
        <v>2.3315399999999999</v>
      </c>
      <c r="FZ24">
        <v>1.50146</v>
      </c>
      <c r="GA24">
        <v>2.4182100000000002</v>
      </c>
      <c r="GB24">
        <v>33.512999999999998</v>
      </c>
      <c r="GC24">
        <v>23.868600000000001</v>
      </c>
      <c r="GD24">
        <v>19</v>
      </c>
      <c r="GE24">
        <v>275.065</v>
      </c>
      <c r="GF24">
        <v>605.17399999999998</v>
      </c>
      <c r="GG24">
        <v>24.740200000000002</v>
      </c>
      <c r="GH24">
        <v>26.191199999999998</v>
      </c>
      <c r="GI24">
        <v>30.006900000000002</v>
      </c>
      <c r="GJ24">
        <v>26.266500000000001</v>
      </c>
      <c r="GK24">
        <v>26.240200000000002</v>
      </c>
      <c r="GL24">
        <v>35.972999999999999</v>
      </c>
      <c r="GM24">
        <v>8.9759600000000006</v>
      </c>
      <c r="GN24">
        <v>100</v>
      </c>
      <c r="GO24">
        <v>23.415099999999999</v>
      </c>
      <c r="GP24">
        <v>800</v>
      </c>
      <c r="GQ24">
        <v>22.7668</v>
      </c>
      <c r="GR24">
        <v>99.761499999999998</v>
      </c>
      <c r="GS24">
        <v>99.600300000000004</v>
      </c>
    </row>
    <row r="25" spans="1:201" x14ac:dyDescent="0.25">
      <c r="A25">
        <v>9</v>
      </c>
      <c r="B25">
        <v>1690385485.5999999</v>
      </c>
      <c r="C25">
        <v>151</v>
      </c>
      <c r="D25" t="s">
        <v>351</v>
      </c>
      <c r="E25" t="s">
        <v>352</v>
      </c>
      <c r="F25" t="s">
        <v>330</v>
      </c>
      <c r="H25">
        <v>1690385485.5999999</v>
      </c>
      <c r="I25">
        <f t="shared" si="0"/>
        <v>6.1909221743611286E-5</v>
      </c>
      <c r="J25">
        <f t="shared" si="1"/>
        <v>6.1909221743611291E-2</v>
      </c>
      <c r="K25">
        <f t="shared" si="2"/>
        <v>-0.4817770485681202</v>
      </c>
      <c r="L25">
        <f t="shared" si="3"/>
        <v>804.53599999999994</v>
      </c>
      <c r="M25">
        <f t="shared" si="4"/>
        <v>1011.9334038823768</v>
      </c>
      <c r="N25">
        <f t="shared" si="5"/>
        <v>99.943973710422142</v>
      </c>
      <c r="O25">
        <f t="shared" si="6"/>
        <v>79.460293063351202</v>
      </c>
      <c r="P25">
        <f t="shared" si="7"/>
        <v>3.2853413930269905E-3</v>
      </c>
      <c r="Q25">
        <f t="shared" si="8"/>
        <v>2.1584298874076007</v>
      </c>
      <c r="R25">
        <f t="shared" si="9"/>
        <v>3.2825658105587966E-3</v>
      </c>
      <c r="S25">
        <f t="shared" si="10"/>
        <v>2.0518528055044807E-3</v>
      </c>
      <c r="T25">
        <f t="shared" si="11"/>
        <v>276.10827037477054</v>
      </c>
      <c r="U25">
        <f t="shared" si="12"/>
        <v>29.364319514981609</v>
      </c>
      <c r="V25">
        <f t="shared" si="13"/>
        <v>29.364319514981609</v>
      </c>
      <c r="W25">
        <f t="shared" si="14"/>
        <v>4.1073412042066542</v>
      </c>
      <c r="X25">
        <f t="shared" si="15"/>
        <v>63.543561176986373</v>
      </c>
      <c r="Y25">
        <f t="shared" si="16"/>
        <v>2.3050947699479698</v>
      </c>
      <c r="Z25">
        <f t="shared" si="17"/>
        <v>3.6275819725111784</v>
      </c>
      <c r="AA25">
        <f t="shared" si="18"/>
        <v>1.8022464342586844</v>
      </c>
      <c r="AB25">
        <f t="shared" si="19"/>
        <v>-2.7301966788932579</v>
      </c>
      <c r="AC25">
        <f t="shared" si="20"/>
        <v>-248.47703635974804</v>
      </c>
      <c r="AD25">
        <f t="shared" si="21"/>
        <v>-25.167954762120164</v>
      </c>
      <c r="AE25">
        <f t="shared" si="22"/>
        <v>-0.26691742599092549</v>
      </c>
      <c r="AF25">
        <v>2</v>
      </c>
      <c r="AG25">
        <v>1</v>
      </c>
      <c r="AH25">
        <f t="shared" si="23"/>
        <v>1</v>
      </c>
      <c r="AI25">
        <f t="shared" si="24"/>
        <v>0</v>
      </c>
      <c r="AJ25">
        <f t="shared" si="25"/>
        <v>52150.73097902524</v>
      </c>
      <c r="AK25">
        <f t="shared" si="26"/>
        <v>1799.95</v>
      </c>
      <c r="AL25">
        <f t="shared" si="27"/>
        <v>1499.0718951572999</v>
      </c>
      <c r="AM25">
        <f t="shared" si="28"/>
        <v>0.83284085399999985</v>
      </c>
      <c r="AN25">
        <f t="shared" si="29"/>
        <v>0.15339774459000002</v>
      </c>
      <c r="AO25">
        <v>31.8</v>
      </c>
      <c r="AP25">
        <v>0.5</v>
      </c>
      <c r="AQ25" t="s">
        <v>331</v>
      </c>
      <c r="AR25">
        <v>2</v>
      </c>
      <c r="AS25">
        <v>1690385485.5999999</v>
      </c>
      <c r="AT25">
        <v>804.53599999999994</v>
      </c>
      <c r="AU25">
        <v>799.95799999999997</v>
      </c>
      <c r="AV25">
        <v>23.339099999999998</v>
      </c>
      <c r="AW25">
        <v>22.6983</v>
      </c>
      <c r="AX25">
        <v>804.82799999999997</v>
      </c>
      <c r="AY25">
        <v>23.0594</v>
      </c>
      <c r="AZ25">
        <v>300.05700000000002</v>
      </c>
      <c r="BA25">
        <v>98.665499999999994</v>
      </c>
      <c r="BB25">
        <v>9.9866700000000003E-2</v>
      </c>
      <c r="BC25">
        <v>27.228999999999999</v>
      </c>
      <c r="BD25">
        <v>28.2773</v>
      </c>
      <c r="BE25">
        <v>29.2638</v>
      </c>
      <c r="BF25">
        <v>0</v>
      </c>
      <c r="BG25">
        <v>0</v>
      </c>
      <c r="BH25">
        <v>10003.799999999999</v>
      </c>
      <c r="BI25">
        <v>1084.31</v>
      </c>
      <c r="BJ25">
        <v>1.55583</v>
      </c>
      <c r="BK25">
        <v>4.5775800000000002</v>
      </c>
      <c r="BL25">
        <v>823.76199999999994</v>
      </c>
      <c r="BM25">
        <v>818.53800000000001</v>
      </c>
      <c r="BN25">
        <v>0.64075499999999996</v>
      </c>
      <c r="BO25">
        <v>799.95799999999997</v>
      </c>
      <c r="BP25">
        <v>22.6983</v>
      </c>
      <c r="BQ25">
        <v>2.3027600000000001</v>
      </c>
      <c r="BR25">
        <v>2.2395399999999999</v>
      </c>
      <c r="BS25">
        <v>19.695699999999999</v>
      </c>
      <c r="BT25">
        <v>19.248000000000001</v>
      </c>
      <c r="BU25">
        <v>1799.95</v>
      </c>
      <c r="BV25">
        <v>0.909999</v>
      </c>
      <c r="BW25">
        <v>3.3995400000000002E-2</v>
      </c>
      <c r="BX25">
        <v>2.2004699999999999E-2</v>
      </c>
      <c r="BY25">
        <v>3.4001099999999999E-2</v>
      </c>
      <c r="BZ25">
        <v>26</v>
      </c>
      <c r="CA25">
        <v>33527.5</v>
      </c>
      <c r="CB25">
        <v>1690384821</v>
      </c>
      <c r="CC25" t="s">
        <v>332</v>
      </c>
      <c r="CD25">
        <v>1690384820</v>
      </c>
      <c r="CE25">
        <v>1690384821</v>
      </c>
      <c r="CF25">
        <v>5</v>
      </c>
      <c r="CG25">
        <v>-2.5000000000000001E-2</v>
      </c>
      <c r="CH25">
        <v>0.104</v>
      </c>
      <c r="CI25">
        <v>-0.28799999999999998</v>
      </c>
      <c r="CJ25">
        <v>0.28000000000000003</v>
      </c>
      <c r="CK25">
        <v>800</v>
      </c>
      <c r="CL25">
        <v>24</v>
      </c>
      <c r="CM25">
        <v>0.08</v>
      </c>
      <c r="CN25">
        <v>0.11</v>
      </c>
      <c r="CO25">
        <v>5.2904795</v>
      </c>
      <c r="CP25">
        <v>-3.9456553846154061</v>
      </c>
      <c r="CQ25">
        <v>0.38035636567533609</v>
      </c>
      <c r="CR25">
        <v>-1</v>
      </c>
      <c r="CS25">
        <v>1.0905707499999999</v>
      </c>
      <c r="CT25">
        <v>-2.195039414634151</v>
      </c>
      <c r="CU25">
        <v>0.21420121872106029</v>
      </c>
      <c r="CV25">
        <v>-1</v>
      </c>
      <c r="CW25">
        <v>0</v>
      </c>
      <c r="CX25">
        <v>0</v>
      </c>
      <c r="CY25" t="s">
        <v>333</v>
      </c>
      <c r="CZ25">
        <v>2.3641899999999998</v>
      </c>
      <c r="DA25">
        <v>2.71366</v>
      </c>
      <c r="DB25">
        <v>0.146762</v>
      </c>
      <c r="DC25">
        <v>0.14585400000000001</v>
      </c>
      <c r="DD25">
        <v>0.110933</v>
      </c>
      <c r="DE25">
        <v>0.107478</v>
      </c>
      <c r="DF25">
        <v>31161.5</v>
      </c>
      <c r="DG25">
        <v>27535.599999999999</v>
      </c>
      <c r="DH25">
        <v>31177.9</v>
      </c>
      <c r="DI25">
        <v>28089.8</v>
      </c>
      <c r="DJ25">
        <v>37636.400000000001</v>
      </c>
      <c r="DK25">
        <v>35647.9</v>
      </c>
      <c r="DL25">
        <v>44371.7</v>
      </c>
      <c r="DM25">
        <v>42575.5</v>
      </c>
      <c r="DN25">
        <v>1.4578500000000001</v>
      </c>
      <c r="DO25">
        <v>2.0640499999999999</v>
      </c>
      <c r="DP25">
        <v>0.15079600000000001</v>
      </c>
      <c r="DQ25">
        <v>0.21056800000000001</v>
      </c>
      <c r="DR25">
        <v>25.811399999999999</v>
      </c>
      <c r="DS25">
        <v>25.8232</v>
      </c>
      <c r="DT25">
        <v>57.1</v>
      </c>
      <c r="DU25">
        <v>29</v>
      </c>
      <c r="DV25">
        <v>23.274999999999999</v>
      </c>
      <c r="DW25">
        <v>62.052199999999999</v>
      </c>
      <c r="DX25">
        <v>36.093800000000002</v>
      </c>
      <c r="DY25">
        <v>1</v>
      </c>
      <c r="DZ25">
        <v>-7.3419700000000004E-2</v>
      </c>
      <c r="EA25">
        <v>9.2810500000000005</v>
      </c>
      <c r="EB25">
        <v>19.8721</v>
      </c>
      <c r="EC25">
        <v>5.2421499999999996</v>
      </c>
      <c r="ED25">
        <v>12.039899999999999</v>
      </c>
      <c r="EE25">
        <v>5.0169499999999996</v>
      </c>
      <c r="EF25">
        <v>3.2879499999999999</v>
      </c>
      <c r="EG25">
        <v>9999</v>
      </c>
      <c r="EH25">
        <v>9999</v>
      </c>
      <c r="EI25">
        <v>9999</v>
      </c>
      <c r="EJ25">
        <v>999.9</v>
      </c>
      <c r="EK25">
        <v>1.8689</v>
      </c>
      <c r="EL25">
        <v>1.8646199999999999</v>
      </c>
      <c r="EM25">
        <v>1.8692</v>
      </c>
      <c r="EN25">
        <v>1.8672200000000001</v>
      </c>
      <c r="EO25">
        <v>1.86338</v>
      </c>
      <c r="EP25">
        <v>1.8644499999999999</v>
      </c>
      <c r="EQ25">
        <v>1.8701399999999999</v>
      </c>
      <c r="ER25">
        <v>1.8693599999999999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-0.29199999999999998</v>
      </c>
      <c r="FG25">
        <v>0.2797</v>
      </c>
      <c r="FH25">
        <v>0.26269369235785539</v>
      </c>
      <c r="FI25">
        <v>-6.1462078757559423E-4</v>
      </c>
      <c r="FJ25">
        <v>-1.8861989874597051E-7</v>
      </c>
      <c r="FK25">
        <v>1.1980462299894961E-10</v>
      </c>
      <c r="FL25">
        <v>0.27968571428570849</v>
      </c>
      <c r="FM25">
        <v>0</v>
      </c>
      <c r="FN25">
        <v>0</v>
      </c>
      <c r="FO25">
        <v>0</v>
      </c>
      <c r="FP25">
        <v>3</v>
      </c>
      <c r="FQ25">
        <v>2158</v>
      </c>
      <c r="FR25">
        <v>1</v>
      </c>
      <c r="FS25">
        <v>19</v>
      </c>
      <c r="FT25">
        <v>11.1</v>
      </c>
      <c r="FU25">
        <v>11.1</v>
      </c>
      <c r="FV25">
        <v>1.79932</v>
      </c>
      <c r="FW25">
        <v>2.5793499999999998</v>
      </c>
      <c r="FX25">
        <v>1.5490699999999999</v>
      </c>
      <c r="FY25">
        <v>2.3315399999999999</v>
      </c>
      <c r="FZ25">
        <v>1.50146</v>
      </c>
      <c r="GA25">
        <v>2.4096700000000002</v>
      </c>
      <c r="GB25">
        <v>33.512999999999998</v>
      </c>
      <c r="GC25">
        <v>23.877400000000002</v>
      </c>
      <c r="GD25">
        <v>19</v>
      </c>
      <c r="GE25">
        <v>274.75599999999997</v>
      </c>
      <c r="GF25">
        <v>605.21600000000001</v>
      </c>
      <c r="GG25">
        <v>22.59</v>
      </c>
      <c r="GH25">
        <v>26.1951</v>
      </c>
      <c r="GI25">
        <v>30.001000000000001</v>
      </c>
      <c r="GJ25">
        <v>26.262599999999999</v>
      </c>
      <c r="GK25">
        <v>26.240200000000002</v>
      </c>
      <c r="GL25">
        <v>35.978099999999998</v>
      </c>
      <c r="GM25">
        <v>8.02515</v>
      </c>
      <c r="GN25">
        <v>100</v>
      </c>
      <c r="GO25">
        <v>20.433199999999999</v>
      </c>
      <c r="GP25">
        <v>800</v>
      </c>
      <c r="GQ25">
        <v>22.769600000000001</v>
      </c>
      <c r="GR25">
        <v>99.759299999999996</v>
      </c>
      <c r="GS25">
        <v>99.597800000000007</v>
      </c>
    </row>
    <row r="26" spans="1:201" x14ac:dyDescent="0.25">
      <c r="A26">
        <v>10</v>
      </c>
      <c r="B26">
        <v>1690385495.5999999</v>
      </c>
      <c r="C26">
        <v>161</v>
      </c>
      <c r="D26" t="s">
        <v>353</v>
      </c>
      <c r="E26" t="s">
        <v>354</v>
      </c>
      <c r="F26" t="s">
        <v>330</v>
      </c>
      <c r="H26">
        <v>1690385495.5999999</v>
      </c>
      <c r="I26">
        <f t="shared" si="0"/>
        <v>2.1551812359580125E-5</v>
      </c>
      <c r="J26">
        <f t="shared" si="1"/>
        <v>2.1551812359580126E-2</v>
      </c>
      <c r="K26">
        <f t="shared" si="2"/>
        <v>-0.39230671562418123</v>
      </c>
      <c r="L26">
        <f t="shared" si="3"/>
        <v>803.899</v>
      </c>
      <c r="M26">
        <f t="shared" si="4"/>
        <v>1311.0139277606297</v>
      </c>
      <c r="N26">
        <f t="shared" si="5"/>
        <v>129.4828844645879</v>
      </c>
      <c r="O26">
        <f t="shared" si="6"/>
        <v>79.397448901247003</v>
      </c>
      <c r="P26">
        <f t="shared" si="7"/>
        <v>1.1661628847197138E-3</v>
      </c>
      <c r="Q26">
        <f t="shared" si="8"/>
        <v>2.1573008720913402</v>
      </c>
      <c r="R26">
        <f t="shared" si="9"/>
        <v>1.1658127828966095E-3</v>
      </c>
      <c r="S26">
        <f t="shared" si="10"/>
        <v>7.2866443503833973E-4</v>
      </c>
      <c r="T26">
        <f t="shared" si="11"/>
        <v>276.10667131719003</v>
      </c>
      <c r="U26">
        <f t="shared" si="12"/>
        <v>29.062950800915353</v>
      </c>
      <c r="V26">
        <f t="shared" si="13"/>
        <v>29.062950800915353</v>
      </c>
      <c r="W26">
        <f t="shared" si="14"/>
        <v>4.0364460860165794</v>
      </c>
      <c r="X26">
        <f t="shared" si="15"/>
        <v>63.720173917223697</v>
      </c>
      <c r="Y26">
        <f t="shared" si="16"/>
        <v>2.2688992455878001</v>
      </c>
      <c r="Z26">
        <f t="shared" si="17"/>
        <v>3.5607235606971748</v>
      </c>
      <c r="AA26">
        <f t="shared" si="18"/>
        <v>1.7675468404287793</v>
      </c>
      <c r="AB26">
        <f t="shared" si="19"/>
        <v>-0.9504349250574835</v>
      </c>
      <c r="AC26">
        <f t="shared" si="20"/>
        <v>-250.15342181871208</v>
      </c>
      <c r="AD26">
        <f t="shared" si="21"/>
        <v>-25.273068246948231</v>
      </c>
      <c r="AE26">
        <f t="shared" si="22"/>
        <v>-0.27025367352777607</v>
      </c>
      <c r="AF26">
        <v>2</v>
      </c>
      <c r="AG26">
        <v>1</v>
      </c>
      <c r="AH26">
        <f t="shared" si="23"/>
        <v>1</v>
      </c>
      <c r="AI26">
        <f t="shared" si="24"/>
        <v>0</v>
      </c>
      <c r="AJ26">
        <f t="shared" si="25"/>
        <v>52158.630884398815</v>
      </c>
      <c r="AK26">
        <f t="shared" si="26"/>
        <v>1799.95</v>
      </c>
      <c r="AL26">
        <f t="shared" si="27"/>
        <v>1499.070825987</v>
      </c>
      <c r="AM26">
        <f t="shared" si="28"/>
        <v>0.83284026</v>
      </c>
      <c r="AN26">
        <f t="shared" si="29"/>
        <v>0.15339685620000001</v>
      </c>
      <c r="AO26">
        <v>31.8</v>
      </c>
      <c r="AP26">
        <v>0.5</v>
      </c>
      <c r="AQ26" t="s">
        <v>331</v>
      </c>
      <c r="AR26">
        <v>2</v>
      </c>
      <c r="AS26">
        <v>1690385495.5999999</v>
      </c>
      <c r="AT26">
        <v>803.899</v>
      </c>
      <c r="AU26">
        <v>799.92600000000004</v>
      </c>
      <c r="AV26">
        <v>22.9726</v>
      </c>
      <c r="AW26">
        <v>22.749500000000001</v>
      </c>
      <c r="AX26">
        <v>804.19</v>
      </c>
      <c r="AY26">
        <v>22.692900000000002</v>
      </c>
      <c r="AZ26">
        <v>300.13600000000002</v>
      </c>
      <c r="BA26">
        <v>98.665400000000005</v>
      </c>
      <c r="BB26">
        <v>0.100053</v>
      </c>
      <c r="BC26">
        <v>26.912099999999999</v>
      </c>
      <c r="BD26">
        <v>27.919499999999999</v>
      </c>
      <c r="BE26">
        <v>28.9085</v>
      </c>
      <c r="BF26">
        <v>0</v>
      </c>
      <c r="BG26">
        <v>0</v>
      </c>
      <c r="BH26">
        <v>9994.3799999999992</v>
      </c>
      <c r="BI26">
        <v>1084.06</v>
      </c>
      <c r="BJ26">
        <v>1.56985</v>
      </c>
      <c r="BK26">
        <v>3.9726599999999999</v>
      </c>
      <c r="BL26">
        <v>822.80100000000004</v>
      </c>
      <c r="BM26">
        <v>818.548</v>
      </c>
      <c r="BN26">
        <v>0.223112</v>
      </c>
      <c r="BO26">
        <v>799.92600000000004</v>
      </c>
      <c r="BP26">
        <v>22.749500000000001</v>
      </c>
      <c r="BQ26">
        <v>2.2665999999999999</v>
      </c>
      <c r="BR26">
        <v>2.24458</v>
      </c>
      <c r="BS26">
        <v>19.440999999999999</v>
      </c>
      <c r="BT26">
        <v>19.284099999999999</v>
      </c>
      <c r="BU26">
        <v>1799.95</v>
      </c>
      <c r="BV26">
        <v>0.91001100000000001</v>
      </c>
      <c r="BW26">
        <v>3.3995699999999997E-2</v>
      </c>
      <c r="BX26">
        <v>2.1994E-2</v>
      </c>
      <c r="BY26">
        <v>3.3999000000000001E-2</v>
      </c>
      <c r="BZ26">
        <v>26</v>
      </c>
      <c r="CA26">
        <v>33527.5</v>
      </c>
      <c r="CB26">
        <v>1690384821</v>
      </c>
      <c r="CC26" t="s">
        <v>332</v>
      </c>
      <c r="CD26">
        <v>1690384820</v>
      </c>
      <c r="CE26">
        <v>1690384821</v>
      </c>
      <c r="CF26">
        <v>5</v>
      </c>
      <c r="CG26">
        <v>-2.5000000000000001E-2</v>
      </c>
      <c r="CH26">
        <v>0.104</v>
      </c>
      <c r="CI26">
        <v>-0.28799999999999998</v>
      </c>
      <c r="CJ26">
        <v>0.28000000000000003</v>
      </c>
      <c r="CK26">
        <v>800</v>
      </c>
      <c r="CL26">
        <v>24</v>
      </c>
      <c r="CM26">
        <v>0.08</v>
      </c>
      <c r="CN26">
        <v>0.11</v>
      </c>
      <c r="CO26">
        <v>4.6451174999999996</v>
      </c>
      <c r="CP26">
        <v>-3.78718739212009</v>
      </c>
      <c r="CQ26">
        <v>0.36639243658780668</v>
      </c>
      <c r="CR26">
        <v>-1</v>
      </c>
      <c r="CS26">
        <v>0.67878127499999996</v>
      </c>
      <c r="CT26">
        <v>-2.767530607879928</v>
      </c>
      <c r="CU26">
        <v>0.26662420630542788</v>
      </c>
      <c r="CV26">
        <v>-1</v>
      </c>
      <c r="CW26">
        <v>0</v>
      </c>
      <c r="CX26">
        <v>0</v>
      </c>
      <c r="CY26" t="s">
        <v>333</v>
      </c>
      <c r="CZ26">
        <v>2.3644500000000002</v>
      </c>
      <c r="DA26">
        <v>2.7138399999999998</v>
      </c>
      <c r="DB26">
        <v>0.146679</v>
      </c>
      <c r="DC26">
        <v>0.14585100000000001</v>
      </c>
      <c r="DD26">
        <v>0.10969</v>
      </c>
      <c r="DE26">
        <v>0.10764700000000001</v>
      </c>
      <c r="DF26">
        <v>31165.599999999999</v>
      </c>
      <c r="DG26">
        <v>27537.4</v>
      </c>
      <c r="DH26">
        <v>31179</v>
      </c>
      <c r="DI26">
        <v>28091.599999999999</v>
      </c>
      <c r="DJ26">
        <v>37691.1</v>
      </c>
      <c r="DK26">
        <v>35643.300000000003</v>
      </c>
      <c r="DL26">
        <v>44373.5</v>
      </c>
      <c r="DM26">
        <v>42578.1</v>
      </c>
      <c r="DN26">
        <v>1.45777</v>
      </c>
      <c r="DO26">
        <v>2.0642</v>
      </c>
      <c r="DP26">
        <v>0.12667100000000001</v>
      </c>
      <c r="DQ26">
        <v>0.18951299999999999</v>
      </c>
      <c r="DR26">
        <v>25.8476</v>
      </c>
      <c r="DS26">
        <v>25.811</v>
      </c>
      <c r="DT26">
        <v>57.1</v>
      </c>
      <c r="DU26">
        <v>29</v>
      </c>
      <c r="DV26">
        <v>23.277799999999999</v>
      </c>
      <c r="DW26">
        <v>62.102200000000003</v>
      </c>
      <c r="DX26">
        <v>36.618600000000001</v>
      </c>
      <c r="DY26">
        <v>1</v>
      </c>
      <c r="DZ26">
        <v>-7.4712899999999999E-2</v>
      </c>
      <c r="EA26">
        <v>9.2810500000000005</v>
      </c>
      <c r="EB26">
        <v>19.8825</v>
      </c>
      <c r="EC26">
        <v>5.242</v>
      </c>
      <c r="ED26">
        <v>12.039899999999999</v>
      </c>
      <c r="EE26">
        <v>5.0171999999999999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1.8689</v>
      </c>
      <c r="EL26">
        <v>1.8646100000000001</v>
      </c>
      <c r="EM26">
        <v>1.8692</v>
      </c>
      <c r="EN26">
        <v>1.8672200000000001</v>
      </c>
      <c r="EO26">
        <v>1.86337</v>
      </c>
      <c r="EP26">
        <v>1.86446</v>
      </c>
      <c r="EQ26">
        <v>1.8701300000000001</v>
      </c>
      <c r="ER26">
        <v>1.8693500000000001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-0.29099999999999998</v>
      </c>
      <c r="FG26">
        <v>0.2797</v>
      </c>
      <c r="FH26">
        <v>0.26269369235785539</v>
      </c>
      <c r="FI26">
        <v>-6.1462078757559423E-4</v>
      </c>
      <c r="FJ26">
        <v>-1.8861989874597051E-7</v>
      </c>
      <c r="FK26">
        <v>1.1980462299894961E-10</v>
      </c>
      <c r="FL26">
        <v>0.27968571428570849</v>
      </c>
      <c r="FM26">
        <v>0</v>
      </c>
      <c r="FN26">
        <v>0</v>
      </c>
      <c r="FO26">
        <v>0</v>
      </c>
      <c r="FP26">
        <v>3</v>
      </c>
      <c r="FQ26">
        <v>2158</v>
      </c>
      <c r="FR26">
        <v>1</v>
      </c>
      <c r="FS26">
        <v>19</v>
      </c>
      <c r="FT26">
        <v>11.3</v>
      </c>
      <c r="FU26">
        <v>11.2</v>
      </c>
      <c r="FV26">
        <v>1.79932</v>
      </c>
      <c r="FW26">
        <v>2.5744600000000002</v>
      </c>
      <c r="FX26">
        <v>1.5490699999999999</v>
      </c>
      <c r="FY26">
        <v>2.3315399999999999</v>
      </c>
      <c r="FZ26">
        <v>1.50146</v>
      </c>
      <c r="GA26">
        <v>2.36206</v>
      </c>
      <c r="GB26">
        <v>33.512999999999998</v>
      </c>
      <c r="GC26">
        <v>23.877400000000002</v>
      </c>
      <c r="GD26">
        <v>19</v>
      </c>
      <c r="GE26">
        <v>274.71600000000001</v>
      </c>
      <c r="GF26">
        <v>605.36300000000006</v>
      </c>
      <c r="GG26">
        <v>20.979099999999999</v>
      </c>
      <c r="GH26">
        <v>26.202400000000001</v>
      </c>
      <c r="GI26">
        <v>29.999600000000001</v>
      </c>
      <c r="GJ26">
        <v>26.260400000000001</v>
      </c>
      <c r="GK26">
        <v>26.241800000000001</v>
      </c>
      <c r="GL26">
        <v>35.987900000000003</v>
      </c>
      <c r="GM26">
        <v>7.43649</v>
      </c>
      <c r="GN26">
        <v>100</v>
      </c>
      <c r="GO26">
        <v>20.364100000000001</v>
      </c>
      <c r="GP26">
        <v>800</v>
      </c>
      <c r="GQ26">
        <v>22.869599999999998</v>
      </c>
      <c r="GR26">
        <v>99.763199999999998</v>
      </c>
      <c r="GS26">
        <v>99.603999999999999</v>
      </c>
    </row>
    <row r="27" spans="1:201" x14ac:dyDescent="0.25">
      <c r="A27">
        <v>11</v>
      </c>
      <c r="B27">
        <v>1690385505.5999999</v>
      </c>
      <c r="C27">
        <v>171</v>
      </c>
      <c r="D27" t="s">
        <v>355</v>
      </c>
      <c r="E27" t="s">
        <v>356</v>
      </c>
      <c r="F27" t="s">
        <v>330</v>
      </c>
      <c r="H27">
        <v>1690385505.5999999</v>
      </c>
      <c r="I27">
        <f t="shared" si="0"/>
        <v>-3.4021128167846126E-5</v>
      </c>
      <c r="J27">
        <f t="shared" si="1"/>
        <v>-3.4021128167846124E-2</v>
      </c>
      <c r="K27">
        <f t="shared" si="2"/>
        <v>-0.26806444683956565</v>
      </c>
      <c r="L27">
        <f t="shared" si="3"/>
        <v>803.029</v>
      </c>
      <c r="M27">
        <f t="shared" si="4"/>
        <v>552.32167774484913</v>
      </c>
      <c r="N27">
        <f t="shared" si="5"/>
        <v>54.550142795422374</v>
      </c>
      <c r="O27">
        <f t="shared" si="6"/>
        <v>79.311293371145908</v>
      </c>
      <c r="P27">
        <f t="shared" si="7"/>
        <v>-1.8571474242459827E-3</v>
      </c>
      <c r="Q27">
        <f t="shared" si="8"/>
        <v>2.1533245009045201</v>
      </c>
      <c r="R27">
        <f t="shared" si="9"/>
        <v>-1.8580377226061109E-3</v>
      </c>
      <c r="S27">
        <f t="shared" si="10"/>
        <v>-1.161193553426626E-3</v>
      </c>
      <c r="T27">
        <f t="shared" si="11"/>
        <v>276.11296061412702</v>
      </c>
      <c r="U27">
        <f t="shared" si="12"/>
        <v>28.780305077419246</v>
      </c>
      <c r="V27">
        <f t="shared" si="13"/>
        <v>28.780305077419246</v>
      </c>
      <c r="W27">
        <f t="shared" si="14"/>
        <v>3.9709274616516388</v>
      </c>
      <c r="X27">
        <f t="shared" si="15"/>
        <v>63.456614874806519</v>
      </c>
      <c r="Y27">
        <f t="shared" si="16"/>
        <v>2.2191841691200302</v>
      </c>
      <c r="Z27">
        <f t="shared" si="17"/>
        <v>3.4971675900113111</v>
      </c>
      <c r="AA27">
        <f t="shared" si="18"/>
        <v>1.7517432925316085</v>
      </c>
      <c r="AB27">
        <f t="shared" si="19"/>
        <v>1.5003317522020141</v>
      </c>
      <c r="AC27">
        <f t="shared" si="20"/>
        <v>-252.41514273817279</v>
      </c>
      <c r="AD27">
        <f t="shared" si="21"/>
        <v>-25.473781725171857</v>
      </c>
      <c r="AE27">
        <f t="shared" si="22"/>
        <v>-0.27563209701560254</v>
      </c>
      <c r="AF27">
        <v>3</v>
      </c>
      <c r="AG27">
        <v>1</v>
      </c>
      <c r="AH27">
        <f t="shared" si="23"/>
        <v>1</v>
      </c>
      <c r="AI27">
        <f t="shared" si="24"/>
        <v>0</v>
      </c>
      <c r="AJ27">
        <f t="shared" si="25"/>
        <v>52045.709506596802</v>
      </c>
      <c r="AK27">
        <f t="shared" si="26"/>
        <v>1799.98</v>
      </c>
      <c r="AL27">
        <f t="shared" si="27"/>
        <v>1499.0960361922998</v>
      </c>
      <c r="AM27">
        <f t="shared" si="28"/>
        <v>0.83284038499999991</v>
      </c>
      <c r="AN27">
        <f t="shared" si="29"/>
        <v>0.15339779365</v>
      </c>
      <c r="AO27">
        <v>31.8</v>
      </c>
      <c r="AP27">
        <v>0.5</v>
      </c>
      <c r="AQ27" t="s">
        <v>331</v>
      </c>
      <c r="AR27">
        <v>2</v>
      </c>
      <c r="AS27">
        <v>1690385505.5999999</v>
      </c>
      <c r="AT27">
        <v>803.029</v>
      </c>
      <c r="AU27">
        <v>799.899</v>
      </c>
      <c r="AV27">
        <v>22.4693</v>
      </c>
      <c r="AW27">
        <v>22.8217</v>
      </c>
      <c r="AX27">
        <v>803.31899999999996</v>
      </c>
      <c r="AY27">
        <v>22.189599999999999</v>
      </c>
      <c r="AZ27">
        <v>300.10300000000001</v>
      </c>
      <c r="BA27">
        <v>98.665199999999999</v>
      </c>
      <c r="BB27">
        <v>9.9967100000000003E-2</v>
      </c>
      <c r="BC27">
        <v>26.606000000000002</v>
      </c>
      <c r="BD27">
        <v>27.565300000000001</v>
      </c>
      <c r="BE27">
        <v>28.564699999999998</v>
      </c>
      <c r="BF27">
        <v>0</v>
      </c>
      <c r="BG27">
        <v>0</v>
      </c>
      <c r="BH27">
        <v>9961.25</v>
      </c>
      <c r="BI27">
        <v>1083.33</v>
      </c>
      <c r="BJ27">
        <v>1.56985</v>
      </c>
      <c r="BK27">
        <v>3.1295199999999999</v>
      </c>
      <c r="BL27">
        <v>821.48699999999997</v>
      </c>
      <c r="BM27">
        <v>818.58</v>
      </c>
      <c r="BN27">
        <v>-0.35243000000000002</v>
      </c>
      <c r="BO27">
        <v>799.899</v>
      </c>
      <c r="BP27">
        <v>22.8217</v>
      </c>
      <c r="BQ27">
        <v>2.2169300000000001</v>
      </c>
      <c r="BR27">
        <v>2.2517100000000001</v>
      </c>
      <c r="BS27">
        <v>19.0852</v>
      </c>
      <c r="BT27">
        <v>19.335000000000001</v>
      </c>
      <c r="BU27">
        <v>1799.98</v>
      </c>
      <c r="BV27">
        <v>0.909999</v>
      </c>
      <c r="BW27">
        <v>3.4001900000000002E-2</v>
      </c>
      <c r="BX27">
        <v>2.2006000000000001E-2</v>
      </c>
      <c r="BY27">
        <v>3.39929E-2</v>
      </c>
      <c r="BZ27">
        <v>26</v>
      </c>
      <c r="CA27">
        <v>33527.800000000003</v>
      </c>
      <c r="CB27">
        <v>1690384821</v>
      </c>
      <c r="CC27" t="s">
        <v>332</v>
      </c>
      <c r="CD27">
        <v>1690384820</v>
      </c>
      <c r="CE27">
        <v>1690384821</v>
      </c>
      <c r="CF27">
        <v>5</v>
      </c>
      <c r="CG27">
        <v>-2.5000000000000001E-2</v>
      </c>
      <c r="CH27">
        <v>0.104</v>
      </c>
      <c r="CI27">
        <v>-0.28799999999999998</v>
      </c>
      <c r="CJ27">
        <v>0.28000000000000003</v>
      </c>
      <c r="CK27">
        <v>800</v>
      </c>
      <c r="CL27">
        <v>24</v>
      </c>
      <c r="CM27">
        <v>0.08</v>
      </c>
      <c r="CN27">
        <v>0.11</v>
      </c>
      <c r="CO27">
        <v>3.9707045000000001</v>
      </c>
      <c r="CP27">
        <v>-4.3450446529080784</v>
      </c>
      <c r="CQ27">
        <v>0.42196271024197152</v>
      </c>
      <c r="CR27">
        <v>-1</v>
      </c>
      <c r="CS27">
        <v>0.20440933524999999</v>
      </c>
      <c r="CT27">
        <v>-2.9217794164727979</v>
      </c>
      <c r="CU27">
        <v>0.28203153318469798</v>
      </c>
      <c r="CV27">
        <v>-1</v>
      </c>
      <c r="CW27">
        <v>0</v>
      </c>
      <c r="CX27">
        <v>0</v>
      </c>
      <c r="CY27" t="s">
        <v>333</v>
      </c>
      <c r="CZ27">
        <v>2.3643299999999998</v>
      </c>
      <c r="DA27">
        <v>2.7137199999999999</v>
      </c>
      <c r="DB27">
        <v>0.146563</v>
      </c>
      <c r="DC27">
        <v>0.14585000000000001</v>
      </c>
      <c r="DD27">
        <v>0.107969</v>
      </c>
      <c r="DE27">
        <v>0.107886</v>
      </c>
      <c r="DF27">
        <v>31170.799999999999</v>
      </c>
      <c r="DG27">
        <v>27538.6</v>
      </c>
      <c r="DH27">
        <v>31180</v>
      </c>
      <c r="DI27">
        <v>28092.7</v>
      </c>
      <c r="DJ27">
        <v>37766</v>
      </c>
      <c r="DK27">
        <v>35634.9</v>
      </c>
      <c r="DL27">
        <v>44374.9</v>
      </c>
      <c r="DM27">
        <v>42579.5</v>
      </c>
      <c r="DN27">
        <v>1.45705</v>
      </c>
      <c r="DO27">
        <v>2.0641799999999999</v>
      </c>
      <c r="DP27">
        <v>0.104237</v>
      </c>
      <c r="DQ27">
        <v>0.17106499999999999</v>
      </c>
      <c r="DR27">
        <v>25.8598</v>
      </c>
      <c r="DS27">
        <v>25.767900000000001</v>
      </c>
      <c r="DT27">
        <v>57.1</v>
      </c>
      <c r="DU27">
        <v>29</v>
      </c>
      <c r="DV27">
        <v>23.276700000000002</v>
      </c>
      <c r="DW27">
        <v>62.3322</v>
      </c>
      <c r="DX27">
        <v>36.2941</v>
      </c>
      <c r="DY27">
        <v>1</v>
      </c>
      <c r="DZ27">
        <v>-7.5767299999999996E-2</v>
      </c>
      <c r="EA27">
        <v>9.2810500000000005</v>
      </c>
      <c r="EB27">
        <v>19.8901</v>
      </c>
      <c r="EC27">
        <v>5.24125</v>
      </c>
      <c r="ED27">
        <v>12.039899999999999</v>
      </c>
      <c r="EE27">
        <v>5.0164999999999997</v>
      </c>
      <c r="EF27">
        <v>3.2879499999999999</v>
      </c>
      <c r="EG27">
        <v>9999</v>
      </c>
      <c r="EH27">
        <v>9999</v>
      </c>
      <c r="EI27">
        <v>9999</v>
      </c>
      <c r="EJ27">
        <v>999.9</v>
      </c>
      <c r="EK27">
        <v>1.8689</v>
      </c>
      <c r="EL27">
        <v>1.8646199999999999</v>
      </c>
      <c r="EM27">
        <v>1.8692</v>
      </c>
      <c r="EN27">
        <v>1.8672299999999999</v>
      </c>
      <c r="EO27">
        <v>1.86338</v>
      </c>
      <c r="EP27">
        <v>1.8644700000000001</v>
      </c>
      <c r="EQ27">
        <v>1.87015</v>
      </c>
      <c r="ER27">
        <v>1.8693900000000001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-0.28999999999999998</v>
      </c>
      <c r="FG27">
        <v>0.2797</v>
      </c>
      <c r="FH27">
        <v>0.26269369235785539</v>
      </c>
      <c r="FI27">
        <v>-6.1462078757559423E-4</v>
      </c>
      <c r="FJ27">
        <v>-1.8861989874597051E-7</v>
      </c>
      <c r="FK27">
        <v>1.1980462299894961E-10</v>
      </c>
      <c r="FL27">
        <v>0.27968571428570849</v>
      </c>
      <c r="FM27">
        <v>0</v>
      </c>
      <c r="FN27">
        <v>0</v>
      </c>
      <c r="FO27">
        <v>0</v>
      </c>
      <c r="FP27">
        <v>3</v>
      </c>
      <c r="FQ27">
        <v>2158</v>
      </c>
      <c r="FR27">
        <v>1</v>
      </c>
      <c r="FS27">
        <v>19</v>
      </c>
      <c r="FT27">
        <v>11.4</v>
      </c>
      <c r="FU27">
        <v>11.4</v>
      </c>
      <c r="FV27">
        <v>1.80054</v>
      </c>
      <c r="FW27">
        <v>2.5842299999999998</v>
      </c>
      <c r="FX27">
        <v>1.5490699999999999</v>
      </c>
      <c r="FY27">
        <v>2.3315399999999999</v>
      </c>
      <c r="FZ27">
        <v>1.50146</v>
      </c>
      <c r="GA27">
        <v>2.3132299999999999</v>
      </c>
      <c r="GB27">
        <v>33.512999999999998</v>
      </c>
      <c r="GC27">
        <v>23.868600000000001</v>
      </c>
      <c r="GD27">
        <v>19</v>
      </c>
      <c r="GE27">
        <v>274.411</v>
      </c>
      <c r="GF27">
        <v>605.34799999999996</v>
      </c>
      <c r="GG27">
        <v>19.717300000000002</v>
      </c>
      <c r="GH27">
        <v>26.2134</v>
      </c>
      <c r="GI27">
        <v>29.999600000000001</v>
      </c>
      <c r="GJ27">
        <v>26.259899999999998</v>
      </c>
      <c r="GK27">
        <v>26.2424</v>
      </c>
      <c r="GL27">
        <v>35.992800000000003</v>
      </c>
      <c r="GM27">
        <v>7.1583500000000004</v>
      </c>
      <c r="GN27">
        <v>100</v>
      </c>
      <c r="GO27">
        <v>20.171500000000002</v>
      </c>
      <c r="GP27">
        <v>800</v>
      </c>
      <c r="GQ27">
        <v>22.7285</v>
      </c>
      <c r="GR27">
        <v>99.766499999999994</v>
      </c>
      <c r="GS27">
        <v>99.607600000000005</v>
      </c>
    </row>
    <row r="28" spans="1:201" x14ac:dyDescent="0.25">
      <c r="A28">
        <v>12</v>
      </c>
      <c r="B28">
        <v>1690385515.5999999</v>
      </c>
      <c r="C28">
        <v>181</v>
      </c>
      <c r="D28" t="s">
        <v>357</v>
      </c>
      <c r="E28" t="s">
        <v>358</v>
      </c>
      <c r="F28" t="s">
        <v>330</v>
      </c>
      <c r="H28">
        <v>1690385515.5999999</v>
      </c>
      <c r="I28">
        <f t="shared" si="0"/>
        <v>-8.1349411203751818E-5</v>
      </c>
      <c r="J28">
        <f t="shared" si="1"/>
        <v>-8.1349411203751817E-2</v>
      </c>
      <c r="K28">
        <f t="shared" si="2"/>
        <v>-0.13564807133977827</v>
      </c>
      <c r="L28">
        <f t="shared" si="3"/>
        <v>802.25</v>
      </c>
      <c r="M28">
        <f t="shared" si="4"/>
        <v>731.01615460849189</v>
      </c>
      <c r="N28">
        <f t="shared" si="5"/>
        <v>72.198450118943484</v>
      </c>
      <c r="O28">
        <f t="shared" si="6"/>
        <v>79.233825740749992</v>
      </c>
      <c r="P28">
        <f t="shared" si="7"/>
        <v>-4.4432812711980652E-3</v>
      </c>
      <c r="Q28">
        <f t="shared" si="8"/>
        <v>2.166315699758246</v>
      </c>
      <c r="R28">
        <f t="shared" si="9"/>
        <v>-4.4483505734289053E-3</v>
      </c>
      <c r="S28">
        <f t="shared" si="10"/>
        <v>-2.7797631827890163E-3</v>
      </c>
      <c r="T28">
        <f t="shared" si="11"/>
        <v>276.11049473772232</v>
      </c>
      <c r="U28">
        <f t="shared" si="12"/>
        <v>28.511919556841576</v>
      </c>
      <c r="V28">
        <f t="shared" si="13"/>
        <v>28.511919556841576</v>
      </c>
      <c r="W28">
        <f t="shared" si="14"/>
        <v>3.9095748166050126</v>
      </c>
      <c r="X28">
        <f t="shared" si="15"/>
        <v>62.735814449158326</v>
      </c>
      <c r="Y28">
        <f t="shared" si="16"/>
        <v>2.1589032349637001</v>
      </c>
      <c r="Z28">
        <f t="shared" si="17"/>
        <v>3.4412611901504762</v>
      </c>
      <c r="AA28">
        <f t="shared" si="18"/>
        <v>1.7506715816413125</v>
      </c>
      <c r="AB28">
        <f t="shared" si="19"/>
        <v>3.5875090340854552</v>
      </c>
      <c r="AC28">
        <f t="shared" si="20"/>
        <v>-254.51194989368011</v>
      </c>
      <c r="AD28">
        <f t="shared" si="21"/>
        <v>-25.462432713073255</v>
      </c>
      <c r="AE28">
        <f t="shared" si="22"/>
        <v>-0.27637883494560356</v>
      </c>
      <c r="AF28">
        <v>2</v>
      </c>
      <c r="AG28">
        <v>1</v>
      </c>
      <c r="AH28">
        <f t="shared" si="23"/>
        <v>1</v>
      </c>
      <c r="AI28">
        <f t="shared" si="24"/>
        <v>0</v>
      </c>
      <c r="AJ28">
        <f t="shared" si="25"/>
        <v>52637.940757629374</v>
      </c>
      <c r="AK28">
        <f t="shared" si="26"/>
        <v>1799.97</v>
      </c>
      <c r="AL28">
        <f t="shared" si="27"/>
        <v>1499.08725239604</v>
      </c>
      <c r="AM28">
        <f t="shared" si="28"/>
        <v>0.83284013199999996</v>
      </c>
      <c r="AN28">
        <f t="shared" si="29"/>
        <v>0.15339727591999996</v>
      </c>
      <c r="AO28">
        <v>31.8</v>
      </c>
      <c r="AP28">
        <v>0.5</v>
      </c>
      <c r="AQ28" t="s">
        <v>331</v>
      </c>
      <c r="AR28">
        <v>2</v>
      </c>
      <c r="AS28">
        <v>1690385515.5999999</v>
      </c>
      <c r="AT28">
        <v>802.25</v>
      </c>
      <c r="AU28">
        <v>800.12199999999996</v>
      </c>
      <c r="AV28">
        <v>21.859100000000002</v>
      </c>
      <c r="AW28">
        <v>22.701899999999998</v>
      </c>
      <c r="AX28">
        <v>802.54100000000005</v>
      </c>
      <c r="AY28">
        <v>21.5794</v>
      </c>
      <c r="AZ28">
        <v>300.233</v>
      </c>
      <c r="BA28">
        <v>98.664400000000001</v>
      </c>
      <c r="BB28">
        <v>0.100107</v>
      </c>
      <c r="BC28">
        <v>26.332699999999999</v>
      </c>
      <c r="BD28">
        <v>27.286100000000001</v>
      </c>
      <c r="BE28">
        <v>28.229399999999998</v>
      </c>
      <c r="BF28">
        <v>0</v>
      </c>
      <c r="BG28">
        <v>0</v>
      </c>
      <c r="BH28">
        <v>10070</v>
      </c>
      <c r="BI28">
        <v>1082.02</v>
      </c>
      <c r="BJ28">
        <v>1.5137799999999999</v>
      </c>
      <c r="BK28">
        <v>2.1288499999999999</v>
      </c>
      <c r="BL28">
        <v>820.17899999999997</v>
      </c>
      <c r="BM28">
        <v>818.70799999999997</v>
      </c>
      <c r="BN28">
        <v>-0.842777</v>
      </c>
      <c r="BO28">
        <v>800.12199999999996</v>
      </c>
      <c r="BP28">
        <v>22.701899999999998</v>
      </c>
      <c r="BQ28">
        <v>2.15672</v>
      </c>
      <c r="BR28">
        <v>2.2398699999999998</v>
      </c>
      <c r="BS28">
        <v>18.644400000000001</v>
      </c>
      <c r="BT28">
        <v>19.250399999999999</v>
      </c>
      <c r="BU28">
        <v>1799.97</v>
      </c>
      <c r="BV28">
        <v>0.91000099999999995</v>
      </c>
      <c r="BW28">
        <v>3.39922E-2</v>
      </c>
      <c r="BX28">
        <v>2.1999600000000001E-2</v>
      </c>
      <c r="BY28">
        <v>3.4006799999999997E-2</v>
      </c>
      <c r="BZ28">
        <v>26</v>
      </c>
      <c r="CA28">
        <v>33527.800000000003</v>
      </c>
      <c r="CB28">
        <v>1690384821</v>
      </c>
      <c r="CC28" t="s">
        <v>332</v>
      </c>
      <c r="CD28">
        <v>1690384820</v>
      </c>
      <c r="CE28">
        <v>1690384821</v>
      </c>
      <c r="CF28">
        <v>5</v>
      </c>
      <c r="CG28">
        <v>-2.5000000000000001E-2</v>
      </c>
      <c r="CH28">
        <v>0.104</v>
      </c>
      <c r="CI28">
        <v>-0.28799999999999998</v>
      </c>
      <c r="CJ28">
        <v>0.28000000000000003</v>
      </c>
      <c r="CK28">
        <v>800</v>
      </c>
      <c r="CL28">
        <v>24</v>
      </c>
      <c r="CM28">
        <v>0.08</v>
      </c>
      <c r="CN28">
        <v>0.11</v>
      </c>
      <c r="CO28">
        <v>3.2177832500000001</v>
      </c>
      <c r="CP28">
        <v>-5.6863315947467221</v>
      </c>
      <c r="CQ28">
        <v>0.54812774493902183</v>
      </c>
      <c r="CR28">
        <v>-1</v>
      </c>
      <c r="CS28">
        <v>-0.27701131475000002</v>
      </c>
      <c r="CT28">
        <v>-3.4908402055159469</v>
      </c>
      <c r="CU28">
        <v>0.33599716596086748</v>
      </c>
      <c r="CV28">
        <v>-1</v>
      </c>
      <c r="CW28">
        <v>0</v>
      </c>
      <c r="CX28">
        <v>0</v>
      </c>
      <c r="CY28" t="s">
        <v>333</v>
      </c>
      <c r="CZ28">
        <v>2.3647200000000002</v>
      </c>
      <c r="DA28">
        <v>2.7139600000000002</v>
      </c>
      <c r="DB28">
        <v>0.146454</v>
      </c>
      <c r="DC28">
        <v>0.145872</v>
      </c>
      <c r="DD28">
        <v>0.10585899999999999</v>
      </c>
      <c r="DE28">
        <v>0.107487</v>
      </c>
      <c r="DF28">
        <v>31174.9</v>
      </c>
      <c r="DG28">
        <v>27538.400000000001</v>
      </c>
      <c r="DH28">
        <v>31180.2</v>
      </c>
      <c r="DI28">
        <v>28093.3</v>
      </c>
      <c r="DJ28">
        <v>37856.199999999997</v>
      </c>
      <c r="DK28">
        <v>35651.599999999999</v>
      </c>
      <c r="DL28">
        <v>44374.9</v>
      </c>
      <c r="DM28">
        <v>42580.3</v>
      </c>
      <c r="DN28">
        <v>1.4598</v>
      </c>
      <c r="DO28">
        <v>2.06325</v>
      </c>
      <c r="DP28">
        <v>8.7868399999999999E-2</v>
      </c>
      <c r="DQ28">
        <v>0.15474099999999999</v>
      </c>
      <c r="DR28">
        <v>25.848099999999999</v>
      </c>
      <c r="DS28">
        <v>25.698599999999999</v>
      </c>
      <c r="DT28">
        <v>57.2</v>
      </c>
      <c r="DU28">
        <v>29</v>
      </c>
      <c r="DV28">
        <v>23.317</v>
      </c>
      <c r="DW28">
        <v>61.632199999999997</v>
      </c>
      <c r="DX28">
        <v>35.697099999999999</v>
      </c>
      <c r="DY28">
        <v>1</v>
      </c>
      <c r="DZ28">
        <v>-8.5218500000000003E-2</v>
      </c>
      <c r="EA28">
        <v>2.9111799999999999</v>
      </c>
      <c r="EB28">
        <v>20.156199999999998</v>
      </c>
      <c r="EC28">
        <v>5.24125</v>
      </c>
      <c r="ED28">
        <v>12.039899999999999</v>
      </c>
      <c r="EE28">
        <v>5.0166000000000004</v>
      </c>
      <c r="EF28">
        <v>3.2879499999999999</v>
      </c>
      <c r="EG28">
        <v>9999</v>
      </c>
      <c r="EH28">
        <v>9999</v>
      </c>
      <c r="EI28">
        <v>9999</v>
      </c>
      <c r="EJ28">
        <v>999.9</v>
      </c>
      <c r="EK28">
        <v>1.8689100000000001</v>
      </c>
      <c r="EL28">
        <v>1.8646199999999999</v>
      </c>
      <c r="EM28">
        <v>1.8692</v>
      </c>
      <c r="EN28">
        <v>1.8672200000000001</v>
      </c>
      <c r="EO28">
        <v>1.8633900000000001</v>
      </c>
      <c r="EP28">
        <v>1.8644700000000001</v>
      </c>
      <c r="EQ28">
        <v>1.87018</v>
      </c>
      <c r="ER28">
        <v>1.8694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-0.29099999999999998</v>
      </c>
      <c r="FG28">
        <v>0.2797</v>
      </c>
      <c r="FH28">
        <v>0.26269369235785539</v>
      </c>
      <c r="FI28">
        <v>-6.1462078757559423E-4</v>
      </c>
      <c r="FJ28">
        <v>-1.8861989874597051E-7</v>
      </c>
      <c r="FK28">
        <v>1.1980462299894961E-10</v>
      </c>
      <c r="FL28">
        <v>0.27968571428570849</v>
      </c>
      <c r="FM28">
        <v>0</v>
      </c>
      <c r="FN28">
        <v>0</v>
      </c>
      <c r="FO28">
        <v>0</v>
      </c>
      <c r="FP28">
        <v>3</v>
      </c>
      <c r="FQ28">
        <v>2158</v>
      </c>
      <c r="FR28">
        <v>1</v>
      </c>
      <c r="FS28">
        <v>19</v>
      </c>
      <c r="FT28">
        <v>11.6</v>
      </c>
      <c r="FU28">
        <v>11.6</v>
      </c>
      <c r="FV28">
        <v>1.79932</v>
      </c>
      <c r="FW28">
        <v>2.5842299999999998</v>
      </c>
      <c r="FX28">
        <v>1.5490699999999999</v>
      </c>
      <c r="FY28">
        <v>2.3315399999999999</v>
      </c>
      <c r="FZ28">
        <v>1.50146</v>
      </c>
      <c r="GA28">
        <v>2.3791500000000001</v>
      </c>
      <c r="GB28">
        <v>33.535499999999999</v>
      </c>
      <c r="GC28">
        <v>23.982399999999998</v>
      </c>
      <c r="GD28">
        <v>19</v>
      </c>
      <c r="GE28">
        <v>275.56099999999998</v>
      </c>
      <c r="GF28">
        <v>604.58799999999997</v>
      </c>
      <c r="GG28">
        <v>19.2378</v>
      </c>
      <c r="GH28">
        <v>26.2273</v>
      </c>
      <c r="GI28">
        <v>29.993300000000001</v>
      </c>
      <c r="GJ28">
        <v>26.2605</v>
      </c>
      <c r="GK28">
        <v>26.244499999999999</v>
      </c>
      <c r="GL28">
        <v>35.985999999999997</v>
      </c>
      <c r="GM28">
        <v>10.491199999999999</v>
      </c>
      <c r="GN28">
        <v>100</v>
      </c>
      <c r="GO28">
        <v>20.6889</v>
      </c>
      <c r="GP28">
        <v>800</v>
      </c>
      <c r="GQ28">
        <v>22.2056</v>
      </c>
      <c r="GR28">
        <v>99.7667</v>
      </c>
      <c r="GS28">
        <v>99.6096</v>
      </c>
    </row>
    <row r="29" spans="1:201" x14ac:dyDescent="0.25">
      <c r="A29">
        <v>13</v>
      </c>
      <c r="B29">
        <v>1690385525.5999999</v>
      </c>
      <c r="C29">
        <v>191</v>
      </c>
      <c r="D29" t="s">
        <v>359</v>
      </c>
      <c r="E29" t="s">
        <v>360</v>
      </c>
      <c r="F29" t="s">
        <v>330</v>
      </c>
      <c r="H29">
        <v>1690385525.5999999</v>
      </c>
      <c r="I29">
        <f t="shared" si="0"/>
        <v>-2.8820060533615381E-5</v>
      </c>
      <c r="J29">
        <f t="shared" si="1"/>
        <v>-2.8820060533615379E-2</v>
      </c>
      <c r="K29">
        <f t="shared" si="2"/>
        <v>-7.318087027300392E-2</v>
      </c>
      <c r="L29">
        <f t="shared" si="3"/>
        <v>801.04899999999998</v>
      </c>
      <c r="M29">
        <f t="shared" si="4"/>
        <v>707.78404479124549</v>
      </c>
      <c r="N29">
        <f t="shared" si="5"/>
        <v>69.903910325212848</v>
      </c>
      <c r="O29">
        <f t="shared" si="6"/>
        <v>79.115173440533098</v>
      </c>
      <c r="P29">
        <f t="shared" si="7"/>
        <v>-1.6278625923588333E-3</v>
      </c>
      <c r="Q29">
        <f t="shared" si="8"/>
        <v>2.1545179514149631</v>
      </c>
      <c r="R29">
        <f t="shared" si="9"/>
        <v>-1.6285462045426613E-3</v>
      </c>
      <c r="S29">
        <f t="shared" si="10"/>
        <v>-1.0177799357061759E-3</v>
      </c>
      <c r="T29">
        <f t="shared" si="11"/>
        <v>276.1098459385359</v>
      </c>
      <c r="U29">
        <f t="shared" si="12"/>
        <v>28.388358174719915</v>
      </c>
      <c r="V29">
        <f t="shared" si="13"/>
        <v>28.388358174719915</v>
      </c>
      <c r="W29">
        <f t="shared" si="14"/>
        <v>3.8816078828468323</v>
      </c>
      <c r="X29">
        <f t="shared" si="15"/>
        <v>64.005469879059333</v>
      </c>
      <c r="Y29">
        <f t="shared" si="16"/>
        <v>2.1874945608383394</v>
      </c>
      <c r="Z29">
        <f t="shared" si="17"/>
        <v>3.4176681539432336</v>
      </c>
      <c r="AA29">
        <f t="shared" si="18"/>
        <v>1.694113322008493</v>
      </c>
      <c r="AB29">
        <f t="shared" si="19"/>
        <v>1.2709646695324384</v>
      </c>
      <c r="AC29">
        <f t="shared" si="20"/>
        <v>-252.30566822762233</v>
      </c>
      <c r="AD29">
        <f t="shared" si="21"/>
        <v>-25.349515509280497</v>
      </c>
      <c r="AE29">
        <f t="shared" si="22"/>
        <v>-0.27437312883449749</v>
      </c>
      <c r="AF29">
        <v>1</v>
      </c>
      <c r="AG29">
        <v>0</v>
      </c>
      <c r="AH29">
        <f t="shared" si="23"/>
        <v>1</v>
      </c>
      <c r="AI29">
        <f t="shared" si="24"/>
        <v>0</v>
      </c>
      <c r="AJ29">
        <f t="shared" si="25"/>
        <v>52163.413682412516</v>
      </c>
      <c r="AK29">
        <f t="shared" si="26"/>
        <v>1799.97</v>
      </c>
      <c r="AL29">
        <f t="shared" si="27"/>
        <v>1499.0868744023401</v>
      </c>
      <c r="AM29">
        <f t="shared" si="28"/>
        <v>0.83283992200000001</v>
      </c>
      <c r="AN29">
        <f t="shared" si="29"/>
        <v>0.15339691547000001</v>
      </c>
      <c r="AO29">
        <v>31.8</v>
      </c>
      <c r="AP29">
        <v>0.5</v>
      </c>
      <c r="AQ29" t="s">
        <v>331</v>
      </c>
      <c r="AR29">
        <v>2</v>
      </c>
      <c r="AS29">
        <v>1690385525.5999999</v>
      </c>
      <c r="AT29">
        <v>801.04899999999998</v>
      </c>
      <c r="AU29">
        <v>800.029</v>
      </c>
      <c r="AV29">
        <v>22.148599999999998</v>
      </c>
      <c r="AW29">
        <v>22.447199999999999</v>
      </c>
      <c r="AX29">
        <v>801.33799999999997</v>
      </c>
      <c r="AY29">
        <v>21.8689</v>
      </c>
      <c r="AZ29">
        <v>300.12700000000001</v>
      </c>
      <c r="BA29">
        <v>98.664599999999993</v>
      </c>
      <c r="BB29">
        <v>9.9861900000000003E-2</v>
      </c>
      <c r="BC29">
        <v>26.216200000000001</v>
      </c>
      <c r="BD29">
        <v>27.120699999999999</v>
      </c>
      <c r="BE29">
        <v>28.039200000000001</v>
      </c>
      <c r="BF29">
        <v>0</v>
      </c>
      <c r="BG29">
        <v>0</v>
      </c>
      <c r="BH29">
        <v>9971.25</v>
      </c>
      <c r="BI29">
        <v>1080.73</v>
      </c>
      <c r="BJ29">
        <v>1.5137799999999999</v>
      </c>
      <c r="BK29">
        <v>1.0194700000000001</v>
      </c>
      <c r="BL29">
        <v>819.19299999999998</v>
      </c>
      <c r="BM29">
        <v>818.4</v>
      </c>
      <c r="BN29">
        <v>-0.29854799999999998</v>
      </c>
      <c r="BO29">
        <v>800.029</v>
      </c>
      <c r="BP29">
        <v>22.447199999999999</v>
      </c>
      <c r="BQ29">
        <v>2.1852800000000001</v>
      </c>
      <c r="BR29">
        <v>2.2147399999999999</v>
      </c>
      <c r="BS29">
        <v>18.854800000000001</v>
      </c>
      <c r="BT29">
        <v>19.069299999999998</v>
      </c>
      <c r="BU29">
        <v>1799.97</v>
      </c>
      <c r="BV29">
        <v>0.91000800000000004</v>
      </c>
      <c r="BW29">
        <v>3.4002400000000002E-2</v>
      </c>
      <c r="BX29">
        <v>2.1993100000000002E-2</v>
      </c>
      <c r="BY29">
        <v>3.3996699999999998E-2</v>
      </c>
      <c r="BZ29">
        <v>26</v>
      </c>
      <c r="CA29">
        <v>33527.800000000003</v>
      </c>
      <c r="CB29">
        <v>1690384821</v>
      </c>
      <c r="CC29" t="s">
        <v>332</v>
      </c>
      <c r="CD29">
        <v>1690384820</v>
      </c>
      <c r="CE29">
        <v>1690384821</v>
      </c>
      <c r="CF29">
        <v>5</v>
      </c>
      <c r="CG29">
        <v>-2.5000000000000001E-2</v>
      </c>
      <c r="CH29">
        <v>0.104</v>
      </c>
      <c r="CI29">
        <v>-0.28799999999999998</v>
      </c>
      <c r="CJ29">
        <v>0.28000000000000003</v>
      </c>
      <c r="CK29">
        <v>800</v>
      </c>
      <c r="CL29">
        <v>24</v>
      </c>
      <c r="CM29">
        <v>0.08</v>
      </c>
      <c r="CN29">
        <v>0.11</v>
      </c>
      <c r="CO29">
        <v>2.2033048780487809</v>
      </c>
      <c r="CP29">
        <v>-6.2317877351916371</v>
      </c>
      <c r="CQ29">
        <v>0.61581631700402328</v>
      </c>
      <c r="CR29">
        <v>-1</v>
      </c>
      <c r="CS29">
        <v>-0.5942701707317074</v>
      </c>
      <c r="CT29">
        <v>-0.1037419233449474</v>
      </c>
      <c r="CU29">
        <v>0.1747474147633751</v>
      </c>
      <c r="CV29">
        <v>-1</v>
      </c>
      <c r="CW29">
        <v>0</v>
      </c>
      <c r="CX29">
        <v>0</v>
      </c>
      <c r="CY29" t="s">
        <v>333</v>
      </c>
      <c r="CZ29">
        <v>2.36436</v>
      </c>
      <c r="DA29">
        <v>2.7136300000000002</v>
      </c>
      <c r="DB29">
        <v>0.14630799999999999</v>
      </c>
      <c r="DC29">
        <v>0.14585400000000001</v>
      </c>
      <c r="DD29">
        <v>0.10685799999999999</v>
      </c>
      <c r="DE29">
        <v>0.106641</v>
      </c>
      <c r="DF29">
        <v>31182.3</v>
      </c>
      <c r="DG29">
        <v>27540.5</v>
      </c>
      <c r="DH29">
        <v>31182.400000000001</v>
      </c>
      <c r="DI29">
        <v>28095</v>
      </c>
      <c r="DJ29">
        <v>37815.800000000003</v>
      </c>
      <c r="DK29">
        <v>35687.4</v>
      </c>
      <c r="DL29">
        <v>44377.599999999999</v>
      </c>
      <c r="DM29">
        <v>42582.6</v>
      </c>
      <c r="DN29">
        <v>1.4598500000000001</v>
      </c>
      <c r="DO29">
        <v>2.0632999999999999</v>
      </c>
      <c r="DP29">
        <v>7.9546099999999995E-2</v>
      </c>
      <c r="DQ29">
        <v>0.148039</v>
      </c>
      <c r="DR29">
        <v>25.8187</v>
      </c>
      <c r="DS29">
        <v>25.6175</v>
      </c>
      <c r="DT29">
        <v>57.2</v>
      </c>
      <c r="DU29">
        <v>29</v>
      </c>
      <c r="DV29">
        <v>23.316299999999998</v>
      </c>
      <c r="DW29">
        <v>62.132199999999997</v>
      </c>
      <c r="DX29">
        <v>35.552900000000001</v>
      </c>
      <c r="DY29">
        <v>1</v>
      </c>
      <c r="DZ29">
        <v>-8.8323200000000004E-2</v>
      </c>
      <c r="EA29">
        <v>5.8129200000000001</v>
      </c>
      <c r="EB29">
        <v>20.075399999999998</v>
      </c>
      <c r="EC29">
        <v>5.2409499999999998</v>
      </c>
      <c r="ED29">
        <v>12.039899999999999</v>
      </c>
      <c r="EE29">
        <v>5.0168499999999998</v>
      </c>
      <c r="EF29">
        <v>3.2879700000000001</v>
      </c>
      <c r="EG29">
        <v>9999</v>
      </c>
      <c r="EH29">
        <v>9999</v>
      </c>
      <c r="EI29">
        <v>9999</v>
      </c>
      <c r="EJ29">
        <v>999.9</v>
      </c>
      <c r="EK29">
        <v>1.8689</v>
      </c>
      <c r="EL29">
        <v>1.8646199999999999</v>
      </c>
      <c r="EM29">
        <v>1.8692</v>
      </c>
      <c r="EN29">
        <v>1.8672200000000001</v>
      </c>
      <c r="EO29">
        <v>1.86338</v>
      </c>
      <c r="EP29">
        <v>1.8644700000000001</v>
      </c>
      <c r="EQ29">
        <v>1.87015</v>
      </c>
      <c r="ER29">
        <v>1.8693900000000001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-0.28899999999999998</v>
      </c>
      <c r="FG29">
        <v>0.2797</v>
      </c>
      <c r="FH29">
        <v>0.26269369235785539</v>
      </c>
      <c r="FI29">
        <v>-6.1462078757559423E-4</v>
      </c>
      <c r="FJ29">
        <v>-1.8861989874597051E-7</v>
      </c>
      <c r="FK29">
        <v>1.1980462299894961E-10</v>
      </c>
      <c r="FL29">
        <v>0.27968571428570849</v>
      </c>
      <c r="FM29">
        <v>0</v>
      </c>
      <c r="FN29">
        <v>0</v>
      </c>
      <c r="FO29">
        <v>0</v>
      </c>
      <c r="FP29">
        <v>3</v>
      </c>
      <c r="FQ29">
        <v>2158</v>
      </c>
      <c r="FR29">
        <v>1</v>
      </c>
      <c r="FS29">
        <v>19</v>
      </c>
      <c r="FT29">
        <v>11.8</v>
      </c>
      <c r="FU29">
        <v>11.7</v>
      </c>
      <c r="FV29">
        <v>1.79932</v>
      </c>
      <c r="FW29">
        <v>2.5793499999999998</v>
      </c>
      <c r="FX29">
        <v>1.5490699999999999</v>
      </c>
      <c r="FY29">
        <v>2.3315399999999999</v>
      </c>
      <c r="FZ29">
        <v>1.50146</v>
      </c>
      <c r="GA29">
        <v>2.3901400000000002</v>
      </c>
      <c r="GB29">
        <v>33.535499999999999</v>
      </c>
      <c r="GC29">
        <v>23.956199999999999</v>
      </c>
      <c r="GD29">
        <v>19</v>
      </c>
      <c r="GE29">
        <v>275.64600000000002</v>
      </c>
      <c r="GF29">
        <v>604.64200000000005</v>
      </c>
      <c r="GG29">
        <v>19.646000000000001</v>
      </c>
      <c r="GH29">
        <v>26.2439</v>
      </c>
      <c r="GI29">
        <v>30.000499999999999</v>
      </c>
      <c r="GJ29">
        <v>26.275400000000001</v>
      </c>
      <c r="GK29">
        <v>26.2456</v>
      </c>
      <c r="GL29">
        <v>35.982300000000002</v>
      </c>
      <c r="GM29">
        <v>10.2906</v>
      </c>
      <c r="GN29">
        <v>100</v>
      </c>
      <c r="GO29">
        <v>19.4986</v>
      </c>
      <c r="GP29">
        <v>800</v>
      </c>
      <c r="GQ29">
        <v>22.478999999999999</v>
      </c>
      <c r="GR29">
        <v>99.773099999999999</v>
      </c>
      <c r="GS29">
        <v>99.615200000000002</v>
      </c>
    </row>
    <row r="30" spans="1:201" x14ac:dyDescent="0.25">
      <c r="A30">
        <v>14</v>
      </c>
      <c r="B30">
        <v>1690385535.5999999</v>
      </c>
      <c r="C30">
        <v>201</v>
      </c>
      <c r="D30" t="s">
        <v>361</v>
      </c>
      <c r="E30" t="s">
        <v>362</v>
      </c>
      <c r="F30" t="s">
        <v>330</v>
      </c>
      <c r="H30">
        <v>1690385535.5999999</v>
      </c>
      <c r="I30">
        <f t="shared" si="0"/>
        <v>-3.2575389631244314E-5</v>
      </c>
      <c r="J30">
        <f t="shared" si="1"/>
        <v>-3.2575389631244317E-2</v>
      </c>
      <c r="K30">
        <f t="shared" si="2"/>
        <v>1.0022644876716365E-2</v>
      </c>
      <c r="L30">
        <f t="shared" si="3"/>
        <v>800.245</v>
      </c>
      <c r="M30">
        <f t="shared" si="4"/>
        <v>786.67077155679522</v>
      </c>
      <c r="N30">
        <f t="shared" si="5"/>
        <v>77.697132547790048</v>
      </c>
      <c r="O30">
        <f t="shared" si="6"/>
        <v>79.037818721370002</v>
      </c>
      <c r="P30">
        <f t="shared" si="7"/>
        <v>-1.8644794148296204E-3</v>
      </c>
      <c r="Q30">
        <f t="shared" si="8"/>
        <v>2.1555224734010974</v>
      </c>
      <c r="R30">
        <f t="shared" si="9"/>
        <v>-1.8653758431793604E-3</v>
      </c>
      <c r="S30">
        <f t="shared" si="10"/>
        <v>-1.1657793276950499E-3</v>
      </c>
      <c r="T30">
        <f t="shared" si="11"/>
        <v>276.11155488405302</v>
      </c>
      <c r="U30">
        <f t="shared" si="12"/>
        <v>28.271178880918786</v>
      </c>
      <c r="V30">
        <f t="shared" si="13"/>
        <v>28.271178880918786</v>
      </c>
      <c r="W30">
        <f t="shared" si="14"/>
        <v>3.8552468537555722</v>
      </c>
      <c r="X30">
        <f t="shared" si="15"/>
        <v>64.325704471003192</v>
      </c>
      <c r="Y30">
        <f t="shared" si="16"/>
        <v>2.1831858495143996</v>
      </c>
      <c r="Z30">
        <f t="shared" si="17"/>
        <v>3.3939556005928213</v>
      </c>
      <c r="AA30">
        <f t="shared" si="18"/>
        <v>1.6720610042411725</v>
      </c>
      <c r="AB30">
        <f t="shared" si="19"/>
        <v>1.4365746827378743</v>
      </c>
      <c r="AC30">
        <f t="shared" si="20"/>
        <v>-252.49543452152867</v>
      </c>
      <c r="AD30">
        <f t="shared" si="21"/>
        <v>-25.327009785330677</v>
      </c>
      <c r="AE30">
        <f t="shared" si="22"/>
        <v>-0.27431474006846202</v>
      </c>
      <c r="AF30">
        <v>1</v>
      </c>
      <c r="AG30">
        <v>0</v>
      </c>
      <c r="AH30">
        <f t="shared" si="23"/>
        <v>1</v>
      </c>
      <c r="AI30">
        <f t="shared" si="24"/>
        <v>0</v>
      </c>
      <c r="AJ30">
        <f t="shared" si="25"/>
        <v>52226.062111994775</v>
      </c>
      <c r="AK30">
        <f t="shared" si="26"/>
        <v>1799.97</v>
      </c>
      <c r="AL30">
        <f t="shared" si="27"/>
        <v>1499.0914607259003</v>
      </c>
      <c r="AM30">
        <f t="shared" si="28"/>
        <v>0.83284247000000011</v>
      </c>
      <c r="AN30">
        <f t="shared" si="29"/>
        <v>0.15339786490000001</v>
      </c>
      <c r="AO30">
        <v>31.8</v>
      </c>
      <c r="AP30">
        <v>0.5</v>
      </c>
      <c r="AQ30" t="s">
        <v>331</v>
      </c>
      <c r="AR30">
        <v>2</v>
      </c>
      <c r="AS30">
        <v>1690385535.5999999</v>
      </c>
      <c r="AT30">
        <v>800.245</v>
      </c>
      <c r="AU30">
        <v>800.07500000000005</v>
      </c>
      <c r="AV30">
        <v>22.104399999999998</v>
      </c>
      <c r="AW30">
        <v>22.4419</v>
      </c>
      <c r="AX30">
        <v>800.53300000000002</v>
      </c>
      <c r="AY30">
        <v>21.8247</v>
      </c>
      <c r="AZ30">
        <v>300.14800000000002</v>
      </c>
      <c r="BA30">
        <v>98.667000000000002</v>
      </c>
      <c r="BB30">
        <v>0.100026</v>
      </c>
      <c r="BC30">
        <v>26.098400000000002</v>
      </c>
      <c r="BD30">
        <v>27.022300000000001</v>
      </c>
      <c r="BE30">
        <v>27.910499999999999</v>
      </c>
      <c r="BF30">
        <v>0</v>
      </c>
      <c r="BG30">
        <v>0</v>
      </c>
      <c r="BH30">
        <v>9979.3799999999992</v>
      </c>
      <c r="BI30">
        <v>1079.45</v>
      </c>
      <c r="BJ30">
        <v>1.5137799999999999</v>
      </c>
      <c r="BK30">
        <v>0.16925000000000001</v>
      </c>
      <c r="BL30">
        <v>818.33299999999997</v>
      </c>
      <c r="BM30">
        <v>818.44299999999998</v>
      </c>
      <c r="BN30">
        <v>-0.337509</v>
      </c>
      <c r="BO30">
        <v>800.07500000000005</v>
      </c>
      <c r="BP30">
        <v>22.4419</v>
      </c>
      <c r="BQ30">
        <v>2.1809799999999999</v>
      </c>
      <c r="BR30">
        <v>2.21428</v>
      </c>
      <c r="BS30">
        <v>18.8232</v>
      </c>
      <c r="BT30">
        <v>19.065999999999999</v>
      </c>
      <c r="BU30">
        <v>1799.97</v>
      </c>
      <c r="BV30">
        <v>0.91001200000000004</v>
      </c>
      <c r="BW30">
        <v>3.39929E-2</v>
      </c>
      <c r="BX30">
        <v>2.2008E-2</v>
      </c>
      <c r="BY30">
        <v>3.3987200000000002E-2</v>
      </c>
      <c r="BZ30">
        <v>26</v>
      </c>
      <c r="CA30">
        <v>33527.800000000003</v>
      </c>
      <c r="CB30">
        <v>1690384821</v>
      </c>
      <c r="CC30" t="s">
        <v>332</v>
      </c>
      <c r="CD30">
        <v>1690384820</v>
      </c>
      <c r="CE30">
        <v>1690384821</v>
      </c>
      <c r="CF30">
        <v>5</v>
      </c>
      <c r="CG30">
        <v>-2.5000000000000001E-2</v>
      </c>
      <c r="CH30">
        <v>0.104</v>
      </c>
      <c r="CI30">
        <v>-0.28799999999999998</v>
      </c>
      <c r="CJ30">
        <v>0.28000000000000003</v>
      </c>
      <c r="CK30">
        <v>800</v>
      </c>
      <c r="CL30">
        <v>24</v>
      </c>
      <c r="CM30">
        <v>0.08</v>
      </c>
      <c r="CN30">
        <v>0.11</v>
      </c>
      <c r="CO30">
        <v>1.1290690750000001</v>
      </c>
      <c r="CP30">
        <v>-5.8238957110694249</v>
      </c>
      <c r="CQ30">
        <v>0.56341360207814417</v>
      </c>
      <c r="CR30">
        <v>-1</v>
      </c>
      <c r="CS30">
        <v>-0.44118157499999999</v>
      </c>
      <c r="CT30">
        <v>1.661272176360225</v>
      </c>
      <c r="CU30">
        <v>0.18948132447788721</v>
      </c>
      <c r="CV30">
        <v>-1</v>
      </c>
      <c r="CW30">
        <v>0</v>
      </c>
      <c r="CX30">
        <v>0</v>
      </c>
      <c r="CY30" t="s">
        <v>333</v>
      </c>
      <c r="CZ30">
        <v>2.3643999999999998</v>
      </c>
      <c r="DA30">
        <v>2.7138</v>
      </c>
      <c r="DB30">
        <v>0.14621100000000001</v>
      </c>
      <c r="DC30">
        <v>0.14586299999999999</v>
      </c>
      <c r="DD30">
        <v>0.106707</v>
      </c>
      <c r="DE30">
        <v>0.106626</v>
      </c>
      <c r="DF30">
        <v>31184.400000000001</v>
      </c>
      <c r="DG30">
        <v>27538.6</v>
      </c>
      <c r="DH30">
        <v>31181</v>
      </c>
      <c r="DI30">
        <v>28093.3</v>
      </c>
      <c r="DJ30">
        <v>37820.5</v>
      </c>
      <c r="DK30">
        <v>35685.9</v>
      </c>
      <c r="DL30">
        <v>44375.5</v>
      </c>
      <c r="DM30">
        <v>42580.1</v>
      </c>
      <c r="DN30">
        <v>1.4597</v>
      </c>
      <c r="DO30">
        <v>2.0625499999999999</v>
      </c>
      <c r="DP30">
        <v>7.5910199999999997E-2</v>
      </c>
      <c r="DQ30">
        <v>0.14502599999999999</v>
      </c>
      <c r="DR30">
        <v>25.779699999999998</v>
      </c>
      <c r="DS30">
        <v>25.537700000000001</v>
      </c>
      <c r="DT30">
        <v>57.2</v>
      </c>
      <c r="DU30">
        <v>29</v>
      </c>
      <c r="DV30">
        <v>23.312999999999999</v>
      </c>
      <c r="DW30">
        <v>62.5122</v>
      </c>
      <c r="DX30">
        <v>36.021599999999999</v>
      </c>
      <c r="DY30">
        <v>1</v>
      </c>
      <c r="DZ30">
        <v>-8.5647899999999999E-2</v>
      </c>
      <c r="EA30">
        <v>5.0599100000000004</v>
      </c>
      <c r="EB30">
        <v>20.104500000000002</v>
      </c>
      <c r="EC30">
        <v>5.2404999999999999</v>
      </c>
      <c r="ED30">
        <v>12.039899999999999</v>
      </c>
      <c r="EE30">
        <v>5.0166000000000004</v>
      </c>
      <c r="EF30">
        <v>3.2879700000000001</v>
      </c>
      <c r="EG30">
        <v>9999</v>
      </c>
      <c r="EH30">
        <v>9999</v>
      </c>
      <c r="EI30">
        <v>9999</v>
      </c>
      <c r="EJ30">
        <v>999.9</v>
      </c>
      <c r="EK30">
        <v>1.8689</v>
      </c>
      <c r="EL30">
        <v>1.8646199999999999</v>
      </c>
      <c r="EM30">
        <v>1.8692</v>
      </c>
      <c r="EN30">
        <v>1.8672200000000001</v>
      </c>
      <c r="EO30">
        <v>1.8633900000000001</v>
      </c>
      <c r="EP30">
        <v>1.8644700000000001</v>
      </c>
      <c r="EQ30">
        <v>1.87019</v>
      </c>
      <c r="ER30">
        <v>1.86938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-0.28799999999999998</v>
      </c>
      <c r="FG30">
        <v>0.2797</v>
      </c>
      <c r="FH30">
        <v>0.26269369235785539</v>
      </c>
      <c r="FI30">
        <v>-6.1462078757559423E-4</v>
      </c>
      <c r="FJ30">
        <v>-1.8861989874597051E-7</v>
      </c>
      <c r="FK30">
        <v>1.1980462299894961E-10</v>
      </c>
      <c r="FL30">
        <v>0.27968571428570849</v>
      </c>
      <c r="FM30">
        <v>0</v>
      </c>
      <c r="FN30">
        <v>0</v>
      </c>
      <c r="FO30">
        <v>0</v>
      </c>
      <c r="FP30">
        <v>3</v>
      </c>
      <c r="FQ30">
        <v>2158</v>
      </c>
      <c r="FR30">
        <v>1</v>
      </c>
      <c r="FS30">
        <v>19</v>
      </c>
      <c r="FT30">
        <v>11.9</v>
      </c>
      <c r="FU30">
        <v>11.9</v>
      </c>
      <c r="FV30">
        <v>1.79932</v>
      </c>
      <c r="FW30">
        <v>2.5769000000000002</v>
      </c>
      <c r="FX30">
        <v>1.5490699999999999</v>
      </c>
      <c r="FY30">
        <v>2.3315399999999999</v>
      </c>
      <c r="FZ30">
        <v>1.50146</v>
      </c>
      <c r="GA30">
        <v>2.4096700000000002</v>
      </c>
      <c r="GB30">
        <v>33.535499999999999</v>
      </c>
      <c r="GC30">
        <v>23.956199999999999</v>
      </c>
      <c r="GD30">
        <v>19</v>
      </c>
      <c r="GE30">
        <v>275.61599999999999</v>
      </c>
      <c r="GF30">
        <v>604.06299999999999</v>
      </c>
      <c r="GG30">
        <v>19.302900000000001</v>
      </c>
      <c r="GH30">
        <v>26.26</v>
      </c>
      <c r="GI30">
        <v>30.000299999999999</v>
      </c>
      <c r="GJ30">
        <v>26.283100000000001</v>
      </c>
      <c r="GK30">
        <v>26.250599999999999</v>
      </c>
      <c r="GL30">
        <v>35.978499999999997</v>
      </c>
      <c r="GM30">
        <v>11.355</v>
      </c>
      <c r="GN30">
        <v>100</v>
      </c>
      <c r="GO30">
        <v>19.387599999999999</v>
      </c>
      <c r="GP30">
        <v>800</v>
      </c>
      <c r="GQ30">
        <v>22.165500000000002</v>
      </c>
      <c r="GR30">
        <v>99.768500000000003</v>
      </c>
      <c r="GS30">
        <v>99.609300000000005</v>
      </c>
    </row>
    <row r="31" spans="1:201" x14ac:dyDescent="0.25">
      <c r="A31">
        <v>15</v>
      </c>
      <c r="B31">
        <v>1690385545.5999999</v>
      </c>
      <c r="C31">
        <v>211</v>
      </c>
      <c r="D31" t="s">
        <v>363</v>
      </c>
      <c r="E31" t="s">
        <v>364</v>
      </c>
      <c r="F31" t="s">
        <v>330</v>
      </c>
      <c r="H31">
        <v>1690385545.5999999</v>
      </c>
      <c r="I31">
        <f t="shared" si="0"/>
        <v>-1.4293658820430043E-5</v>
      </c>
      <c r="J31">
        <f t="shared" si="1"/>
        <v>-1.4293658820430042E-2</v>
      </c>
      <c r="K31">
        <f t="shared" si="2"/>
        <v>5.1729421934250716E-2</v>
      </c>
      <c r="L31">
        <f t="shared" si="3"/>
        <v>799.63800000000003</v>
      </c>
      <c r="M31">
        <f t="shared" si="4"/>
        <v>876.1265993889682</v>
      </c>
      <c r="N31">
        <f t="shared" si="5"/>
        <v>86.528805475045928</v>
      </c>
      <c r="O31">
        <f t="shared" si="6"/>
        <v>78.974569429476006</v>
      </c>
      <c r="P31">
        <f t="shared" si="7"/>
        <v>-8.3140730493263453E-4</v>
      </c>
      <c r="Q31">
        <f t="shared" si="8"/>
        <v>2.1595084195420724</v>
      </c>
      <c r="R31">
        <f t="shared" si="9"/>
        <v>-8.3158517407032481E-4</v>
      </c>
      <c r="S31">
        <f t="shared" si="10"/>
        <v>-5.1972475020210514E-4</v>
      </c>
      <c r="T31">
        <f t="shared" si="11"/>
        <v>276.11281179178059</v>
      </c>
      <c r="U31">
        <f t="shared" si="12"/>
        <v>28.160935163532599</v>
      </c>
      <c r="V31">
        <f t="shared" si="13"/>
        <v>28.160935163532599</v>
      </c>
      <c r="W31">
        <f t="shared" si="14"/>
        <v>3.8305887878150511</v>
      </c>
      <c r="X31">
        <f t="shared" si="15"/>
        <v>64.754258301215273</v>
      </c>
      <c r="Y31">
        <f t="shared" si="16"/>
        <v>2.1847045262714002</v>
      </c>
      <c r="Z31">
        <f t="shared" si="17"/>
        <v>3.3738391629920019</v>
      </c>
      <c r="AA31">
        <f t="shared" si="18"/>
        <v>1.6458842615436509</v>
      </c>
      <c r="AB31">
        <f t="shared" si="19"/>
        <v>0.63035035398096495</v>
      </c>
      <c r="AC31">
        <f t="shared" si="20"/>
        <v>-251.82794680739482</v>
      </c>
      <c r="AD31">
        <f t="shared" si="21"/>
        <v>-25.186887175841271</v>
      </c>
      <c r="AE31">
        <f t="shared" si="22"/>
        <v>-0.2716718374745426</v>
      </c>
      <c r="AF31">
        <v>0</v>
      </c>
      <c r="AG31">
        <v>0</v>
      </c>
      <c r="AH31">
        <f t="shared" si="23"/>
        <v>1</v>
      </c>
      <c r="AI31">
        <f t="shared" si="24"/>
        <v>0</v>
      </c>
      <c r="AJ31">
        <f t="shared" si="25"/>
        <v>52410.65091142532</v>
      </c>
      <c r="AK31">
        <f t="shared" si="26"/>
        <v>1799.98</v>
      </c>
      <c r="AL31">
        <f t="shared" si="27"/>
        <v>1499.09187283856</v>
      </c>
      <c r="AM31">
        <f t="shared" si="28"/>
        <v>0.83283807199999993</v>
      </c>
      <c r="AN31">
        <f t="shared" si="29"/>
        <v>0.15339771096999999</v>
      </c>
      <c r="AO31">
        <v>31.8</v>
      </c>
      <c r="AP31">
        <v>0.5</v>
      </c>
      <c r="AQ31" t="s">
        <v>331</v>
      </c>
      <c r="AR31">
        <v>2</v>
      </c>
      <c r="AS31">
        <v>1690385545.5999999</v>
      </c>
      <c r="AT31">
        <v>799.63800000000003</v>
      </c>
      <c r="AU31">
        <v>800.06500000000005</v>
      </c>
      <c r="AV31">
        <v>22.120699999999999</v>
      </c>
      <c r="AW31">
        <v>22.268799999999999</v>
      </c>
      <c r="AX31">
        <v>799.92600000000004</v>
      </c>
      <c r="AY31">
        <v>21.841000000000001</v>
      </c>
      <c r="AZ31">
        <v>300.12400000000002</v>
      </c>
      <c r="BA31">
        <v>98.662700000000001</v>
      </c>
      <c r="BB31">
        <v>0.100202</v>
      </c>
      <c r="BC31">
        <v>25.997900000000001</v>
      </c>
      <c r="BD31">
        <v>26.895299999999999</v>
      </c>
      <c r="BE31">
        <v>27.8018</v>
      </c>
      <c r="BF31">
        <v>0</v>
      </c>
      <c r="BG31">
        <v>0</v>
      </c>
      <c r="BH31">
        <v>10013.1</v>
      </c>
      <c r="BI31">
        <v>1078.22</v>
      </c>
      <c r="BJ31">
        <v>1.5137799999999999</v>
      </c>
      <c r="BK31">
        <v>-0.42767300000000003</v>
      </c>
      <c r="BL31">
        <v>817.726</v>
      </c>
      <c r="BM31">
        <v>818.28700000000003</v>
      </c>
      <c r="BN31">
        <v>-0.14812500000000001</v>
      </c>
      <c r="BO31">
        <v>800.06500000000005</v>
      </c>
      <c r="BP31">
        <v>22.268799999999999</v>
      </c>
      <c r="BQ31">
        <v>2.18249</v>
      </c>
      <c r="BR31">
        <v>2.1970999999999998</v>
      </c>
      <c r="BS31">
        <v>18.834299999999999</v>
      </c>
      <c r="BT31">
        <v>18.941199999999998</v>
      </c>
      <c r="BU31">
        <v>1799.98</v>
      </c>
      <c r="BV31">
        <v>0.90998000000000001</v>
      </c>
      <c r="BW31">
        <v>3.4005500000000001E-2</v>
      </c>
      <c r="BX31">
        <v>2.2003100000000001E-2</v>
      </c>
      <c r="BY31">
        <v>3.4011100000000002E-2</v>
      </c>
      <c r="BZ31">
        <v>25.75</v>
      </c>
      <c r="CA31">
        <v>33527.800000000003</v>
      </c>
      <c r="CB31">
        <v>1690384821</v>
      </c>
      <c r="CC31" t="s">
        <v>332</v>
      </c>
      <c r="CD31">
        <v>1690384820</v>
      </c>
      <c r="CE31">
        <v>1690384821</v>
      </c>
      <c r="CF31">
        <v>5</v>
      </c>
      <c r="CG31">
        <v>-2.5000000000000001E-2</v>
      </c>
      <c r="CH31">
        <v>0.104</v>
      </c>
      <c r="CI31">
        <v>-0.28799999999999998</v>
      </c>
      <c r="CJ31">
        <v>0.28000000000000003</v>
      </c>
      <c r="CK31">
        <v>800</v>
      </c>
      <c r="CL31">
        <v>24</v>
      </c>
      <c r="CM31">
        <v>0.08</v>
      </c>
      <c r="CN31">
        <v>0.11</v>
      </c>
      <c r="CO31">
        <v>0.26453093449999998</v>
      </c>
      <c r="CP31">
        <v>-4.5020465878424032</v>
      </c>
      <c r="CQ31">
        <v>0.43559271974047242</v>
      </c>
      <c r="CR31">
        <v>-1</v>
      </c>
      <c r="CS31">
        <v>-0.290966475</v>
      </c>
      <c r="CT31">
        <v>0.1990429305816134</v>
      </c>
      <c r="CU31">
        <v>4.196917715358945E-2</v>
      </c>
      <c r="CV31">
        <v>-1</v>
      </c>
      <c r="CW31">
        <v>0</v>
      </c>
      <c r="CX31">
        <v>0</v>
      </c>
      <c r="CY31" t="s">
        <v>333</v>
      </c>
      <c r="CZ31">
        <v>2.3643200000000002</v>
      </c>
      <c r="DA31">
        <v>2.71401</v>
      </c>
      <c r="DB31">
        <v>0.14612800000000001</v>
      </c>
      <c r="DC31">
        <v>0.14585000000000001</v>
      </c>
      <c r="DD31">
        <v>0.106756</v>
      </c>
      <c r="DE31">
        <v>0.106043</v>
      </c>
      <c r="DF31">
        <v>31186.799999999999</v>
      </c>
      <c r="DG31">
        <v>27537.9</v>
      </c>
      <c r="DH31">
        <v>31180.400000000001</v>
      </c>
      <c r="DI31">
        <v>28092.3</v>
      </c>
      <c r="DJ31">
        <v>37817.800000000003</v>
      </c>
      <c r="DK31">
        <v>35708</v>
      </c>
      <c r="DL31">
        <v>44374.7</v>
      </c>
      <c r="DM31">
        <v>42578.7</v>
      </c>
      <c r="DN31">
        <v>1.4650799999999999</v>
      </c>
      <c r="DO31">
        <v>2.0621</v>
      </c>
      <c r="DP31">
        <v>7.0799100000000004E-2</v>
      </c>
      <c r="DQ31">
        <v>0.14325599999999999</v>
      </c>
      <c r="DR31">
        <v>25.7362</v>
      </c>
      <c r="DS31">
        <v>25.457599999999999</v>
      </c>
      <c r="DT31">
        <v>57.2</v>
      </c>
      <c r="DU31">
        <v>29</v>
      </c>
      <c r="DV31">
        <v>23.316299999999998</v>
      </c>
      <c r="DW31">
        <v>61.062199999999997</v>
      </c>
      <c r="DX31">
        <v>36.5946</v>
      </c>
      <c r="DY31">
        <v>1</v>
      </c>
      <c r="DZ31">
        <v>-8.5614800000000005E-2</v>
      </c>
      <c r="EA31">
        <v>-5.2511299999999999</v>
      </c>
      <c r="EB31">
        <v>20.007000000000001</v>
      </c>
      <c r="EC31">
        <v>5.24125</v>
      </c>
      <c r="ED31">
        <v>12.039899999999999</v>
      </c>
      <c r="EE31">
        <v>5.01675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1.8689</v>
      </c>
      <c r="EL31">
        <v>1.8646199999999999</v>
      </c>
      <c r="EM31">
        <v>1.8692</v>
      </c>
      <c r="EN31">
        <v>1.8672299999999999</v>
      </c>
      <c r="EO31">
        <v>1.86337</v>
      </c>
      <c r="EP31">
        <v>1.8644700000000001</v>
      </c>
      <c r="EQ31">
        <v>1.87016</v>
      </c>
      <c r="ER31">
        <v>1.86941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-0.28799999999999998</v>
      </c>
      <c r="FG31">
        <v>0.2797</v>
      </c>
      <c r="FH31">
        <v>0.26269369235785539</v>
      </c>
      <c r="FI31">
        <v>-6.1462078757559423E-4</v>
      </c>
      <c r="FJ31">
        <v>-1.8861989874597051E-7</v>
      </c>
      <c r="FK31">
        <v>1.1980462299894961E-10</v>
      </c>
      <c r="FL31">
        <v>0.27968571428570849</v>
      </c>
      <c r="FM31">
        <v>0</v>
      </c>
      <c r="FN31">
        <v>0</v>
      </c>
      <c r="FO31">
        <v>0</v>
      </c>
      <c r="FP31">
        <v>3</v>
      </c>
      <c r="FQ31">
        <v>2158</v>
      </c>
      <c r="FR31">
        <v>1</v>
      </c>
      <c r="FS31">
        <v>19</v>
      </c>
      <c r="FT31">
        <v>12.1</v>
      </c>
      <c r="FU31">
        <v>12.1</v>
      </c>
      <c r="FV31">
        <v>1.79932</v>
      </c>
      <c r="FW31">
        <v>2.5756800000000002</v>
      </c>
      <c r="FX31">
        <v>1.5490699999999999</v>
      </c>
      <c r="FY31">
        <v>2.3315399999999999</v>
      </c>
      <c r="FZ31">
        <v>1.50146</v>
      </c>
      <c r="GA31">
        <v>2.35107</v>
      </c>
      <c r="GB31">
        <v>33.535499999999999</v>
      </c>
      <c r="GC31">
        <v>23.912400000000002</v>
      </c>
      <c r="GD31">
        <v>19</v>
      </c>
      <c r="GE31">
        <v>277.90600000000001</v>
      </c>
      <c r="GF31">
        <v>603.72</v>
      </c>
      <c r="GG31">
        <v>20.101199999999999</v>
      </c>
      <c r="GH31">
        <v>26.275500000000001</v>
      </c>
      <c r="GI31">
        <v>30.001200000000001</v>
      </c>
      <c r="GJ31">
        <v>26.290900000000001</v>
      </c>
      <c r="GK31">
        <v>26.253900000000002</v>
      </c>
      <c r="GL31">
        <v>35.972499999999997</v>
      </c>
      <c r="GM31">
        <v>12.5786</v>
      </c>
      <c r="GN31">
        <v>100</v>
      </c>
      <c r="GO31">
        <v>24.043800000000001</v>
      </c>
      <c r="GP31">
        <v>800</v>
      </c>
      <c r="GQ31">
        <v>22.025300000000001</v>
      </c>
      <c r="GR31">
        <v>99.7667</v>
      </c>
      <c r="GS31">
        <v>99.605800000000002</v>
      </c>
    </row>
    <row r="32" spans="1:201" x14ac:dyDescent="0.25">
      <c r="A32">
        <v>16</v>
      </c>
      <c r="B32">
        <v>1690385555.5999999</v>
      </c>
      <c r="C32">
        <v>221</v>
      </c>
      <c r="D32" t="s">
        <v>365</v>
      </c>
      <c r="E32" t="s">
        <v>366</v>
      </c>
      <c r="F32" t="s">
        <v>330</v>
      </c>
      <c r="H32">
        <v>1690385555.5999999</v>
      </c>
      <c r="I32">
        <f t="shared" si="0"/>
        <v>2.0565354733193073E-4</v>
      </c>
      <c r="J32">
        <f t="shared" si="1"/>
        <v>0.20565354733193073</v>
      </c>
      <c r="K32">
        <f t="shared" si="2"/>
        <v>6.4329023160080781E-2</v>
      </c>
      <c r="L32">
        <f t="shared" si="3"/>
        <v>797.97699999999998</v>
      </c>
      <c r="M32">
        <f t="shared" si="4"/>
        <v>770.53364623021901</v>
      </c>
      <c r="N32">
        <f t="shared" si="5"/>
        <v>76.09784018025762</v>
      </c>
      <c r="O32">
        <f t="shared" si="6"/>
        <v>78.808143564672193</v>
      </c>
      <c r="P32">
        <f t="shared" si="7"/>
        <v>1.3191982826312579E-2</v>
      </c>
      <c r="Q32">
        <f t="shared" si="8"/>
        <v>2.1569358876040288</v>
      </c>
      <c r="R32">
        <f t="shared" si="9"/>
        <v>1.3147322703770769E-2</v>
      </c>
      <c r="S32">
        <f t="shared" si="10"/>
        <v>8.2210765588382403E-3</v>
      </c>
      <c r="T32">
        <f t="shared" si="11"/>
        <v>276.11219484863562</v>
      </c>
      <c r="U32">
        <f t="shared" si="12"/>
        <v>28.332617820264478</v>
      </c>
      <c r="V32">
        <f t="shared" si="13"/>
        <v>28.332617820264478</v>
      </c>
      <c r="W32">
        <f t="shared" si="14"/>
        <v>3.8690488129633969</v>
      </c>
      <c r="X32">
        <f t="shared" si="15"/>
        <v>69.322266449613096</v>
      </c>
      <c r="Y32">
        <f t="shared" si="16"/>
        <v>2.3730428280882396</v>
      </c>
      <c r="Z32">
        <f t="shared" si="17"/>
        <v>3.4232043319199419</v>
      </c>
      <c r="AA32">
        <f t="shared" si="18"/>
        <v>1.4960059848751572</v>
      </c>
      <c r="AB32">
        <f t="shared" si="19"/>
        <v>-9.0693214373381448</v>
      </c>
      <c r="AC32">
        <f t="shared" si="20"/>
        <v>-242.92086812357002</v>
      </c>
      <c r="AD32">
        <f t="shared" si="21"/>
        <v>-24.375776274537152</v>
      </c>
      <c r="AE32">
        <f t="shared" si="22"/>
        <v>-0.25377098680968402</v>
      </c>
      <c r="AF32">
        <v>0</v>
      </c>
      <c r="AG32">
        <v>0</v>
      </c>
      <c r="AH32">
        <f t="shared" si="23"/>
        <v>1</v>
      </c>
      <c r="AI32">
        <f t="shared" si="24"/>
        <v>0</v>
      </c>
      <c r="AJ32">
        <f t="shared" si="25"/>
        <v>52259.747225194027</v>
      </c>
      <c r="AK32">
        <f t="shared" si="26"/>
        <v>1799.98</v>
      </c>
      <c r="AL32">
        <f t="shared" si="27"/>
        <v>1499.0955447977599</v>
      </c>
      <c r="AM32">
        <f t="shared" si="28"/>
        <v>0.83284011199999997</v>
      </c>
      <c r="AN32">
        <f t="shared" si="29"/>
        <v>0.15339736822</v>
      </c>
      <c r="AO32">
        <v>31.8</v>
      </c>
      <c r="AP32">
        <v>0.5</v>
      </c>
      <c r="AQ32" t="s">
        <v>331</v>
      </c>
      <c r="AR32">
        <v>2</v>
      </c>
      <c r="AS32">
        <v>1690385555.5999999</v>
      </c>
      <c r="AT32">
        <v>797.97699999999998</v>
      </c>
      <c r="AU32">
        <v>800.39700000000005</v>
      </c>
      <c r="AV32">
        <v>24.028400000000001</v>
      </c>
      <c r="AW32">
        <v>21.902100000000001</v>
      </c>
      <c r="AX32">
        <v>798.26400000000001</v>
      </c>
      <c r="AY32">
        <v>23.748699999999999</v>
      </c>
      <c r="AZ32">
        <v>300.17599999999999</v>
      </c>
      <c r="BA32">
        <v>98.66</v>
      </c>
      <c r="BB32">
        <v>9.9918599999999996E-2</v>
      </c>
      <c r="BC32">
        <v>26.243600000000001</v>
      </c>
      <c r="BD32">
        <v>27.0884</v>
      </c>
      <c r="BE32">
        <v>27.98</v>
      </c>
      <c r="BF32">
        <v>0</v>
      </c>
      <c r="BG32">
        <v>0</v>
      </c>
      <c r="BH32">
        <v>9991.8799999999992</v>
      </c>
      <c r="BI32">
        <v>1077.51</v>
      </c>
      <c r="BJ32">
        <v>1.5137799999999999</v>
      </c>
      <c r="BK32">
        <v>-2.4200400000000002</v>
      </c>
      <c r="BL32">
        <v>817.62300000000005</v>
      </c>
      <c r="BM32">
        <v>818.32</v>
      </c>
      <c r="BN32">
        <v>2.12635</v>
      </c>
      <c r="BO32">
        <v>800.39700000000005</v>
      </c>
      <c r="BP32">
        <v>21.902100000000001</v>
      </c>
      <c r="BQ32">
        <v>2.3706399999999999</v>
      </c>
      <c r="BR32">
        <v>2.16086</v>
      </c>
      <c r="BS32">
        <v>20.1646</v>
      </c>
      <c r="BT32">
        <v>18.675000000000001</v>
      </c>
      <c r="BU32">
        <v>1799.98</v>
      </c>
      <c r="BV32">
        <v>0.909999</v>
      </c>
      <c r="BW32">
        <v>3.3998599999999997E-2</v>
      </c>
      <c r="BX32">
        <v>2.19986E-2</v>
      </c>
      <c r="BY32">
        <v>3.4004199999999998E-2</v>
      </c>
      <c r="BZ32">
        <v>25.625</v>
      </c>
      <c r="CA32">
        <v>33528</v>
      </c>
      <c r="CB32">
        <v>1690384821</v>
      </c>
      <c r="CC32" t="s">
        <v>332</v>
      </c>
      <c r="CD32">
        <v>1690384820</v>
      </c>
      <c r="CE32">
        <v>1690384821</v>
      </c>
      <c r="CF32">
        <v>5</v>
      </c>
      <c r="CG32">
        <v>-2.5000000000000001E-2</v>
      </c>
      <c r="CH32">
        <v>0.104</v>
      </c>
      <c r="CI32">
        <v>-0.28799999999999998</v>
      </c>
      <c r="CJ32">
        <v>0.28000000000000003</v>
      </c>
      <c r="CK32">
        <v>800</v>
      </c>
      <c r="CL32">
        <v>24</v>
      </c>
      <c r="CM32">
        <v>0.08</v>
      </c>
      <c r="CN32">
        <v>0.11</v>
      </c>
      <c r="CO32">
        <v>-0.60803238097560974</v>
      </c>
      <c r="CP32">
        <v>-6.6621357311498226</v>
      </c>
      <c r="CQ32">
        <v>0.69100435710682306</v>
      </c>
      <c r="CR32">
        <v>-1</v>
      </c>
      <c r="CS32">
        <v>0.1733593486097561</v>
      </c>
      <c r="CT32">
        <v>5.8265474605923329</v>
      </c>
      <c r="CU32">
        <v>0.65552791450205283</v>
      </c>
      <c r="CV32">
        <v>-1</v>
      </c>
      <c r="CW32">
        <v>0</v>
      </c>
      <c r="CX32">
        <v>0</v>
      </c>
      <c r="CY32" t="s">
        <v>333</v>
      </c>
      <c r="CZ32">
        <v>2.3644799999999999</v>
      </c>
      <c r="DA32">
        <v>2.7136999999999998</v>
      </c>
      <c r="DB32">
        <v>0.145949</v>
      </c>
      <c r="DC32">
        <v>0.14587900000000001</v>
      </c>
      <c r="DD32">
        <v>0.113228</v>
      </c>
      <c r="DE32">
        <v>0.104812</v>
      </c>
      <c r="DF32">
        <v>31191.4</v>
      </c>
      <c r="DG32">
        <v>27534.9</v>
      </c>
      <c r="DH32">
        <v>31178.5</v>
      </c>
      <c r="DI32">
        <v>28090.3</v>
      </c>
      <c r="DJ32">
        <v>37538.5</v>
      </c>
      <c r="DK32">
        <v>35754.9</v>
      </c>
      <c r="DL32">
        <v>44371.8</v>
      </c>
      <c r="DM32">
        <v>42575.8</v>
      </c>
      <c r="DN32">
        <v>1.4695</v>
      </c>
      <c r="DO32">
        <v>2.0609999999999999</v>
      </c>
      <c r="DP32">
        <v>8.5249500000000006E-2</v>
      </c>
      <c r="DQ32">
        <v>0.158556</v>
      </c>
      <c r="DR32">
        <v>25.692799999999998</v>
      </c>
      <c r="DS32">
        <v>25.3857</v>
      </c>
      <c r="DT32">
        <v>57.2</v>
      </c>
      <c r="DU32">
        <v>29</v>
      </c>
      <c r="DV32">
        <v>23.316400000000002</v>
      </c>
      <c r="DW32">
        <v>61.622199999999999</v>
      </c>
      <c r="DX32">
        <v>36.4223</v>
      </c>
      <c r="DY32">
        <v>1</v>
      </c>
      <c r="DZ32">
        <v>-8.0177899999999996E-2</v>
      </c>
      <c r="EA32">
        <v>-6.6206899999999997</v>
      </c>
      <c r="EB32">
        <v>20.007100000000001</v>
      </c>
      <c r="EC32">
        <v>5.2409499999999998</v>
      </c>
      <c r="ED32">
        <v>12.039899999999999</v>
      </c>
      <c r="EE32">
        <v>5.0164</v>
      </c>
      <c r="EF32">
        <v>3.2879700000000001</v>
      </c>
      <c r="EG32">
        <v>9999</v>
      </c>
      <c r="EH32">
        <v>9999</v>
      </c>
      <c r="EI32">
        <v>9999</v>
      </c>
      <c r="EJ32">
        <v>999.9</v>
      </c>
      <c r="EK32">
        <v>1.8689100000000001</v>
      </c>
      <c r="EL32">
        <v>1.8646100000000001</v>
      </c>
      <c r="EM32">
        <v>1.8692</v>
      </c>
      <c r="EN32">
        <v>1.86724</v>
      </c>
      <c r="EO32">
        <v>1.8633500000000001</v>
      </c>
      <c r="EP32">
        <v>1.8644700000000001</v>
      </c>
      <c r="EQ32">
        <v>1.8701700000000001</v>
      </c>
      <c r="ER32">
        <v>1.8693900000000001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-0.28699999999999998</v>
      </c>
      <c r="FG32">
        <v>0.2797</v>
      </c>
      <c r="FH32">
        <v>0.26269369235785539</v>
      </c>
      <c r="FI32">
        <v>-6.1462078757559423E-4</v>
      </c>
      <c r="FJ32">
        <v>-1.8861989874597051E-7</v>
      </c>
      <c r="FK32">
        <v>1.1980462299894961E-10</v>
      </c>
      <c r="FL32">
        <v>0.27968571428570849</v>
      </c>
      <c r="FM32">
        <v>0</v>
      </c>
      <c r="FN32">
        <v>0</v>
      </c>
      <c r="FO32">
        <v>0</v>
      </c>
      <c r="FP32">
        <v>3</v>
      </c>
      <c r="FQ32">
        <v>2158</v>
      </c>
      <c r="FR32">
        <v>1</v>
      </c>
      <c r="FS32">
        <v>19</v>
      </c>
      <c r="FT32">
        <v>12.3</v>
      </c>
      <c r="FU32">
        <v>12.2</v>
      </c>
      <c r="FV32">
        <v>1.7981</v>
      </c>
      <c r="FW32">
        <v>2.5769000000000002</v>
      </c>
      <c r="FX32">
        <v>1.5490699999999999</v>
      </c>
      <c r="FY32">
        <v>2.3315399999999999</v>
      </c>
      <c r="FZ32">
        <v>1.50146</v>
      </c>
      <c r="GA32">
        <v>2.3791500000000001</v>
      </c>
      <c r="GB32">
        <v>33.535499999999999</v>
      </c>
      <c r="GC32">
        <v>23.938700000000001</v>
      </c>
      <c r="GD32">
        <v>19</v>
      </c>
      <c r="GE32">
        <v>279.91199999999998</v>
      </c>
      <c r="GF32">
        <v>602.83399999999995</v>
      </c>
      <c r="GG32">
        <v>24.855599999999999</v>
      </c>
      <c r="GH32">
        <v>26.290400000000002</v>
      </c>
      <c r="GI32">
        <v>30.0016</v>
      </c>
      <c r="GJ32">
        <v>26.323699999999999</v>
      </c>
      <c r="GK32">
        <v>26.2577</v>
      </c>
      <c r="GL32">
        <v>35.948599999999999</v>
      </c>
      <c r="GM32">
        <v>18.303899999999999</v>
      </c>
      <c r="GN32">
        <v>100</v>
      </c>
      <c r="GO32">
        <v>24.1448</v>
      </c>
      <c r="GP32">
        <v>800</v>
      </c>
      <c r="GQ32">
        <v>20.8064</v>
      </c>
      <c r="GR32">
        <v>99.760300000000001</v>
      </c>
      <c r="GS32">
        <v>99.599000000000004</v>
      </c>
    </row>
    <row r="33" spans="1:201" x14ac:dyDescent="0.25">
      <c r="A33">
        <v>17</v>
      </c>
      <c r="B33">
        <v>1690385565.5999999</v>
      </c>
      <c r="C33">
        <v>231</v>
      </c>
      <c r="D33" t="s">
        <v>367</v>
      </c>
      <c r="E33" t="s">
        <v>368</v>
      </c>
      <c r="F33" t="s">
        <v>330</v>
      </c>
      <c r="H33">
        <v>1690385565.5999999</v>
      </c>
      <c r="I33">
        <f t="shared" si="0"/>
        <v>4.800493713167957E-4</v>
      </c>
      <c r="J33">
        <f t="shared" si="1"/>
        <v>0.4800493713167957</v>
      </c>
      <c r="K33">
        <f t="shared" si="2"/>
        <v>1.8739717554667613E-2</v>
      </c>
      <c r="L33">
        <f t="shared" si="3"/>
        <v>796.45699999999999</v>
      </c>
      <c r="M33">
        <f t="shared" si="4"/>
        <v>777.03129965328344</v>
      </c>
      <c r="N33">
        <f t="shared" si="5"/>
        <v>76.741388146637462</v>
      </c>
      <c r="O33">
        <f t="shared" si="6"/>
        <v>78.659914737513304</v>
      </c>
      <c r="P33">
        <f t="shared" si="7"/>
        <v>3.2886742505151487E-2</v>
      </c>
      <c r="Q33">
        <f t="shared" si="8"/>
        <v>2.1639086569942294</v>
      </c>
      <c r="R33">
        <f t="shared" si="9"/>
        <v>3.2611579663144388E-2</v>
      </c>
      <c r="S33">
        <f t="shared" si="10"/>
        <v>2.0406767580614677E-2</v>
      </c>
      <c r="T33">
        <f t="shared" si="11"/>
        <v>276.11143214311016</v>
      </c>
      <c r="U33">
        <f t="shared" si="12"/>
        <v>28.595547596500282</v>
      </c>
      <c r="V33">
        <f t="shared" si="13"/>
        <v>28.595547596500282</v>
      </c>
      <c r="W33">
        <f t="shared" si="14"/>
        <v>3.928602801931754</v>
      </c>
      <c r="X33">
        <f t="shared" si="15"/>
        <v>72.116292355546548</v>
      </c>
      <c r="Y33">
        <f t="shared" si="16"/>
        <v>2.5222801689104104</v>
      </c>
      <c r="Z33">
        <f t="shared" si="17"/>
        <v>3.497517809810724</v>
      </c>
      <c r="AA33">
        <f t="shared" si="18"/>
        <v>1.4063226330213436</v>
      </c>
      <c r="AB33">
        <f t="shared" si="19"/>
        <v>-21.170177275070689</v>
      </c>
      <c r="AC33">
        <f t="shared" si="20"/>
        <v>-231.90357981920397</v>
      </c>
      <c r="AD33">
        <f t="shared" si="21"/>
        <v>-23.2679676256943</v>
      </c>
      <c r="AE33">
        <f t="shared" si="22"/>
        <v>-0.23029257685880111</v>
      </c>
      <c r="AF33">
        <v>0</v>
      </c>
      <c r="AG33">
        <v>0</v>
      </c>
      <c r="AH33">
        <f t="shared" si="23"/>
        <v>1</v>
      </c>
      <c r="AI33">
        <f t="shared" si="24"/>
        <v>0</v>
      </c>
      <c r="AJ33">
        <f t="shared" si="25"/>
        <v>52488.476019137765</v>
      </c>
      <c r="AK33">
        <f t="shared" si="26"/>
        <v>1799.98</v>
      </c>
      <c r="AL33">
        <f t="shared" si="27"/>
        <v>1499.0982573676197</v>
      </c>
      <c r="AM33">
        <f t="shared" si="28"/>
        <v>0.83284161899999987</v>
      </c>
      <c r="AN33">
        <f t="shared" si="29"/>
        <v>0.15339694448999999</v>
      </c>
      <c r="AO33">
        <v>31.8</v>
      </c>
      <c r="AP33">
        <v>0.5</v>
      </c>
      <c r="AQ33" t="s">
        <v>331</v>
      </c>
      <c r="AR33">
        <v>2</v>
      </c>
      <c r="AS33">
        <v>1690385565.5999999</v>
      </c>
      <c r="AT33">
        <v>796.45699999999999</v>
      </c>
      <c r="AU33">
        <v>800.70399999999995</v>
      </c>
      <c r="AV33">
        <v>25.538900000000002</v>
      </c>
      <c r="AW33">
        <v>20.5855</v>
      </c>
      <c r="AX33">
        <v>796.74300000000005</v>
      </c>
      <c r="AY33">
        <v>25.2593</v>
      </c>
      <c r="AZ33">
        <v>300.31299999999999</v>
      </c>
      <c r="BA33">
        <v>98.662300000000002</v>
      </c>
      <c r="BB33">
        <v>9.9986900000000004E-2</v>
      </c>
      <c r="BC33">
        <v>26.607700000000001</v>
      </c>
      <c r="BD33">
        <v>27.4879</v>
      </c>
      <c r="BE33">
        <v>28.353200000000001</v>
      </c>
      <c r="BF33">
        <v>0</v>
      </c>
      <c r="BG33">
        <v>0</v>
      </c>
      <c r="BH33">
        <v>10050</v>
      </c>
      <c r="BI33">
        <v>1077.71</v>
      </c>
      <c r="BJ33">
        <v>1.5137799999999999</v>
      </c>
      <c r="BK33">
        <v>-4.24634</v>
      </c>
      <c r="BL33">
        <v>817.33100000000002</v>
      </c>
      <c r="BM33">
        <v>817.53300000000002</v>
      </c>
      <c r="BN33">
        <v>4.9534200000000004</v>
      </c>
      <c r="BO33">
        <v>800.70399999999995</v>
      </c>
      <c r="BP33">
        <v>20.5855</v>
      </c>
      <c r="BQ33">
        <v>2.51973</v>
      </c>
      <c r="BR33">
        <v>2.0310199999999998</v>
      </c>
      <c r="BS33">
        <v>21.154499999999999</v>
      </c>
      <c r="BT33">
        <v>17.688199999999998</v>
      </c>
      <c r="BU33">
        <v>1799.98</v>
      </c>
      <c r="BV33">
        <v>0.91001699999999996</v>
      </c>
      <c r="BW33">
        <v>3.3991800000000003E-2</v>
      </c>
      <c r="BX33">
        <v>2.1994199999999998E-2</v>
      </c>
      <c r="BY33">
        <v>3.39975E-2</v>
      </c>
      <c r="BZ33">
        <v>25</v>
      </c>
      <c r="CA33">
        <v>33528.199999999997</v>
      </c>
      <c r="CB33">
        <v>1690384821</v>
      </c>
      <c r="CC33" t="s">
        <v>332</v>
      </c>
      <c r="CD33">
        <v>1690384820</v>
      </c>
      <c r="CE33">
        <v>1690384821</v>
      </c>
      <c r="CF33">
        <v>5</v>
      </c>
      <c r="CG33">
        <v>-2.5000000000000001E-2</v>
      </c>
      <c r="CH33">
        <v>0.104</v>
      </c>
      <c r="CI33">
        <v>-0.28799999999999998</v>
      </c>
      <c r="CJ33">
        <v>0.28000000000000003</v>
      </c>
      <c r="CK33">
        <v>800</v>
      </c>
      <c r="CL33">
        <v>24</v>
      </c>
      <c r="CM33">
        <v>0.08</v>
      </c>
      <c r="CN33">
        <v>0.11</v>
      </c>
      <c r="CO33">
        <v>-2.2164603170731709</v>
      </c>
      <c r="CP33">
        <v>-12.75181371428571</v>
      </c>
      <c r="CQ33">
        <v>1.2601695223620191</v>
      </c>
      <c r="CR33">
        <v>-1</v>
      </c>
      <c r="CS33">
        <v>1.9875169827560979</v>
      </c>
      <c r="CT33">
        <v>16.120595289303139</v>
      </c>
      <c r="CU33">
        <v>1.5972842916480281</v>
      </c>
      <c r="CV33">
        <v>-1</v>
      </c>
      <c r="CW33">
        <v>0</v>
      </c>
      <c r="CX33">
        <v>0</v>
      </c>
      <c r="CY33" t="s">
        <v>333</v>
      </c>
      <c r="CZ33">
        <v>2.3648600000000002</v>
      </c>
      <c r="DA33">
        <v>2.7138200000000001</v>
      </c>
      <c r="DB33">
        <v>0.145789</v>
      </c>
      <c r="DC33">
        <v>0.14589299999999999</v>
      </c>
      <c r="DD33">
        <v>0.11821</v>
      </c>
      <c r="DE33">
        <v>0.10033400000000001</v>
      </c>
      <c r="DF33">
        <v>31197.1</v>
      </c>
      <c r="DG33">
        <v>27534.7</v>
      </c>
      <c r="DH33">
        <v>31178.3</v>
      </c>
      <c r="DI33">
        <v>28090.6</v>
      </c>
      <c r="DJ33">
        <v>37324.400000000001</v>
      </c>
      <c r="DK33">
        <v>35934.699999999997</v>
      </c>
      <c r="DL33">
        <v>44370.6</v>
      </c>
      <c r="DM33">
        <v>42576.5</v>
      </c>
      <c r="DN33">
        <v>1.4634</v>
      </c>
      <c r="DO33">
        <v>2.0594700000000001</v>
      </c>
      <c r="DP33">
        <v>0.111487</v>
      </c>
      <c r="DQ33">
        <v>0.18359700000000001</v>
      </c>
      <c r="DR33">
        <v>25.663399999999999</v>
      </c>
      <c r="DS33">
        <v>25.349900000000002</v>
      </c>
      <c r="DT33">
        <v>57.3</v>
      </c>
      <c r="DU33">
        <v>29</v>
      </c>
      <c r="DV33">
        <v>23.359100000000002</v>
      </c>
      <c r="DW33">
        <v>61.162199999999999</v>
      </c>
      <c r="DX33">
        <v>35.833300000000001</v>
      </c>
      <c r="DY33">
        <v>1</v>
      </c>
      <c r="DZ33">
        <v>-9.1000999999999999E-2</v>
      </c>
      <c r="EA33">
        <v>2.3694899999999999</v>
      </c>
      <c r="EB33">
        <v>20.164200000000001</v>
      </c>
      <c r="EC33">
        <v>5.2413999999999996</v>
      </c>
      <c r="ED33">
        <v>12.039899999999999</v>
      </c>
      <c r="EE33">
        <v>5.0171000000000001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1.8689100000000001</v>
      </c>
      <c r="EL33">
        <v>1.8646199999999999</v>
      </c>
      <c r="EM33">
        <v>1.8692</v>
      </c>
      <c r="EN33">
        <v>1.86727</v>
      </c>
      <c r="EO33">
        <v>1.8633999999999999</v>
      </c>
      <c r="EP33">
        <v>1.8644700000000001</v>
      </c>
      <c r="EQ33">
        <v>1.87018</v>
      </c>
      <c r="ER33">
        <v>1.86941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-0.28599999999999998</v>
      </c>
      <c r="FG33">
        <v>0.27960000000000002</v>
      </c>
      <c r="FH33">
        <v>0.26269369235785539</v>
      </c>
      <c r="FI33">
        <v>-6.1462078757559423E-4</v>
      </c>
      <c r="FJ33">
        <v>-1.8861989874597051E-7</v>
      </c>
      <c r="FK33">
        <v>1.1980462299894961E-10</v>
      </c>
      <c r="FL33">
        <v>0.27968571428570849</v>
      </c>
      <c r="FM33">
        <v>0</v>
      </c>
      <c r="FN33">
        <v>0</v>
      </c>
      <c r="FO33">
        <v>0</v>
      </c>
      <c r="FP33">
        <v>3</v>
      </c>
      <c r="FQ33">
        <v>2158</v>
      </c>
      <c r="FR33">
        <v>1</v>
      </c>
      <c r="FS33">
        <v>19</v>
      </c>
      <c r="FT33">
        <v>12.4</v>
      </c>
      <c r="FU33">
        <v>12.4</v>
      </c>
      <c r="FV33">
        <v>1.79565</v>
      </c>
      <c r="FW33">
        <v>2.5842299999999998</v>
      </c>
      <c r="FX33">
        <v>1.5490699999999999</v>
      </c>
      <c r="FY33">
        <v>2.3315399999999999</v>
      </c>
      <c r="FZ33">
        <v>1.50146</v>
      </c>
      <c r="GA33">
        <v>2.3584000000000001</v>
      </c>
      <c r="GB33">
        <v>33.558</v>
      </c>
      <c r="GC33">
        <v>23.973700000000001</v>
      </c>
      <c r="GD33">
        <v>19</v>
      </c>
      <c r="GE33">
        <v>277.44499999999999</v>
      </c>
      <c r="GF33">
        <v>601.54200000000003</v>
      </c>
      <c r="GG33">
        <v>25.512499999999999</v>
      </c>
      <c r="GH33">
        <v>26.3032</v>
      </c>
      <c r="GI33">
        <v>29.996400000000001</v>
      </c>
      <c r="GJ33">
        <v>26.3477</v>
      </c>
      <c r="GK33">
        <v>26.2577</v>
      </c>
      <c r="GL33">
        <v>35.893099999999997</v>
      </c>
      <c r="GM33">
        <v>24.2639</v>
      </c>
      <c r="GN33">
        <v>100</v>
      </c>
      <c r="GO33">
        <v>24.412099999999999</v>
      </c>
      <c r="GP33">
        <v>800</v>
      </c>
      <c r="GQ33">
        <v>19.8169</v>
      </c>
      <c r="GR33">
        <v>99.758499999999998</v>
      </c>
      <c r="GS33">
        <v>99.600399999999993</v>
      </c>
    </row>
    <row r="34" spans="1:201" x14ac:dyDescent="0.25">
      <c r="A34">
        <v>18</v>
      </c>
      <c r="B34">
        <v>1690385575.5999999</v>
      </c>
      <c r="C34">
        <v>241</v>
      </c>
      <c r="D34" t="s">
        <v>369</v>
      </c>
      <c r="E34" t="s">
        <v>370</v>
      </c>
      <c r="F34" t="s">
        <v>330</v>
      </c>
      <c r="H34">
        <v>1690385575.5999999</v>
      </c>
      <c r="I34">
        <f t="shared" si="0"/>
        <v>4.9133824515533648E-4</v>
      </c>
      <c r="J34">
        <f t="shared" si="1"/>
        <v>0.49133824515533653</v>
      </c>
      <c r="K34">
        <f t="shared" si="2"/>
        <v>-2.2780378477138E-2</v>
      </c>
      <c r="L34">
        <f t="shared" si="3"/>
        <v>796.25099999999998</v>
      </c>
      <c r="M34">
        <f t="shared" si="4"/>
        <v>778.01578976533801</v>
      </c>
      <c r="N34">
        <f t="shared" si="5"/>
        <v>76.836944429356393</v>
      </c>
      <c r="O34">
        <f t="shared" si="6"/>
        <v>78.637856253884991</v>
      </c>
      <c r="P34">
        <f t="shared" si="7"/>
        <v>3.2162382812908376E-2</v>
      </c>
      <c r="Q34">
        <f t="shared" si="8"/>
        <v>2.1516832761126103</v>
      </c>
      <c r="R34">
        <f t="shared" si="9"/>
        <v>3.1897673229631683E-2</v>
      </c>
      <c r="S34">
        <f t="shared" si="10"/>
        <v>1.9959647176199316E-2</v>
      </c>
      <c r="T34">
        <f t="shared" si="11"/>
        <v>276.1110058718466</v>
      </c>
      <c r="U34">
        <f t="shared" si="12"/>
        <v>28.654615241727907</v>
      </c>
      <c r="V34">
        <f t="shared" si="13"/>
        <v>28.654615241727907</v>
      </c>
      <c r="W34">
        <f t="shared" si="14"/>
        <v>3.9420911571931803</v>
      </c>
      <c r="X34">
        <f t="shared" si="15"/>
        <v>70.408469531491008</v>
      </c>
      <c r="Y34">
        <f t="shared" si="16"/>
        <v>2.4702181246604997</v>
      </c>
      <c r="Z34">
        <f t="shared" si="17"/>
        <v>3.5084104811505186</v>
      </c>
      <c r="AA34">
        <f t="shared" si="18"/>
        <v>1.4718730325326805</v>
      </c>
      <c r="AB34">
        <f t="shared" si="19"/>
        <v>-21.668016611350339</v>
      </c>
      <c r="AC34">
        <f t="shared" si="20"/>
        <v>-231.32045648979701</v>
      </c>
      <c r="AD34">
        <f t="shared" si="21"/>
        <v>-23.354364590619436</v>
      </c>
      <c r="AE34">
        <f t="shared" si="22"/>
        <v>-0.23183181992018831</v>
      </c>
      <c r="AF34">
        <v>1</v>
      </c>
      <c r="AG34">
        <v>0</v>
      </c>
      <c r="AH34">
        <f t="shared" si="23"/>
        <v>1</v>
      </c>
      <c r="AI34">
        <f t="shared" si="24"/>
        <v>0</v>
      </c>
      <c r="AJ34">
        <f t="shared" si="25"/>
        <v>51967.642090224006</v>
      </c>
      <c r="AK34">
        <f t="shared" si="26"/>
        <v>1799.98</v>
      </c>
      <c r="AL34">
        <f t="shared" si="27"/>
        <v>1499.09450980926</v>
      </c>
      <c r="AM34">
        <f t="shared" si="28"/>
        <v>0.83283953700000002</v>
      </c>
      <c r="AN34">
        <f t="shared" si="29"/>
        <v>0.15339670766999999</v>
      </c>
      <c r="AO34">
        <v>31.8</v>
      </c>
      <c r="AP34">
        <v>0.5</v>
      </c>
      <c r="AQ34" t="s">
        <v>331</v>
      </c>
      <c r="AR34">
        <v>2</v>
      </c>
      <c r="AS34">
        <v>1690385575.5999999</v>
      </c>
      <c r="AT34">
        <v>796.25099999999998</v>
      </c>
      <c r="AU34">
        <v>800.15300000000002</v>
      </c>
      <c r="AV34">
        <v>25.0123</v>
      </c>
      <c r="AW34">
        <v>19.939</v>
      </c>
      <c r="AX34">
        <v>796.53700000000003</v>
      </c>
      <c r="AY34">
        <v>24.732600000000001</v>
      </c>
      <c r="AZ34">
        <v>300.27300000000002</v>
      </c>
      <c r="BA34">
        <v>98.66</v>
      </c>
      <c r="BB34">
        <v>0.100135</v>
      </c>
      <c r="BC34">
        <v>26.660499999999999</v>
      </c>
      <c r="BD34">
        <v>27.610900000000001</v>
      </c>
      <c r="BE34">
        <v>28.528500000000001</v>
      </c>
      <c r="BF34">
        <v>0</v>
      </c>
      <c r="BG34">
        <v>0</v>
      </c>
      <c r="BH34">
        <v>9948.1200000000008</v>
      </c>
      <c r="BI34">
        <v>1077.96</v>
      </c>
      <c r="BJ34">
        <v>1.5137799999999999</v>
      </c>
      <c r="BK34">
        <v>-3.90204</v>
      </c>
      <c r="BL34">
        <v>816.678</v>
      </c>
      <c r="BM34">
        <v>816.43200000000002</v>
      </c>
      <c r="BN34">
        <v>5.0732900000000001</v>
      </c>
      <c r="BO34">
        <v>800.15300000000002</v>
      </c>
      <c r="BP34">
        <v>19.939</v>
      </c>
      <c r="BQ34">
        <v>2.4677099999999998</v>
      </c>
      <c r="BR34">
        <v>1.9671799999999999</v>
      </c>
      <c r="BS34">
        <v>20.815100000000001</v>
      </c>
      <c r="BT34">
        <v>17.182600000000001</v>
      </c>
      <c r="BU34">
        <v>1799.98</v>
      </c>
      <c r="BV34">
        <v>0.91001100000000001</v>
      </c>
      <c r="BW34">
        <v>3.4006500000000002E-2</v>
      </c>
      <c r="BX34">
        <v>2.1990599999999999E-2</v>
      </c>
      <c r="BY34">
        <v>3.3991899999999999E-2</v>
      </c>
      <c r="BZ34">
        <v>25</v>
      </c>
      <c r="CA34">
        <v>33528.199999999997</v>
      </c>
      <c r="CB34">
        <v>1690384821</v>
      </c>
      <c r="CC34" t="s">
        <v>332</v>
      </c>
      <c r="CD34">
        <v>1690384820</v>
      </c>
      <c r="CE34">
        <v>1690384821</v>
      </c>
      <c r="CF34">
        <v>5</v>
      </c>
      <c r="CG34">
        <v>-2.5000000000000001E-2</v>
      </c>
      <c r="CH34">
        <v>0.104</v>
      </c>
      <c r="CI34">
        <v>-0.28799999999999998</v>
      </c>
      <c r="CJ34">
        <v>0.28000000000000003</v>
      </c>
      <c r="CK34">
        <v>800</v>
      </c>
      <c r="CL34">
        <v>24</v>
      </c>
      <c r="CM34">
        <v>0.08</v>
      </c>
      <c r="CN34">
        <v>0.11</v>
      </c>
      <c r="CO34">
        <v>-3.7071730000000001</v>
      </c>
      <c r="CP34">
        <v>-5.3882237898686673</v>
      </c>
      <c r="CQ34">
        <v>0.6293431490776713</v>
      </c>
      <c r="CR34">
        <v>-1</v>
      </c>
      <c r="CS34">
        <v>4.2486607500000009</v>
      </c>
      <c r="CT34">
        <v>11.323862701688549</v>
      </c>
      <c r="CU34">
        <v>1.1551109072668899</v>
      </c>
      <c r="CV34">
        <v>-1</v>
      </c>
      <c r="CW34">
        <v>0</v>
      </c>
      <c r="CX34">
        <v>0</v>
      </c>
      <c r="CY34" t="s">
        <v>333</v>
      </c>
      <c r="CZ34">
        <v>2.36469</v>
      </c>
      <c r="DA34">
        <v>2.7138800000000001</v>
      </c>
      <c r="DB34">
        <v>0.145755</v>
      </c>
      <c r="DC34">
        <v>0.14580799999999999</v>
      </c>
      <c r="DD34">
        <v>0.11648699999999999</v>
      </c>
      <c r="DE34">
        <v>9.8088700000000001E-2</v>
      </c>
      <c r="DF34">
        <v>31198.1</v>
      </c>
      <c r="DG34">
        <v>27536.9</v>
      </c>
      <c r="DH34">
        <v>31178.1</v>
      </c>
      <c r="DI34">
        <v>28090.1</v>
      </c>
      <c r="DJ34">
        <v>37397.9</v>
      </c>
      <c r="DK34">
        <v>36024</v>
      </c>
      <c r="DL34">
        <v>44370.400000000001</v>
      </c>
      <c r="DM34">
        <v>42575.9</v>
      </c>
      <c r="DN34">
        <v>1.4608000000000001</v>
      </c>
      <c r="DO34">
        <v>2.0585</v>
      </c>
      <c r="DP34">
        <v>0.11971999999999999</v>
      </c>
      <c r="DQ34">
        <v>0.19448599999999999</v>
      </c>
      <c r="DR34">
        <v>25.651800000000001</v>
      </c>
      <c r="DS34">
        <v>25.3475</v>
      </c>
      <c r="DT34">
        <v>57.3</v>
      </c>
      <c r="DU34">
        <v>29</v>
      </c>
      <c r="DV34">
        <v>23.3553</v>
      </c>
      <c r="DW34">
        <v>61.932200000000002</v>
      </c>
      <c r="DX34">
        <v>35.536900000000003</v>
      </c>
      <c r="DY34">
        <v>1</v>
      </c>
      <c r="DZ34">
        <v>-8.1626000000000004E-2</v>
      </c>
      <c r="EA34">
        <v>5.5323700000000002</v>
      </c>
      <c r="EB34">
        <v>20.0703</v>
      </c>
      <c r="EC34">
        <v>5.2409499999999998</v>
      </c>
      <c r="ED34">
        <v>12.039899999999999</v>
      </c>
      <c r="EE34">
        <v>5.0173500000000004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1.8689100000000001</v>
      </c>
      <c r="EL34">
        <v>1.8646199999999999</v>
      </c>
      <c r="EM34">
        <v>1.8692</v>
      </c>
      <c r="EN34">
        <v>1.8672299999999999</v>
      </c>
      <c r="EO34">
        <v>1.8633599999999999</v>
      </c>
      <c r="EP34">
        <v>1.8644700000000001</v>
      </c>
      <c r="EQ34">
        <v>1.87016</v>
      </c>
      <c r="ER34">
        <v>1.8693599999999999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-0.28599999999999998</v>
      </c>
      <c r="FG34">
        <v>0.2797</v>
      </c>
      <c r="FH34">
        <v>0.26269369235785539</v>
      </c>
      <c r="FI34">
        <v>-6.1462078757559423E-4</v>
      </c>
      <c r="FJ34">
        <v>-1.8861989874597051E-7</v>
      </c>
      <c r="FK34">
        <v>1.1980462299894961E-10</v>
      </c>
      <c r="FL34">
        <v>0.27968571428570849</v>
      </c>
      <c r="FM34">
        <v>0</v>
      </c>
      <c r="FN34">
        <v>0</v>
      </c>
      <c r="FO34">
        <v>0</v>
      </c>
      <c r="FP34">
        <v>3</v>
      </c>
      <c r="FQ34">
        <v>2158</v>
      </c>
      <c r="FR34">
        <v>1</v>
      </c>
      <c r="FS34">
        <v>19</v>
      </c>
      <c r="FT34">
        <v>12.6</v>
      </c>
      <c r="FU34">
        <v>12.6</v>
      </c>
      <c r="FV34">
        <v>1.79443</v>
      </c>
      <c r="FW34">
        <v>2.5805699999999998</v>
      </c>
      <c r="FX34">
        <v>1.5490699999999999</v>
      </c>
      <c r="FY34">
        <v>2.3315399999999999</v>
      </c>
      <c r="FZ34">
        <v>1.50146</v>
      </c>
      <c r="GA34">
        <v>2.36816</v>
      </c>
      <c r="GB34">
        <v>33.558</v>
      </c>
      <c r="GC34">
        <v>23.947399999999998</v>
      </c>
      <c r="GD34">
        <v>19</v>
      </c>
      <c r="GE34">
        <v>276.28399999999999</v>
      </c>
      <c r="GF34">
        <v>600.78099999999995</v>
      </c>
      <c r="GG34">
        <v>23.885300000000001</v>
      </c>
      <c r="GH34">
        <v>26.313199999999998</v>
      </c>
      <c r="GI34">
        <v>30.003499999999999</v>
      </c>
      <c r="GJ34">
        <v>26.331399999999999</v>
      </c>
      <c r="GK34">
        <v>26.263200000000001</v>
      </c>
      <c r="GL34">
        <v>35.872300000000003</v>
      </c>
      <c r="GM34">
        <v>24.249500000000001</v>
      </c>
      <c r="GN34">
        <v>100</v>
      </c>
      <c r="GO34">
        <v>23.400200000000002</v>
      </c>
      <c r="GP34">
        <v>800</v>
      </c>
      <c r="GQ34">
        <v>20.067399999999999</v>
      </c>
      <c r="GR34">
        <v>99.757999999999996</v>
      </c>
      <c r="GS34">
        <v>99.5989</v>
      </c>
    </row>
    <row r="35" spans="1:201" x14ac:dyDescent="0.25">
      <c r="A35">
        <v>19</v>
      </c>
      <c r="B35">
        <v>1690385585.5999999</v>
      </c>
      <c r="C35">
        <v>251</v>
      </c>
      <c r="D35" t="s">
        <v>371</v>
      </c>
      <c r="E35" t="s">
        <v>372</v>
      </c>
      <c r="F35" t="s">
        <v>330</v>
      </c>
      <c r="H35">
        <v>1690385585.5999999</v>
      </c>
      <c r="I35">
        <f t="shared" si="0"/>
        <v>3.6392409764162412E-4</v>
      </c>
      <c r="J35">
        <f t="shared" si="1"/>
        <v>0.36392409764162414</v>
      </c>
      <c r="K35">
        <f t="shared" si="2"/>
        <v>3.3280340698600683E-2</v>
      </c>
      <c r="L35">
        <f t="shared" si="3"/>
        <v>796.36500000000001</v>
      </c>
      <c r="M35">
        <f t="shared" si="4"/>
        <v>773.52876007470047</v>
      </c>
      <c r="N35">
        <f t="shared" si="5"/>
        <v>76.395083569106177</v>
      </c>
      <c r="O35">
        <f t="shared" si="6"/>
        <v>78.650431459892985</v>
      </c>
      <c r="P35">
        <f t="shared" si="7"/>
        <v>2.2456880897299216E-2</v>
      </c>
      <c r="Q35">
        <f t="shared" si="8"/>
        <v>2.1586003867121253</v>
      </c>
      <c r="R35">
        <f t="shared" si="9"/>
        <v>2.2327891957505119E-2</v>
      </c>
      <c r="S35">
        <f t="shared" si="10"/>
        <v>1.3966459748019159E-2</v>
      </c>
      <c r="T35">
        <f t="shared" si="11"/>
        <v>276.1132282531533</v>
      </c>
      <c r="U35">
        <f t="shared" si="12"/>
        <v>28.56336892329535</v>
      </c>
      <c r="V35">
        <f t="shared" si="13"/>
        <v>28.56336892329535</v>
      </c>
      <c r="W35">
        <f t="shared" si="14"/>
        <v>3.9212716123194369</v>
      </c>
      <c r="X35">
        <f t="shared" si="15"/>
        <v>67.861653566614123</v>
      </c>
      <c r="Y35">
        <f t="shared" si="16"/>
        <v>2.36275726853916</v>
      </c>
      <c r="Z35">
        <f t="shared" si="17"/>
        <v>3.4817266370024988</v>
      </c>
      <c r="AA35">
        <f t="shared" si="18"/>
        <v>1.5585143437802769</v>
      </c>
      <c r="AB35">
        <f t="shared" si="19"/>
        <v>-16.049052705995624</v>
      </c>
      <c r="AC35">
        <f t="shared" si="20"/>
        <v>-236.52748164357411</v>
      </c>
      <c r="AD35">
        <f t="shared" si="21"/>
        <v>-23.777342034942208</v>
      </c>
      <c r="AE35">
        <f t="shared" si="22"/>
        <v>-0.24064813135862551</v>
      </c>
      <c r="AF35">
        <v>1</v>
      </c>
      <c r="AG35">
        <v>0</v>
      </c>
      <c r="AH35">
        <f t="shared" si="23"/>
        <v>1</v>
      </c>
      <c r="AI35">
        <f t="shared" si="24"/>
        <v>0</v>
      </c>
      <c r="AJ35">
        <f t="shared" si="25"/>
        <v>52279.335126340055</v>
      </c>
      <c r="AK35">
        <f t="shared" si="26"/>
        <v>1799.98</v>
      </c>
      <c r="AL35">
        <f t="shared" si="27"/>
        <v>1499.09765437432</v>
      </c>
      <c r="AM35">
        <f t="shared" si="28"/>
        <v>0.83284128400000002</v>
      </c>
      <c r="AN35">
        <f t="shared" si="29"/>
        <v>0.15339794234000004</v>
      </c>
      <c r="AO35">
        <v>31.8</v>
      </c>
      <c r="AP35">
        <v>0.5</v>
      </c>
      <c r="AQ35" t="s">
        <v>331</v>
      </c>
      <c r="AR35">
        <v>2</v>
      </c>
      <c r="AS35">
        <v>1690385585.5999999</v>
      </c>
      <c r="AT35">
        <v>796.36500000000001</v>
      </c>
      <c r="AU35">
        <v>799.78800000000001</v>
      </c>
      <c r="AV35">
        <v>23.9238</v>
      </c>
      <c r="AW35">
        <v>20.160499999999999</v>
      </c>
      <c r="AX35">
        <v>796.65099999999995</v>
      </c>
      <c r="AY35">
        <v>23.644100000000002</v>
      </c>
      <c r="AZ35">
        <v>300.16000000000003</v>
      </c>
      <c r="BA35">
        <v>98.661799999999999</v>
      </c>
      <c r="BB35">
        <v>9.9988199999999999E-2</v>
      </c>
      <c r="BC35">
        <v>26.530899999999999</v>
      </c>
      <c r="BD35">
        <v>27.469100000000001</v>
      </c>
      <c r="BE35">
        <v>28.460699999999999</v>
      </c>
      <c r="BF35">
        <v>0</v>
      </c>
      <c r="BG35">
        <v>0</v>
      </c>
      <c r="BH35">
        <v>10005.6</v>
      </c>
      <c r="BI35">
        <v>1077.8</v>
      </c>
      <c r="BJ35">
        <v>1.5137799999999999</v>
      </c>
      <c r="BK35">
        <v>-3.4229099999999999</v>
      </c>
      <c r="BL35">
        <v>815.88400000000001</v>
      </c>
      <c r="BM35">
        <v>816.24400000000003</v>
      </c>
      <c r="BN35">
        <v>3.76335</v>
      </c>
      <c r="BO35">
        <v>799.78800000000001</v>
      </c>
      <c r="BP35">
        <v>20.160499999999999</v>
      </c>
      <c r="BQ35">
        <v>2.3603700000000001</v>
      </c>
      <c r="BR35">
        <v>1.9890699999999999</v>
      </c>
      <c r="BS35">
        <v>20.0944</v>
      </c>
      <c r="BT35">
        <v>17.357600000000001</v>
      </c>
      <c r="BU35">
        <v>1799.98</v>
      </c>
      <c r="BV35">
        <v>0.91000400000000004</v>
      </c>
      <c r="BW35">
        <v>3.4001200000000002E-2</v>
      </c>
      <c r="BX35">
        <v>2.2008199999999999E-2</v>
      </c>
      <c r="BY35">
        <v>3.3986599999999999E-2</v>
      </c>
      <c r="BZ35">
        <v>25</v>
      </c>
      <c r="CA35">
        <v>33527.9</v>
      </c>
      <c r="CB35">
        <v>1690384821</v>
      </c>
      <c r="CC35" t="s">
        <v>332</v>
      </c>
      <c r="CD35">
        <v>1690384820</v>
      </c>
      <c r="CE35">
        <v>1690384821</v>
      </c>
      <c r="CF35">
        <v>5</v>
      </c>
      <c r="CG35">
        <v>-2.5000000000000001E-2</v>
      </c>
      <c r="CH35">
        <v>0.104</v>
      </c>
      <c r="CI35">
        <v>-0.28799999999999998</v>
      </c>
      <c r="CJ35">
        <v>0.28000000000000003</v>
      </c>
      <c r="CK35">
        <v>800</v>
      </c>
      <c r="CL35">
        <v>24</v>
      </c>
      <c r="CM35">
        <v>0.08</v>
      </c>
      <c r="CN35">
        <v>0.11</v>
      </c>
      <c r="CO35">
        <v>-3.8945525000000001</v>
      </c>
      <c r="CP35">
        <v>2.8409076923076988</v>
      </c>
      <c r="CQ35">
        <v>0.27535516194317122</v>
      </c>
      <c r="CR35">
        <v>-1</v>
      </c>
      <c r="CS35">
        <v>4.8762527499999999</v>
      </c>
      <c r="CT35">
        <v>-4.2630010131332172</v>
      </c>
      <c r="CU35">
        <v>0.46931568950967051</v>
      </c>
      <c r="CV35">
        <v>-1</v>
      </c>
      <c r="CW35">
        <v>0</v>
      </c>
      <c r="CX35">
        <v>0</v>
      </c>
      <c r="CY35" t="s">
        <v>333</v>
      </c>
      <c r="CZ35">
        <v>2.36435</v>
      </c>
      <c r="DA35">
        <v>2.7137799999999999</v>
      </c>
      <c r="DB35">
        <v>0.145755</v>
      </c>
      <c r="DC35">
        <v>0.14576800000000001</v>
      </c>
      <c r="DD35">
        <v>0.112883</v>
      </c>
      <c r="DE35">
        <v>9.8859699999999995E-2</v>
      </c>
      <c r="DF35">
        <v>31196.2</v>
      </c>
      <c r="DG35">
        <v>27535.5</v>
      </c>
      <c r="DH35">
        <v>31176.2</v>
      </c>
      <c r="DI35">
        <v>28087.3</v>
      </c>
      <c r="DJ35">
        <v>37550.5</v>
      </c>
      <c r="DK35">
        <v>35989.9</v>
      </c>
      <c r="DL35">
        <v>44368.5</v>
      </c>
      <c r="DM35">
        <v>42572.1</v>
      </c>
      <c r="DN35">
        <v>1.4600299999999999</v>
      </c>
      <c r="DO35">
        <v>2.0585</v>
      </c>
      <c r="DP35">
        <v>0.111274</v>
      </c>
      <c r="DQ35">
        <v>0.190165</v>
      </c>
      <c r="DR35">
        <v>25.648099999999999</v>
      </c>
      <c r="DS35">
        <v>25.350300000000001</v>
      </c>
      <c r="DT35">
        <v>57.3</v>
      </c>
      <c r="DU35">
        <v>29</v>
      </c>
      <c r="DV35">
        <v>23.361499999999999</v>
      </c>
      <c r="DW35">
        <v>61.982199999999999</v>
      </c>
      <c r="DX35">
        <v>35.725200000000001</v>
      </c>
      <c r="DY35">
        <v>1</v>
      </c>
      <c r="DZ35">
        <v>-7.6204300000000003E-2</v>
      </c>
      <c r="EA35">
        <v>6.2382499999999999</v>
      </c>
      <c r="EB35">
        <v>20.042100000000001</v>
      </c>
      <c r="EC35">
        <v>5.2415500000000002</v>
      </c>
      <c r="ED35">
        <v>12.039899999999999</v>
      </c>
      <c r="EE35">
        <v>5.0174000000000003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1.8689</v>
      </c>
      <c r="EL35">
        <v>1.8646199999999999</v>
      </c>
      <c r="EM35">
        <v>1.8692</v>
      </c>
      <c r="EN35">
        <v>1.86724</v>
      </c>
      <c r="EO35">
        <v>1.8633900000000001</v>
      </c>
      <c r="EP35">
        <v>1.8644700000000001</v>
      </c>
      <c r="EQ35">
        <v>1.87015</v>
      </c>
      <c r="ER35">
        <v>1.86937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-0.28599999999999998</v>
      </c>
      <c r="FG35">
        <v>0.2797</v>
      </c>
      <c r="FH35">
        <v>0.26269369235785539</v>
      </c>
      <c r="FI35">
        <v>-6.1462078757559423E-4</v>
      </c>
      <c r="FJ35">
        <v>-1.8861989874597051E-7</v>
      </c>
      <c r="FK35">
        <v>1.1980462299894961E-10</v>
      </c>
      <c r="FL35">
        <v>0.27968571428570849</v>
      </c>
      <c r="FM35">
        <v>0</v>
      </c>
      <c r="FN35">
        <v>0</v>
      </c>
      <c r="FO35">
        <v>0</v>
      </c>
      <c r="FP35">
        <v>3</v>
      </c>
      <c r="FQ35">
        <v>2158</v>
      </c>
      <c r="FR35">
        <v>1</v>
      </c>
      <c r="FS35">
        <v>19</v>
      </c>
      <c r="FT35">
        <v>12.8</v>
      </c>
      <c r="FU35">
        <v>12.7</v>
      </c>
      <c r="FV35">
        <v>1.79443</v>
      </c>
      <c r="FW35">
        <v>2.5793499999999998</v>
      </c>
      <c r="FX35">
        <v>1.5490699999999999</v>
      </c>
      <c r="FY35">
        <v>2.3315399999999999</v>
      </c>
      <c r="FZ35">
        <v>1.50024</v>
      </c>
      <c r="GA35">
        <v>2.4169900000000002</v>
      </c>
      <c r="GB35">
        <v>33.558</v>
      </c>
      <c r="GC35">
        <v>23.947399999999998</v>
      </c>
      <c r="GD35">
        <v>19</v>
      </c>
      <c r="GE35">
        <v>275.89299999999997</v>
      </c>
      <c r="GF35">
        <v>600.88199999999995</v>
      </c>
      <c r="GG35">
        <v>22.456</v>
      </c>
      <c r="GH35">
        <v>26.320900000000002</v>
      </c>
      <c r="GI35">
        <v>30.002199999999998</v>
      </c>
      <c r="GJ35">
        <v>26.316099999999999</v>
      </c>
      <c r="GK35">
        <v>26.271899999999999</v>
      </c>
      <c r="GL35">
        <v>35.881700000000002</v>
      </c>
      <c r="GM35">
        <v>21.753399999999999</v>
      </c>
      <c r="GN35">
        <v>100</v>
      </c>
      <c r="GO35">
        <v>22.245200000000001</v>
      </c>
      <c r="GP35">
        <v>800</v>
      </c>
      <c r="GQ35">
        <v>20.587599999999998</v>
      </c>
      <c r="GR35">
        <v>99.753</v>
      </c>
      <c r="GS35">
        <v>99.589600000000004</v>
      </c>
    </row>
    <row r="36" spans="1:201" x14ac:dyDescent="0.25">
      <c r="A36">
        <v>20</v>
      </c>
      <c r="B36">
        <v>1690385595.5999999</v>
      </c>
      <c r="C36">
        <v>261</v>
      </c>
      <c r="D36" t="s">
        <v>373</v>
      </c>
      <c r="E36" t="s">
        <v>374</v>
      </c>
      <c r="F36" t="s">
        <v>330</v>
      </c>
      <c r="H36">
        <v>1690385595.5999999</v>
      </c>
      <c r="I36">
        <f t="shared" si="0"/>
        <v>2.4900098403528374E-4</v>
      </c>
      <c r="J36">
        <f t="shared" si="1"/>
        <v>0.24900098403528376</v>
      </c>
      <c r="K36">
        <f t="shared" si="2"/>
        <v>0.12543915886340423</v>
      </c>
      <c r="L36">
        <f t="shared" si="3"/>
        <v>796.43</v>
      </c>
      <c r="M36">
        <f t="shared" si="4"/>
        <v>762.09253755684892</v>
      </c>
      <c r="N36">
        <f t="shared" si="5"/>
        <v>75.268143089941304</v>
      </c>
      <c r="O36">
        <f t="shared" si="6"/>
        <v>78.659485885137983</v>
      </c>
      <c r="P36">
        <f t="shared" si="7"/>
        <v>1.4935367624581242E-2</v>
      </c>
      <c r="Q36">
        <f t="shared" si="8"/>
        <v>2.159764718464789</v>
      </c>
      <c r="R36">
        <f t="shared" si="9"/>
        <v>1.4878225679216289E-2</v>
      </c>
      <c r="S36">
        <f t="shared" si="10"/>
        <v>9.304006728474444E-3</v>
      </c>
      <c r="T36">
        <f t="shared" si="11"/>
        <v>276.11298192589021</v>
      </c>
      <c r="U36">
        <f t="shared" si="12"/>
        <v>28.412814988167444</v>
      </c>
      <c r="V36">
        <f t="shared" si="13"/>
        <v>28.412814988167444</v>
      </c>
      <c r="W36">
        <f t="shared" si="14"/>
        <v>3.8871295542722319</v>
      </c>
      <c r="X36">
        <f t="shared" si="15"/>
        <v>66.390932421289833</v>
      </c>
      <c r="Y36">
        <f t="shared" si="16"/>
        <v>2.2858589017490401</v>
      </c>
      <c r="Z36">
        <f t="shared" si="17"/>
        <v>3.4430287667055337</v>
      </c>
      <c r="AA36">
        <f t="shared" si="18"/>
        <v>1.6012706525231919</v>
      </c>
      <c r="AB36">
        <f t="shared" si="19"/>
        <v>-10.980943395956013</v>
      </c>
      <c r="AC36">
        <f t="shared" si="20"/>
        <v>-241.18983479936361</v>
      </c>
      <c r="AD36">
        <f t="shared" si="21"/>
        <v>-24.191868964897935</v>
      </c>
      <c r="AE36">
        <f t="shared" si="22"/>
        <v>-0.24966523432735244</v>
      </c>
      <c r="AF36">
        <v>1</v>
      </c>
      <c r="AG36">
        <v>0</v>
      </c>
      <c r="AH36">
        <f t="shared" si="23"/>
        <v>1</v>
      </c>
      <c r="AI36">
        <f t="shared" si="24"/>
        <v>0</v>
      </c>
      <c r="AJ36">
        <f t="shared" si="25"/>
        <v>52361.306533777431</v>
      </c>
      <c r="AK36">
        <f t="shared" si="26"/>
        <v>1799.98</v>
      </c>
      <c r="AL36">
        <f t="shared" si="27"/>
        <v>1499.0947744063199</v>
      </c>
      <c r="AM36">
        <f t="shared" si="28"/>
        <v>0.83283968399999997</v>
      </c>
      <c r="AN36">
        <f t="shared" si="29"/>
        <v>0.15339780549000001</v>
      </c>
      <c r="AO36">
        <v>31.8</v>
      </c>
      <c r="AP36">
        <v>0.5</v>
      </c>
      <c r="AQ36" t="s">
        <v>331</v>
      </c>
      <c r="AR36">
        <v>2</v>
      </c>
      <c r="AS36">
        <v>1690385595.5999999</v>
      </c>
      <c r="AT36">
        <v>796.43</v>
      </c>
      <c r="AU36">
        <v>799.86</v>
      </c>
      <c r="AV36">
        <v>23.144400000000001</v>
      </c>
      <c r="AW36">
        <v>20.567399999999999</v>
      </c>
      <c r="AX36">
        <v>796.71600000000001</v>
      </c>
      <c r="AY36">
        <v>22.864699999999999</v>
      </c>
      <c r="AZ36">
        <v>300.154</v>
      </c>
      <c r="BA36">
        <v>98.665099999999995</v>
      </c>
      <c r="BB36">
        <v>9.9996600000000005E-2</v>
      </c>
      <c r="BC36">
        <v>26.3414</v>
      </c>
      <c r="BD36">
        <v>27.319099999999999</v>
      </c>
      <c r="BE36">
        <v>28.262</v>
      </c>
      <c r="BF36">
        <v>0</v>
      </c>
      <c r="BG36">
        <v>0</v>
      </c>
      <c r="BH36">
        <v>10015</v>
      </c>
      <c r="BI36">
        <v>1077.28</v>
      </c>
      <c r="BJ36">
        <v>1.5137799999999999</v>
      </c>
      <c r="BK36">
        <v>-3.4299300000000001</v>
      </c>
      <c r="BL36">
        <v>815.3</v>
      </c>
      <c r="BM36">
        <v>816.65700000000004</v>
      </c>
      <c r="BN36">
        <v>2.5769000000000002</v>
      </c>
      <c r="BO36">
        <v>799.86</v>
      </c>
      <c r="BP36">
        <v>20.567399999999999</v>
      </c>
      <c r="BQ36">
        <v>2.2835399999999999</v>
      </c>
      <c r="BR36">
        <v>2.02929</v>
      </c>
      <c r="BS36">
        <v>19.5608</v>
      </c>
      <c r="BT36">
        <v>17.674700000000001</v>
      </c>
      <c r="BU36">
        <v>1799.98</v>
      </c>
      <c r="BV36">
        <v>0.90998699999999999</v>
      </c>
      <c r="BW36">
        <v>3.3995699999999997E-2</v>
      </c>
      <c r="BX36">
        <v>2.2004699999999999E-2</v>
      </c>
      <c r="BY36">
        <v>3.40127E-2</v>
      </c>
      <c r="BZ36">
        <v>25</v>
      </c>
      <c r="CA36">
        <v>33528</v>
      </c>
      <c r="CB36">
        <v>1690384821</v>
      </c>
      <c r="CC36" t="s">
        <v>332</v>
      </c>
      <c r="CD36">
        <v>1690384820</v>
      </c>
      <c r="CE36">
        <v>1690384821</v>
      </c>
      <c r="CF36">
        <v>5</v>
      </c>
      <c r="CG36">
        <v>-2.5000000000000001E-2</v>
      </c>
      <c r="CH36">
        <v>0.104</v>
      </c>
      <c r="CI36">
        <v>-0.28799999999999998</v>
      </c>
      <c r="CJ36">
        <v>0.28000000000000003</v>
      </c>
      <c r="CK36">
        <v>800</v>
      </c>
      <c r="CL36">
        <v>24</v>
      </c>
      <c r="CM36">
        <v>0.08</v>
      </c>
      <c r="CN36">
        <v>0.11</v>
      </c>
      <c r="CO36">
        <v>-3.5266682500000002</v>
      </c>
      <c r="CP36">
        <v>1.555970769230778</v>
      </c>
      <c r="CQ36">
        <v>0.1760135205017998</v>
      </c>
      <c r="CR36">
        <v>-1</v>
      </c>
      <c r="CS36">
        <v>3.8236197500000002</v>
      </c>
      <c r="CT36">
        <v>-7.9902086679174662</v>
      </c>
      <c r="CU36">
        <v>0.76946875888981847</v>
      </c>
      <c r="CV36">
        <v>-1</v>
      </c>
      <c r="CW36">
        <v>0</v>
      </c>
      <c r="CX36">
        <v>0</v>
      </c>
      <c r="CY36" t="s">
        <v>333</v>
      </c>
      <c r="CZ36">
        <v>2.3643100000000001</v>
      </c>
      <c r="DA36">
        <v>2.7138</v>
      </c>
      <c r="DB36">
        <v>0.14575099999999999</v>
      </c>
      <c r="DC36">
        <v>0.145786</v>
      </c>
      <c r="DD36">
        <v>0.110259</v>
      </c>
      <c r="DE36">
        <v>0.10027</v>
      </c>
      <c r="DF36">
        <v>31195.599999999999</v>
      </c>
      <c r="DG36">
        <v>27534.400000000001</v>
      </c>
      <c r="DH36">
        <v>31175.599999999999</v>
      </c>
      <c r="DI36">
        <v>28086.9</v>
      </c>
      <c r="DJ36">
        <v>37662</v>
      </c>
      <c r="DK36">
        <v>35932.9</v>
      </c>
      <c r="DL36">
        <v>44367.6</v>
      </c>
      <c r="DM36">
        <v>42571.3</v>
      </c>
      <c r="DN36">
        <v>1.4599500000000001</v>
      </c>
      <c r="DO36">
        <v>2.0579999999999998</v>
      </c>
      <c r="DP36">
        <v>0.10255400000000001</v>
      </c>
      <c r="DQ36">
        <v>0.178561</v>
      </c>
      <c r="DR36">
        <v>25.640499999999999</v>
      </c>
      <c r="DS36">
        <v>25.340900000000001</v>
      </c>
      <c r="DT36">
        <v>57.3</v>
      </c>
      <c r="DU36">
        <v>28.9</v>
      </c>
      <c r="DV36">
        <v>23.2196</v>
      </c>
      <c r="DW36">
        <v>61.852200000000003</v>
      </c>
      <c r="DX36">
        <v>36.482399999999998</v>
      </c>
      <c r="DY36">
        <v>1</v>
      </c>
      <c r="DZ36">
        <v>-7.6039099999999998E-2</v>
      </c>
      <c r="EA36">
        <v>5.80314</v>
      </c>
      <c r="EB36">
        <v>20.0657</v>
      </c>
      <c r="EC36">
        <v>5.24125</v>
      </c>
      <c r="ED36">
        <v>12.039899999999999</v>
      </c>
      <c r="EE36">
        <v>5.01715</v>
      </c>
      <c r="EF36">
        <v>3.2879499999999999</v>
      </c>
      <c r="EG36">
        <v>9999</v>
      </c>
      <c r="EH36">
        <v>9999</v>
      </c>
      <c r="EI36">
        <v>9999</v>
      </c>
      <c r="EJ36">
        <v>999.9</v>
      </c>
      <c r="EK36">
        <v>1.86893</v>
      </c>
      <c r="EL36">
        <v>1.8646199999999999</v>
      </c>
      <c r="EM36">
        <v>1.8692200000000001</v>
      </c>
      <c r="EN36">
        <v>1.8672500000000001</v>
      </c>
      <c r="EO36">
        <v>1.8633900000000001</v>
      </c>
      <c r="EP36">
        <v>1.8644700000000001</v>
      </c>
      <c r="EQ36">
        <v>1.8702000000000001</v>
      </c>
      <c r="ER36">
        <v>1.86944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-0.28599999999999998</v>
      </c>
      <c r="FG36">
        <v>0.2797</v>
      </c>
      <c r="FH36">
        <v>0.26269369235785539</v>
      </c>
      <c r="FI36">
        <v>-6.1462078757559423E-4</v>
      </c>
      <c r="FJ36">
        <v>-1.8861989874597051E-7</v>
      </c>
      <c r="FK36">
        <v>1.1980462299894961E-10</v>
      </c>
      <c r="FL36">
        <v>0.27968571428570849</v>
      </c>
      <c r="FM36">
        <v>0</v>
      </c>
      <c r="FN36">
        <v>0</v>
      </c>
      <c r="FO36">
        <v>0</v>
      </c>
      <c r="FP36">
        <v>3</v>
      </c>
      <c r="FQ36">
        <v>2158</v>
      </c>
      <c r="FR36">
        <v>1</v>
      </c>
      <c r="FS36">
        <v>19</v>
      </c>
      <c r="FT36">
        <v>12.9</v>
      </c>
      <c r="FU36">
        <v>12.9</v>
      </c>
      <c r="FV36">
        <v>1.79565</v>
      </c>
      <c r="FW36">
        <v>2.5769000000000002</v>
      </c>
      <c r="FX36">
        <v>1.5490699999999999</v>
      </c>
      <c r="FY36">
        <v>2.3315399999999999</v>
      </c>
      <c r="FZ36">
        <v>1.50146</v>
      </c>
      <c r="GA36">
        <v>2.3791500000000001</v>
      </c>
      <c r="GB36">
        <v>33.558</v>
      </c>
      <c r="GC36">
        <v>23.947399999999998</v>
      </c>
      <c r="GD36">
        <v>19</v>
      </c>
      <c r="GE36">
        <v>275.87</v>
      </c>
      <c r="GF36">
        <v>600.55499999999995</v>
      </c>
      <c r="GG36">
        <v>21.408000000000001</v>
      </c>
      <c r="GH36">
        <v>26.328099999999999</v>
      </c>
      <c r="GI36">
        <v>30.0001</v>
      </c>
      <c r="GJ36">
        <v>26.317900000000002</v>
      </c>
      <c r="GK36">
        <v>26.280100000000001</v>
      </c>
      <c r="GL36">
        <v>35.895400000000002</v>
      </c>
      <c r="GM36">
        <v>20.286899999999999</v>
      </c>
      <c r="GN36">
        <v>100</v>
      </c>
      <c r="GO36">
        <v>21.349699999999999</v>
      </c>
      <c r="GP36">
        <v>800</v>
      </c>
      <c r="GQ36">
        <v>20.81</v>
      </c>
      <c r="GR36">
        <v>99.751000000000005</v>
      </c>
      <c r="GS36">
        <v>99.587900000000005</v>
      </c>
    </row>
    <row r="37" spans="1:201" x14ac:dyDescent="0.25">
      <c r="A37">
        <v>21</v>
      </c>
      <c r="B37">
        <v>1690385605.5999999</v>
      </c>
      <c r="C37">
        <v>271</v>
      </c>
      <c r="D37" t="s">
        <v>375</v>
      </c>
      <c r="E37" t="s">
        <v>376</v>
      </c>
      <c r="F37" t="s">
        <v>330</v>
      </c>
      <c r="H37">
        <v>1690385605.5999999</v>
      </c>
      <c r="I37">
        <f t="shared" si="0"/>
        <v>1.7649415557949449E-4</v>
      </c>
      <c r="J37">
        <f t="shared" si="1"/>
        <v>0.17649415557949449</v>
      </c>
      <c r="K37">
        <f t="shared" si="2"/>
        <v>0.18779748191980095</v>
      </c>
      <c r="L37">
        <f t="shared" si="3"/>
        <v>796.43100000000004</v>
      </c>
      <c r="M37">
        <f t="shared" si="4"/>
        <v>746.8109438583964</v>
      </c>
      <c r="N37">
        <f t="shared" si="5"/>
        <v>73.756803298405643</v>
      </c>
      <c r="O37">
        <f t="shared" si="6"/>
        <v>78.657396615348318</v>
      </c>
      <c r="P37">
        <f t="shared" si="7"/>
        <v>1.0470929897941152E-2</v>
      </c>
      <c r="Q37">
        <f t="shared" si="8"/>
        <v>2.162789078744126</v>
      </c>
      <c r="R37">
        <f t="shared" si="9"/>
        <v>1.0442848140509959E-2</v>
      </c>
      <c r="S37">
        <f t="shared" si="10"/>
        <v>6.5292968001346326E-3</v>
      </c>
      <c r="T37">
        <f t="shared" si="11"/>
        <v>276.11396733899272</v>
      </c>
      <c r="U37">
        <f t="shared" si="12"/>
        <v>28.268253558867737</v>
      </c>
      <c r="V37">
        <f t="shared" si="13"/>
        <v>28.268253558867737</v>
      </c>
      <c r="W37">
        <f t="shared" si="14"/>
        <v>3.8545907669128923</v>
      </c>
      <c r="X37">
        <f t="shared" si="15"/>
        <v>65.61334113021266</v>
      </c>
      <c r="Y37">
        <f t="shared" si="16"/>
        <v>2.2368882017655602</v>
      </c>
      <c r="Z37">
        <f t="shared" si="17"/>
        <v>3.4091972200079765</v>
      </c>
      <c r="AA37">
        <f t="shared" si="18"/>
        <v>1.617702565147332</v>
      </c>
      <c r="AB37">
        <f t="shared" si="19"/>
        <v>-7.7833922610557069</v>
      </c>
      <c r="AC37">
        <f t="shared" si="20"/>
        <v>-244.16724137818505</v>
      </c>
      <c r="AD37">
        <f t="shared" si="21"/>
        <v>-24.41821449927091</v>
      </c>
      <c r="AE37">
        <f t="shared" si="22"/>
        <v>-0.25488079951892928</v>
      </c>
      <c r="AF37">
        <v>1</v>
      </c>
      <c r="AG37">
        <v>0</v>
      </c>
      <c r="AH37">
        <f t="shared" si="23"/>
        <v>1</v>
      </c>
      <c r="AI37">
        <f t="shared" si="24"/>
        <v>0</v>
      </c>
      <c r="AJ37">
        <f t="shared" si="25"/>
        <v>52517.481668699191</v>
      </c>
      <c r="AK37">
        <f t="shared" si="26"/>
        <v>1799.99</v>
      </c>
      <c r="AL37">
        <f t="shared" si="27"/>
        <v>1499.1043969959699</v>
      </c>
      <c r="AM37">
        <f t="shared" si="28"/>
        <v>0.83284040299999995</v>
      </c>
      <c r="AN37">
        <f t="shared" si="29"/>
        <v>0.15339750073</v>
      </c>
      <c r="AO37">
        <v>31.8</v>
      </c>
      <c r="AP37">
        <v>0.5</v>
      </c>
      <c r="AQ37" t="s">
        <v>331</v>
      </c>
      <c r="AR37">
        <v>2</v>
      </c>
      <c r="AS37">
        <v>1690385605.5999999</v>
      </c>
      <c r="AT37">
        <v>796.43100000000004</v>
      </c>
      <c r="AU37">
        <v>799.91</v>
      </c>
      <c r="AV37">
        <v>22.6492</v>
      </c>
      <c r="AW37">
        <v>20.8216</v>
      </c>
      <c r="AX37">
        <v>796.71699999999998</v>
      </c>
      <c r="AY37">
        <v>22.369499999999999</v>
      </c>
      <c r="AZ37">
        <v>300.142</v>
      </c>
      <c r="BA37">
        <v>98.662400000000005</v>
      </c>
      <c r="BB37">
        <v>9.9949300000000005E-2</v>
      </c>
      <c r="BC37">
        <v>26.174199999999999</v>
      </c>
      <c r="BD37">
        <v>27.110299999999999</v>
      </c>
      <c r="BE37">
        <v>28.0565</v>
      </c>
      <c r="BF37">
        <v>0</v>
      </c>
      <c r="BG37">
        <v>0</v>
      </c>
      <c r="BH37">
        <v>10040.6</v>
      </c>
      <c r="BI37">
        <v>1076.56</v>
      </c>
      <c r="BJ37">
        <v>1.5137799999999999</v>
      </c>
      <c r="BK37">
        <v>-3.4786999999999999</v>
      </c>
      <c r="BL37">
        <v>814.88699999999994</v>
      </c>
      <c r="BM37">
        <v>816.91899999999998</v>
      </c>
      <c r="BN37">
        <v>1.82762</v>
      </c>
      <c r="BO37">
        <v>799.91</v>
      </c>
      <c r="BP37">
        <v>20.8216</v>
      </c>
      <c r="BQ37">
        <v>2.2346300000000001</v>
      </c>
      <c r="BR37">
        <v>2.0543100000000001</v>
      </c>
      <c r="BS37">
        <v>19.212700000000002</v>
      </c>
      <c r="BT37">
        <v>17.869199999999999</v>
      </c>
      <c r="BU37">
        <v>1799.99</v>
      </c>
      <c r="BV37">
        <v>0.90999799999999997</v>
      </c>
      <c r="BW37">
        <v>3.3993200000000001E-2</v>
      </c>
      <c r="BX37">
        <v>2.2001400000000001E-2</v>
      </c>
      <c r="BY37">
        <v>3.4007500000000003E-2</v>
      </c>
      <c r="BZ37">
        <v>25</v>
      </c>
      <c r="CA37">
        <v>33528.199999999997</v>
      </c>
      <c r="CB37">
        <v>1690384821</v>
      </c>
      <c r="CC37" t="s">
        <v>332</v>
      </c>
      <c r="CD37">
        <v>1690384820</v>
      </c>
      <c r="CE37">
        <v>1690384821</v>
      </c>
      <c r="CF37">
        <v>5</v>
      </c>
      <c r="CG37">
        <v>-2.5000000000000001E-2</v>
      </c>
      <c r="CH37">
        <v>0.104</v>
      </c>
      <c r="CI37">
        <v>-0.28799999999999998</v>
      </c>
      <c r="CJ37">
        <v>0.28000000000000003</v>
      </c>
      <c r="CK37">
        <v>800</v>
      </c>
      <c r="CL37">
        <v>24</v>
      </c>
      <c r="CM37">
        <v>0.08</v>
      </c>
      <c r="CN37">
        <v>0.11</v>
      </c>
      <c r="CO37">
        <v>-3.4097067499999998</v>
      </c>
      <c r="CP37">
        <v>-0.24657917448404779</v>
      </c>
      <c r="CQ37">
        <v>4.1201987293545711E-2</v>
      </c>
      <c r="CR37">
        <v>-1</v>
      </c>
      <c r="CS37">
        <v>2.6720877500000002</v>
      </c>
      <c r="CT37">
        <v>-5.7565264165103169</v>
      </c>
      <c r="CU37">
        <v>0.55784355570127142</v>
      </c>
      <c r="CV37">
        <v>-1</v>
      </c>
      <c r="CW37">
        <v>0</v>
      </c>
      <c r="CX37">
        <v>0</v>
      </c>
      <c r="CY37" t="s">
        <v>333</v>
      </c>
      <c r="CZ37">
        <v>2.36429</v>
      </c>
      <c r="DA37">
        <v>2.7137799999999999</v>
      </c>
      <c r="DB37">
        <v>0.145736</v>
      </c>
      <c r="DC37">
        <v>0.14579300000000001</v>
      </c>
      <c r="DD37">
        <v>0.108567</v>
      </c>
      <c r="DE37">
        <v>0.10113999999999999</v>
      </c>
      <c r="DF37">
        <v>31195.8</v>
      </c>
      <c r="DG37">
        <v>27534.6</v>
      </c>
      <c r="DH37">
        <v>31175.3</v>
      </c>
      <c r="DI37">
        <v>28087.3</v>
      </c>
      <c r="DJ37">
        <v>37733.9</v>
      </c>
      <c r="DK37">
        <v>35898.400000000001</v>
      </c>
      <c r="DL37">
        <v>44367.1</v>
      </c>
      <c r="DM37">
        <v>42571.8</v>
      </c>
      <c r="DN37">
        <v>1.46038</v>
      </c>
      <c r="DO37">
        <v>2.0584500000000001</v>
      </c>
      <c r="DP37">
        <v>9.0766700000000006E-2</v>
      </c>
      <c r="DQ37">
        <v>0.16775000000000001</v>
      </c>
      <c r="DR37">
        <v>25.624400000000001</v>
      </c>
      <c r="DS37">
        <v>25.311699999999998</v>
      </c>
      <c r="DT37">
        <v>57.3</v>
      </c>
      <c r="DU37">
        <v>28.9</v>
      </c>
      <c r="DV37">
        <v>23.2225</v>
      </c>
      <c r="DW37">
        <v>61.452199999999998</v>
      </c>
      <c r="DX37">
        <v>36.766800000000003</v>
      </c>
      <c r="DY37">
        <v>1</v>
      </c>
      <c r="DZ37">
        <v>-7.82114E-2</v>
      </c>
      <c r="EA37">
        <v>4.8276300000000001</v>
      </c>
      <c r="EB37">
        <v>20.1066</v>
      </c>
      <c r="EC37">
        <v>5.24125</v>
      </c>
      <c r="ED37">
        <v>12.039899999999999</v>
      </c>
      <c r="EE37">
        <v>5.0167999999999999</v>
      </c>
      <c r="EF37">
        <v>3.2879499999999999</v>
      </c>
      <c r="EG37">
        <v>9999</v>
      </c>
      <c r="EH37">
        <v>9999</v>
      </c>
      <c r="EI37">
        <v>9999</v>
      </c>
      <c r="EJ37">
        <v>999.9</v>
      </c>
      <c r="EK37">
        <v>1.8689100000000001</v>
      </c>
      <c r="EL37">
        <v>1.8646199999999999</v>
      </c>
      <c r="EM37">
        <v>1.86921</v>
      </c>
      <c r="EN37">
        <v>1.8672599999999999</v>
      </c>
      <c r="EO37">
        <v>1.8633999999999999</v>
      </c>
      <c r="EP37">
        <v>1.8644700000000001</v>
      </c>
      <c r="EQ37">
        <v>1.87018</v>
      </c>
      <c r="ER37">
        <v>1.8694200000000001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-0.28599999999999998</v>
      </c>
      <c r="FG37">
        <v>0.2797</v>
      </c>
      <c r="FH37">
        <v>0.26269369235785539</v>
      </c>
      <c r="FI37">
        <v>-6.1462078757559423E-4</v>
      </c>
      <c r="FJ37">
        <v>-1.8861989874597051E-7</v>
      </c>
      <c r="FK37">
        <v>1.1980462299894961E-10</v>
      </c>
      <c r="FL37">
        <v>0.27968571428570849</v>
      </c>
      <c r="FM37">
        <v>0</v>
      </c>
      <c r="FN37">
        <v>0</v>
      </c>
      <c r="FO37">
        <v>0</v>
      </c>
      <c r="FP37">
        <v>3</v>
      </c>
      <c r="FQ37">
        <v>2158</v>
      </c>
      <c r="FR37">
        <v>1</v>
      </c>
      <c r="FS37">
        <v>19</v>
      </c>
      <c r="FT37">
        <v>13.1</v>
      </c>
      <c r="FU37">
        <v>13.1</v>
      </c>
      <c r="FV37">
        <v>1.79565</v>
      </c>
      <c r="FW37">
        <v>2.5793499999999998</v>
      </c>
      <c r="FX37">
        <v>1.5490699999999999</v>
      </c>
      <c r="FY37">
        <v>2.3315399999999999</v>
      </c>
      <c r="FZ37">
        <v>1.50146</v>
      </c>
      <c r="GA37">
        <v>2.31934</v>
      </c>
      <c r="GB37">
        <v>33.558</v>
      </c>
      <c r="GC37">
        <v>23.956199999999999</v>
      </c>
      <c r="GD37">
        <v>19</v>
      </c>
      <c r="GE37">
        <v>276.07799999999997</v>
      </c>
      <c r="GF37">
        <v>601.00099999999998</v>
      </c>
      <c r="GG37">
        <v>20.768000000000001</v>
      </c>
      <c r="GH37">
        <v>26.336400000000001</v>
      </c>
      <c r="GI37">
        <v>29.998999999999999</v>
      </c>
      <c r="GJ37">
        <v>26.325099999999999</v>
      </c>
      <c r="GK37">
        <v>26.285699999999999</v>
      </c>
      <c r="GL37">
        <v>35.905700000000003</v>
      </c>
      <c r="GM37">
        <v>19.096399999999999</v>
      </c>
      <c r="GN37">
        <v>100</v>
      </c>
      <c r="GO37">
        <v>20.819900000000001</v>
      </c>
      <c r="GP37">
        <v>800</v>
      </c>
      <c r="GQ37">
        <v>20.9712</v>
      </c>
      <c r="GR37">
        <v>99.75</v>
      </c>
      <c r="GS37">
        <v>99.589100000000002</v>
      </c>
    </row>
    <row r="38" spans="1:201" x14ac:dyDescent="0.25">
      <c r="A38">
        <v>22</v>
      </c>
      <c r="B38">
        <v>1690385615.5999999</v>
      </c>
      <c r="C38">
        <v>281</v>
      </c>
      <c r="D38" t="s">
        <v>377</v>
      </c>
      <c r="E38" t="s">
        <v>378</v>
      </c>
      <c r="F38" t="s">
        <v>330</v>
      </c>
      <c r="H38">
        <v>1690385615.5999999</v>
      </c>
      <c r="I38">
        <f t="shared" si="0"/>
        <v>1.4092851003778237E-4</v>
      </c>
      <c r="J38">
        <f t="shared" si="1"/>
        <v>0.14092851003778237</v>
      </c>
      <c r="K38">
        <f t="shared" si="2"/>
        <v>0.22147722168639924</v>
      </c>
      <c r="L38">
        <f t="shared" si="3"/>
        <v>796.39400000000001</v>
      </c>
      <c r="M38">
        <f t="shared" si="4"/>
        <v>733.31647660022782</v>
      </c>
      <c r="N38">
        <f t="shared" si="5"/>
        <v>72.424230852130506</v>
      </c>
      <c r="O38">
        <f t="shared" si="6"/>
        <v>78.653930118489995</v>
      </c>
      <c r="P38">
        <f t="shared" si="7"/>
        <v>8.367448540858826E-3</v>
      </c>
      <c r="Q38">
        <f t="shared" si="8"/>
        <v>2.1603308077021621</v>
      </c>
      <c r="R38">
        <f t="shared" si="9"/>
        <v>8.3494852728216249E-3</v>
      </c>
      <c r="S38">
        <f t="shared" si="10"/>
        <v>5.2200389785090583E-3</v>
      </c>
      <c r="T38">
        <f t="shared" si="11"/>
        <v>276.11208931580819</v>
      </c>
      <c r="U38">
        <f t="shared" si="12"/>
        <v>28.150312408412553</v>
      </c>
      <c r="V38">
        <f t="shared" si="13"/>
        <v>28.150312408412553</v>
      </c>
      <c r="W38">
        <f t="shared" si="14"/>
        <v>3.8282200938626736</v>
      </c>
      <c r="X38">
        <f t="shared" si="15"/>
        <v>65.400287225661046</v>
      </c>
      <c r="Y38">
        <f t="shared" si="16"/>
        <v>2.2122127701905003</v>
      </c>
      <c r="Z38">
        <f t="shared" si="17"/>
        <v>3.3825734779380241</v>
      </c>
      <c r="AA38">
        <f t="shared" si="18"/>
        <v>1.6160073236721733</v>
      </c>
      <c r="AB38">
        <f t="shared" si="19"/>
        <v>-6.2149472926662028</v>
      </c>
      <c r="AC38">
        <f t="shared" si="20"/>
        <v>-245.59699910430112</v>
      </c>
      <c r="AD38">
        <f t="shared" si="21"/>
        <v>-24.558384557877531</v>
      </c>
      <c r="AE38">
        <f t="shared" si="22"/>
        <v>-0.25824163903666886</v>
      </c>
      <c r="AF38">
        <v>1</v>
      </c>
      <c r="AG38">
        <v>0</v>
      </c>
      <c r="AH38">
        <f t="shared" si="23"/>
        <v>1</v>
      </c>
      <c r="AI38">
        <f t="shared" si="24"/>
        <v>0</v>
      </c>
      <c r="AJ38">
        <f t="shared" si="25"/>
        <v>52437.505609635555</v>
      </c>
      <c r="AK38">
        <f t="shared" si="26"/>
        <v>1799.98</v>
      </c>
      <c r="AL38">
        <f t="shared" si="27"/>
        <v>1499.0930194258203</v>
      </c>
      <c r="AM38">
        <f t="shared" si="28"/>
        <v>0.83283870900000012</v>
      </c>
      <c r="AN38">
        <f t="shared" si="29"/>
        <v>0.15339730959</v>
      </c>
      <c r="AO38">
        <v>31.8</v>
      </c>
      <c r="AP38">
        <v>0.5</v>
      </c>
      <c r="AQ38" t="s">
        <v>331</v>
      </c>
      <c r="AR38">
        <v>2</v>
      </c>
      <c r="AS38">
        <v>1690385615.5999999</v>
      </c>
      <c r="AT38">
        <v>796.39400000000001</v>
      </c>
      <c r="AU38">
        <v>799.928</v>
      </c>
      <c r="AV38">
        <v>22.3993</v>
      </c>
      <c r="AW38">
        <v>20.940300000000001</v>
      </c>
      <c r="AX38">
        <v>796.68</v>
      </c>
      <c r="AY38">
        <v>22.119599999999998</v>
      </c>
      <c r="AZ38">
        <v>300.28399999999999</v>
      </c>
      <c r="BA38">
        <v>98.662499999999994</v>
      </c>
      <c r="BB38">
        <v>0.10008499999999999</v>
      </c>
      <c r="BC38">
        <v>26.041599999999999</v>
      </c>
      <c r="BD38">
        <v>26.964099999999998</v>
      </c>
      <c r="BE38">
        <v>27.919599999999999</v>
      </c>
      <c r="BF38">
        <v>0</v>
      </c>
      <c r="BG38">
        <v>0</v>
      </c>
      <c r="BH38">
        <v>10020</v>
      </c>
      <c r="BI38">
        <v>1075.71</v>
      </c>
      <c r="BJ38">
        <v>1.5137799999999999</v>
      </c>
      <c r="BK38">
        <v>-3.5339999999999998</v>
      </c>
      <c r="BL38">
        <v>814.64200000000005</v>
      </c>
      <c r="BM38">
        <v>817.03700000000003</v>
      </c>
      <c r="BN38">
        <v>1.45906</v>
      </c>
      <c r="BO38">
        <v>799.928</v>
      </c>
      <c r="BP38">
        <v>20.940300000000001</v>
      </c>
      <c r="BQ38">
        <v>2.2099700000000002</v>
      </c>
      <c r="BR38">
        <v>2.06602</v>
      </c>
      <c r="BS38">
        <v>19.034800000000001</v>
      </c>
      <c r="BT38">
        <v>17.959599999999998</v>
      </c>
      <c r="BU38">
        <v>1799.98</v>
      </c>
      <c r="BV38">
        <v>0.90999300000000005</v>
      </c>
      <c r="BW38">
        <v>3.4005899999999999E-2</v>
      </c>
      <c r="BX38">
        <v>2.1998199999999999E-2</v>
      </c>
      <c r="BY38">
        <v>3.4002699999999997E-2</v>
      </c>
      <c r="BZ38">
        <v>25</v>
      </c>
      <c r="CA38">
        <v>33528</v>
      </c>
      <c r="CB38">
        <v>1690384821</v>
      </c>
      <c r="CC38" t="s">
        <v>332</v>
      </c>
      <c r="CD38">
        <v>1690384820</v>
      </c>
      <c r="CE38">
        <v>1690384821</v>
      </c>
      <c r="CF38">
        <v>5</v>
      </c>
      <c r="CG38">
        <v>-2.5000000000000001E-2</v>
      </c>
      <c r="CH38">
        <v>0.104</v>
      </c>
      <c r="CI38">
        <v>-0.28799999999999998</v>
      </c>
      <c r="CJ38">
        <v>0.28000000000000003</v>
      </c>
      <c r="CK38">
        <v>800</v>
      </c>
      <c r="CL38">
        <v>24</v>
      </c>
      <c r="CM38">
        <v>0.08</v>
      </c>
      <c r="CN38">
        <v>0.11</v>
      </c>
      <c r="CO38">
        <v>-3.4549507317073171</v>
      </c>
      <c r="CP38">
        <v>-0.34440292682927059</v>
      </c>
      <c r="CQ38">
        <v>5.0163072677420949E-2</v>
      </c>
      <c r="CR38">
        <v>-1</v>
      </c>
      <c r="CS38">
        <v>1.9605119512195119</v>
      </c>
      <c r="CT38">
        <v>-3.5707605574912908</v>
      </c>
      <c r="CU38">
        <v>0.35679721165526679</v>
      </c>
      <c r="CV38">
        <v>-1</v>
      </c>
      <c r="CW38">
        <v>0</v>
      </c>
      <c r="CX38">
        <v>0</v>
      </c>
      <c r="CY38" t="s">
        <v>333</v>
      </c>
      <c r="CZ38">
        <v>2.36476</v>
      </c>
      <c r="DA38">
        <v>2.7139000000000002</v>
      </c>
      <c r="DB38">
        <v>0.14572299999999999</v>
      </c>
      <c r="DC38">
        <v>0.14579500000000001</v>
      </c>
      <c r="DD38">
        <v>0.107706</v>
      </c>
      <c r="DE38">
        <v>0.101545</v>
      </c>
      <c r="DF38">
        <v>31196.7</v>
      </c>
      <c r="DG38">
        <v>27534.799999999999</v>
      </c>
      <c r="DH38">
        <v>31175.7</v>
      </c>
      <c r="DI38">
        <v>28087.599999999999</v>
      </c>
      <c r="DJ38">
        <v>37771</v>
      </c>
      <c r="DK38">
        <v>35882.699999999997</v>
      </c>
      <c r="DL38">
        <v>44367.4</v>
      </c>
      <c r="DM38">
        <v>42572.3</v>
      </c>
      <c r="DN38">
        <v>1.4609700000000001</v>
      </c>
      <c r="DO38">
        <v>2.0583300000000002</v>
      </c>
      <c r="DP38">
        <v>8.3398100000000003E-2</v>
      </c>
      <c r="DQ38">
        <v>0.16208400000000001</v>
      </c>
      <c r="DR38">
        <v>25.598600000000001</v>
      </c>
      <c r="DS38">
        <v>25.267099999999999</v>
      </c>
      <c r="DT38">
        <v>57.3</v>
      </c>
      <c r="DU38">
        <v>29</v>
      </c>
      <c r="DV38">
        <v>23.356200000000001</v>
      </c>
      <c r="DW38">
        <v>60.932200000000002</v>
      </c>
      <c r="DX38">
        <v>36.017600000000002</v>
      </c>
      <c r="DY38">
        <v>1</v>
      </c>
      <c r="DZ38">
        <v>-8.1956299999999996E-2</v>
      </c>
      <c r="EA38">
        <v>3.61293</v>
      </c>
      <c r="EB38">
        <v>20.1447</v>
      </c>
      <c r="EC38">
        <v>5.2413999999999996</v>
      </c>
      <c r="ED38">
        <v>12.039899999999999</v>
      </c>
      <c r="EE38">
        <v>5.01715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1.8689100000000001</v>
      </c>
      <c r="EL38">
        <v>1.8646199999999999</v>
      </c>
      <c r="EM38">
        <v>1.8692299999999999</v>
      </c>
      <c r="EN38">
        <v>1.86724</v>
      </c>
      <c r="EO38">
        <v>1.8633999999999999</v>
      </c>
      <c r="EP38">
        <v>1.8644700000000001</v>
      </c>
      <c r="EQ38">
        <v>1.8701700000000001</v>
      </c>
      <c r="ER38">
        <v>1.86941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-0.28599999999999998</v>
      </c>
      <c r="FG38">
        <v>0.2797</v>
      </c>
      <c r="FH38">
        <v>0.26269369235785539</v>
      </c>
      <c r="FI38">
        <v>-6.1462078757559423E-4</v>
      </c>
      <c r="FJ38">
        <v>-1.8861989874597051E-7</v>
      </c>
      <c r="FK38">
        <v>1.1980462299894961E-10</v>
      </c>
      <c r="FL38">
        <v>0.27968571428570849</v>
      </c>
      <c r="FM38">
        <v>0</v>
      </c>
      <c r="FN38">
        <v>0</v>
      </c>
      <c r="FO38">
        <v>0</v>
      </c>
      <c r="FP38">
        <v>3</v>
      </c>
      <c r="FQ38">
        <v>2158</v>
      </c>
      <c r="FR38">
        <v>1</v>
      </c>
      <c r="FS38">
        <v>19</v>
      </c>
      <c r="FT38">
        <v>13.3</v>
      </c>
      <c r="FU38">
        <v>13.2</v>
      </c>
      <c r="FV38">
        <v>1.79688</v>
      </c>
      <c r="FW38">
        <v>2.5817899999999998</v>
      </c>
      <c r="FX38">
        <v>1.5490699999999999</v>
      </c>
      <c r="FY38">
        <v>2.3315399999999999</v>
      </c>
      <c r="FZ38">
        <v>1.50146</v>
      </c>
      <c r="GA38">
        <v>2.31934</v>
      </c>
      <c r="GB38">
        <v>33.580399999999997</v>
      </c>
      <c r="GC38">
        <v>23.9649</v>
      </c>
      <c r="GD38">
        <v>19</v>
      </c>
      <c r="GE38">
        <v>276.37200000000001</v>
      </c>
      <c r="GF38">
        <v>600.95299999999997</v>
      </c>
      <c r="GG38">
        <v>20.5639</v>
      </c>
      <c r="GH38">
        <v>26.344799999999999</v>
      </c>
      <c r="GI38">
        <v>29.9984</v>
      </c>
      <c r="GJ38">
        <v>26.335000000000001</v>
      </c>
      <c r="GK38">
        <v>26.290600000000001</v>
      </c>
      <c r="GL38">
        <v>35.913800000000002</v>
      </c>
      <c r="GM38">
        <v>18.825700000000001</v>
      </c>
      <c r="GN38">
        <v>100</v>
      </c>
      <c r="GO38">
        <v>20.673300000000001</v>
      </c>
      <c r="GP38">
        <v>800</v>
      </c>
      <c r="GQ38">
        <v>20.982800000000001</v>
      </c>
      <c r="GR38">
        <v>99.750799999999998</v>
      </c>
      <c r="GS38">
        <v>99.590299999999999</v>
      </c>
    </row>
    <row r="39" spans="1:201" x14ac:dyDescent="0.25">
      <c r="A39">
        <v>23</v>
      </c>
      <c r="B39">
        <v>1690385625.5999999</v>
      </c>
      <c r="C39">
        <v>291</v>
      </c>
      <c r="D39" t="s">
        <v>379</v>
      </c>
      <c r="E39" t="s">
        <v>380</v>
      </c>
      <c r="F39" t="s">
        <v>330</v>
      </c>
      <c r="H39">
        <v>1690385625.5999999</v>
      </c>
      <c r="I39">
        <f t="shared" si="0"/>
        <v>1.6849597395298367E-4</v>
      </c>
      <c r="J39">
        <f t="shared" si="1"/>
        <v>0.16849597395298366</v>
      </c>
      <c r="K39">
        <f t="shared" si="2"/>
        <v>0.23680945484178423</v>
      </c>
      <c r="L39">
        <f t="shared" si="3"/>
        <v>796.07299999999998</v>
      </c>
      <c r="M39">
        <f t="shared" si="4"/>
        <v>738.57238653359661</v>
      </c>
      <c r="N39">
        <f t="shared" si="5"/>
        <v>72.943591597031912</v>
      </c>
      <c r="O39">
        <f t="shared" si="6"/>
        <v>78.622522114536906</v>
      </c>
      <c r="P39">
        <f t="shared" si="7"/>
        <v>1.0210008716806936E-2</v>
      </c>
      <c r="Q39">
        <f t="shared" si="8"/>
        <v>2.1526213439602477</v>
      </c>
      <c r="R39">
        <f t="shared" si="9"/>
        <v>1.0183181348217264E-2</v>
      </c>
      <c r="S39">
        <f t="shared" si="10"/>
        <v>6.3668927566121643E-3</v>
      </c>
      <c r="T39">
        <f t="shared" si="11"/>
        <v>276.11313883959554</v>
      </c>
      <c r="U39">
        <f t="shared" si="12"/>
        <v>28.134186995266912</v>
      </c>
      <c r="V39">
        <f t="shared" si="13"/>
        <v>28.134186995266912</v>
      </c>
      <c r="W39">
        <f t="shared" si="14"/>
        <v>3.8246268427074455</v>
      </c>
      <c r="X39">
        <f t="shared" si="15"/>
        <v>66.293177446640698</v>
      </c>
      <c r="Y39">
        <f t="shared" si="16"/>
        <v>2.2406252905955704</v>
      </c>
      <c r="Z39">
        <f t="shared" si="17"/>
        <v>3.3798731285720121</v>
      </c>
      <c r="AA39">
        <f t="shared" si="18"/>
        <v>1.5840015521118751</v>
      </c>
      <c r="AB39">
        <f t="shared" si="19"/>
        <v>-7.4306724513265801</v>
      </c>
      <c r="AC39">
        <f t="shared" si="20"/>
        <v>-244.41586469742194</v>
      </c>
      <c r="AD39">
        <f t="shared" si="21"/>
        <v>-24.52417598333842</v>
      </c>
      <c r="AE39">
        <f t="shared" si="22"/>
        <v>-0.25757429249139818</v>
      </c>
      <c r="AF39">
        <v>0</v>
      </c>
      <c r="AG39">
        <v>0</v>
      </c>
      <c r="AH39">
        <f t="shared" si="23"/>
        <v>1</v>
      </c>
      <c r="AI39">
        <f t="shared" si="24"/>
        <v>0</v>
      </c>
      <c r="AJ39">
        <f t="shared" si="25"/>
        <v>52116.832804976562</v>
      </c>
      <c r="AK39">
        <f t="shared" si="26"/>
        <v>1799.99</v>
      </c>
      <c r="AL39">
        <f t="shared" si="27"/>
        <v>1499.1029156042</v>
      </c>
      <c r="AM39">
        <f t="shared" si="28"/>
        <v>0.83283958000000002</v>
      </c>
      <c r="AN39">
        <f t="shared" si="29"/>
        <v>0.15339704045000002</v>
      </c>
      <c r="AO39">
        <v>31.8</v>
      </c>
      <c r="AP39">
        <v>0.5</v>
      </c>
      <c r="AQ39" t="s">
        <v>331</v>
      </c>
      <c r="AR39">
        <v>2</v>
      </c>
      <c r="AS39">
        <v>1690385625.5999999</v>
      </c>
      <c r="AT39">
        <v>796.07299999999998</v>
      </c>
      <c r="AU39">
        <v>800.00199999999995</v>
      </c>
      <c r="AV39">
        <v>22.686900000000001</v>
      </c>
      <c r="AW39">
        <v>20.942699999999999</v>
      </c>
      <c r="AX39">
        <v>796.35900000000004</v>
      </c>
      <c r="AY39">
        <v>22.4072</v>
      </c>
      <c r="AZ39">
        <v>300.23</v>
      </c>
      <c r="BA39">
        <v>98.662999999999997</v>
      </c>
      <c r="BB39">
        <v>9.9955299999999997E-2</v>
      </c>
      <c r="BC39">
        <v>26.028099999999998</v>
      </c>
      <c r="BD39">
        <v>26.942299999999999</v>
      </c>
      <c r="BE39">
        <v>27.852699999999999</v>
      </c>
      <c r="BF39">
        <v>0</v>
      </c>
      <c r="BG39">
        <v>0</v>
      </c>
      <c r="BH39">
        <v>9955.6200000000008</v>
      </c>
      <c r="BI39">
        <v>1074.96</v>
      </c>
      <c r="BJ39">
        <v>1.5137799999999999</v>
      </c>
      <c r="BK39">
        <v>-3.9287100000000001</v>
      </c>
      <c r="BL39">
        <v>814.553</v>
      </c>
      <c r="BM39">
        <v>817.11400000000003</v>
      </c>
      <c r="BN39">
        <v>1.74417</v>
      </c>
      <c r="BO39">
        <v>800.00199999999995</v>
      </c>
      <c r="BP39">
        <v>20.942699999999999</v>
      </c>
      <c r="BQ39">
        <v>2.2383600000000001</v>
      </c>
      <c r="BR39">
        <v>2.0662699999999998</v>
      </c>
      <c r="BS39">
        <v>19.2395</v>
      </c>
      <c r="BT39">
        <v>17.961500000000001</v>
      </c>
      <c r="BU39">
        <v>1799.99</v>
      </c>
      <c r="BV39">
        <v>0.91000400000000004</v>
      </c>
      <c r="BW39">
        <v>3.4001799999999999E-2</v>
      </c>
      <c r="BX39">
        <v>2.1995500000000001E-2</v>
      </c>
      <c r="BY39">
        <v>3.3998500000000001E-2</v>
      </c>
      <c r="BZ39">
        <v>25</v>
      </c>
      <c r="CA39">
        <v>33528.199999999997</v>
      </c>
      <c r="CB39">
        <v>1690384821</v>
      </c>
      <c r="CC39" t="s">
        <v>332</v>
      </c>
      <c r="CD39">
        <v>1690384820</v>
      </c>
      <c r="CE39">
        <v>1690384821</v>
      </c>
      <c r="CF39">
        <v>5</v>
      </c>
      <c r="CG39">
        <v>-2.5000000000000001E-2</v>
      </c>
      <c r="CH39">
        <v>0.104</v>
      </c>
      <c r="CI39">
        <v>-0.28799999999999998</v>
      </c>
      <c r="CJ39">
        <v>0.28000000000000003</v>
      </c>
      <c r="CK39">
        <v>800</v>
      </c>
      <c r="CL39">
        <v>24</v>
      </c>
      <c r="CM39">
        <v>0.08</v>
      </c>
      <c r="CN39">
        <v>0.11</v>
      </c>
      <c r="CO39">
        <v>-3.56816975</v>
      </c>
      <c r="CP39">
        <v>-1.027749230769222</v>
      </c>
      <c r="CQ39">
        <v>0.11078044889526981</v>
      </c>
      <c r="CR39">
        <v>-1</v>
      </c>
      <c r="CS39">
        <v>1.55573775</v>
      </c>
      <c r="CT39">
        <v>-0.80411358348968198</v>
      </c>
      <c r="CU39">
        <v>0.1230666651146341</v>
      </c>
      <c r="CV39">
        <v>-1</v>
      </c>
      <c r="CW39">
        <v>0</v>
      </c>
      <c r="CX39">
        <v>0</v>
      </c>
      <c r="CY39" t="s">
        <v>333</v>
      </c>
      <c r="CZ39">
        <v>2.3645700000000001</v>
      </c>
      <c r="DA39">
        <v>2.7137099999999998</v>
      </c>
      <c r="DB39">
        <v>0.14568500000000001</v>
      </c>
      <c r="DC39">
        <v>0.14580299999999999</v>
      </c>
      <c r="DD39">
        <v>0.10868899999999999</v>
      </c>
      <c r="DE39">
        <v>0.101553</v>
      </c>
      <c r="DF39">
        <v>31197.8</v>
      </c>
      <c r="DG39">
        <v>27533.7</v>
      </c>
      <c r="DH39">
        <v>31175.5</v>
      </c>
      <c r="DI39">
        <v>28086.799999999999</v>
      </c>
      <c r="DJ39">
        <v>37728.9</v>
      </c>
      <c r="DK39">
        <v>35881.5</v>
      </c>
      <c r="DL39">
        <v>44367.3</v>
      </c>
      <c r="DM39">
        <v>42571.4</v>
      </c>
      <c r="DN39">
        <v>1.46465</v>
      </c>
      <c r="DO39">
        <v>2.0581</v>
      </c>
      <c r="DP39">
        <v>8.4072400000000005E-2</v>
      </c>
      <c r="DQ39">
        <v>0.16100700000000001</v>
      </c>
      <c r="DR39">
        <v>25.5657</v>
      </c>
      <c r="DS39">
        <v>25.217600000000001</v>
      </c>
      <c r="DT39">
        <v>57.3</v>
      </c>
      <c r="DU39">
        <v>28.9</v>
      </c>
      <c r="DV39">
        <v>23.221499999999999</v>
      </c>
      <c r="DW39">
        <v>61.5822</v>
      </c>
      <c r="DX39">
        <v>35.604999999999997</v>
      </c>
      <c r="DY39">
        <v>1</v>
      </c>
      <c r="DZ39">
        <v>-8.5180400000000003E-2</v>
      </c>
      <c r="EA39">
        <v>-1.01559</v>
      </c>
      <c r="EB39">
        <v>20.180099999999999</v>
      </c>
      <c r="EC39">
        <v>5.2424499999999998</v>
      </c>
      <c r="ED39">
        <v>12.039899999999999</v>
      </c>
      <c r="EE39">
        <v>5.0171999999999999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1.8689100000000001</v>
      </c>
      <c r="EL39">
        <v>1.8646199999999999</v>
      </c>
      <c r="EM39">
        <v>1.8692200000000001</v>
      </c>
      <c r="EN39">
        <v>1.8672500000000001</v>
      </c>
      <c r="EO39">
        <v>1.8633999999999999</v>
      </c>
      <c r="EP39">
        <v>1.8644700000000001</v>
      </c>
      <c r="EQ39">
        <v>1.87018</v>
      </c>
      <c r="ER39">
        <v>1.8694500000000001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-0.28599999999999998</v>
      </c>
      <c r="FG39">
        <v>0.2797</v>
      </c>
      <c r="FH39">
        <v>0.26269369235785539</v>
      </c>
      <c r="FI39">
        <v>-6.1462078757559423E-4</v>
      </c>
      <c r="FJ39">
        <v>-1.8861989874597051E-7</v>
      </c>
      <c r="FK39">
        <v>1.1980462299894961E-10</v>
      </c>
      <c r="FL39">
        <v>0.27968571428570849</v>
      </c>
      <c r="FM39">
        <v>0</v>
      </c>
      <c r="FN39">
        <v>0</v>
      </c>
      <c r="FO39">
        <v>0</v>
      </c>
      <c r="FP39">
        <v>3</v>
      </c>
      <c r="FQ39">
        <v>2158</v>
      </c>
      <c r="FR39">
        <v>1</v>
      </c>
      <c r="FS39">
        <v>19</v>
      </c>
      <c r="FT39">
        <v>13.4</v>
      </c>
      <c r="FU39">
        <v>13.4</v>
      </c>
      <c r="FV39">
        <v>1.79688</v>
      </c>
      <c r="FW39">
        <v>2.5805699999999998</v>
      </c>
      <c r="FX39">
        <v>1.5490699999999999</v>
      </c>
      <c r="FY39">
        <v>2.3315399999999999</v>
      </c>
      <c r="FZ39">
        <v>1.50146</v>
      </c>
      <c r="GA39">
        <v>2.36938</v>
      </c>
      <c r="GB39">
        <v>33.580399999999997</v>
      </c>
      <c r="GC39">
        <v>23.982399999999998</v>
      </c>
      <c r="GD39">
        <v>19</v>
      </c>
      <c r="GE39">
        <v>277.97699999999998</v>
      </c>
      <c r="GF39">
        <v>600.82000000000005</v>
      </c>
      <c r="GG39">
        <v>22.658000000000001</v>
      </c>
      <c r="GH39">
        <v>26.353200000000001</v>
      </c>
      <c r="GI39">
        <v>29.996600000000001</v>
      </c>
      <c r="GJ39">
        <v>26.349499999999999</v>
      </c>
      <c r="GK39">
        <v>26.2956</v>
      </c>
      <c r="GL39">
        <v>35.914400000000001</v>
      </c>
      <c r="GM39">
        <v>20.252600000000001</v>
      </c>
      <c r="GN39">
        <v>100</v>
      </c>
      <c r="GO39">
        <v>22.675699999999999</v>
      </c>
      <c r="GP39">
        <v>800</v>
      </c>
      <c r="GQ39">
        <v>20.557400000000001</v>
      </c>
      <c r="GR39">
        <v>99.750500000000002</v>
      </c>
      <c r="GS39">
        <v>99.587800000000001</v>
      </c>
    </row>
    <row r="40" spans="1:201" x14ac:dyDescent="0.25">
      <c r="A40">
        <v>24</v>
      </c>
      <c r="B40">
        <v>1690385635.5999999</v>
      </c>
      <c r="C40">
        <v>301</v>
      </c>
      <c r="D40" t="s">
        <v>381</v>
      </c>
      <c r="E40" t="s">
        <v>382</v>
      </c>
      <c r="F40" t="s">
        <v>330</v>
      </c>
      <c r="H40">
        <v>1690385635.5999999</v>
      </c>
      <c r="I40">
        <f t="shared" si="0"/>
        <v>2.699780658794096E-4</v>
      </c>
      <c r="J40">
        <f t="shared" si="1"/>
        <v>0.26997806587940959</v>
      </c>
      <c r="K40">
        <f t="shared" si="2"/>
        <v>0.23308735992822791</v>
      </c>
      <c r="L40">
        <f t="shared" si="3"/>
        <v>795.51499999999999</v>
      </c>
      <c r="M40">
        <f t="shared" si="4"/>
        <v>753.18191922987091</v>
      </c>
      <c r="N40">
        <f t="shared" si="5"/>
        <v>74.388329342326188</v>
      </c>
      <c r="O40">
        <f t="shared" si="6"/>
        <v>78.569373886815001</v>
      </c>
      <c r="P40">
        <f t="shared" si="7"/>
        <v>1.6772783981168965E-2</v>
      </c>
      <c r="Q40">
        <f t="shared" si="8"/>
        <v>2.1599106042370484</v>
      </c>
      <c r="R40">
        <f t="shared" si="9"/>
        <v>1.6700758912833853E-2</v>
      </c>
      <c r="S40">
        <f t="shared" si="10"/>
        <v>1.0444419620028064E-2</v>
      </c>
      <c r="T40">
        <f t="shared" si="11"/>
        <v>276.11287883103995</v>
      </c>
      <c r="U40">
        <f t="shared" si="12"/>
        <v>28.215515139171199</v>
      </c>
      <c r="V40">
        <f t="shared" si="13"/>
        <v>28.215515139171199</v>
      </c>
      <c r="W40">
        <f t="shared" si="14"/>
        <v>3.8427793676160085</v>
      </c>
      <c r="X40">
        <f t="shared" si="15"/>
        <v>67.43314135375195</v>
      </c>
      <c r="Y40">
        <f t="shared" si="16"/>
        <v>2.2957923346029001</v>
      </c>
      <c r="Z40">
        <f t="shared" si="17"/>
        <v>3.4045460266477163</v>
      </c>
      <c r="AA40">
        <f t="shared" si="18"/>
        <v>1.5469870330131084</v>
      </c>
      <c r="AB40">
        <f t="shared" si="19"/>
        <v>-11.906032705281964</v>
      </c>
      <c r="AC40">
        <f t="shared" si="20"/>
        <v>-240.39102834548567</v>
      </c>
      <c r="AD40">
        <f t="shared" si="21"/>
        <v>-24.063480168541385</v>
      </c>
      <c r="AE40">
        <f t="shared" si="22"/>
        <v>-0.24766238826907738</v>
      </c>
      <c r="AF40">
        <v>0</v>
      </c>
      <c r="AG40">
        <v>0</v>
      </c>
      <c r="AH40">
        <f t="shared" si="23"/>
        <v>1</v>
      </c>
      <c r="AI40">
        <f t="shared" si="24"/>
        <v>0</v>
      </c>
      <c r="AJ40">
        <f t="shared" si="25"/>
        <v>52400.740497666935</v>
      </c>
      <c r="AK40">
        <f t="shared" si="26"/>
        <v>1799.99</v>
      </c>
      <c r="AL40">
        <f t="shared" si="27"/>
        <v>1499.1054535901001</v>
      </c>
      <c r="AM40">
        <f t="shared" si="28"/>
        <v>0.83284099</v>
      </c>
      <c r="AN40">
        <f t="shared" si="29"/>
        <v>0.15339689599999998</v>
      </c>
      <c r="AO40">
        <v>31.8</v>
      </c>
      <c r="AP40">
        <v>0.5</v>
      </c>
      <c r="AQ40" t="s">
        <v>331</v>
      </c>
      <c r="AR40">
        <v>2</v>
      </c>
      <c r="AS40">
        <v>1690385635.5999999</v>
      </c>
      <c r="AT40">
        <v>795.51499999999999</v>
      </c>
      <c r="AU40">
        <v>800.25900000000001</v>
      </c>
      <c r="AV40">
        <v>23.244900000000001</v>
      </c>
      <c r="AW40">
        <v>20.451599999999999</v>
      </c>
      <c r="AX40">
        <v>795.8</v>
      </c>
      <c r="AY40">
        <v>22.965199999999999</v>
      </c>
      <c r="AZ40">
        <v>300.209</v>
      </c>
      <c r="BA40">
        <v>98.665300000000002</v>
      </c>
      <c r="BB40">
        <v>0.100121</v>
      </c>
      <c r="BC40">
        <v>26.1511</v>
      </c>
      <c r="BD40">
        <v>27.047999999999998</v>
      </c>
      <c r="BE40">
        <v>27.943300000000001</v>
      </c>
      <c r="BF40">
        <v>0</v>
      </c>
      <c r="BG40">
        <v>0</v>
      </c>
      <c r="BH40">
        <v>10016.200000000001</v>
      </c>
      <c r="BI40">
        <v>1074.67</v>
      </c>
      <c r="BJ40">
        <v>1.5137799999999999</v>
      </c>
      <c r="BK40">
        <v>-4.7437699999999996</v>
      </c>
      <c r="BL40">
        <v>814.447</v>
      </c>
      <c r="BM40">
        <v>816.96699999999998</v>
      </c>
      <c r="BN40">
        <v>2.79331</v>
      </c>
      <c r="BO40">
        <v>800.25900000000001</v>
      </c>
      <c r="BP40">
        <v>20.451599999999999</v>
      </c>
      <c r="BQ40">
        <v>2.2934700000000001</v>
      </c>
      <c r="BR40">
        <v>2.0178600000000002</v>
      </c>
      <c r="BS40">
        <v>19.630600000000001</v>
      </c>
      <c r="BT40">
        <v>17.5852</v>
      </c>
      <c r="BU40">
        <v>1799.99</v>
      </c>
      <c r="BV40">
        <v>0.91001500000000002</v>
      </c>
      <c r="BW40">
        <v>3.3997899999999998E-2</v>
      </c>
      <c r="BX40">
        <v>2.1992999999999999E-2</v>
      </c>
      <c r="BY40">
        <v>3.39946E-2</v>
      </c>
      <c r="BZ40">
        <v>25</v>
      </c>
      <c r="CA40">
        <v>33528.300000000003</v>
      </c>
      <c r="CB40">
        <v>1690384821</v>
      </c>
      <c r="CC40" t="s">
        <v>332</v>
      </c>
      <c r="CD40">
        <v>1690384820</v>
      </c>
      <c r="CE40">
        <v>1690384821</v>
      </c>
      <c r="CF40">
        <v>5</v>
      </c>
      <c r="CG40">
        <v>-2.5000000000000001E-2</v>
      </c>
      <c r="CH40">
        <v>0.104</v>
      </c>
      <c r="CI40">
        <v>-0.28799999999999998</v>
      </c>
      <c r="CJ40">
        <v>0.28000000000000003</v>
      </c>
      <c r="CK40">
        <v>800</v>
      </c>
      <c r="CL40">
        <v>24</v>
      </c>
      <c r="CM40">
        <v>0.08</v>
      </c>
      <c r="CN40">
        <v>0.11</v>
      </c>
      <c r="CO40">
        <v>-3.98595275</v>
      </c>
      <c r="CP40">
        <v>-4.245408968105056</v>
      </c>
      <c r="CQ40">
        <v>0.42628510485347421</v>
      </c>
      <c r="CR40">
        <v>-1</v>
      </c>
      <c r="CS40">
        <v>1.8143987500000001</v>
      </c>
      <c r="CT40">
        <v>4.0817323452157579</v>
      </c>
      <c r="CU40">
        <v>0.42161058706576332</v>
      </c>
      <c r="CV40">
        <v>-1</v>
      </c>
      <c r="CW40">
        <v>0</v>
      </c>
      <c r="CX40">
        <v>0</v>
      </c>
      <c r="CY40" t="s">
        <v>333</v>
      </c>
      <c r="CZ40">
        <v>2.3644799999999999</v>
      </c>
      <c r="DA40">
        <v>2.71393</v>
      </c>
      <c r="DB40">
        <v>0.14562700000000001</v>
      </c>
      <c r="DC40">
        <v>0.14582800000000001</v>
      </c>
      <c r="DD40">
        <v>0.11058900000000001</v>
      </c>
      <c r="DE40">
        <v>9.9865999999999996E-2</v>
      </c>
      <c r="DF40">
        <v>31200.2</v>
      </c>
      <c r="DG40">
        <v>27533.1</v>
      </c>
      <c r="DH40">
        <v>31175.8</v>
      </c>
      <c r="DI40">
        <v>28087</v>
      </c>
      <c r="DJ40">
        <v>37647.9</v>
      </c>
      <c r="DK40">
        <v>35949.300000000003</v>
      </c>
      <c r="DL40">
        <v>44367.5</v>
      </c>
      <c r="DM40">
        <v>42571.7</v>
      </c>
      <c r="DN40">
        <v>1.4623200000000001</v>
      </c>
      <c r="DO40">
        <v>2.0576500000000002</v>
      </c>
      <c r="DP40">
        <v>9.2539899999999994E-2</v>
      </c>
      <c r="DQ40">
        <v>0.16902</v>
      </c>
      <c r="DR40">
        <v>25.532800000000002</v>
      </c>
      <c r="DS40">
        <v>25.177099999999999</v>
      </c>
      <c r="DT40">
        <v>57.3</v>
      </c>
      <c r="DU40">
        <v>28.9</v>
      </c>
      <c r="DV40">
        <v>23.225100000000001</v>
      </c>
      <c r="DW40">
        <v>60.972200000000001</v>
      </c>
      <c r="DX40">
        <v>35.568899999999999</v>
      </c>
      <c r="DY40">
        <v>1</v>
      </c>
      <c r="DZ40">
        <v>-8.7385699999999997E-2</v>
      </c>
      <c r="EA40">
        <v>1.1803699999999999</v>
      </c>
      <c r="EB40">
        <v>20.185400000000001</v>
      </c>
      <c r="EC40">
        <v>5.2416999999999998</v>
      </c>
      <c r="ED40">
        <v>12.039899999999999</v>
      </c>
      <c r="EE40">
        <v>5.01715</v>
      </c>
      <c r="EF40">
        <v>3.2879299999999998</v>
      </c>
      <c r="EG40">
        <v>9999</v>
      </c>
      <c r="EH40">
        <v>9999</v>
      </c>
      <c r="EI40">
        <v>9999</v>
      </c>
      <c r="EJ40">
        <v>999.9</v>
      </c>
      <c r="EK40">
        <v>1.8689</v>
      </c>
      <c r="EL40">
        <v>1.8646199999999999</v>
      </c>
      <c r="EM40">
        <v>1.8692299999999999</v>
      </c>
      <c r="EN40">
        <v>1.8672599999999999</v>
      </c>
      <c r="EO40">
        <v>1.8633999999999999</v>
      </c>
      <c r="EP40">
        <v>1.8644700000000001</v>
      </c>
      <c r="EQ40">
        <v>1.8702099999999999</v>
      </c>
      <c r="ER40">
        <v>1.86941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-0.28499999999999998</v>
      </c>
      <c r="FG40">
        <v>0.2797</v>
      </c>
      <c r="FH40">
        <v>0.26269369235785539</v>
      </c>
      <c r="FI40">
        <v>-6.1462078757559423E-4</v>
      </c>
      <c r="FJ40">
        <v>-1.8861989874597051E-7</v>
      </c>
      <c r="FK40">
        <v>1.1980462299894961E-10</v>
      </c>
      <c r="FL40">
        <v>0.27968571428570849</v>
      </c>
      <c r="FM40">
        <v>0</v>
      </c>
      <c r="FN40">
        <v>0</v>
      </c>
      <c r="FO40">
        <v>0</v>
      </c>
      <c r="FP40">
        <v>3</v>
      </c>
      <c r="FQ40">
        <v>2158</v>
      </c>
      <c r="FR40">
        <v>1</v>
      </c>
      <c r="FS40">
        <v>19</v>
      </c>
      <c r="FT40">
        <v>13.6</v>
      </c>
      <c r="FU40">
        <v>13.6</v>
      </c>
      <c r="FV40">
        <v>1.79565</v>
      </c>
      <c r="FW40">
        <v>2.5817899999999998</v>
      </c>
      <c r="FX40">
        <v>1.5490699999999999</v>
      </c>
      <c r="FY40">
        <v>2.3315399999999999</v>
      </c>
      <c r="FZ40">
        <v>1.50146</v>
      </c>
      <c r="GA40">
        <v>2.4047900000000002</v>
      </c>
      <c r="GB40">
        <v>33.580399999999997</v>
      </c>
      <c r="GC40">
        <v>23.982399999999998</v>
      </c>
      <c r="GD40">
        <v>19</v>
      </c>
      <c r="GE40">
        <v>277.06200000000001</v>
      </c>
      <c r="GF40">
        <v>600.47199999999998</v>
      </c>
      <c r="GG40">
        <v>22.915099999999999</v>
      </c>
      <c r="GH40">
        <v>26.360900000000001</v>
      </c>
      <c r="GI40">
        <v>29.999600000000001</v>
      </c>
      <c r="GJ40">
        <v>26.363700000000001</v>
      </c>
      <c r="GK40">
        <v>26.298300000000001</v>
      </c>
      <c r="GL40">
        <v>35.893300000000004</v>
      </c>
      <c r="GM40">
        <v>22.545300000000001</v>
      </c>
      <c r="GN40">
        <v>100</v>
      </c>
      <c r="GO40">
        <v>22.755099999999999</v>
      </c>
      <c r="GP40">
        <v>800</v>
      </c>
      <c r="GQ40">
        <v>20.207799999999999</v>
      </c>
      <c r="GR40">
        <v>99.751099999999994</v>
      </c>
      <c r="GS40">
        <v>99.5886</v>
      </c>
    </row>
    <row r="41" spans="1:201" x14ac:dyDescent="0.25">
      <c r="A41">
        <v>25</v>
      </c>
      <c r="B41">
        <v>1690385645.5999999</v>
      </c>
      <c r="C41">
        <v>311</v>
      </c>
      <c r="D41" t="s">
        <v>383</v>
      </c>
      <c r="E41" t="s">
        <v>384</v>
      </c>
      <c r="F41" t="s">
        <v>330</v>
      </c>
      <c r="H41">
        <v>1690385645.5999999</v>
      </c>
      <c r="I41">
        <f t="shared" si="0"/>
        <v>2.8145294213047586E-4</v>
      </c>
      <c r="J41">
        <f t="shared" si="1"/>
        <v>0.28145294213047584</v>
      </c>
      <c r="K41">
        <f t="shared" si="2"/>
        <v>0.21415864556548328</v>
      </c>
      <c r="L41">
        <f t="shared" si="3"/>
        <v>795.39800000000002</v>
      </c>
      <c r="M41">
        <f t="shared" si="4"/>
        <v>755.317921034302</v>
      </c>
      <c r="N41">
        <f t="shared" si="5"/>
        <v>74.595738537915551</v>
      </c>
      <c r="O41">
        <f t="shared" si="6"/>
        <v>78.554075825888404</v>
      </c>
      <c r="P41">
        <f t="shared" si="7"/>
        <v>1.7326760438361566E-2</v>
      </c>
      <c r="Q41">
        <f t="shared" si="8"/>
        <v>2.1582172722925055</v>
      </c>
      <c r="R41">
        <f t="shared" si="9"/>
        <v>1.7249850828635588E-2</v>
      </c>
      <c r="S41">
        <f t="shared" si="10"/>
        <v>1.0788038245318104E-2</v>
      </c>
      <c r="T41">
        <f t="shared" si="11"/>
        <v>276.11261714849377</v>
      </c>
      <c r="U41">
        <f t="shared" si="12"/>
        <v>28.242375028561405</v>
      </c>
      <c r="V41">
        <f t="shared" si="13"/>
        <v>28.242375028561405</v>
      </c>
      <c r="W41">
        <f t="shared" si="14"/>
        <v>3.8487910095451436</v>
      </c>
      <c r="X41">
        <f t="shared" si="15"/>
        <v>67.071357879360505</v>
      </c>
      <c r="Y41">
        <f t="shared" si="16"/>
        <v>2.2874463190016998</v>
      </c>
      <c r="Z41">
        <f t="shared" si="17"/>
        <v>3.4104666899931706</v>
      </c>
      <c r="AA41">
        <f t="shared" si="18"/>
        <v>1.5613446905434438</v>
      </c>
      <c r="AB41">
        <f t="shared" si="19"/>
        <v>-12.412074747953985</v>
      </c>
      <c r="AC41">
        <f t="shared" si="20"/>
        <v>-239.90701445889525</v>
      </c>
      <c r="AD41">
        <f t="shared" si="21"/>
        <v>-24.040628297885888</v>
      </c>
      <c r="AE41">
        <f t="shared" si="22"/>
        <v>-0.2471003562413614</v>
      </c>
      <c r="AF41">
        <v>0</v>
      </c>
      <c r="AG41">
        <v>0</v>
      </c>
      <c r="AH41">
        <f t="shared" si="23"/>
        <v>1</v>
      </c>
      <c r="AI41">
        <f t="shared" si="24"/>
        <v>0</v>
      </c>
      <c r="AJ41">
        <f t="shared" si="25"/>
        <v>52324.482101765381</v>
      </c>
      <c r="AK41">
        <f t="shared" si="26"/>
        <v>1799.99</v>
      </c>
      <c r="AL41">
        <f t="shared" si="27"/>
        <v>1499.10615018623</v>
      </c>
      <c r="AM41">
        <f t="shared" si="28"/>
        <v>0.83284137700000005</v>
      </c>
      <c r="AN41">
        <f t="shared" si="29"/>
        <v>0.15339675061999999</v>
      </c>
      <c r="AO41">
        <v>31.8</v>
      </c>
      <c r="AP41">
        <v>0.5</v>
      </c>
      <c r="AQ41" t="s">
        <v>331</v>
      </c>
      <c r="AR41">
        <v>2</v>
      </c>
      <c r="AS41">
        <v>1690385645.5999999</v>
      </c>
      <c r="AT41">
        <v>795.39800000000002</v>
      </c>
      <c r="AU41">
        <v>800.03899999999999</v>
      </c>
      <c r="AV41">
        <v>23.1615</v>
      </c>
      <c r="AW41">
        <v>20.2485</v>
      </c>
      <c r="AX41">
        <v>795.68299999999999</v>
      </c>
      <c r="AY41">
        <v>22.881799999999998</v>
      </c>
      <c r="AZ41">
        <v>300.13400000000001</v>
      </c>
      <c r="BA41">
        <v>98.660799999999995</v>
      </c>
      <c r="BB41">
        <v>9.9915799999999999E-2</v>
      </c>
      <c r="BC41">
        <v>26.180499999999999</v>
      </c>
      <c r="BD41">
        <v>27.104099999999999</v>
      </c>
      <c r="BE41">
        <v>28.0352</v>
      </c>
      <c r="BF41">
        <v>0</v>
      </c>
      <c r="BG41">
        <v>0</v>
      </c>
      <c r="BH41">
        <v>10002.5</v>
      </c>
      <c r="BI41">
        <v>1074.43</v>
      </c>
      <c r="BJ41">
        <v>1.5137799999999999</v>
      </c>
      <c r="BK41">
        <v>-4.6416599999999999</v>
      </c>
      <c r="BL41">
        <v>814.25699999999995</v>
      </c>
      <c r="BM41">
        <v>816.57399999999996</v>
      </c>
      <c r="BN41">
        <v>2.91296</v>
      </c>
      <c r="BO41">
        <v>800.03899999999999</v>
      </c>
      <c r="BP41">
        <v>20.2485</v>
      </c>
      <c r="BQ41">
        <v>2.2851300000000001</v>
      </c>
      <c r="BR41">
        <v>1.99773</v>
      </c>
      <c r="BS41">
        <v>19.571999999999999</v>
      </c>
      <c r="BT41">
        <v>17.426400000000001</v>
      </c>
      <c r="BU41">
        <v>1799.99</v>
      </c>
      <c r="BV41">
        <v>0.910022</v>
      </c>
      <c r="BW41">
        <v>3.3994000000000003E-2</v>
      </c>
      <c r="BX41">
        <v>2.1993100000000002E-2</v>
      </c>
      <c r="BY41">
        <v>3.3990800000000002E-2</v>
      </c>
      <c r="BZ41">
        <v>25</v>
      </c>
      <c r="CA41">
        <v>33528.400000000001</v>
      </c>
      <c r="CB41">
        <v>1690384821</v>
      </c>
      <c r="CC41" t="s">
        <v>332</v>
      </c>
      <c r="CD41">
        <v>1690384820</v>
      </c>
      <c r="CE41">
        <v>1690384821</v>
      </c>
      <c r="CF41">
        <v>5</v>
      </c>
      <c r="CG41">
        <v>-2.5000000000000001E-2</v>
      </c>
      <c r="CH41">
        <v>0.104</v>
      </c>
      <c r="CI41">
        <v>-0.28799999999999998</v>
      </c>
      <c r="CJ41">
        <v>0.28000000000000003</v>
      </c>
      <c r="CK41">
        <v>800</v>
      </c>
      <c r="CL41">
        <v>24</v>
      </c>
      <c r="CM41">
        <v>0.08</v>
      </c>
      <c r="CN41">
        <v>0.11</v>
      </c>
      <c r="CO41">
        <v>-4.5460764999999999</v>
      </c>
      <c r="CP41">
        <v>-1.491609906191369</v>
      </c>
      <c r="CQ41">
        <v>0.21671361590299301</v>
      </c>
      <c r="CR41">
        <v>-1</v>
      </c>
      <c r="CS41">
        <v>2.6000172500000001</v>
      </c>
      <c r="CT41">
        <v>3.8291057786116238</v>
      </c>
      <c r="CU41">
        <v>0.39661212628957471</v>
      </c>
      <c r="CV41">
        <v>-1</v>
      </c>
      <c r="CW41">
        <v>0</v>
      </c>
      <c r="CX41">
        <v>0</v>
      </c>
      <c r="CY41" t="s">
        <v>333</v>
      </c>
      <c r="CZ41">
        <v>2.36422</v>
      </c>
      <c r="DA41">
        <v>2.7137099999999998</v>
      </c>
      <c r="DB41">
        <v>0.14560300000000001</v>
      </c>
      <c r="DC41">
        <v>0.145788</v>
      </c>
      <c r="DD41">
        <v>0.1103</v>
      </c>
      <c r="DE41">
        <v>9.9156900000000006E-2</v>
      </c>
      <c r="DF41">
        <v>31200.3</v>
      </c>
      <c r="DG41">
        <v>27533.7</v>
      </c>
      <c r="DH41">
        <v>31175.1</v>
      </c>
      <c r="DI41">
        <v>28086.3</v>
      </c>
      <c r="DJ41">
        <v>37659.300000000003</v>
      </c>
      <c r="DK41">
        <v>35976.9</v>
      </c>
      <c r="DL41">
        <v>44366.400000000001</v>
      </c>
      <c r="DM41">
        <v>42570.8</v>
      </c>
      <c r="DN41">
        <v>1.4617800000000001</v>
      </c>
      <c r="DO41">
        <v>2.05715</v>
      </c>
      <c r="DP41">
        <v>9.7584000000000004E-2</v>
      </c>
      <c r="DQ41">
        <v>0.176176</v>
      </c>
      <c r="DR41">
        <v>25.506499999999999</v>
      </c>
      <c r="DS41">
        <v>25.152100000000001</v>
      </c>
      <c r="DT41">
        <v>57.3</v>
      </c>
      <c r="DU41">
        <v>28.9</v>
      </c>
      <c r="DV41">
        <v>23.223500000000001</v>
      </c>
      <c r="DW41">
        <v>60.482199999999999</v>
      </c>
      <c r="DX41">
        <v>36.029600000000002</v>
      </c>
      <c r="DY41">
        <v>1</v>
      </c>
      <c r="DZ41">
        <v>-8.5162600000000005E-2</v>
      </c>
      <c r="EA41">
        <v>1.9694100000000001</v>
      </c>
      <c r="EB41">
        <v>20.176100000000002</v>
      </c>
      <c r="EC41">
        <v>5.242</v>
      </c>
      <c r="ED41">
        <v>12.039899999999999</v>
      </c>
      <c r="EE41">
        <v>5.01715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1.8689199999999999</v>
      </c>
      <c r="EL41">
        <v>1.8646199999999999</v>
      </c>
      <c r="EM41">
        <v>1.8692</v>
      </c>
      <c r="EN41">
        <v>1.86727</v>
      </c>
      <c r="EO41">
        <v>1.8633900000000001</v>
      </c>
      <c r="EP41">
        <v>1.8644700000000001</v>
      </c>
      <c r="EQ41">
        <v>1.8702099999999999</v>
      </c>
      <c r="ER41">
        <v>1.86941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-0.28499999999999998</v>
      </c>
      <c r="FG41">
        <v>0.2797</v>
      </c>
      <c r="FH41">
        <v>0.26269369235785539</v>
      </c>
      <c r="FI41">
        <v>-6.1462078757559423E-4</v>
      </c>
      <c r="FJ41">
        <v>-1.8861989874597051E-7</v>
      </c>
      <c r="FK41">
        <v>1.1980462299894961E-10</v>
      </c>
      <c r="FL41">
        <v>0.27968571428570849</v>
      </c>
      <c r="FM41">
        <v>0</v>
      </c>
      <c r="FN41">
        <v>0</v>
      </c>
      <c r="FO41">
        <v>0</v>
      </c>
      <c r="FP41">
        <v>3</v>
      </c>
      <c r="FQ41">
        <v>2158</v>
      </c>
      <c r="FR41">
        <v>1</v>
      </c>
      <c r="FS41">
        <v>19</v>
      </c>
      <c r="FT41">
        <v>13.8</v>
      </c>
      <c r="FU41">
        <v>13.7</v>
      </c>
      <c r="FV41">
        <v>1.79443</v>
      </c>
      <c r="FW41">
        <v>2.5793499999999998</v>
      </c>
      <c r="FX41">
        <v>1.5490699999999999</v>
      </c>
      <c r="FY41">
        <v>2.3315399999999999</v>
      </c>
      <c r="FZ41">
        <v>1.50146</v>
      </c>
      <c r="GA41">
        <v>2.4157700000000002</v>
      </c>
      <c r="GB41">
        <v>33.580399999999997</v>
      </c>
      <c r="GC41">
        <v>23.982399999999998</v>
      </c>
      <c r="GD41">
        <v>19</v>
      </c>
      <c r="GE41">
        <v>276.83999999999997</v>
      </c>
      <c r="GF41">
        <v>600.11800000000005</v>
      </c>
      <c r="GG41">
        <v>22.799600000000002</v>
      </c>
      <c r="GH41">
        <v>26.367000000000001</v>
      </c>
      <c r="GI41">
        <v>30.001000000000001</v>
      </c>
      <c r="GJ41">
        <v>26.3659</v>
      </c>
      <c r="GK41">
        <v>26.304300000000001</v>
      </c>
      <c r="GL41">
        <v>35.888199999999998</v>
      </c>
      <c r="GM41">
        <v>22.8339</v>
      </c>
      <c r="GN41">
        <v>100</v>
      </c>
      <c r="GO41">
        <v>22.693999999999999</v>
      </c>
      <c r="GP41">
        <v>800</v>
      </c>
      <c r="GQ41">
        <v>20.151800000000001</v>
      </c>
      <c r="GR41">
        <v>99.748699999999999</v>
      </c>
      <c r="GS41">
        <v>99.586399999999998</v>
      </c>
    </row>
    <row r="42" spans="1:201" x14ac:dyDescent="0.25">
      <c r="A42">
        <v>26</v>
      </c>
      <c r="B42">
        <v>1690385655.5999999</v>
      </c>
      <c r="C42">
        <v>321</v>
      </c>
      <c r="D42" t="s">
        <v>385</v>
      </c>
      <c r="E42" t="s">
        <v>386</v>
      </c>
      <c r="F42" t="s">
        <v>330</v>
      </c>
      <c r="H42">
        <v>1690385655.5999999</v>
      </c>
      <c r="I42">
        <f t="shared" si="0"/>
        <v>2.6445272083343031E-4</v>
      </c>
      <c r="J42">
        <f t="shared" si="1"/>
        <v>0.2644527208334303</v>
      </c>
      <c r="K42">
        <f t="shared" si="2"/>
        <v>0.2367232680378844</v>
      </c>
      <c r="L42">
        <f t="shared" si="3"/>
        <v>795.17100000000005</v>
      </c>
      <c r="M42">
        <f t="shared" si="4"/>
        <v>751.07443219262677</v>
      </c>
      <c r="N42">
        <f t="shared" si="5"/>
        <v>74.177985154481917</v>
      </c>
      <c r="O42">
        <f t="shared" si="6"/>
        <v>78.533072229713412</v>
      </c>
      <c r="P42">
        <f t="shared" si="7"/>
        <v>1.6064453687891465E-2</v>
      </c>
      <c r="Q42">
        <f t="shared" si="8"/>
        <v>2.1544924793613629</v>
      </c>
      <c r="R42">
        <f t="shared" si="9"/>
        <v>1.5998205154828742E-2</v>
      </c>
      <c r="S42">
        <f t="shared" si="10"/>
        <v>1.000480753456548E-2</v>
      </c>
      <c r="T42">
        <f t="shared" si="11"/>
        <v>276.11633923200009</v>
      </c>
      <c r="U42">
        <f t="shared" si="12"/>
        <v>28.232653374037511</v>
      </c>
      <c r="V42">
        <f t="shared" si="13"/>
        <v>28.232653374037511</v>
      </c>
      <c r="W42">
        <f t="shared" si="14"/>
        <v>3.8466142123379226</v>
      </c>
      <c r="X42">
        <f t="shared" si="15"/>
        <v>66.474643270508764</v>
      </c>
      <c r="Y42">
        <f t="shared" si="16"/>
        <v>2.2645647620247602</v>
      </c>
      <c r="Z42">
        <f t="shared" si="17"/>
        <v>3.406659517990112</v>
      </c>
      <c r="AA42">
        <f t="shared" si="18"/>
        <v>1.5820494503131624</v>
      </c>
      <c r="AB42">
        <f t="shared" si="19"/>
        <v>-11.662364988754277</v>
      </c>
      <c r="AC42">
        <f t="shared" si="20"/>
        <v>-240.55905954602153</v>
      </c>
      <c r="AD42">
        <f t="shared" si="21"/>
        <v>-24.144193529939031</v>
      </c>
      <c r="AE42">
        <f t="shared" si="22"/>
        <v>-0.24927883271473661</v>
      </c>
      <c r="AF42">
        <v>0</v>
      </c>
      <c r="AG42">
        <v>0</v>
      </c>
      <c r="AH42">
        <f t="shared" si="23"/>
        <v>1</v>
      </c>
      <c r="AI42">
        <f t="shared" si="24"/>
        <v>0</v>
      </c>
      <c r="AJ42">
        <f t="shared" si="25"/>
        <v>52171.823569193577</v>
      </c>
      <c r="AK42">
        <f t="shared" si="26"/>
        <v>1800</v>
      </c>
      <c r="AL42">
        <f t="shared" si="27"/>
        <v>1499.1156792000002</v>
      </c>
      <c r="AM42">
        <f t="shared" si="28"/>
        <v>0.83284204400000006</v>
      </c>
      <c r="AN42">
        <f t="shared" si="29"/>
        <v>0.15339796624000004</v>
      </c>
      <c r="AO42">
        <v>31.8</v>
      </c>
      <c r="AP42">
        <v>0.5</v>
      </c>
      <c r="AQ42" t="s">
        <v>331</v>
      </c>
      <c r="AR42">
        <v>2</v>
      </c>
      <c r="AS42">
        <v>1690385655.5999999</v>
      </c>
      <c r="AT42">
        <v>795.17100000000005</v>
      </c>
      <c r="AU42">
        <v>799.90700000000004</v>
      </c>
      <c r="AV42">
        <v>22.929400000000001</v>
      </c>
      <c r="AW42">
        <v>20.191800000000001</v>
      </c>
      <c r="AX42">
        <v>795.45600000000002</v>
      </c>
      <c r="AY42">
        <v>22.649699999999999</v>
      </c>
      <c r="AZ42">
        <v>300.14499999999998</v>
      </c>
      <c r="BA42">
        <v>98.662499999999994</v>
      </c>
      <c r="BB42">
        <v>9.9995399999999998E-2</v>
      </c>
      <c r="BC42">
        <v>26.1616</v>
      </c>
      <c r="BD42">
        <v>27.098600000000001</v>
      </c>
      <c r="BE42">
        <v>28.027699999999999</v>
      </c>
      <c r="BF42">
        <v>0</v>
      </c>
      <c r="BG42">
        <v>0</v>
      </c>
      <c r="BH42">
        <v>9971.25</v>
      </c>
      <c r="BI42">
        <v>1074.1400000000001</v>
      </c>
      <c r="BJ42">
        <v>1.5137799999999999</v>
      </c>
      <c r="BK42">
        <v>-4.7356600000000002</v>
      </c>
      <c r="BL42">
        <v>813.83199999999999</v>
      </c>
      <c r="BM42">
        <v>816.39099999999996</v>
      </c>
      <c r="BN42">
        <v>2.7376499999999999</v>
      </c>
      <c r="BO42">
        <v>799.90700000000004</v>
      </c>
      <c r="BP42">
        <v>20.191800000000001</v>
      </c>
      <c r="BQ42">
        <v>2.2622800000000001</v>
      </c>
      <c r="BR42">
        <v>1.99217</v>
      </c>
      <c r="BS42">
        <v>19.410299999999999</v>
      </c>
      <c r="BT42">
        <v>17.382300000000001</v>
      </c>
      <c r="BU42">
        <v>1800</v>
      </c>
      <c r="BV42">
        <v>0.91000800000000004</v>
      </c>
      <c r="BW42">
        <v>3.3995600000000001E-2</v>
      </c>
      <c r="BX42">
        <v>2.20092E-2</v>
      </c>
      <c r="BY42">
        <v>3.3987200000000002E-2</v>
      </c>
      <c r="BZ42">
        <v>25</v>
      </c>
      <c r="CA42">
        <v>33528.300000000003</v>
      </c>
      <c r="CB42">
        <v>1690384821</v>
      </c>
      <c r="CC42" t="s">
        <v>332</v>
      </c>
      <c r="CD42">
        <v>1690384820</v>
      </c>
      <c r="CE42">
        <v>1690384821</v>
      </c>
      <c r="CF42">
        <v>5</v>
      </c>
      <c r="CG42">
        <v>-2.5000000000000001E-2</v>
      </c>
      <c r="CH42">
        <v>0.104</v>
      </c>
      <c r="CI42">
        <v>-0.28799999999999998</v>
      </c>
      <c r="CJ42">
        <v>0.28000000000000003</v>
      </c>
      <c r="CK42">
        <v>800</v>
      </c>
      <c r="CL42">
        <v>24</v>
      </c>
      <c r="CM42">
        <v>0.08</v>
      </c>
      <c r="CN42">
        <v>0.11</v>
      </c>
      <c r="CO42">
        <v>-4.6653539999999998</v>
      </c>
      <c r="CP42">
        <v>-5.5723677298298351E-2</v>
      </c>
      <c r="CQ42">
        <v>4.0229297707019433E-2</v>
      </c>
      <c r="CR42">
        <v>-1</v>
      </c>
      <c r="CS42">
        <v>2.8837495</v>
      </c>
      <c r="CT42">
        <v>-0.43957170731707501</v>
      </c>
      <c r="CU42">
        <v>6.494440872584796E-2</v>
      </c>
      <c r="CV42">
        <v>-1</v>
      </c>
      <c r="CW42">
        <v>0</v>
      </c>
      <c r="CX42">
        <v>0</v>
      </c>
      <c r="CY42" t="s">
        <v>333</v>
      </c>
      <c r="CZ42">
        <v>2.3642599999999998</v>
      </c>
      <c r="DA42">
        <v>2.7137600000000002</v>
      </c>
      <c r="DB42">
        <v>0.14557300000000001</v>
      </c>
      <c r="DC42">
        <v>0.14577100000000001</v>
      </c>
      <c r="DD42">
        <v>0.109513</v>
      </c>
      <c r="DE42">
        <v>9.8960500000000007E-2</v>
      </c>
      <c r="DF42">
        <v>31200.5</v>
      </c>
      <c r="DG42">
        <v>27533.1</v>
      </c>
      <c r="DH42">
        <v>31174.2</v>
      </c>
      <c r="DI42">
        <v>28085.3</v>
      </c>
      <c r="DJ42">
        <v>37691.9</v>
      </c>
      <c r="DK42">
        <v>35983.5</v>
      </c>
      <c r="DL42">
        <v>44365.2</v>
      </c>
      <c r="DM42">
        <v>42569.2</v>
      </c>
      <c r="DN42">
        <v>1.4612000000000001</v>
      </c>
      <c r="DO42">
        <v>2.0569500000000001</v>
      </c>
      <c r="DP42">
        <v>9.8459400000000002E-2</v>
      </c>
      <c r="DQ42">
        <v>0.17671999999999999</v>
      </c>
      <c r="DR42">
        <v>25.486499999999999</v>
      </c>
      <c r="DS42">
        <v>25.1356</v>
      </c>
      <c r="DT42">
        <v>57.3</v>
      </c>
      <c r="DU42">
        <v>28.9</v>
      </c>
      <c r="DV42">
        <v>23.2225</v>
      </c>
      <c r="DW42">
        <v>61.0122</v>
      </c>
      <c r="DX42">
        <v>36.662700000000001</v>
      </c>
      <c r="DY42">
        <v>1</v>
      </c>
      <c r="DZ42">
        <v>-8.3074200000000001E-2</v>
      </c>
      <c r="EA42">
        <v>2.3366600000000002</v>
      </c>
      <c r="EB42">
        <v>20.170100000000001</v>
      </c>
      <c r="EC42">
        <v>5.2416999999999998</v>
      </c>
      <c r="ED42">
        <v>12.039899999999999</v>
      </c>
      <c r="EE42">
        <v>5.0170500000000002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</v>
      </c>
      <c r="EL42">
        <v>1.8646199999999999</v>
      </c>
      <c r="EM42">
        <v>1.8692</v>
      </c>
      <c r="EN42">
        <v>1.8672299999999999</v>
      </c>
      <c r="EO42">
        <v>1.86338</v>
      </c>
      <c r="EP42">
        <v>1.8644700000000001</v>
      </c>
      <c r="EQ42">
        <v>1.87019</v>
      </c>
      <c r="ER42">
        <v>1.8693900000000001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-0.28499999999999998</v>
      </c>
      <c r="FG42">
        <v>0.2797</v>
      </c>
      <c r="FH42">
        <v>0.26269369235785539</v>
      </c>
      <c r="FI42">
        <v>-6.1462078757559423E-4</v>
      </c>
      <c r="FJ42">
        <v>-1.8861989874597051E-7</v>
      </c>
      <c r="FK42">
        <v>1.1980462299894961E-10</v>
      </c>
      <c r="FL42">
        <v>0.27968571428570849</v>
      </c>
      <c r="FM42">
        <v>0</v>
      </c>
      <c r="FN42">
        <v>0</v>
      </c>
      <c r="FO42">
        <v>0</v>
      </c>
      <c r="FP42">
        <v>3</v>
      </c>
      <c r="FQ42">
        <v>2158</v>
      </c>
      <c r="FR42">
        <v>1</v>
      </c>
      <c r="FS42">
        <v>19</v>
      </c>
      <c r="FT42">
        <v>13.9</v>
      </c>
      <c r="FU42">
        <v>13.9</v>
      </c>
      <c r="FV42">
        <v>1.79443</v>
      </c>
      <c r="FW42">
        <v>2.5781200000000002</v>
      </c>
      <c r="FX42">
        <v>1.5490699999999999</v>
      </c>
      <c r="FY42">
        <v>2.3315399999999999</v>
      </c>
      <c r="FZ42">
        <v>1.50146</v>
      </c>
      <c r="GA42">
        <v>2.3754900000000001</v>
      </c>
      <c r="GB42">
        <v>33.580399999999997</v>
      </c>
      <c r="GC42">
        <v>23.973700000000001</v>
      </c>
      <c r="GD42">
        <v>19</v>
      </c>
      <c r="GE42">
        <v>276.601</v>
      </c>
      <c r="GF42">
        <v>600.01499999999999</v>
      </c>
      <c r="GG42">
        <v>22.550599999999999</v>
      </c>
      <c r="GH42">
        <v>26.371500000000001</v>
      </c>
      <c r="GI42">
        <v>30.000900000000001</v>
      </c>
      <c r="GJ42">
        <v>26.366499999999998</v>
      </c>
      <c r="GK42">
        <v>26.309799999999999</v>
      </c>
      <c r="GL42">
        <v>35.892499999999998</v>
      </c>
      <c r="GM42">
        <v>22.8339</v>
      </c>
      <c r="GN42">
        <v>100</v>
      </c>
      <c r="GO42">
        <v>22.488900000000001</v>
      </c>
      <c r="GP42">
        <v>800</v>
      </c>
      <c r="GQ42">
        <v>20.211200000000002</v>
      </c>
      <c r="GR42">
        <v>99.745900000000006</v>
      </c>
      <c r="GS42">
        <v>99.582700000000003</v>
      </c>
    </row>
    <row r="43" spans="1:201" x14ac:dyDescent="0.25">
      <c r="A43">
        <v>27</v>
      </c>
      <c r="B43">
        <v>1690385665.5999999</v>
      </c>
      <c r="C43">
        <v>331</v>
      </c>
      <c r="D43" t="s">
        <v>387</v>
      </c>
      <c r="E43" t="s">
        <v>388</v>
      </c>
      <c r="F43" t="s">
        <v>330</v>
      </c>
      <c r="H43">
        <v>1690385665.5999999</v>
      </c>
      <c r="I43">
        <f t="shared" si="0"/>
        <v>2.4491244232673916E-4</v>
      </c>
      <c r="J43">
        <f t="shared" si="1"/>
        <v>0.24491244232673917</v>
      </c>
      <c r="K43">
        <f t="shared" si="2"/>
        <v>0.27653603916784986</v>
      </c>
      <c r="L43">
        <f t="shared" si="3"/>
        <v>795</v>
      </c>
      <c r="M43">
        <f t="shared" si="4"/>
        <v>744.37600176981562</v>
      </c>
      <c r="N43">
        <f t="shared" si="5"/>
        <v>73.516686473880014</v>
      </c>
      <c r="O43">
        <f t="shared" si="6"/>
        <v>78.516456210000001</v>
      </c>
      <c r="P43">
        <f t="shared" si="7"/>
        <v>1.4745661265306053E-2</v>
      </c>
      <c r="Q43">
        <f t="shared" si="8"/>
        <v>2.1589953619779507</v>
      </c>
      <c r="R43">
        <f t="shared" si="9"/>
        <v>1.4689939023468974E-2</v>
      </c>
      <c r="S43">
        <f t="shared" si="10"/>
        <v>9.1862006864735779E-3</v>
      </c>
      <c r="T43">
        <f t="shared" si="11"/>
        <v>276.11476394256709</v>
      </c>
      <c r="U43">
        <f t="shared" si="12"/>
        <v>28.19811702444769</v>
      </c>
      <c r="V43">
        <f t="shared" si="13"/>
        <v>28.19811702444769</v>
      </c>
      <c r="W43">
        <f t="shared" si="14"/>
        <v>3.8388897840221166</v>
      </c>
      <c r="X43">
        <f t="shared" si="15"/>
        <v>65.987426230606488</v>
      </c>
      <c r="Y43">
        <f t="shared" si="16"/>
        <v>2.2430028138180003</v>
      </c>
      <c r="Z43">
        <f t="shared" si="17"/>
        <v>3.3991366870096895</v>
      </c>
      <c r="AA43">
        <f t="shared" si="18"/>
        <v>1.5958869702041163</v>
      </c>
      <c r="AB43">
        <f t="shared" si="19"/>
        <v>-10.800638706609197</v>
      </c>
      <c r="AC43">
        <f t="shared" si="20"/>
        <v>-241.39514399627461</v>
      </c>
      <c r="AD43">
        <f t="shared" si="21"/>
        <v>-24.168889146748946</v>
      </c>
      <c r="AE43">
        <f t="shared" si="22"/>
        <v>-0.24990790706564781</v>
      </c>
      <c r="AF43">
        <v>0</v>
      </c>
      <c r="AG43">
        <v>0</v>
      </c>
      <c r="AH43">
        <f t="shared" si="23"/>
        <v>1</v>
      </c>
      <c r="AI43">
        <f t="shared" si="24"/>
        <v>0</v>
      </c>
      <c r="AJ43">
        <f t="shared" si="25"/>
        <v>52367.002183083554</v>
      </c>
      <c r="AK43">
        <f t="shared" si="26"/>
        <v>1799.99</v>
      </c>
      <c r="AL43">
        <f t="shared" si="27"/>
        <v>1499.10235580731</v>
      </c>
      <c r="AM43">
        <f t="shared" si="28"/>
        <v>0.83283926900000005</v>
      </c>
      <c r="AN43">
        <f t="shared" si="29"/>
        <v>0.15339794329000001</v>
      </c>
      <c r="AO43">
        <v>31.8</v>
      </c>
      <c r="AP43">
        <v>0.5</v>
      </c>
      <c r="AQ43" t="s">
        <v>331</v>
      </c>
      <c r="AR43">
        <v>2</v>
      </c>
      <c r="AS43">
        <v>1690385665.5999999</v>
      </c>
      <c r="AT43">
        <v>795</v>
      </c>
      <c r="AU43">
        <v>799.99099999999999</v>
      </c>
      <c r="AV43">
        <v>22.710999999999999</v>
      </c>
      <c r="AW43">
        <v>20.175999999999998</v>
      </c>
      <c r="AX43">
        <v>795.28499999999997</v>
      </c>
      <c r="AY43">
        <v>22.4313</v>
      </c>
      <c r="AZ43">
        <v>300.25</v>
      </c>
      <c r="BA43">
        <v>98.662800000000004</v>
      </c>
      <c r="BB43">
        <v>0.100038</v>
      </c>
      <c r="BC43">
        <v>26.124199999999998</v>
      </c>
      <c r="BD43">
        <v>27.053899999999999</v>
      </c>
      <c r="BE43">
        <v>28.0122</v>
      </c>
      <c r="BF43">
        <v>0</v>
      </c>
      <c r="BG43">
        <v>0</v>
      </c>
      <c r="BH43">
        <v>10008.799999999999</v>
      </c>
      <c r="BI43">
        <v>1073.8</v>
      </c>
      <c r="BJ43">
        <v>1.5137799999999999</v>
      </c>
      <c r="BK43">
        <v>-4.9910300000000003</v>
      </c>
      <c r="BL43">
        <v>813.47500000000002</v>
      </c>
      <c r="BM43">
        <v>816.46400000000006</v>
      </c>
      <c r="BN43">
        <v>2.5350199999999998</v>
      </c>
      <c r="BO43">
        <v>799.99099999999999</v>
      </c>
      <c r="BP43">
        <v>20.175999999999998</v>
      </c>
      <c r="BQ43">
        <v>2.2407300000000001</v>
      </c>
      <c r="BR43">
        <v>1.9906200000000001</v>
      </c>
      <c r="BS43">
        <v>19.256499999999999</v>
      </c>
      <c r="BT43">
        <v>17.369900000000001</v>
      </c>
      <c r="BU43">
        <v>1799.99</v>
      </c>
      <c r="BV43">
        <v>0.90998900000000005</v>
      </c>
      <c r="BW43">
        <v>3.4007599999999999E-2</v>
      </c>
      <c r="BX43">
        <v>2.2007200000000001E-2</v>
      </c>
      <c r="BY43">
        <v>3.3995900000000003E-2</v>
      </c>
      <c r="BZ43">
        <v>25</v>
      </c>
      <c r="CA43">
        <v>33528.1</v>
      </c>
      <c r="CB43">
        <v>1690384821</v>
      </c>
      <c r="CC43" t="s">
        <v>332</v>
      </c>
      <c r="CD43">
        <v>1690384820</v>
      </c>
      <c r="CE43">
        <v>1690384821</v>
      </c>
      <c r="CF43">
        <v>5</v>
      </c>
      <c r="CG43">
        <v>-2.5000000000000001E-2</v>
      </c>
      <c r="CH43">
        <v>0.104</v>
      </c>
      <c r="CI43">
        <v>-0.28799999999999998</v>
      </c>
      <c r="CJ43">
        <v>0.28000000000000003</v>
      </c>
      <c r="CK43">
        <v>800</v>
      </c>
      <c r="CL43">
        <v>24</v>
      </c>
      <c r="CM43">
        <v>0.08</v>
      </c>
      <c r="CN43">
        <v>0.11</v>
      </c>
      <c r="CO43">
        <v>-4.7553109756097562</v>
      </c>
      <c r="CP43">
        <v>-0.95536432055749665</v>
      </c>
      <c r="CQ43">
        <v>0.10038235110656819</v>
      </c>
      <c r="CR43">
        <v>-1</v>
      </c>
      <c r="CS43">
        <v>2.7526043902439019</v>
      </c>
      <c r="CT43">
        <v>-1.1862409756097529</v>
      </c>
      <c r="CU43">
        <v>0.11730467497491159</v>
      </c>
      <c r="CV43">
        <v>-1</v>
      </c>
      <c r="CW43">
        <v>0</v>
      </c>
      <c r="CX43">
        <v>0</v>
      </c>
      <c r="CY43" t="s">
        <v>333</v>
      </c>
      <c r="CZ43">
        <v>2.3645900000000002</v>
      </c>
      <c r="DA43">
        <v>2.7138399999999998</v>
      </c>
      <c r="DB43">
        <v>0.14554700000000001</v>
      </c>
      <c r="DC43">
        <v>0.14577999999999999</v>
      </c>
      <c r="DD43">
        <v>0.108766</v>
      </c>
      <c r="DE43">
        <v>9.8904699999999998E-2</v>
      </c>
      <c r="DF43">
        <v>31201.1</v>
      </c>
      <c r="DG43">
        <v>27532.2</v>
      </c>
      <c r="DH43">
        <v>31173.9</v>
      </c>
      <c r="DI43">
        <v>28084.6</v>
      </c>
      <c r="DJ43">
        <v>37723.4</v>
      </c>
      <c r="DK43">
        <v>35984.800000000003</v>
      </c>
      <c r="DL43">
        <v>44364.7</v>
      </c>
      <c r="DM43">
        <v>42568.2</v>
      </c>
      <c r="DN43">
        <v>1.4615</v>
      </c>
      <c r="DO43">
        <v>2.0566200000000001</v>
      </c>
      <c r="DP43">
        <v>9.6779299999999999E-2</v>
      </c>
      <c r="DQ43">
        <v>0.176735</v>
      </c>
      <c r="DR43">
        <v>25.4693</v>
      </c>
      <c r="DS43">
        <v>25.119800000000001</v>
      </c>
      <c r="DT43">
        <v>57.4</v>
      </c>
      <c r="DU43">
        <v>28.9</v>
      </c>
      <c r="DV43">
        <v>23.265000000000001</v>
      </c>
      <c r="DW43">
        <v>60.822200000000002</v>
      </c>
      <c r="DX43">
        <v>36.506399999999999</v>
      </c>
      <c r="DY43">
        <v>1</v>
      </c>
      <c r="DZ43">
        <v>-8.2670199999999999E-2</v>
      </c>
      <c r="EA43">
        <v>2.2326800000000002</v>
      </c>
      <c r="EB43">
        <v>20.171800000000001</v>
      </c>
      <c r="EC43">
        <v>5.2424499999999998</v>
      </c>
      <c r="ED43">
        <v>12.039899999999999</v>
      </c>
      <c r="EE43">
        <v>5.0175000000000001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1.8689100000000001</v>
      </c>
      <c r="EL43">
        <v>1.8646199999999999</v>
      </c>
      <c r="EM43">
        <v>1.8692</v>
      </c>
      <c r="EN43">
        <v>1.86724</v>
      </c>
      <c r="EO43">
        <v>1.8633999999999999</v>
      </c>
      <c r="EP43">
        <v>1.8644700000000001</v>
      </c>
      <c r="EQ43">
        <v>1.8702000000000001</v>
      </c>
      <c r="ER43">
        <v>1.86938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-0.28499999999999998</v>
      </c>
      <c r="FG43">
        <v>0.2797</v>
      </c>
      <c r="FH43">
        <v>0.26269369235785539</v>
      </c>
      <c r="FI43">
        <v>-6.1462078757559423E-4</v>
      </c>
      <c r="FJ43">
        <v>-1.8861989874597051E-7</v>
      </c>
      <c r="FK43">
        <v>1.1980462299894961E-10</v>
      </c>
      <c r="FL43">
        <v>0.27968571428570849</v>
      </c>
      <c r="FM43">
        <v>0</v>
      </c>
      <c r="FN43">
        <v>0</v>
      </c>
      <c r="FO43">
        <v>0</v>
      </c>
      <c r="FP43">
        <v>3</v>
      </c>
      <c r="FQ43">
        <v>2158</v>
      </c>
      <c r="FR43">
        <v>1</v>
      </c>
      <c r="FS43">
        <v>19</v>
      </c>
      <c r="FT43">
        <v>14.1</v>
      </c>
      <c r="FU43">
        <v>14.1</v>
      </c>
      <c r="FV43">
        <v>1.79565</v>
      </c>
      <c r="FW43">
        <v>2.5793499999999998</v>
      </c>
      <c r="FX43">
        <v>1.5490699999999999</v>
      </c>
      <c r="FY43">
        <v>2.3315399999999999</v>
      </c>
      <c r="FZ43">
        <v>1.50146</v>
      </c>
      <c r="GA43">
        <v>2.2814899999999998</v>
      </c>
      <c r="GB43">
        <v>33.580399999999997</v>
      </c>
      <c r="GC43">
        <v>23.9649</v>
      </c>
      <c r="GD43">
        <v>19</v>
      </c>
      <c r="GE43">
        <v>276.74400000000003</v>
      </c>
      <c r="GF43">
        <v>599.79899999999998</v>
      </c>
      <c r="GG43">
        <v>22.332000000000001</v>
      </c>
      <c r="GH43">
        <v>26.375299999999999</v>
      </c>
      <c r="GI43">
        <v>30.0002</v>
      </c>
      <c r="GJ43">
        <v>26.3703</v>
      </c>
      <c r="GK43">
        <v>26.314800000000002</v>
      </c>
      <c r="GL43">
        <v>35.894300000000001</v>
      </c>
      <c r="GM43">
        <v>22.558199999999999</v>
      </c>
      <c r="GN43">
        <v>100</v>
      </c>
      <c r="GO43">
        <v>22.3248</v>
      </c>
      <c r="GP43">
        <v>800</v>
      </c>
      <c r="GQ43">
        <v>20.292300000000001</v>
      </c>
      <c r="GR43">
        <v>99.744799999999998</v>
      </c>
      <c r="GS43">
        <v>99.580100000000002</v>
      </c>
    </row>
    <row r="44" spans="1:201" x14ac:dyDescent="0.25">
      <c r="A44">
        <v>28</v>
      </c>
      <c r="B44">
        <v>1690385675.5999999</v>
      </c>
      <c r="C44">
        <v>341</v>
      </c>
      <c r="D44" t="s">
        <v>389</v>
      </c>
      <c r="E44" t="s">
        <v>390</v>
      </c>
      <c r="F44" t="s">
        <v>330</v>
      </c>
      <c r="H44">
        <v>1690385675.5999999</v>
      </c>
      <c r="I44">
        <f t="shared" si="0"/>
        <v>2.2543963923132699E-4</v>
      </c>
      <c r="J44">
        <f t="shared" si="1"/>
        <v>0.22543963923132698</v>
      </c>
      <c r="K44">
        <f t="shared" si="2"/>
        <v>0.29463153538645842</v>
      </c>
      <c r="L44">
        <f t="shared" si="3"/>
        <v>794.779</v>
      </c>
      <c r="M44">
        <f t="shared" si="4"/>
        <v>739.21034353036873</v>
      </c>
      <c r="N44">
        <f t="shared" si="5"/>
        <v>73.007503721979319</v>
      </c>
      <c r="O44">
        <f t="shared" si="6"/>
        <v>78.495696534131596</v>
      </c>
      <c r="P44">
        <f t="shared" si="7"/>
        <v>1.3502099165037473E-2</v>
      </c>
      <c r="Q44">
        <f t="shared" si="8"/>
        <v>2.1584871291691377</v>
      </c>
      <c r="R44">
        <f t="shared" si="9"/>
        <v>1.3455352140789741E-2</v>
      </c>
      <c r="S44">
        <f t="shared" si="10"/>
        <v>8.4137815665395656E-3</v>
      </c>
      <c r="T44">
        <f t="shared" si="11"/>
        <v>276.113159421918</v>
      </c>
      <c r="U44">
        <f t="shared" si="12"/>
        <v>28.166535933738363</v>
      </c>
      <c r="V44">
        <f t="shared" si="13"/>
        <v>28.166535933738363</v>
      </c>
      <c r="W44">
        <f t="shared" si="14"/>
        <v>3.8318381791263589</v>
      </c>
      <c r="X44">
        <f t="shared" si="15"/>
        <v>65.69197969592318</v>
      </c>
      <c r="Y44">
        <f t="shared" si="16"/>
        <v>2.22784337011888</v>
      </c>
      <c r="Z44">
        <f t="shared" si="17"/>
        <v>3.3913475898141323</v>
      </c>
      <c r="AA44">
        <f t="shared" si="18"/>
        <v>1.6039948090074789</v>
      </c>
      <c r="AB44">
        <f t="shared" si="19"/>
        <v>-9.9418880901015196</v>
      </c>
      <c r="AC44">
        <f t="shared" si="20"/>
        <v>-242.17837160820696</v>
      </c>
      <c r="AD44">
        <f t="shared" si="21"/>
        <v>-24.24448933631313</v>
      </c>
      <c r="AE44">
        <f t="shared" si="22"/>
        <v>-0.25158961270361146</v>
      </c>
      <c r="AF44">
        <v>0</v>
      </c>
      <c r="AG44">
        <v>0</v>
      </c>
      <c r="AH44">
        <f t="shared" si="23"/>
        <v>1</v>
      </c>
      <c r="AI44">
        <f t="shared" si="24"/>
        <v>0</v>
      </c>
      <c r="AJ44">
        <f t="shared" si="25"/>
        <v>52352.51192324367</v>
      </c>
      <c r="AK44">
        <f t="shared" si="26"/>
        <v>1799.98</v>
      </c>
      <c r="AL44">
        <f t="shared" si="27"/>
        <v>1499.0934622209002</v>
      </c>
      <c r="AM44">
        <f t="shared" si="28"/>
        <v>0.83283895500000005</v>
      </c>
      <c r="AN44">
        <f t="shared" si="29"/>
        <v>0.15339790410000001</v>
      </c>
      <c r="AO44">
        <v>31.8</v>
      </c>
      <c r="AP44">
        <v>0.5</v>
      </c>
      <c r="AQ44" t="s">
        <v>331</v>
      </c>
      <c r="AR44">
        <v>2</v>
      </c>
      <c r="AS44">
        <v>1690385675.5999999</v>
      </c>
      <c r="AT44">
        <v>794.779</v>
      </c>
      <c r="AU44">
        <v>799.798</v>
      </c>
      <c r="AV44">
        <v>22.557200000000002</v>
      </c>
      <c r="AW44">
        <v>20.222999999999999</v>
      </c>
      <c r="AX44">
        <v>795.06399999999996</v>
      </c>
      <c r="AY44">
        <v>22.2775</v>
      </c>
      <c r="AZ44">
        <v>300.2</v>
      </c>
      <c r="BA44">
        <v>98.664299999999997</v>
      </c>
      <c r="BB44">
        <v>9.9880399999999994E-2</v>
      </c>
      <c r="BC44">
        <v>26.0854</v>
      </c>
      <c r="BD44">
        <v>27.0214</v>
      </c>
      <c r="BE44">
        <v>27.970300000000002</v>
      </c>
      <c r="BF44">
        <v>0</v>
      </c>
      <c r="BG44">
        <v>0</v>
      </c>
      <c r="BH44">
        <v>10004.4</v>
      </c>
      <c r="BI44">
        <v>1073.4000000000001</v>
      </c>
      <c r="BJ44">
        <v>1.5137799999999999</v>
      </c>
      <c r="BK44">
        <v>-5.0184899999999999</v>
      </c>
      <c r="BL44">
        <v>813.12099999999998</v>
      </c>
      <c r="BM44">
        <v>816.30600000000004</v>
      </c>
      <c r="BN44">
        <v>2.3341799999999999</v>
      </c>
      <c r="BO44">
        <v>799.798</v>
      </c>
      <c r="BP44">
        <v>20.222999999999999</v>
      </c>
      <c r="BQ44">
        <v>2.22559</v>
      </c>
      <c r="BR44">
        <v>1.99529</v>
      </c>
      <c r="BS44">
        <v>19.1477</v>
      </c>
      <c r="BT44">
        <v>17.407</v>
      </c>
      <c r="BU44">
        <v>1799.98</v>
      </c>
      <c r="BV44">
        <v>0.90998100000000004</v>
      </c>
      <c r="BW44">
        <v>3.4003499999999999E-2</v>
      </c>
      <c r="BX44">
        <v>2.20045E-2</v>
      </c>
      <c r="BY44">
        <v>3.4011399999999997E-2</v>
      </c>
      <c r="BZ44">
        <v>25</v>
      </c>
      <c r="CA44">
        <v>33527.9</v>
      </c>
      <c r="CB44">
        <v>1690384821</v>
      </c>
      <c r="CC44" t="s">
        <v>332</v>
      </c>
      <c r="CD44">
        <v>1690384820</v>
      </c>
      <c r="CE44">
        <v>1690384821</v>
      </c>
      <c r="CF44">
        <v>5</v>
      </c>
      <c r="CG44">
        <v>-2.5000000000000001E-2</v>
      </c>
      <c r="CH44">
        <v>0.104</v>
      </c>
      <c r="CI44">
        <v>-0.28799999999999998</v>
      </c>
      <c r="CJ44">
        <v>0.28000000000000003</v>
      </c>
      <c r="CK44">
        <v>800</v>
      </c>
      <c r="CL44">
        <v>24</v>
      </c>
      <c r="CM44">
        <v>0.08</v>
      </c>
      <c r="CN44">
        <v>0.11</v>
      </c>
      <c r="CO44">
        <v>-4.9240753658536596</v>
      </c>
      <c r="CP44">
        <v>-1.0307857839721319</v>
      </c>
      <c r="CQ44">
        <v>0.1054094602154614</v>
      </c>
      <c r="CR44">
        <v>-1</v>
      </c>
      <c r="CS44">
        <v>2.5542524390243901</v>
      </c>
      <c r="CT44">
        <v>-1.187142439024383</v>
      </c>
      <c r="CU44">
        <v>0.1170991920319648</v>
      </c>
      <c r="CV44">
        <v>-1</v>
      </c>
      <c r="CW44">
        <v>0</v>
      </c>
      <c r="CX44">
        <v>0</v>
      </c>
      <c r="CY44" t="s">
        <v>333</v>
      </c>
      <c r="CZ44">
        <v>2.3644400000000001</v>
      </c>
      <c r="DA44">
        <v>2.7136800000000001</v>
      </c>
      <c r="DB44">
        <v>0.14551800000000001</v>
      </c>
      <c r="DC44">
        <v>0.145758</v>
      </c>
      <c r="DD44">
        <v>0.10824</v>
      </c>
      <c r="DE44">
        <v>9.9068000000000003E-2</v>
      </c>
      <c r="DF44">
        <v>31201.599999999999</v>
      </c>
      <c r="DG44">
        <v>27532.5</v>
      </c>
      <c r="DH44">
        <v>31173.3</v>
      </c>
      <c r="DI44">
        <v>28084.2</v>
      </c>
      <c r="DJ44">
        <v>37745.199999999997</v>
      </c>
      <c r="DK44">
        <v>35978</v>
      </c>
      <c r="DL44">
        <v>44363.9</v>
      </c>
      <c r="DM44">
        <v>42567.9</v>
      </c>
      <c r="DN44">
        <v>1.4611000000000001</v>
      </c>
      <c r="DO44">
        <v>2.0569700000000002</v>
      </c>
      <c r="DP44">
        <v>9.5833100000000004E-2</v>
      </c>
      <c r="DQ44">
        <v>0.17533099999999999</v>
      </c>
      <c r="DR44">
        <v>25.452200000000001</v>
      </c>
      <c r="DS44">
        <v>25.1008</v>
      </c>
      <c r="DT44">
        <v>57.4</v>
      </c>
      <c r="DU44">
        <v>28.9</v>
      </c>
      <c r="DV44">
        <v>23.264600000000002</v>
      </c>
      <c r="DW44">
        <v>61.052199999999999</v>
      </c>
      <c r="DX44">
        <v>35.825299999999999</v>
      </c>
      <c r="DY44">
        <v>1</v>
      </c>
      <c r="DZ44">
        <v>-8.2787100000000002E-2</v>
      </c>
      <c r="EA44">
        <v>1.9725200000000001</v>
      </c>
      <c r="EB44">
        <v>20.175699999999999</v>
      </c>
      <c r="EC44">
        <v>5.2416999999999998</v>
      </c>
      <c r="ED44">
        <v>12.039899999999999</v>
      </c>
      <c r="EE44">
        <v>5.0169499999999996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</v>
      </c>
      <c r="EL44">
        <v>1.8646199999999999</v>
      </c>
      <c r="EM44">
        <v>1.8692</v>
      </c>
      <c r="EN44">
        <v>1.8672299999999999</v>
      </c>
      <c r="EO44">
        <v>1.86338</v>
      </c>
      <c r="EP44">
        <v>1.8644700000000001</v>
      </c>
      <c r="EQ44">
        <v>1.87018</v>
      </c>
      <c r="ER44">
        <v>1.8693900000000001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-0.28499999999999998</v>
      </c>
      <c r="FG44">
        <v>0.2797</v>
      </c>
      <c r="FH44">
        <v>0.26269369235785539</v>
      </c>
      <c r="FI44">
        <v>-6.1462078757559423E-4</v>
      </c>
      <c r="FJ44">
        <v>-1.8861989874597051E-7</v>
      </c>
      <c r="FK44">
        <v>1.1980462299894961E-10</v>
      </c>
      <c r="FL44">
        <v>0.27968571428570849</v>
      </c>
      <c r="FM44">
        <v>0</v>
      </c>
      <c r="FN44">
        <v>0</v>
      </c>
      <c r="FO44">
        <v>0</v>
      </c>
      <c r="FP44">
        <v>3</v>
      </c>
      <c r="FQ44">
        <v>2158</v>
      </c>
      <c r="FR44">
        <v>1</v>
      </c>
      <c r="FS44">
        <v>19</v>
      </c>
      <c r="FT44">
        <v>14.3</v>
      </c>
      <c r="FU44">
        <v>14.2</v>
      </c>
      <c r="FV44">
        <v>1.79565</v>
      </c>
      <c r="FW44">
        <v>2.5842299999999998</v>
      </c>
      <c r="FX44">
        <v>1.5490699999999999</v>
      </c>
      <c r="FY44">
        <v>2.3315399999999999</v>
      </c>
      <c r="FZ44">
        <v>1.50146</v>
      </c>
      <c r="GA44">
        <v>2.34253</v>
      </c>
      <c r="GB44">
        <v>33.580399999999997</v>
      </c>
      <c r="GC44">
        <v>23.973700000000001</v>
      </c>
      <c r="GD44">
        <v>19</v>
      </c>
      <c r="GE44">
        <v>276.59500000000003</v>
      </c>
      <c r="GF44">
        <v>600.15800000000002</v>
      </c>
      <c r="GG44">
        <v>22.217300000000002</v>
      </c>
      <c r="GH44">
        <v>26.377500000000001</v>
      </c>
      <c r="GI44">
        <v>30</v>
      </c>
      <c r="GJ44">
        <v>26.3748</v>
      </c>
      <c r="GK44">
        <v>26.3203</v>
      </c>
      <c r="GL44">
        <v>35.906500000000001</v>
      </c>
      <c r="GM44">
        <v>21.975899999999999</v>
      </c>
      <c r="GN44">
        <v>100</v>
      </c>
      <c r="GO44">
        <v>22.239799999999999</v>
      </c>
      <c r="GP44">
        <v>800</v>
      </c>
      <c r="GQ44">
        <v>20.358000000000001</v>
      </c>
      <c r="GR44">
        <v>99.742999999999995</v>
      </c>
      <c r="GS44">
        <v>99.579300000000003</v>
      </c>
    </row>
    <row r="45" spans="1:201" x14ac:dyDescent="0.25">
      <c r="A45">
        <v>29</v>
      </c>
      <c r="B45">
        <v>1690385685.5999999</v>
      </c>
      <c r="C45">
        <v>351</v>
      </c>
      <c r="D45" t="s">
        <v>391</v>
      </c>
      <c r="E45" t="s">
        <v>392</v>
      </c>
      <c r="F45" t="s">
        <v>330</v>
      </c>
      <c r="H45">
        <v>1690385685.5999999</v>
      </c>
      <c r="I45">
        <f t="shared" si="0"/>
        <v>2.0937128042005781E-4</v>
      </c>
      <c r="J45">
        <f t="shared" si="1"/>
        <v>0.20937128042005781</v>
      </c>
      <c r="K45">
        <f t="shared" si="2"/>
        <v>0.34797992543514072</v>
      </c>
      <c r="L45">
        <f t="shared" si="3"/>
        <v>794.53300000000002</v>
      </c>
      <c r="M45">
        <f t="shared" si="4"/>
        <v>729.48797153642874</v>
      </c>
      <c r="N45">
        <f t="shared" si="5"/>
        <v>72.043803859498425</v>
      </c>
      <c r="O45">
        <f t="shared" si="6"/>
        <v>78.467612689128998</v>
      </c>
      <c r="P45">
        <f t="shared" si="7"/>
        <v>1.2518647003320458E-2</v>
      </c>
      <c r="Q45">
        <f t="shared" si="8"/>
        <v>2.1593966252233185</v>
      </c>
      <c r="R45">
        <f t="shared" si="9"/>
        <v>1.2478467727549843E-2</v>
      </c>
      <c r="S45">
        <f t="shared" si="10"/>
        <v>7.8026414704112515E-3</v>
      </c>
      <c r="T45">
        <f t="shared" si="11"/>
        <v>276.11409153830272</v>
      </c>
      <c r="U45">
        <f t="shared" si="12"/>
        <v>28.139144748722487</v>
      </c>
      <c r="V45">
        <f t="shared" si="13"/>
        <v>28.139144748722487</v>
      </c>
      <c r="W45">
        <f t="shared" si="14"/>
        <v>3.8257312733265807</v>
      </c>
      <c r="X45">
        <f t="shared" si="15"/>
        <v>65.567775392125995</v>
      </c>
      <c r="Y45">
        <f t="shared" si="16"/>
        <v>2.2194005364664005</v>
      </c>
      <c r="Z45">
        <f t="shared" si="17"/>
        <v>3.3848952830767036</v>
      </c>
      <c r="AA45">
        <f t="shared" si="18"/>
        <v>1.6063307368601802</v>
      </c>
      <c r="AB45">
        <f t="shared" si="19"/>
        <v>-9.2332734665245493</v>
      </c>
      <c r="AC45">
        <f t="shared" si="20"/>
        <v>-242.84024512238673</v>
      </c>
      <c r="AD45">
        <f t="shared" si="21"/>
        <v>-24.293274996824724</v>
      </c>
      <c r="AE45">
        <f t="shared" si="22"/>
        <v>-0.2527020474332744</v>
      </c>
      <c r="AF45">
        <v>0</v>
      </c>
      <c r="AG45">
        <v>0</v>
      </c>
      <c r="AH45">
        <f t="shared" si="23"/>
        <v>1</v>
      </c>
      <c r="AI45">
        <f t="shared" si="24"/>
        <v>0</v>
      </c>
      <c r="AJ45">
        <f t="shared" si="25"/>
        <v>52396.196082361348</v>
      </c>
      <c r="AK45">
        <f t="shared" si="26"/>
        <v>1799.99</v>
      </c>
      <c r="AL45">
        <f t="shared" si="27"/>
        <v>1499.10253400632</v>
      </c>
      <c r="AM45">
        <f t="shared" si="28"/>
        <v>0.83283936799999991</v>
      </c>
      <c r="AN45">
        <f t="shared" si="29"/>
        <v>0.15339756973000002</v>
      </c>
      <c r="AO45">
        <v>31.8</v>
      </c>
      <c r="AP45">
        <v>0.5</v>
      </c>
      <c r="AQ45" t="s">
        <v>331</v>
      </c>
      <c r="AR45">
        <v>2</v>
      </c>
      <c r="AS45">
        <v>1690385685.5999999</v>
      </c>
      <c r="AT45">
        <v>794.53300000000002</v>
      </c>
      <c r="AU45">
        <v>799.98099999999999</v>
      </c>
      <c r="AV45">
        <v>22.472799999999999</v>
      </c>
      <c r="AW45">
        <v>20.3049</v>
      </c>
      <c r="AX45">
        <v>794.81799999999998</v>
      </c>
      <c r="AY45">
        <v>22.193100000000001</v>
      </c>
      <c r="AZ45">
        <v>300.21600000000001</v>
      </c>
      <c r="BA45">
        <v>98.659400000000005</v>
      </c>
      <c r="BB45">
        <v>0.100013</v>
      </c>
      <c r="BC45">
        <v>26.0532</v>
      </c>
      <c r="BD45">
        <v>26.9633</v>
      </c>
      <c r="BE45">
        <v>27.911200000000001</v>
      </c>
      <c r="BF45">
        <v>0</v>
      </c>
      <c r="BG45">
        <v>0</v>
      </c>
      <c r="BH45">
        <v>10012.5</v>
      </c>
      <c r="BI45">
        <v>1073.01</v>
      </c>
      <c r="BJ45">
        <v>1.5137799999999999</v>
      </c>
      <c r="BK45">
        <v>-5.4481200000000003</v>
      </c>
      <c r="BL45">
        <v>812.79899999999998</v>
      </c>
      <c r="BM45">
        <v>816.56100000000004</v>
      </c>
      <c r="BN45">
        <v>2.1678999999999999</v>
      </c>
      <c r="BO45">
        <v>799.98099999999999</v>
      </c>
      <c r="BP45">
        <v>20.3049</v>
      </c>
      <c r="BQ45">
        <v>2.2171500000000002</v>
      </c>
      <c r="BR45">
        <v>2.0032700000000001</v>
      </c>
      <c r="BS45">
        <v>19.0868</v>
      </c>
      <c r="BT45">
        <v>17.470199999999998</v>
      </c>
      <c r="BU45">
        <v>1799.99</v>
      </c>
      <c r="BV45">
        <v>0.90999099999999999</v>
      </c>
      <c r="BW45">
        <v>3.3999500000000002E-2</v>
      </c>
      <c r="BX45">
        <v>2.2001900000000001E-2</v>
      </c>
      <c r="BY45">
        <v>3.4007500000000003E-2</v>
      </c>
      <c r="BZ45">
        <v>25</v>
      </c>
      <c r="CA45">
        <v>33528.1</v>
      </c>
      <c r="CB45">
        <v>1690384821</v>
      </c>
      <c r="CC45" t="s">
        <v>332</v>
      </c>
      <c r="CD45">
        <v>1690384820</v>
      </c>
      <c r="CE45">
        <v>1690384821</v>
      </c>
      <c r="CF45">
        <v>5</v>
      </c>
      <c r="CG45">
        <v>-2.5000000000000001E-2</v>
      </c>
      <c r="CH45">
        <v>0.104</v>
      </c>
      <c r="CI45">
        <v>-0.28799999999999998</v>
      </c>
      <c r="CJ45">
        <v>0.28000000000000003</v>
      </c>
      <c r="CK45">
        <v>800</v>
      </c>
      <c r="CL45">
        <v>24</v>
      </c>
      <c r="CM45">
        <v>0.08</v>
      </c>
      <c r="CN45">
        <v>0.11</v>
      </c>
      <c r="CO45">
        <v>-5.13425625</v>
      </c>
      <c r="CP45">
        <v>-1.458172795497171</v>
      </c>
      <c r="CQ45">
        <v>0.15010794523754389</v>
      </c>
      <c r="CR45">
        <v>-1</v>
      </c>
      <c r="CS45">
        <v>2.3413532500000001</v>
      </c>
      <c r="CT45">
        <v>-1.1762824390243869</v>
      </c>
      <c r="CU45">
        <v>0.1135616197794726</v>
      </c>
      <c r="CV45">
        <v>-1</v>
      </c>
      <c r="CW45">
        <v>0</v>
      </c>
      <c r="CX45">
        <v>0</v>
      </c>
      <c r="CY45" t="s">
        <v>333</v>
      </c>
      <c r="CZ45">
        <v>2.36449</v>
      </c>
      <c r="DA45">
        <v>2.7138200000000001</v>
      </c>
      <c r="DB45">
        <v>0.145477</v>
      </c>
      <c r="DC45">
        <v>0.14577300000000001</v>
      </c>
      <c r="DD45">
        <v>0.107944</v>
      </c>
      <c r="DE45">
        <v>9.9346100000000007E-2</v>
      </c>
      <c r="DF45">
        <v>31203.5</v>
      </c>
      <c r="DG45">
        <v>27532.1</v>
      </c>
      <c r="DH45">
        <v>31173.7</v>
      </c>
      <c r="DI45">
        <v>28084.2</v>
      </c>
      <c r="DJ45">
        <v>37758.400000000001</v>
      </c>
      <c r="DK45">
        <v>35966.800000000003</v>
      </c>
      <c r="DL45">
        <v>44364.5</v>
      </c>
      <c r="DM45">
        <v>42567.8</v>
      </c>
      <c r="DN45">
        <v>1.4612700000000001</v>
      </c>
      <c r="DO45">
        <v>2.0564</v>
      </c>
      <c r="DP45">
        <v>9.3590499999999993E-2</v>
      </c>
      <c r="DQ45">
        <v>0.17297299999999999</v>
      </c>
      <c r="DR45">
        <v>25.430700000000002</v>
      </c>
      <c r="DS45">
        <v>25.080100000000002</v>
      </c>
      <c r="DT45">
        <v>57.4</v>
      </c>
      <c r="DU45">
        <v>28.9</v>
      </c>
      <c r="DV45">
        <v>23.262499999999999</v>
      </c>
      <c r="DW45">
        <v>61.102200000000003</v>
      </c>
      <c r="DX45">
        <v>35.532899999999998</v>
      </c>
      <c r="DY45">
        <v>1</v>
      </c>
      <c r="DZ45">
        <v>-8.2870899999999997E-2</v>
      </c>
      <c r="EA45">
        <v>1.7593099999999999</v>
      </c>
      <c r="EB45">
        <v>20.178899999999999</v>
      </c>
      <c r="EC45">
        <v>5.2413999999999996</v>
      </c>
      <c r="ED45">
        <v>12.039899999999999</v>
      </c>
      <c r="EE45">
        <v>5.0171999999999999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</v>
      </c>
      <c r="EL45">
        <v>1.8646199999999999</v>
      </c>
      <c r="EM45">
        <v>1.8692</v>
      </c>
      <c r="EN45">
        <v>1.8672299999999999</v>
      </c>
      <c r="EO45">
        <v>1.8633900000000001</v>
      </c>
      <c r="EP45">
        <v>1.86446</v>
      </c>
      <c r="EQ45">
        <v>1.87019</v>
      </c>
      <c r="ER45">
        <v>1.8693900000000001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-0.28499999999999998</v>
      </c>
      <c r="FG45">
        <v>0.2797</v>
      </c>
      <c r="FH45">
        <v>0.26269369235785539</v>
      </c>
      <c r="FI45">
        <v>-6.1462078757559423E-4</v>
      </c>
      <c r="FJ45">
        <v>-1.8861989874597051E-7</v>
      </c>
      <c r="FK45">
        <v>1.1980462299894961E-10</v>
      </c>
      <c r="FL45">
        <v>0.27968571428570849</v>
      </c>
      <c r="FM45">
        <v>0</v>
      </c>
      <c r="FN45">
        <v>0</v>
      </c>
      <c r="FO45">
        <v>0</v>
      </c>
      <c r="FP45">
        <v>3</v>
      </c>
      <c r="FQ45">
        <v>2158</v>
      </c>
      <c r="FR45">
        <v>1</v>
      </c>
      <c r="FS45">
        <v>19</v>
      </c>
      <c r="FT45">
        <v>14.4</v>
      </c>
      <c r="FU45">
        <v>14.4</v>
      </c>
      <c r="FV45">
        <v>1.79565</v>
      </c>
      <c r="FW45">
        <v>2.5842299999999998</v>
      </c>
      <c r="FX45">
        <v>1.5490699999999999</v>
      </c>
      <c r="FY45">
        <v>2.3315399999999999</v>
      </c>
      <c r="FZ45">
        <v>1.50146</v>
      </c>
      <c r="GA45">
        <v>2.3938000000000001</v>
      </c>
      <c r="GB45">
        <v>33.580399999999997</v>
      </c>
      <c r="GC45">
        <v>23.982399999999998</v>
      </c>
      <c r="GD45">
        <v>19</v>
      </c>
      <c r="GE45">
        <v>276.69</v>
      </c>
      <c r="GF45">
        <v>599.72900000000004</v>
      </c>
      <c r="GG45">
        <v>22.196200000000001</v>
      </c>
      <c r="GH45">
        <v>26.377500000000001</v>
      </c>
      <c r="GI45">
        <v>30</v>
      </c>
      <c r="GJ45">
        <v>26.379799999999999</v>
      </c>
      <c r="GK45">
        <v>26.325299999999999</v>
      </c>
      <c r="GL45">
        <v>35.905799999999999</v>
      </c>
      <c r="GM45">
        <v>21.689299999999999</v>
      </c>
      <c r="GN45">
        <v>100</v>
      </c>
      <c r="GO45">
        <v>22.218599999999999</v>
      </c>
      <c r="GP45">
        <v>800</v>
      </c>
      <c r="GQ45">
        <v>20.393599999999999</v>
      </c>
      <c r="GR45">
        <v>99.744399999999999</v>
      </c>
      <c r="GS45">
        <v>99.5792</v>
      </c>
    </row>
    <row r="46" spans="1:201" x14ac:dyDescent="0.25">
      <c r="A46">
        <v>30</v>
      </c>
      <c r="B46">
        <v>1690385695.5999999</v>
      </c>
      <c r="C46">
        <v>361</v>
      </c>
      <c r="D46" t="s">
        <v>393</v>
      </c>
      <c r="E46" t="s">
        <v>394</v>
      </c>
      <c r="F46" t="s">
        <v>330</v>
      </c>
      <c r="H46">
        <v>1690385695.5999999</v>
      </c>
      <c r="I46">
        <f t="shared" si="0"/>
        <v>2.034112099053856E-4</v>
      </c>
      <c r="J46">
        <f t="shared" si="1"/>
        <v>0.20341120990538561</v>
      </c>
      <c r="K46">
        <f t="shared" si="2"/>
        <v>0.37004639960850116</v>
      </c>
      <c r="L46">
        <f t="shared" si="3"/>
        <v>794.24199999999996</v>
      </c>
      <c r="M46">
        <f t="shared" si="4"/>
        <v>725.17559004923282</v>
      </c>
      <c r="N46">
        <f t="shared" si="5"/>
        <v>71.619442089807947</v>
      </c>
      <c r="O46">
        <f t="shared" si="6"/>
        <v>78.440545579356012</v>
      </c>
      <c r="P46">
        <f t="shared" si="7"/>
        <v>1.2185085637717597E-2</v>
      </c>
      <c r="Q46">
        <f t="shared" si="8"/>
        <v>2.1592666453754306</v>
      </c>
      <c r="R46">
        <f t="shared" si="9"/>
        <v>1.214701320368528E-2</v>
      </c>
      <c r="S46">
        <f t="shared" si="10"/>
        <v>7.5952939374459797E-3</v>
      </c>
      <c r="T46">
        <f t="shared" si="11"/>
        <v>276.11369600850014</v>
      </c>
      <c r="U46">
        <f t="shared" si="12"/>
        <v>28.121547740125429</v>
      </c>
      <c r="V46">
        <f t="shared" si="13"/>
        <v>28.121547740125429</v>
      </c>
      <c r="W46">
        <f t="shared" si="14"/>
        <v>3.8218124748809945</v>
      </c>
      <c r="X46">
        <f t="shared" si="15"/>
        <v>65.619433596811731</v>
      </c>
      <c r="Y46">
        <f t="shared" si="16"/>
        <v>2.2185491118966003</v>
      </c>
      <c r="Z46">
        <f t="shared" si="17"/>
        <v>3.3809330411599192</v>
      </c>
      <c r="AA46">
        <f t="shared" si="18"/>
        <v>1.6032633629843942</v>
      </c>
      <c r="AB46">
        <f t="shared" si="19"/>
        <v>-8.9704343568275053</v>
      </c>
      <c r="AC46">
        <f t="shared" si="20"/>
        <v>-243.0820789935253</v>
      </c>
      <c r="AD46">
        <f t="shared" si="21"/>
        <v>-24.314386538904831</v>
      </c>
      <c r="AE46">
        <f t="shared" si="22"/>
        <v>-0.25320388075749634</v>
      </c>
      <c r="AF46">
        <v>0</v>
      </c>
      <c r="AG46">
        <v>0</v>
      </c>
      <c r="AH46">
        <f t="shared" si="23"/>
        <v>1</v>
      </c>
      <c r="AI46">
        <f t="shared" si="24"/>
        <v>0</v>
      </c>
      <c r="AJ46">
        <f t="shared" si="25"/>
        <v>52394.257161659909</v>
      </c>
      <c r="AK46">
        <f t="shared" si="26"/>
        <v>1799.99</v>
      </c>
      <c r="AL46">
        <f t="shared" si="27"/>
        <v>1499.1038227991601</v>
      </c>
      <c r="AM46">
        <f t="shared" si="28"/>
        <v>0.83284008399999998</v>
      </c>
      <c r="AN46">
        <f t="shared" si="29"/>
        <v>0.15339734999000001</v>
      </c>
      <c r="AO46">
        <v>31.8</v>
      </c>
      <c r="AP46">
        <v>0.5</v>
      </c>
      <c r="AQ46" t="s">
        <v>331</v>
      </c>
      <c r="AR46">
        <v>2</v>
      </c>
      <c r="AS46">
        <v>1690385695.5999999</v>
      </c>
      <c r="AT46">
        <v>794.24199999999996</v>
      </c>
      <c r="AU46">
        <v>799.87400000000002</v>
      </c>
      <c r="AV46">
        <v>22.463699999999999</v>
      </c>
      <c r="AW46">
        <v>20.357099999999999</v>
      </c>
      <c r="AX46">
        <v>794.52599999999995</v>
      </c>
      <c r="AY46">
        <v>22.184000000000001</v>
      </c>
      <c r="AZ46">
        <v>300.16000000000003</v>
      </c>
      <c r="BA46">
        <v>98.661500000000004</v>
      </c>
      <c r="BB46">
        <v>0.100018</v>
      </c>
      <c r="BC46">
        <v>26.0334</v>
      </c>
      <c r="BD46">
        <v>26.972200000000001</v>
      </c>
      <c r="BE46">
        <v>27.885200000000001</v>
      </c>
      <c r="BF46">
        <v>0</v>
      </c>
      <c r="BG46">
        <v>0</v>
      </c>
      <c r="BH46">
        <v>10011.200000000001</v>
      </c>
      <c r="BI46">
        <v>1072.56</v>
      </c>
      <c r="BJ46">
        <v>1.4338900000000001</v>
      </c>
      <c r="BK46">
        <v>-5.63232</v>
      </c>
      <c r="BL46">
        <v>812.49300000000005</v>
      </c>
      <c r="BM46">
        <v>816.495</v>
      </c>
      <c r="BN46">
        <v>2.10663</v>
      </c>
      <c r="BO46">
        <v>799.87400000000002</v>
      </c>
      <c r="BP46">
        <v>20.357099999999999</v>
      </c>
      <c r="BQ46">
        <v>2.2162999999999999</v>
      </c>
      <c r="BR46">
        <v>2.0084599999999999</v>
      </c>
      <c r="BS46">
        <v>19.0806</v>
      </c>
      <c r="BT46">
        <v>17.511199999999999</v>
      </c>
      <c r="BU46">
        <v>1799.99</v>
      </c>
      <c r="BV46">
        <v>0.91</v>
      </c>
      <c r="BW46">
        <v>3.3996100000000001E-2</v>
      </c>
      <c r="BX46">
        <v>2.1999700000000001E-2</v>
      </c>
      <c r="BY46">
        <v>3.4004100000000002E-2</v>
      </c>
      <c r="BZ46">
        <v>25</v>
      </c>
      <c r="CA46">
        <v>33528.199999999997</v>
      </c>
      <c r="CB46">
        <v>1690384821</v>
      </c>
      <c r="CC46" t="s">
        <v>332</v>
      </c>
      <c r="CD46">
        <v>1690384820</v>
      </c>
      <c r="CE46">
        <v>1690384821</v>
      </c>
      <c r="CF46">
        <v>5</v>
      </c>
      <c r="CG46">
        <v>-2.5000000000000001E-2</v>
      </c>
      <c r="CH46">
        <v>0.104</v>
      </c>
      <c r="CI46">
        <v>-0.28799999999999998</v>
      </c>
      <c r="CJ46">
        <v>0.28000000000000003</v>
      </c>
      <c r="CK46">
        <v>800</v>
      </c>
      <c r="CL46">
        <v>24</v>
      </c>
      <c r="CM46">
        <v>0.08</v>
      </c>
      <c r="CN46">
        <v>0.11</v>
      </c>
      <c r="CO46">
        <v>-5.3797809999999986</v>
      </c>
      <c r="CP46">
        <v>-1.949065215759842</v>
      </c>
      <c r="CQ46">
        <v>0.19184631900039159</v>
      </c>
      <c r="CR46">
        <v>-1</v>
      </c>
      <c r="CS46">
        <v>2.2017760000000002</v>
      </c>
      <c r="CT46">
        <v>-0.6812962851782407</v>
      </c>
      <c r="CU46">
        <v>6.8510746303043574E-2</v>
      </c>
      <c r="CV46">
        <v>-1</v>
      </c>
      <c r="CW46">
        <v>0</v>
      </c>
      <c r="CX46">
        <v>0</v>
      </c>
      <c r="CY46" t="s">
        <v>333</v>
      </c>
      <c r="CZ46">
        <v>2.3643100000000001</v>
      </c>
      <c r="DA46">
        <v>2.7138200000000001</v>
      </c>
      <c r="DB46">
        <v>0.14544199999999999</v>
      </c>
      <c r="DC46">
        <v>0.145762</v>
      </c>
      <c r="DD46">
        <v>0.107913</v>
      </c>
      <c r="DE46">
        <v>9.9527000000000004E-2</v>
      </c>
      <c r="DF46">
        <v>31204.799999999999</v>
      </c>
      <c r="DG46">
        <v>27532.6</v>
      </c>
      <c r="DH46">
        <v>31173.8</v>
      </c>
      <c r="DI46">
        <v>28084.400000000001</v>
      </c>
      <c r="DJ46">
        <v>37759.5</v>
      </c>
      <c r="DK46">
        <v>35959.699999999997</v>
      </c>
      <c r="DL46">
        <v>44364.2</v>
      </c>
      <c r="DM46">
        <v>42568</v>
      </c>
      <c r="DN46">
        <v>1.4619</v>
      </c>
      <c r="DO46">
        <v>2.0568300000000002</v>
      </c>
      <c r="DP46">
        <v>9.5441899999999996E-2</v>
      </c>
      <c r="DQ46">
        <v>0.17256299999999999</v>
      </c>
      <c r="DR46">
        <v>25.409300000000002</v>
      </c>
      <c r="DS46">
        <v>25.060600000000001</v>
      </c>
      <c r="DT46">
        <v>57.4</v>
      </c>
      <c r="DU46">
        <v>28.9</v>
      </c>
      <c r="DV46">
        <v>23.2638</v>
      </c>
      <c r="DW46">
        <v>61.032200000000003</v>
      </c>
      <c r="DX46">
        <v>36.033700000000003</v>
      </c>
      <c r="DY46">
        <v>1</v>
      </c>
      <c r="DZ46">
        <v>-8.3638199999999996E-2</v>
      </c>
      <c r="EA46">
        <v>0.97006000000000003</v>
      </c>
      <c r="EB46">
        <v>20.186599999999999</v>
      </c>
      <c r="EC46">
        <v>5.2411000000000003</v>
      </c>
      <c r="ED46">
        <v>12.039899999999999</v>
      </c>
      <c r="EE46">
        <v>5.0167999999999999</v>
      </c>
      <c r="EF46">
        <v>3.2879499999999999</v>
      </c>
      <c r="EG46">
        <v>9999</v>
      </c>
      <c r="EH46">
        <v>9999</v>
      </c>
      <c r="EI46">
        <v>9999</v>
      </c>
      <c r="EJ46">
        <v>999.9</v>
      </c>
      <c r="EK46">
        <v>1.8689100000000001</v>
      </c>
      <c r="EL46">
        <v>1.8646199999999999</v>
      </c>
      <c r="EM46">
        <v>1.8692</v>
      </c>
      <c r="EN46">
        <v>1.8672500000000001</v>
      </c>
      <c r="EO46">
        <v>1.8633999999999999</v>
      </c>
      <c r="EP46">
        <v>1.8644700000000001</v>
      </c>
      <c r="EQ46">
        <v>1.8702099999999999</v>
      </c>
      <c r="ER46">
        <v>1.8694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-0.28399999999999997</v>
      </c>
      <c r="FG46">
        <v>0.2797</v>
      </c>
      <c r="FH46">
        <v>0.26269369235785539</v>
      </c>
      <c r="FI46">
        <v>-6.1462078757559423E-4</v>
      </c>
      <c r="FJ46">
        <v>-1.8861989874597051E-7</v>
      </c>
      <c r="FK46">
        <v>1.1980462299894961E-10</v>
      </c>
      <c r="FL46">
        <v>0.27968571428570849</v>
      </c>
      <c r="FM46">
        <v>0</v>
      </c>
      <c r="FN46">
        <v>0</v>
      </c>
      <c r="FO46">
        <v>0</v>
      </c>
      <c r="FP46">
        <v>3</v>
      </c>
      <c r="FQ46">
        <v>2158</v>
      </c>
      <c r="FR46">
        <v>1</v>
      </c>
      <c r="FS46">
        <v>19</v>
      </c>
      <c r="FT46">
        <v>14.6</v>
      </c>
      <c r="FU46">
        <v>14.6</v>
      </c>
      <c r="FV46">
        <v>1.79565</v>
      </c>
      <c r="FW46">
        <v>2.5756800000000002</v>
      </c>
      <c r="FX46">
        <v>1.5490699999999999</v>
      </c>
      <c r="FY46">
        <v>2.3315399999999999</v>
      </c>
      <c r="FZ46">
        <v>1.50146</v>
      </c>
      <c r="GA46">
        <v>2.4145500000000002</v>
      </c>
      <c r="GB46">
        <v>33.580399999999997</v>
      </c>
      <c r="GC46">
        <v>23.982399999999998</v>
      </c>
      <c r="GD46">
        <v>19</v>
      </c>
      <c r="GE46">
        <v>276.971</v>
      </c>
      <c r="GF46">
        <v>600.14</v>
      </c>
      <c r="GG46">
        <v>22.484400000000001</v>
      </c>
      <c r="GH46">
        <v>26.377500000000001</v>
      </c>
      <c r="GI46">
        <v>29.9998</v>
      </c>
      <c r="GJ46">
        <v>26.3842</v>
      </c>
      <c r="GK46">
        <v>26.329599999999999</v>
      </c>
      <c r="GL46">
        <v>35.912599999999998</v>
      </c>
      <c r="GM46">
        <v>21.407599999999999</v>
      </c>
      <c r="GN46">
        <v>100</v>
      </c>
      <c r="GO46">
        <v>22.505199999999999</v>
      </c>
      <c r="GP46">
        <v>800</v>
      </c>
      <c r="GQ46">
        <v>20.284600000000001</v>
      </c>
      <c r="GR46">
        <v>99.744100000000003</v>
      </c>
      <c r="GS46">
        <v>99.579700000000003</v>
      </c>
    </row>
    <row r="47" spans="1:201" x14ac:dyDescent="0.25">
      <c r="A47">
        <v>31</v>
      </c>
      <c r="B47">
        <v>1690385705.5999999</v>
      </c>
      <c r="C47">
        <v>371</v>
      </c>
      <c r="D47" t="s">
        <v>395</v>
      </c>
      <c r="E47" t="s">
        <v>396</v>
      </c>
      <c r="F47" t="s">
        <v>330</v>
      </c>
      <c r="H47">
        <v>1690385705.5999999</v>
      </c>
      <c r="I47">
        <f t="shared" si="0"/>
        <v>2.0839915884387169E-4</v>
      </c>
      <c r="J47">
        <f t="shared" si="1"/>
        <v>0.2083991588438717</v>
      </c>
      <c r="K47">
        <f t="shared" si="2"/>
        <v>0.41661467735684832</v>
      </c>
      <c r="L47">
        <f t="shared" si="3"/>
        <v>793.85599999999999</v>
      </c>
      <c r="M47">
        <f t="shared" si="4"/>
        <v>720.18478556955574</v>
      </c>
      <c r="N47">
        <f t="shared" si="5"/>
        <v>71.126129277286907</v>
      </c>
      <c r="O47">
        <f t="shared" si="6"/>
        <v>78.401967960063999</v>
      </c>
      <c r="P47">
        <f t="shared" si="7"/>
        <v>1.2508783133229767E-2</v>
      </c>
      <c r="Q47">
        <f t="shared" si="8"/>
        <v>2.1576211294839309</v>
      </c>
      <c r="R47">
        <f t="shared" si="9"/>
        <v>1.2468634143294655E-2</v>
      </c>
      <c r="S47">
        <f t="shared" si="10"/>
        <v>7.796492766969974E-3</v>
      </c>
      <c r="T47">
        <f t="shared" si="11"/>
        <v>276.1132817408016</v>
      </c>
      <c r="U47">
        <f t="shared" si="12"/>
        <v>28.125464970088789</v>
      </c>
      <c r="V47">
        <f t="shared" si="13"/>
        <v>28.125464970088789</v>
      </c>
      <c r="W47">
        <f t="shared" si="14"/>
        <v>3.8226845265281151</v>
      </c>
      <c r="X47">
        <f t="shared" si="15"/>
        <v>65.720734149000037</v>
      </c>
      <c r="Y47">
        <f t="shared" si="16"/>
        <v>2.2225261598704003</v>
      </c>
      <c r="Z47">
        <f t="shared" si="17"/>
        <v>3.3817731780529976</v>
      </c>
      <c r="AA47">
        <f t="shared" si="18"/>
        <v>1.6001583666577148</v>
      </c>
      <c r="AB47">
        <f t="shared" si="19"/>
        <v>-9.1904029050147411</v>
      </c>
      <c r="AC47">
        <f t="shared" si="20"/>
        <v>-242.86394074993919</v>
      </c>
      <c r="AD47">
        <f t="shared" si="21"/>
        <v>-24.312080330012147</v>
      </c>
      <c r="AE47">
        <f t="shared" si="22"/>
        <v>-0.25314224416447928</v>
      </c>
      <c r="AF47">
        <v>0</v>
      </c>
      <c r="AG47">
        <v>0</v>
      </c>
      <c r="AH47">
        <f t="shared" si="23"/>
        <v>1</v>
      </c>
      <c r="AI47">
        <f t="shared" si="24"/>
        <v>0</v>
      </c>
      <c r="AJ47">
        <f t="shared" si="25"/>
        <v>52324.493386981798</v>
      </c>
      <c r="AK47">
        <f t="shared" si="26"/>
        <v>1799.99</v>
      </c>
      <c r="AL47">
        <f t="shared" si="27"/>
        <v>1499.1046957943099</v>
      </c>
      <c r="AM47">
        <f t="shared" si="28"/>
        <v>0.83284056899999992</v>
      </c>
      <c r="AN47">
        <f t="shared" si="29"/>
        <v>0.15339711984000001</v>
      </c>
      <c r="AO47">
        <v>31.8</v>
      </c>
      <c r="AP47">
        <v>0.5</v>
      </c>
      <c r="AQ47" t="s">
        <v>331</v>
      </c>
      <c r="AR47">
        <v>2</v>
      </c>
      <c r="AS47">
        <v>1690385705.5999999</v>
      </c>
      <c r="AT47">
        <v>793.85599999999999</v>
      </c>
      <c r="AU47">
        <v>800.024</v>
      </c>
      <c r="AV47">
        <v>22.504100000000001</v>
      </c>
      <c r="AW47">
        <v>20.345400000000001</v>
      </c>
      <c r="AX47">
        <v>794.14099999999996</v>
      </c>
      <c r="AY47">
        <v>22.224399999999999</v>
      </c>
      <c r="AZ47">
        <v>300.08600000000001</v>
      </c>
      <c r="BA47">
        <v>98.661000000000001</v>
      </c>
      <c r="BB47">
        <v>9.9944000000000005E-2</v>
      </c>
      <c r="BC47">
        <v>26.037600000000001</v>
      </c>
      <c r="BD47">
        <v>26.953199999999999</v>
      </c>
      <c r="BE47">
        <v>27.8888</v>
      </c>
      <c r="BF47">
        <v>0</v>
      </c>
      <c r="BG47">
        <v>0</v>
      </c>
      <c r="BH47">
        <v>9997.5</v>
      </c>
      <c r="BI47">
        <v>1072.27</v>
      </c>
      <c r="BJ47">
        <v>1.2881199999999999</v>
      </c>
      <c r="BK47">
        <v>-6.1674199999999999</v>
      </c>
      <c r="BL47">
        <v>812.13300000000004</v>
      </c>
      <c r="BM47">
        <v>816.63900000000001</v>
      </c>
      <c r="BN47">
        <v>2.1587000000000001</v>
      </c>
      <c r="BO47">
        <v>800.024</v>
      </c>
      <c r="BP47">
        <v>20.345400000000001</v>
      </c>
      <c r="BQ47">
        <v>2.2202799999999998</v>
      </c>
      <c r="BR47">
        <v>2.0072999999999999</v>
      </c>
      <c r="BS47">
        <v>19.109400000000001</v>
      </c>
      <c r="BT47">
        <v>17.501999999999999</v>
      </c>
      <c r="BU47">
        <v>1799.99</v>
      </c>
      <c r="BV47">
        <v>0.91000800000000004</v>
      </c>
      <c r="BW47">
        <v>3.3993000000000002E-2</v>
      </c>
      <c r="BX47">
        <v>2.1997699999999999E-2</v>
      </c>
      <c r="BY47">
        <v>3.4001000000000003E-2</v>
      </c>
      <c r="BZ47">
        <v>25</v>
      </c>
      <c r="CA47">
        <v>33528.300000000003</v>
      </c>
      <c r="CB47">
        <v>1690384821</v>
      </c>
      <c r="CC47" t="s">
        <v>332</v>
      </c>
      <c r="CD47">
        <v>1690384820</v>
      </c>
      <c r="CE47">
        <v>1690384821</v>
      </c>
      <c r="CF47">
        <v>5</v>
      </c>
      <c r="CG47">
        <v>-2.5000000000000001E-2</v>
      </c>
      <c r="CH47">
        <v>0.104</v>
      </c>
      <c r="CI47">
        <v>-0.28799999999999998</v>
      </c>
      <c r="CJ47">
        <v>0.28000000000000003</v>
      </c>
      <c r="CK47">
        <v>800</v>
      </c>
      <c r="CL47">
        <v>24</v>
      </c>
      <c r="CM47">
        <v>0.08</v>
      </c>
      <c r="CN47">
        <v>0.11</v>
      </c>
      <c r="CO47">
        <v>-5.7170100000000001</v>
      </c>
      <c r="CP47">
        <v>-2.0984632055749328</v>
      </c>
      <c r="CQ47">
        <v>0.21553679701687289</v>
      </c>
      <c r="CR47">
        <v>-1</v>
      </c>
      <c r="CS47">
        <v>2.129502926829268</v>
      </c>
      <c r="CT47">
        <v>-0.1399022299651593</v>
      </c>
      <c r="CU47">
        <v>2.1453444347248739E-2</v>
      </c>
      <c r="CV47">
        <v>-1</v>
      </c>
      <c r="CW47">
        <v>0</v>
      </c>
      <c r="CX47">
        <v>0</v>
      </c>
      <c r="CY47" t="s">
        <v>333</v>
      </c>
      <c r="CZ47">
        <v>2.3640500000000002</v>
      </c>
      <c r="DA47">
        <v>2.71373</v>
      </c>
      <c r="DB47">
        <v>0.145395</v>
      </c>
      <c r="DC47">
        <v>0.14577899999999999</v>
      </c>
      <c r="DD47">
        <v>0.10805099999999999</v>
      </c>
      <c r="DE47">
        <v>9.9486199999999997E-2</v>
      </c>
      <c r="DF47">
        <v>31206.6</v>
      </c>
      <c r="DG47">
        <v>27531.8</v>
      </c>
      <c r="DH47">
        <v>31173.8</v>
      </c>
      <c r="DI47">
        <v>28084.2</v>
      </c>
      <c r="DJ47">
        <v>37753.800000000003</v>
      </c>
      <c r="DK47">
        <v>35961.1</v>
      </c>
      <c r="DL47">
        <v>44364.4</v>
      </c>
      <c r="DM47">
        <v>42567.7</v>
      </c>
      <c r="DN47">
        <v>1.4614799999999999</v>
      </c>
      <c r="DO47">
        <v>2.0566499999999999</v>
      </c>
      <c r="DP47">
        <v>9.5456799999999994E-2</v>
      </c>
      <c r="DQ47">
        <v>0.17394499999999999</v>
      </c>
      <c r="DR47">
        <v>25.39</v>
      </c>
      <c r="DS47">
        <v>25.041599999999999</v>
      </c>
      <c r="DT47">
        <v>57.4</v>
      </c>
      <c r="DU47">
        <v>28.9</v>
      </c>
      <c r="DV47">
        <v>23.261600000000001</v>
      </c>
      <c r="DW47">
        <v>60.962200000000003</v>
      </c>
      <c r="DX47">
        <v>36.730800000000002</v>
      </c>
      <c r="DY47">
        <v>1</v>
      </c>
      <c r="DZ47">
        <v>-8.3544199999999999E-2</v>
      </c>
      <c r="EA47">
        <v>1.2284299999999999</v>
      </c>
      <c r="EB47">
        <v>20.1846</v>
      </c>
      <c r="EC47">
        <v>5.2416999999999998</v>
      </c>
      <c r="ED47">
        <v>12.039899999999999</v>
      </c>
      <c r="EE47">
        <v>5.0171000000000001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1.8689100000000001</v>
      </c>
      <c r="EL47">
        <v>1.86463</v>
      </c>
      <c r="EM47">
        <v>1.86921</v>
      </c>
      <c r="EN47">
        <v>1.8672299999999999</v>
      </c>
      <c r="EO47">
        <v>1.8633999999999999</v>
      </c>
      <c r="EP47">
        <v>1.8644700000000001</v>
      </c>
      <c r="EQ47">
        <v>1.8702000000000001</v>
      </c>
      <c r="ER47">
        <v>1.8693900000000001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-0.28499999999999998</v>
      </c>
      <c r="FG47">
        <v>0.2797</v>
      </c>
      <c r="FH47">
        <v>0.26269369235785539</v>
      </c>
      <c r="FI47">
        <v>-6.1462078757559423E-4</v>
      </c>
      <c r="FJ47">
        <v>-1.8861989874597051E-7</v>
      </c>
      <c r="FK47">
        <v>1.1980462299894961E-10</v>
      </c>
      <c r="FL47">
        <v>0.27968571428570849</v>
      </c>
      <c r="FM47">
        <v>0</v>
      </c>
      <c r="FN47">
        <v>0</v>
      </c>
      <c r="FO47">
        <v>0</v>
      </c>
      <c r="FP47">
        <v>3</v>
      </c>
      <c r="FQ47">
        <v>2158</v>
      </c>
      <c r="FR47">
        <v>1</v>
      </c>
      <c r="FS47">
        <v>19</v>
      </c>
      <c r="FT47">
        <v>14.8</v>
      </c>
      <c r="FU47">
        <v>14.7</v>
      </c>
      <c r="FV47">
        <v>1.79565</v>
      </c>
      <c r="FW47">
        <v>2.5769000000000002</v>
      </c>
      <c r="FX47">
        <v>1.5490699999999999</v>
      </c>
      <c r="FY47">
        <v>2.3315399999999999</v>
      </c>
      <c r="FZ47">
        <v>1.50146</v>
      </c>
      <c r="GA47">
        <v>2.3596200000000001</v>
      </c>
      <c r="GB47">
        <v>33.602899999999998</v>
      </c>
      <c r="GC47">
        <v>23.982399999999998</v>
      </c>
      <c r="GD47">
        <v>19</v>
      </c>
      <c r="GE47">
        <v>276.81200000000001</v>
      </c>
      <c r="GF47">
        <v>600.03</v>
      </c>
      <c r="GG47">
        <v>22.565100000000001</v>
      </c>
      <c r="GH47">
        <v>26.377500000000001</v>
      </c>
      <c r="GI47">
        <v>30.000299999999999</v>
      </c>
      <c r="GJ47">
        <v>26.3887</v>
      </c>
      <c r="GK47">
        <v>26.332899999999999</v>
      </c>
      <c r="GL47">
        <v>35.913600000000002</v>
      </c>
      <c r="GM47">
        <v>21.982399999999998</v>
      </c>
      <c r="GN47">
        <v>100</v>
      </c>
      <c r="GO47">
        <v>22.557099999999998</v>
      </c>
      <c r="GP47">
        <v>800</v>
      </c>
      <c r="GQ47">
        <v>20.2256</v>
      </c>
      <c r="GR47">
        <v>99.744399999999999</v>
      </c>
      <c r="GS47">
        <v>99.578900000000004</v>
      </c>
    </row>
    <row r="48" spans="1:201" x14ac:dyDescent="0.25">
      <c r="A48">
        <v>32</v>
      </c>
      <c r="B48">
        <v>1690385715.5999999</v>
      </c>
      <c r="C48">
        <v>381</v>
      </c>
      <c r="D48" t="s">
        <v>397</v>
      </c>
      <c r="E48" t="s">
        <v>398</v>
      </c>
      <c r="F48" t="s">
        <v>330</v>
      </c>
      <c r="H48">
        <v>1690385715.5999999</v>
      </c>
      <c r="I48">
        <f t="shared" si="0"/>
        <v>2.1589191424117957E-4</v>
      </c>
      <c r="J48">
        <f t="shared" si="1"/>
        <v>0.21589191424117957</v>
      </c>
      <c r="K48">
        <f t="shared" si="2"/>
        <v>0.4454361844205138</v>
      </c>
      <c r="L48">
        <f t="shared" si="3"/>
        <v>793.51599999999996</v>
      </c>
      <c r="M48">
        <f t="shared" si="4"/>
        <v>718.31029787461887</v>
      </c>
      <c r="N48">
        <f t="shared" si="5"/>
        <v>70.942994402826315</v>
      </c>
      <c r="O48">
        <f t="shared" si="6"/>
        <v>78.370589024159187</v>
      </c>
      <c r="P48">
        <f t="shared" si="7"/>
        <v>1.2985617239030304E-2</v>
      </c>
      <c r="Q48">
        <f t="shared" si="8"/>
        <v>2.1619947015323135</v>
      </c>
      <c r="R48">
        <f t="shared" si="9"/>
        <v>1.2942441870841355E-2</v>
      </c>
      <c r="S48">
        <f t="shared" si="10"/>
        <v>8.0928932772939225E-3</v>
      </c>
      <c r="T48">
        <f t="shared" si="11"/>
        <v>276.11486559000002</v>
      </c>
      <c r="U48">
        <f t="shared" si="12"/>
        <v>28.108573579058191</v>
      </c>
      <c r="V48">
        <f t="shared" si="13"/>
        <v>28.108573579058191</v>
      </c>
      <c r="W48">
        <f t="shared" si="14"/>
        <v>3.8189254132548869</v>
      </c>
      <c r="X48">
        <f t="shared" si="15"/>
        <v>65.741207055506862</v>
      </c>
      <c r="Y48">
        <f t="shared" si="16"/>
        <v>2.2218379414932996</v>
      </c>
      <c r="Z48">
        <f t="shared" si="17"/>
        <v>3.3796731776119495</v>
      </c>
      <c r="AA48">
        <f t="shared" si="18"/>
        <v>1.5970874717615873</v>
      </c>
      <c r="AB48">
        <f t="shared" si="19"/>
        <v>-9.5208334180360197</v>
      </c>
      <c r="AC48">
        <f t="shared" si="20"/>
        <v>-242.61126999564001</v>
      </c>
      <c r="AD48">
        <f t="shared" si="21"/>
        <v>-24.234335742522088</v>
      </c>
      <c r="AE48">
        <f t="shared" si="22"/>
        <v>-0.25157356619811821</v>
      </c>
      <c r="AF48">
        <v>0</v>
      </c>
      <c r="AG48">
        <v>0</v>
      </c>
      <c r="AH48">
        <f t="shared" si="23"/>
        <v>1</v>
      </c>
      <c r="AI48">
        <f t="shared" si="24"/>
        <v>0</v>
      </c>
      <c r="AJ48">
        <f t="shared" si="25"/>
        <v>52509.962411656139</v>
      </c>
      <c r="AK48">
        <f t="shared" si="26"/>
        <v>1800</v>
      </c>
      <c r="AL48">
        <f t="shared" si="27"/>
        <v>1499.1106500000001</v>
      </c>
      <c r="AM48">
        <f t="shared" si="28"/>
        <v>0.83283925000000003</v>
      </c>
      <c r="AN48">
        <f t="shared" si="29"/>
        <v>0.15339714755</v>
      </c>
      <c r="AO48">
        <v>31.8</v>
      </c>
      <c r="AP48">
        <v>0.5</v>
      </c>
      <c r="AQ48" t="s">
        <v>331</v>
      </c>
      <c r="AR48">
        <v>2</v>
      </c>
      <c r="AS48">
        <v>1690385715.5999999</v>
      </c>
      <c r="AT48">
        <v>793.51599999999996</v>
      </c>
      <c r="AU48">
        <v>800.05100000000004</v>
      </c>
      <c r="AV48">
        <v>22.496500000000001</v>
      </c>
      <c r="AW48">
        <v>20.260400000000001</v>
      </c>
      <c r="AX48">
        <v>793.8</v>
      </c>
      <c r="AY48">
        <v>22.216799999999999</v>
      </c>
      <c r="AZ48">
        <v>300.11700000000002</v>
      </c>
      <c r="BA48">
        <v>98.663799999999995</v>
      </c>
      <c r="BB48">
        <v>9.9916199999999997E-2</v>
      </c>
      <c r="BC48">
        <v>26.027100000000001</v>
      </c>
      <c r="BD48">
        <v>26.952200000000001</v>
      </c>
      <c r="BE48">
        <v>27.8947</v>
      </c>
      <c r="BF48">
        <v>0</v>
      </c>
      <c r="BG48">
        <v>0</v>
      </c>
      <c r="BH48">
        <v>10033.799999999999</v>
      </c>
      <c r="BI48">
        <v>1071.98</v>
      </c>
      <c r="BJ48">
        <v>1.5137799999999999</v>
      </c>
      <c r="BK48">
        <v>-6.5351600000000003</v>
      </c>
      <c r="BL48">
        <v>811.77800000000002</v>
      </c>
      <c r="BM48">
        <v>816.596</v>
      </c>
      <c r="BN48">
        <v>2.2361499999999999</v>
      </c>
      <c r="BO48">
        <v>800.05100000000004</v>
      </c>
      <c r="BP48">
        <v>20.260400000000001</v>
      </c>
      <c r="BQ48">
        <v>2.2195900000000002</v>
      </c>
      <c r="BR48">
        <v>1.9989600000000001</v>
      </c>
      <c r="BS48">
        <v>19.104399999999998</v>
      </c>
      <c r="BT48">
        <v>17.4361</v>
      </c>
      <c r="BU48">
        <v>1800</v>
      </c>
      <c r="BV48">
        <v>0.91</v>
      </c>
      <c r="BW48">
        <v>3.4007200000000001E-2</v>
      </c>
      <c r="BX48">
        <v>2.1995500000000001E-2</v>
      </c>
      <c r="BY48">
        <v>3.39975E-2</v>
      </c>
      <c r="BZ48">
        <v>25</v>
      </c>
      <c r="CA48">
        <v>33528.400000000001</v>
      </c>
      <c r="CB48">
        <v>1690384821</v>
      </c>
      <c r="CC48" t="s">
        <v>332</v>
      </c>
      <c r="CD48">
        <v>1690384820</v>
      </c>
      <c r="CE48">
        <v>1690384821</v>
      </c>
      <c r="CF48">
        <v>5</v>
      </c>
      <c r="CG48">
        <v>-2.5000000000000001E-2</v>
      </c>
      <c r="CH48">
        <v>0.104</v>
      </c>
      <c r="CI48">
        <v>-0.28799999999999998</v>
      </c>
      <c r="CJ48">
        <v>0.28000000000000003</v>
      </c>
      <c r="CK48">
        <v>800</v>
      </c>
      <c r="CL48">
        <v>24</v>
      </c>
      <c r="CM48">
        <v>0.08</v>
      </c>
      <c r="CN48">
        <v>0.11</v>
      </c>
      <c r="CO48">
        <v>-6.0865080487804866</v>
      </c>
      <c r="CP48">
        <v>-2.5073241114982521</v>
      </c>
      <c r="CQ48">
        <v>0.25136654457739221</v>
      </c>
      <c r="CR48">
        <v>-1</v>
      </c>
      <c r="CS48">
        <v>2.1550741463414629</v>
      </c>
      <c r="CT48">
        <v>0.44316271777002791</v>
      </c>
      <c r="CU48">
        <v>4.5245726760932088E-2</v>
      </c>
      <c r="CV48">
        <v>-1</v>
      </c>
      <c r="CW48">
        <v>0</v>
      </c>
      <c r="CX48">
        <v>0</v>
      </c>
      <c r="CY48" t="s">
        <v>333</v>
      </c>
      <c r="CZ48">
        <v>2.3641800000000002</v>
      </c>
      <c r="DA48">
        <v>2.71374</v>
      </c>
      <c r="DB48">
        <v>0.14535600000000001</v>
      </c>
      <c r="DC48">
        <v>0.145783</v>
      </c>
      <c r="DD48">
        <v>0.108027</v>
      </c>
      <c r="DE48">
        <v>9.9193299999999998E-2</v>
      </c>
      <c r="DF48">
        <v>31208.1</v>
      </c>
      <c r="DG48">
        <v>27531.599999999999</v>
      </c>
      <c r="DH48">
        <v>31173.9</v>
      </c>
      <c r="DI48">
        <v>28084.1</v>
      </c>
      <c r="DJ48">
        <v>37754.9</v>
      </c>
      <c r="DK48">
        <v>35972.699999999997</v>
      </c>
      <c r="DL48">
        <v>44364.6</v>
      </c>
      <c r="DM48">
        <v>42567.5</v>
      </c>
      <c r="DN48">
        <v>1.46095</v>
      </c>
      <c r="DO48">
        <v>2.0569500000000001</v>
      </c>
      <c r="DP48">
        <v>9.6567E-2</v>
      </c>
      <c r="DQ48">
        <v>0.17533499999999999</v>
      </c>
      <c r="DR48">
        <v>25.370799999999999</v>
      </c>
      <c r="DS48">
        <v>25.024699999999999</v>
      </c>
      <c r="DT48">
        <v>57.4</v>
      </c>
      <c r="DU48">
        <v>28.9</v>
      </c>
      <c r="DV48">
        <v>23.262899999999998</v>
      </c>
      <c r="DW48">
        <v>60.982199999999999</v>
      </c>
      <c r="DX48">
        <v>36.442300000000003</v>
      </c>
      <c r="DY48">
        <v>1</v>
      </c>
      <c r="DZ48">
        <v>-8.3307900000000004E-2</v>
      </c>
      <c r="EA48">
        <v>1.2273700000000001</v>
      </c>
      <c r="EB48">
        <v>20.1846</v>
      </c>
      <c r="EC48">
        <v>5.24125</v>
      </c>
      <c r="ED48">
        <v>12.039899999999999</v>
      </c>
      <c r="EE48">
        <v>5.0171999999999999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1.8689100000000001</v>
      </c>
      <c r="EL48">
        <v>1.8646199999999999</v>
      </c>
      <c r="EM48">
        <v>1.8692</v>
      </c>
      <c r="EN48">
        <v>1.86724</v>
      </c>
      <c r="EO48">
        <v>1.8633999999999999</v>
      </c>
      <c r="EP48">
        <v>1.8644700000000001</v>
      </c>
      <c r="EQ48">
        <v>1.8702099999999999</v>
      </c>
      <c r="ER48">
        <v>1.8693900000000001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-0.28399999999999997</v>
      </c>
      <c r="FG48">
        <v>0.2797</v>
      </c>
      <c r="FH48">
        <v>0.26269369235785539</v>
      </c>
      <c r="FI48">
        <v>-6.1462078757559423E-4</v>
      </c>
      <c r="FJ48">
        <v>-1.8861989874597051E-7</v>
      </c>
      <c r="FK48">
        <v>1.1980462299894961E-10</v>
      </c>
      <c r="FL48">
        <v>0.27968571428570849</v>
      </c>
      <c r="FM48">
        <v>0</v>
      </c>
      <c r="FN48">
        <v>0</v>
      </c>
      <c r="FO48">
        <v>0</v>
      </c>
      <c r="FP48">
        <v>3</v>
      </c>
      <c r="FQ48">
        <v>2158</v>
      </c>
      <c r="FR48">
        <v>1</v>
      </c>
      <c r="FS48">
        <v>19</v>
      </c>
      <c r="FT48">
        <v>14.9</v>
      </c>
      <c r="FU48">
        <v>14.9</v>
      </c>
      <c r="FV48">
        <v>1.79565</v>
      </c>
      <c r="FW48">
        <v>2.5817899999999998</v>
      </c>
      <c r="FX48">
        <v>1.5490699999999999</v>
      </c>
      <c r="FY48">
        <v>2.3315399999999999</v>
      </c>
      <c r="FZ48">
        <v>1.50146</v>
      </c>
      <c r="GA48">
        <v>2.3034699999999999</v>
      </c>
      <c r="GB48">
        <v>33.580399999999997</v>
      </c>
      <c r="GC48">
        <v>23.982399999999998</v>
      </c>
      <c r="GD48">
        <v>19</v>
      </c>
      <c r="GE48">
        <v>276.601</v>
      </c>
      <c r="GF48">
        <v>600.32899999999995</v>
      </c>
      <c r="GG48">
        <v>22.6084</v>
      </c>
      <c r="GH48">
        <v>26.377400000000002</v>
      </c>
      <c r="GI48">
        <v>30.0002</v>
      </c>
      <c r="GJ48">
        <v>26.390899999999998</v>
      </c>
      <c r="GK48">
        <v>26.3368</v>
      </c>
      <c r="GL48">
        <v>35.912100000000002</v>
      </c>
      <c r="GM48">
        <v>22.258199999999999</v>
      </c>
      <c r="GN48">
        <v>100</v>
      </c>
      <c r="GO48">
        <v>22.610700000000001</v>
      </c>
      <c r="GP48">
        <v>800</v>
      </c>
      <c r="GQ48">
        <v>20.195399999999999</v>
      </c>
      <c r="GR48">
        <v>99.744699999999995</v>
      </c>
      <c r="GS48">
        <v>99.578599999999994</v>
      </c>
    </row>
    <row r="49" spans="1:201" x14ac:dyDescent="0.25">
      <c r="A49">
        <v>33</v>
      </c>
      <c r="B49">
        <v>1690385725.5999999</v>
      </c>
      <c r="C49">
        <v>391</v>
      </c>
      <c r="D49" t="s">
        <v>399</v>
      </c>
      <c r="E49" t="s">
        <v>400</v>
      </c>
      <c r="F49" t="s">
        <v>330</v>
      </c>
      <c r="H49">
        <v>1690385725.5999999</v>
      </c>
      <c r="I49">
        <f t="shared" si="0"/>
        <v>2.1528951311841914E-4</v>
      </c>
      <c r="J49">
        <f t="shared" si="1"/>
        <v>0.21528951311841915</v>
      </c>
      <c r="K49">
        <f t="shared" si="2"/>
        <v>0.47444608555295226</v>
      </c>
      <c r="L49">
        <f t="shared" si="3"/>
        <v>793.2</v>
      </c>
      <c r="M49">
        <f t="shared" si="4"/>
        <v>714.15279437096012</v>
      </c>
      <c r="N49">
        <f t="shared" si="5"/>
        <v>70.530234163948847</v>
      </c>
      <c r="O49">
        <f t="shared" si="6"/>
        <v>78.336991999200009</v>
      </c>
      <c r="P49">
        <f t="shared" si="7"/>
        <v>1.2924176726248933E-2</v>
      </c>
      <c r="Q49">
        <f t="shared" si="8"/>
        <v>2.1647828071070778</v>
      </c>
      <c r="R49">
        <f t="shared" si="9"/>
        <v>1.2881463114060594E-2</v>
      </c>
      <c r="S49">
        <f t="shared" si="10"/>
        <v>8.0547402667191879E-3</v>
      </c>
      <c r="T49">
        <f t="shared" si="11"/>
        <v>276.11284410923287</v>
      </c>
      <c r="U49">
        <f t="shared" si="12"/>
        <v>28.10921962696348</v>
      </c>
      <c r="V49">
        <f t="shared" si="13"/>
        <v>28.10921962696348</v>
      </c>
      <c r="W49">
        <f t="shared" si="14"/>
        <v>3.8190691293642502</v>
      </c>
      <c r="X49">
        <f t="shared" si="15"/>
        <v>65.643780873080914</v>
      </c>
      <c r="Y49">
        <f t="shared" si="16"/>
        <v>2.2189259141962001</v>
      </c>
      <c r="Z49">
        <f t="shared" si="17"/>
        <v>3.3802530638605148</v>
      </c>
      <c r="AA49">
        <f t="shared" si="18"/>
        <v>1.6001432151680501</v>
      </c>
      <c r="AB49">
        <f t="shared" si="19"/>
        <v>-9.4942675285222844</v>
      </c>
      <c r="AC49">
        <f t="shared" si="20"/>
        <v>-242.66108745184982</v>
      </c>
      <c r="AD49">
        <f t="shared" si="21"/>
        <v>-24.208521748081615</v>
      </c>
      <c r="AE49">
        <f t="shared" si="22"/>
        <v>-0.25103261922083675</v>
      </c>
      <c r="AF49">
        <v>0</v>
      </c>
      <c r="AG49">
        <v>0</v>
      </c>
      <c r="AH49">
        <f t="shared" si="23"/>
        <v>1</v>
      </c>
      <c r="AI49">
        <f t="shared" si="24"/>
        <v>0</v>
      </c>
      <c r="AJ49">
        <f t="shared" si="25"/>
        <v>52626.61660521524</v>
      </c>
      <c r="AK49">
        <f t="shared" si="26"/>
        <v>1799.99</v>
      </c>
      <c r="AL49">
        <f t="shared" si="27"/>
        <v>1499.10222440804</v>
      </c>
      <c r="AM49">
        <f t="shared" si="28"/>
        <v>0.832839196</v>
      </c>
      <c r="AN49">
        <f t="shared" si="29"/>
        <v>0.15339687670999999</v>
      </c>
      <c r="AO49">
        <v>31.8</v>
      </c>
      <c r="AP49">
        <v>0.5</v>
      </c>
      <c r="AQ49" t="s">
        <v>331</v>
      </c>
      <c r="AR49">
        <v>2</v>
      </c>
      <c r="AS49">
        <v>1690385725.5999999</v>
      </c>
      <c r="AT49">
        <v>793.2</v>
      </c>
      <c r="AU49">
        <v>800.03099999999995</v>
      </c>
      <c r="AV49">
        <v>22.467700000000001</v>
      </c>
      <c r="AW49">
        <v>20.239599999999999</v>
      </c>
      <c r="AX49">
        <v>793.48400000000004</v>
      </c>
      <c r="AY49">
        <v>22.188099999999999</v>
      </c>
      <c r="AZ49">
        <v>300.363</v>
      </c>
      <c r="BA49">
        <v>98.660700000000006</v>
      </c>
      <c r="BB49">
        <v>0.100006</v>
      </c>
      <c r="BC49">
        <v>26.03</v>
      </c>
      <c r="BD49">
        <v>26.943999999999999</v>
      </c>
      <c r="BE49">
        <v>27.885200000000001</v>
      </c>
      <c r="BF49">
        <v>0</v>
      </c>
      <c r="BG49">
        <v>0</v>
      </c>
      <c r="BH49">
        <v>10057.5</v>
      </c>
      <c r="BI49">
        <v>1071.71</v>
      </c>
      <c r="BJ49">
        <v>1.5137799999999999</v>
      </c>
      <c r="BK49">
        <v>-6.8306899999999997</v>
      </c>
      <c r="BL49">
        <v>811.43100000000004</v>
      </c>
      <c r="BM49">
        <v>816.55700000000002</v>
      </c>
      <c r="BN49">
        <v>2.2281200000000001</v>
      </c>
      <c r="BO49">
        <v>800.03099999999995</v>
      </c>
      <c r="BP49">
        <v>20.239599999999999</v>
      </c>
      <c r="BQ49">
        <v>2.2166800000000002</v>
      </c>
      <c r="BR49">
        <v>1.99685</v>
      </c>
      <c r="BS49">
        <v>19.083400000000001</v>
      </c>
      <c r="BT49">
        <v>17.4194</v>
      </c>
      <c r="BU49">
        <v>1799.99</v>
      </c>
      <c r="BV49">
        <v>0.91000599999999998</v>
      </c>
      <c r="BW49">
        <v>3.4006300000000003E-2</v>
      </c>
      <c r="BX49">
        <v>2.19933E-2</v>
      </c>
      <c r="BY49">
        <v>3.3994099999999999E-2</v>
      </c>
      <c r="BZ49">
        <v>25</v>
      </c>
      <c r="CA49">
        <v>33528.199999999997</v>
      </c>
      <c r="CB49">
        <v>1690384821</v>
      </c>
      <c r="CC49" t="s">
        <v>332</v>
      </c>
      <c r="CD49">
        <v>1690384820</v>
      </c>
      <c r="CE49">
        <v>1690384821</v>
      </c>
      <c r="CF49">
        <v>5</v>
      </c>
      <c r="CG49">
        <v>-2.5000000000000001E-2</v>
      </c>
      <c r="CH49">
        <v>0.104</v>
      </c>
      <c r="CI49">
        <v>-0.28799999999999998</v>
      </c>
      <c r="CJ49">
        <v>0.28000000000000003</v>
      </c>
      <c r="CK49">
        <v>800</v>
      </c>
      <c r="CL49">
        <v>24</v>
      </c>
      <c r="CM49">
        <v>0.08</v>
      </c>
      <c r="CN49">
        <v>0.11</v>
      </c>
      <c r="CO49">
        <v>-6.4387377499999996</v>
      </c>
      <c r="CP49">
        <v>-1.826321313320814</v>
      </c>
      <c r="CQ49">
        <v>0.17826870195701081</v>
      </c>
      <c r="CR49">
        <v>-1</v>
      </c>
      <c r="CS49">
        <v>2.2150607500000001</v>
      </c>
      <c r="CT49">
        <v>0.24485594746716241</v>
      </c>
      <c r="CU49">
        <v>2.6886820599273172E-2</v>
      </c>
      <c r="CV49">
        <v>-1</v>
      </c>
      <c r="CW49">
        <v>0</v>
      </c>
      <c r="CX49">
        <v>0</v>
      </c>
      <c r="CY49" t="s">
        <v>333</v>
      </c>
      <c r="CZ49">
        <v>2.36496</v>
      </c>
      <c r="DA49">
        <v>2.7138499999999999</v>
      </c>
      <c r="DB49">
        <v>0.145312</v>
      </c>
      <c r="DC49">
        <v>0.14577499999999999</v>
      </c>
      <c r="DD49">
        <v>0.10792499999999999</v>
      </c>
      <c r="DE49">
        <v>9.9117800000000006E-2</v>
      </c>
      <c r="DF49">
        <v>31209.3</v>
      </c>
      <c r="DG49">
        <v>27531.8</v>
      </c>
      <c r="DH49">
        <v>31173.5</v>
      </c>
      <c r="DI49">
        <v>28084</v>
      </c>
      <c r="DJ49">
        <v>37758.800000000003</v>
      </c>
      <c r="DK49">
        <v>35975.699999999997</v>
      </c>
      <c r="DL49">
        <v>44364</v>
      </c>
      <c r="DM49">
        <v>42567.5</v>
      </c>
      <c r="DN49">
        <v>1.4616</v>
      </c>
      <c r="DO49">
        <v>2.0566200000000001</v>
      </c>
      <c r="DP49">
        <v>9.7274799999999995E-2</v>
      </c>
      <c r="DQ49">
        <v>0.175621</v>
      </c>
      <c r="DR49">
        <v>25.350999999999999</v>
      </c>
      <c r="DS49">
        <v>25.0105</v>
      </c>
      <c r="DT49">
        <v>57.4</v>
      </c>
      <c r="DU49">
        <v>28.9</v>
      </c>
      <c r="DV49">
        <v>23.262699999999999</v>
      </c>
      <c r="DW49">
        <v>60.612200000000001</v>
      </c>
      <c r="DX49">
        <v>35.685099999999998</v>
      </c>
      <c r="DY49">
        <v>1</v>
      </c>
      <c r="DZ49">
        <v>-8.3521300000000007E-2</v>
      </c>
      <c r="EA49">
        <v>1.095</v>
      </c>
      <c r="EB49">
        <v>20.185600000000001</v>
      </c>
      <c r="EC49">
        <v>5.2409499999999998</v>
      </c>
      <c r="ED49">
        <v>12.039899999999999</v>
      </c>
      <c r="EE49">
        <v>5.0171000000000001</v>
      </c>
      <c r="EF49">
        <v>3.2879499999999999</v>
      </c>
      <c r="EG49">
        <v>9999</v>
      </c>
      <c r="EH49">
        <v>9999</v>
      </c>
      <c r="EI49">
        <v>9999</v>
      </c>
      <c r="EJ49">
        <v>999.9</v>
      </c>
      <c r="EK49">
        <v>1.8689100000000001</v>
      </c>
      <c r="EL49">
        <v>1.8646199999999999</v>
      </c>
      <c r="EM49">
        <v>1.8692</v>
      </c>
      <c r="EN49">
        <v>1.8672599999999999</v>
      </c>
      <c r="EO49">
        <v>1.8633999999999999</v>
      </c>
      <c r="EP49">
        <v>1.8644700000000001</v>
      </c>
      <c r="EQ49">
        <v>1.8702099999999999</v>
      </c>
      <c r="ER49">
        <v>1.86941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-0.28399999999999997</v>
      </c>
      <c r="FG49">
        <v>0.27960000000000002</v>
      </c>
      <c r="FH49">
        <v>0.26269369235785539</v>
      </c>
      <c r="FI49">
        <v>-6.1462078757559423E-4</v>
      </c>
      <c r="FJ49">
        <v>-1.8861989874597051E-7</v>
      </c>
      <c r="FK49">
        <v>1.1980462299894961E-10</v>
      </c>
      <c r="FL49">
        <v>0.27968571428570849</v>
      </c>
      <c r="FM49">
        <v>0</v>
      </c>
      <c r="FN49">
        <v>0</v>
      </c>
      <c r="FO49">
        <v>0</v>
      </c>
      <c r="FP49">
        <v>3</v>
      </c>
      <c r="FQ49">
        <v>2158</v>
      </c>
      <c r="FR49">
        <v>1</v>
      </c>
      <c r="FS49">
        <v>19</v>
      </c>
      <c r="FT49">
        <v>15.1</v>
      </c>
      <c r="FU49">
        <v>15.1</v>
      </c>
      <c r="FV49">
        <v>1.79688</v>
      </c>
      <c r="FW49">
        <v>2.5866699999999998</v>
      </c>
      <c r="FX49">
        <v>1.5490699999999999</v>
      </c>
      <c r="FY49">
        <v>2.3315399999999999</v>
      </c>
      <c r="FZ49">
        <v>1.50146</v>
      </c>
      <c r="GA49">
        <v>2.33643</v>
      </c>
      <c r="GB49">
        <v>33.602899999999998</v>
      </c>
      <c r="GC49">
        <v>23.982399999999998</v>
      </c>
      <c r="GD49">
        <v>19</v>
      </c>
      <c r="GE49">
        <v>276.88099999999997</v>
      </c>
      <c r="GF49">
        <v>600.08100000000002</v>
      </c>
      <c r="GG49">
        <v>22.661300000000001</v>
      </c>
      <c r="GH49">
        <v>26.3752</v>
      </c>
      <c r="GI49">
        <v>30</v>
      </c>
      <c r="GJ49">
        <v>26.392499999999998</v>
      </c>
      <c r="GK49">
        <v>26.338999999999999</v>
      </c>
      <c r="GL49">
        <v>35.914000000000001</v>
      </c>
      <c r="GM49">
        <v>22.258199999999999</v>
      </c>
      <c r="GN49">
        <v>100</v>
      </c>
      <c r="GO49">
        <v>22.6797</v>
      </c>
      <c r="GP49">
        <v>800</v>
      </c>
      <c r="GQ49">
        <v>20.180700000000002</v>
      </c>
      <c r="GR49">
        <v>99.743499999999997</v>
      </c>
      <c r="GS49">
        <v>99.578500000000005</v>
      </c>
    </row>
    <row r="50" spans="1:201" x14ac:dyDescent="0.25">
      <c r="A50">
        <v>34</v>
      </c>
      <c r="B50">
        <v>1690385735.5999999</v>
      </c>
      <c r="C50">
        <v>401</v>
      </c>
      <c r="D50" t="s">
        <v>401</v>
      </c>
      <c r="E50" t="s">
        <v>402</v>
      </c>
      <c r="F50" t="s">
        <v>330</v>
      </c>
      <c r="H50">
        <v>1690385735.5999999</v>
      </c>
      <c r="I50">
        <f t="shared" si="0"/>
        <v>2.1426541179968346E-4</v>
      </c>
      <c r="J50">
        <f t="shared" si="1"/>
        <v>0.21426541179968345</v>
      </c>
      <c r="K50">
        <f t="shared" si="2"/>
        <v>0.50693942826093197</v>
      </c>
      <c r="L50">
        <f t="shared" si="3"/>
        <v>792.84500000000003</v>
      </c>
      <c r="M50">
        <f t="shared" si="4"/>
        <v>709.43755993891398</v>
      </c>
      <c r="N50">
        <f t="shared" si="5"/>
        <v>70.06599727848139</v>
      </c>
      <c r="O50">
        <f t="shared" si="6"/>
        <v>78.303544595300011</v>
      </c>
      <c r="P50">
        <f t="shared" si="7"/>
        <v>1.2848247987760106E-2</v>
      </c>
      <c r="Q50">
        <f t="shared" si="8"/>
        <v>2.1574166250284574</v>
      </c>
      <c r="R50">
        <f t="shared" si="9"/>
        <v>1.2805890275266756E-2</v>
      </c>
      <c r="S50">
        <f t="shared" si="10"/>
        <v>8.0074753936121724E-3</v>
      </c>
      <c r="T50">
        <f t="shared" si="11"/>
        <v>276.11247692927282</v>
      </c>
      <c r="U50">
        <f t="shared" si="12"/>
        <v>28.109940854904806</v>
      </c>
      <c r="V50">
        <f t="shared" si="13"/>
        <v>28.109940854904806</v>
      </c>
      <c r="W50">
        <f t="shared" si="14"/>
        <v>3.81922957516678</v>
      </c>
      <c r="X50">
        <f t="shared" si="15"/>
        <v>65.61797048886659</v>
      </c>
      <c r="Y50">
        <f t="shared" si="16"/>
        <v>2.2172531418220003</v>
      </c>
      <c r="Z50">
        <f t="shared" si="17"/>
        <v>3.3790334039639367</v>
      </c>
      <c r="AA50">
        <f t="shared" si="18"/>
        <v>1.6019764333447797</v>
      </c>
      <c r="AB50">
        <f t="shared" si="19"/>
        <v>-9.4491046603660411</v>
      </c>
      <c r="AC50">
        <f t="shared" si="20"/>
        <v>-242.62875751501531</v>
      </c>
      <c r="AD50">
        <f t="shared" si="21"/>
        <v>-24.287290736978328</v>
      </c>
      <c r="AE50">
        <f t="shared" si="22"/>
        <v>-0.25267598308684569</v>
      </c>
      <c r="AF50">
        <v>0</v>
      </c>
      <c r="AG50">
        <v>0</v>
      </c>
      <c r="AH50">
        <f t="shared" si="23"/>
        <v>1</v>
      </c>
      <c r="AI50">
        <f t="shared" si="24"/>
        <v>0</v>
      </c>
      <c r="AJ50">
        <f t="shared" si="25"/>
        <v>52318.353556745817</v>
      </c>
      <c r="AK50">
        <f t="shared" si="26"/>
        <v>1799.99</v>
      </c>
      <c r="AL50">
        <f t="shared" si="27"/>
        <v>1499.10364820013</v>
      </c>
      <c r="AM50">
        <f t="shared" si="28"/>
        <v>0.83283998700000006</v>
      </c>
      <c r="AN50">
        <f t="shared" si="29"/>
        <v>0.15339667272000002</v>
      </c>
      <c r="AO50">
        <v>31.8</v>
      </c>
      <c r="AP50">
        <v>0.5</v>
      </c>
      <c r="AQ50" t="s">
        <v>331</v>
      </c>
      <c r="AR50">
        <v>2</v>
      </c>
      <c r="AS50">
        <v>1690385735.5999999</v>
      </c>
      <c r="AT50">
        <v>792.84500000000003</v>
      </c>
      <c r="AU50">
        <v>800.01499999999999</v>
      </c>
      <c r="AV50">
        <v>22.450299999999999</v>
      </c>
      <c r="AW50">
        <v>20.231400000000001</v>
      </c>
      <c r="AX50">
        <v>793.12900000000002</v>
      </c>
      <c r="AY50">
        <v>22.1706</v>
      </c>
      <c r="AZ50">
        <v>300.17899999999997</v>
      </c>
      <c r="BA50">
        <v>98.662700000000001</v>
      </c>
      <c r="BB50">
        <v>0.10004</v>
      </c>
      <c r="BC50">
        <v>26.023900000000001</v>
      </c>
      <c r="BD50">
        <v>26.938300000000002</v>
      </c>
      <c r="BE50">
        <v>27.885400000000001</v>
      </c>
      <c r="BF50">
        <v>0</v>
      </c>
      <c r="BG50">
        <v>0</v>
      </c>
      <c r="BH50">
        <v>9995.6200000000008</v>
      </c>
      <c r="BI50">
        <v>1071.3900000000001</v>
      </c>
      <c r="BJ50">
        <v>1.5137799999999999</v>
      </c>
      <c r="BK50">
        <v>-7.16974</v>
      </c>
      <c r="BL50">
        <v>811.05399999999997</v>
      </c>
      <c r="BM50">
        <v>816.53499999999997</v>
      </c>
      <c r="BN50">
        <v>2.2188699999999999</v>
      </c>
      <c r="BO50">
        <v>800.01499999999999</v>
      </c>
      <c r="BP50">
        <v>20.231400000000001</v>
      </c>
      <c r="BQ50">
        <v>2.2150099999999999</v>
      </c>
      <c r="BR50">
        <v>1.9960899999999999</v>
      </c>
      <c r="BS50">
        <v>19.071300000000001</v>
      </c>
      <c r="BT50">
        <v>17.4133</v>
      </c>
      <c r="BU50">
        <v>1799.99</v>
      </c>
      <c r="BV50">
        <v>0.91001500000000002</v>
      </c>
      <c r="BW50">
        <v>3.4002900000000003E-2</v>
      </c>
      <c r="BX50">
        <v>2.19911E-2</v>
      </c>
      <c r="BY50">
        <v>3.3990800000000002E-2</v>
      </c>
      <c r="BZ50">
        <v>25</v>
      </c>
      <c r="CA50">
        <v>33528.199999999997</v>
      </c>
      <c r="CB50">
        <v>1690384821</v>
      </c>
      <c r="CC50" t="s">
        <v>332</v>
      </c>
      <c r="CD50">
        <v>1690384820</v>
      </c>
      <c r="CE50">
        <v>1690384821</v>
      </c>
      <c r="CF50">
        <v>5</v>
      </c>
      <c r="CG50">
        <v>-2.5000000000000001E-2</v>
      </c>
      <c r="CH50">
        <v>0.104</v>
      </c>
      <c r="CI50">
        <v>-0.28799999999999998</v>
      </c>
      <c r="CJ50">
        <v>0.28000000000000003</v>
      </c>
      <c r="CK50">
        <v>800</v>
      </c>
      <c r="CL50">
        <v>24</v>
      </c>
      <c r="CM50">
        <v>0.08</v>
      </c>
      <c r="CN50">
        <v>0.11</v>
      </c>
      <c r="CO50">
        <v>-6.7834429268292684</v>
      </c>
      <c r="CP50">
        <v>-2.0196020905923211</v>
      </c>
      <c r="CQ50">
        <v>0.2028425614433447</v>
      </c>
      <c r="CR50">
        <v>-1</v>
      </c>
      <c r="CS50">
        <v>2.2301312195121952</v>
      </c>
      <c r="CT50">
        <v>-6.7938815331007124E-2</v>
      </c>
      <c r="CU50">
        <v>7.4075976801415864E-3</v>
      </c>
      <c r="CV50">
        <v>-1</v>
      </c>
      <c r="CW50">
        <v>0</v>
      </c>
      <c r="CX50">
        <v>0</v>
      </c>
      <c r="CY50" t="s">
        <v>333</v>
      </c>
      <c r="CZ50">
        <v>2.3643800000000001</v>
      </c>
      <c r="DA50">
        <v>2.7138300000000002</v>
      </c>
      <c r="DB50">
        <v>0.14527000000000001</v>
      </c>
      <c r="DC50">
        <v>0.14577499999999999</v>
      </c>
      <c r="DD50">
        <v>0.107866</v>
      </c>
      <c r="DE50">
        <v>9.9090499999999998E-2</v>
      </c>
      <c r="DF50">
        <v>31211</v>
      </c>
      <c r="DG50">
        <v>27531.599999999999</v>
      </c>
      <c r="DH50">
        <v>31173.7</v>
      </c>
      <c r="DI50">
        <v>28083.8</v>
      </c>
      <c r="DJ50">
        <v>37761.4</v>
      </c>
      <c r="DK50">
        <v>35976.6</v>
      </c>
      <c r="DL50">
        <v>44364.1</v>
      </c>
      <c r="DM50">
        <v>42567.199999999997</v>
      </c>
      <c r="DN50">
        <v>1.46113</v>
      </c>
      <c r="DO50">
        <v>2.0564499999999999</v>
      </c>
      <c r="DP50">
        <v>9.7870799999999994E-2</v>
      </c>
      <c r="DQ50">
        <v>0.17643700000000001</v>
      </c>
      <c r="DR50">
        <v>25.3355</v>
      </c>
      <c r="DS50">
        <v>24.997299999999999</v>
      </c>
      <c r="DT50">
        <v>57.4</v>
      </c>
      <c r="DU50">
        <v>28.9</v>
      </c>
      <c r="DV50">
        <v>23.2654</v>
      </c>
      <c r="DW50">
        <v>60.932200000000002</v>
      </c>
      <c r="DX50">
        <v>35.464700000000001</v>
      </c>
      <c r="DY50">
        <v>1</v>
      </c>
      <c r="DZ50">
        <v>-8.3630599999999999E-2</v>
      </c>
      <c r="EA50">
        <v>0.87844800000000001</v>
      </c>
      <c r="EB50">
        <v>20.187100000000001</v>
      </c>
      <c r="EC50">
        <v>5.2409499999999998</v>
      </c>
      <c r="ED50">
        <v>12.039899999999999</v>
      </c>
      <c r="EE50">
        <v>5.0172999999999996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</v>
      </c>
      <c r="EL50">
        <v>1.8646199999999999</v>
      </c>
      <c r="EM50">
        <v>1.8692</v>
      </c>
      <c r="EN50">
        <v>1.8672599999999999</v>
      </c>
      <c r="EO50">
        <v>1.8633900000000001</v>
      </c>
      <c r="EP50">
        <v>1.8644700000000001</v>
      </c>
      <c r="EQ50">
        <v>1.87018</v>
      </c>
      <c r="ER50">
        <v>1.86941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-0.28399999999999997</v>
      </c>
      <c r="FG50">
        <v>0.2797</v>
      </c>
      <c r="FH50">
        <v>0.26269369235785539</v>
      </c>
      <c r="FI50">
        <v>-6.1462078757559423E-4</v>
      </c>
      <c r="FJ50">
        <v>-1.8861989874597051E-7</v>
      </c>
      <c r="FK50">
        <v>1.1980462299894961E-10</v>
      </c>
      <c r="FL50">
        <v>0.27968571428570849</v>
      </c>
      <c r="FM50">
        <v>0</v>
      </c>
      <c r="FN50">
        <v>0</v>
      </c>
      <c r="FO50">
        <v>0</v>
      </c>
      <c r="FP50">
        <v>3</v>
      </c>
      <c r="FQ50">
        <v>2158</v>
      </c>
      <c r="FR50">
        <v>1</v>
      </c>
      <c r="FS50">
        <v>19</v>
      </c>
      <c r="FT50">
        <v>15.3</v>
      </c>
      <c r="FU50">
        <v>15.2</v>
      </c>
      <c r="FV50">
        <v>1.79565</v>
      </c>
      <c r="FW50">
        <v>2.5830099999999998</v>
      </c>
      <c r="FX50">
        <v>1.5490699999999999</v>
      </c>
      <c r="FY50">
        <v>2.3315399999999999</v>
      </c>
      <c r="FZ50">
        <v>1.50146</v>
      </c>
      <c r="GA50">
        <v>2.3852500000000001</v>
      </c>
      <c r="GB50">
        <v>33.602899999999998</v>
      </c>
      <c r="GC50">
        <v>23.982399999999998</v>
      </c>
      <c r="GD50">
        <v>19</v>
      </c>
      <c r="GE50">
        <v>276.69099999999997</v>
      </c>
      <c r="GF50">
        <v>599.976</v>
      </c>
      <c r="GG50">
        <v>22.747900000000001</v>
      </c>
      <c r="GH50">
        <v>26.3719</v>
      </c>
      <c r="GI50">
        <v>30.0001</v>
      </c>
      <c r="GJ50">
        <v>26.3947</v>
      </c>
      <c r="GK50">
        <v>26.3428</v>
      </c>
      <c r="GL50">
        <v>35.911299999999997</v>
      </c>
      <c r="GM50">
        <v>22.258199999999999</v>
      </c>
      <c r="GN50">
        <v>100</v>
      </c>
      <c r="GO50">
        <v>22.784400000000002</v>
      </c>
      <c r="GP50">
        <v>800</v>
      </c>
      <c r="GQ50">
        <v>20.1601</v>
      </c>
      <c r="GR50">
        <v>99.743899999999996</v>
      </c>
      <c r="GS50">
        <v>99.577799999999996</v>
      </c>
    </row>
    <row r="51" spans="1:201" x14ac:dyDescent="0.25">
      <c r="A51">
        <v>35</v>
      </c>
      <c r="B51">
        <v>1690385745.5999999</v>
      </c>
      <c r="C51">
        <v>411</v>
      </c>
      <c r="D51" t="s">
        <v>403</v>
      </c>
      <c r="E51" t="s">
        <v>404</v>
      </c>
      <c r="F51" t="s">
        <v>330</v>
      </c>
      <c r="H51">
        <v>1690385745.5999999</v>
      </c>
      <c r="I51">
        <f t="shared" si="0"/>
        <v>2.2099845414687766E-4</v>
      </c>
      <c r="J51">
        <f t="shared" si="1"/>
        <v>0.22099845414687766</v>
      </c>
      <c r="K51">
        <f t="shared" si="2"/>
        <v>0.54198303609702048</v>
      </c>
      <c r="L51">
        <f t="shared" si="3"/>
        <v>792.42</v>
      </c>
      <c r="M51">
        <f t="shared" si="4"/>
        <v>706.74047763765782</v>
      </c>
      <c r="N51">
        <f t="shared" si="5"/>
        <v>69.799059941281229</v>
      </c>
      <c r="O51">
        <f t="shared" si="6"/>
        <v>78.260935702379996</v>
      </c>
      <c r="P51">
        <f t="shared" si="7"/>
        <v>1.3253215561419238E-2</v>
      </c>
      <c r="Q51">
        <f t="shared" si="8"/>
        <v>2.1582306198797134</v>
      </c>
      <c r="R51">
        <f t="shared" si="9"/>
        <v>1.3208167588325093E-2</v>
      </c>
      <c r="S51">
        <f t="shared" si="10"/>
        <v>8.2591392975137484E-3</v>
      </c>
      <c r="T51">
        <f t="shared" si="11"/>
        <v>276.1142661193328</v>
      </c>
      <c r="U51">
        <f t="shared" si="12"/>
        <v>28.107515846805189</v>
      </c>
      <c r="V51">
        <f t="shared" si="13"/>
        <v>28.107515846805189</v>
      </c>
      <c r="W51">
        <f t="shared" si="14"/>
        <v>3.8186901263940234</v>
      </c>
      <c r="X51">
        <f t="shared" si="15"/>
        <v>65.599326600195738</v>
      </c>
      <c r="Y51">
        <f t="shared" si="16"/>
        <v>2.2167018446611002</v>
      </c>
      <c r="Z51">
        <f t="shared" si="17"/>
        <v>3.3791533534651954</v>
      </c>
      <c r="AA51">
        <f t="shared" si="18"/>
        <v>1.6019882817329232</v>
      </c>
      <c r="AB51">
        <f t="shared" si="19"/>
        <v>-9.7460318278773048</v>
      </c>
      <c r="AC51">
        <f t="shared" si="20"/>
        <v>-242.3683281273203</v>
      </c>
      <c r="AD51">
        <f t="shared" si="21"/>
        <v>-24.25184916946629</v>
      </c>
      <c r="AE51">
        <f t="shared" si="22"/>
        <v>-0.25194300533109981</v>
      </c>
      <c r="AF51">
        <v>0</v>
      </c>
      <c r="AG51">
        <v>0</v>
      </c>
      <c r="AH51">
        <f t="shared" si="23"/>
        <v>1</v>
      </c>
      <c r="AI51">
        <f t="shared" si="24"/>
        <v>0</v>
      </c>
      <c r="AJ51">
        <f t="shared" si="25"/>
        <v>52352.363281109021</v>
      </c>
      <c r="AK51">
        <f t="shared" si="26"/>
        <v>1799.99</v>
      </c>
      <c r="AL51">
        <f t="shared" si="27"/>
        <v>1499.1053041909302</v>
      </c>
      <c r="AM51">
        <f t="shared" si="28"/>
        <v>0.83284090700000002</v>
      </c>
      <c r="AN51">
        <f t="shared" si="29"/>
        <v>0.15339766671999999</v>
      </c>
      <c r="AO51">
        <v>31.8</v>
      </c>
      <c r="AP51">
        <v>0.5</v>
      </c>
      <c r="AQ51" t="s">
        <v>331</v>
      </c>
      <c r="AR51">
        <v>2</v>
      </c>
      <c r="AS51">
        <v>1690385745.5999999</v>
      </c>
      <c r="AT51">
        <v>792.42</v>
      </c>
      <c r="AU51">
        <v>800.01700000000005</v>
      </c>
      <c r="AV51">
        <v>22.444900000000001</v>
      </c>
      <c r="AW51">
        <v>20.156199999999998</v>
      </c>
      <c r="AX51">
        <v>792.70299999999997</v>
      </c>
      <c r="AY51">
        <v>22.165199999999999</v>
      </c>
      <c r="AZ51">
        <v>300.17099999999999</v>
      </c>
      <c r="BA51">
        <v>98.661900000000003</v>
      </c>
      <c r="BB51">
        <v>0.100039</v>
      </c>
      <c r="BC51">
        <v>26.0245</v>
      </c>
      <c r="BD51">
        <v>26.965299999999999</v>
      </c>
      <c r="BE51">
        <v>27.891500000000001</v>
      </c>
      <c r="BF51">
        <v>0</v>
      </c>
      <c r="BG51">
        <v>0</v>
      </c>
      <c r="BH51">
        <v>10002.5</v>
      </c>
      <c r="BI51">
        <v>1071.32</v>
      </c>
      <c r="BJ51">
        <v>1.5137799999999999</v>
      </c>
      <c r="BK51">
        <v>-7.5975999999999999</v>
      </c>
      <c r="BL51">
        <v>810.61400000000003</v>
      </c>
      <c r="BM51">
        <v>816.47400000000005</v>
      </c>
      <c r="BN51">
        <v>2.28877</v>
      </c>
      <c r="BO51">
        <v>800.01700000000005</v>
      </c>
      <c r="BP51">
        <v>20.156199999999998</v>
      </c>
      <c r="BQ51">
        <v>2.2144599999999999</v>
      </c>
      <c r="BR51">
        <v>1.98864</v>
      </c>
      <c r="BS51">
        <v>19.067299999999999</v>
      </c>
      <c r="BT51">
        <v>17.354199999999999</v>
      </c>
      <c r="BU51">
        <v>1799.99</v>
      </c>
      <c r="BV51">
        <v>0.91000599999999998</v>
      </c>
      <c r="BW51">
        <v>3.40004E-2</v>
      </c>
      <c r="BX51">
        <v>2.20051E-2</v>
      </c>
      <c r="BY51">
        <v>3.3988200000000003E-2</v>
      </c>
      <c r="BZ51">
        <v>25</v>
      </c>
      <c r="CA51">
        <v>33528.1</v>
      </c>
      <c r="CB51">
        <v>1690384821</v>
      </c>
      <c r="CC51" t="s">
        <v>332</v>
      </c>
      <c r="CD51">
        <v>1690384820</v>
      </c>
      <c r="CE51">
        <v>1690384821</v>
      </c>
      <c r="CF51">
        <v>5</v>
      </c>
      <c r="CG51">
        <v>-2.5000000000000001E-2</v>
      </c>
      <c r="CH51">
        <v>0.104</v>
      </c>
      <c r="CI51">
        <v>-0.28799999999999998</v>
      </c>
      <c r="CJ51">
        <v>0.28000000000000003</v>
      </c>
      <c r="CK51">
        <v>800</v>
      </c>
      <c r="CL51">
        <v>24</v>
      </c>
      <c r="CM51">
        <v>0.08</v>
      </c>
      <c r="CN51">
        <v>0.11</v>
      </c>
      <c r="CO51">
        <v>-7.1565451219512202</v>
      </c>
      <c r="CP51">
        <v>-2.3063383275261509</v>
      </c>
      <c r="CQ51">
        <v>0.22995718102080201</v>
      </c>
      <c r="CR51">
        <v>-1</v>
      </c>
      <c r="CS51">
        <v>2.2285648780487808</v>
      </c>
      <c r="CT51">
        <v>7.2776445993032471E-2</v>
      </c>
      <c r="CU51">
        <v>1.491135221853232E-2</v>
      </c>
      <c r="CV51">
        <v>-1</v>
      </c>
      <c r="CW51">
        <v>0</v>
      </c>
      <c r="CX51">
        <v>0</v>
      </c>
      <c r="CY51" t="s">
        <v>333</v>
      </c>
      <c r="CZ51">
        <v>2.36436</v>
      </c>
      <c r="DA51">
        <v>2.7138300000000002</v>
      </c>
      <c r="DB51">
        <v>0.14521600000000001</v>
      </c>
      <c r="DC51">
        <v>0.14577100000000001</v>
      </c>
      <c r="DD51">
        <v>0.107846</v>
      </c>
      <c r="DE51">
        <v>9.8827600000000002E-2</v>
      </c>
      <c r="DF51">
        <v>31212.5</v>
      </c>
      <c r="DG51">
        <v>27532.1</v>
      </c>
      <c r="DH51">
        <v>31173.1</v>
      </c>
      <c r="DI51">
        <v>28084.2</v>
      </c>
      <c r="DJ51">
        <v>37761.599999999999</v>
      </c>
      <c r="DK51">
        <v>35987.699999999997</v>
      </c>
      <c r="DL51">
        <v>44363.4</v>
      </c>
      <c r="DM51">
        <v>42567.9</v>
      </c>
      <c r="DN51">
        <v>1.4617</v>
      </c>
      <c r="DO51">
        <v>2.0566</v>
      </c>
      <c r="DP51">
        <v>0.100434</v>
      </c>
      <c r="DQ51">
        <v>0.17754700000000001</v>
      </c>
      <c r="DR51">
        <v>25.320499999999999</v>
      </c>
      <c r="DS51">
        <v>24.985199999999999</v>
      </c>
      <c r="DT51">
        <v>57.4</v>
      </c>
      <c r="DU51">
        <v>28.9</v>
      </c>
      <c r="DV51">
        <v>23.2622</v>
      </c>
      <c r="DW51">
        <v>61.1922</v>
      </c>
      <c r="DX51">
        <v>35.977600000000002</v>
      </c>
      <c r="DY51">
        <v>1</v>
      </c>
      <c r="DZ51">
        <v>-8.3468000000000001E-2</v>
      </c>
      <c r="EA51">
        <v>0.87173699999999998</v>
      </c>
      <c r="EB51">
        <v>20.1873</v>
      </c>
      <c r="EC51">
        <v>5.2411000000000003</v>
      </c>
      <c r="ED51">
        <v>12.039899999999999</v>
      </c>
      <c r="EE51">
        <v>5.0172999999999996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1.8689100000000001</v>
      </c>
      <c r="EL51">
        <v>1.8646199999999999</v>
      </c>
      <c r="EM51">
        <v>1.8692</v>
      </c>
      <c r="EN51">
        <v>1.86724</v>
      </c>
      <c r="EO51">
        <v>1.8633900000000001</v>
      </c>
      <c r="EP51">
        <v>1.8644700000000001</v>
      </c>
      <c r="EQ51">
        <v>1.87015</v>
      </c>
      <c r="ER51">
        <v>1.8694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-0.28299999999999997</v>
      </c>
      <c r="FG51">
        <v>0.2797</v>
      </c>
      <c r="FH51">
        <v>0.26269369235785539</v>
      </c>
      <c r="FI51">
        <v>-6.1462078757559423E-4</v>
      </c>
      <c r="FJ51">
        <v>-1.8861989874597051E-7</v>
      </c>
      <c r="FK51">
        <v>1.1980462299894961E-10</v>
      </c>
      <c r="FL51">
        <v>0.27968571428570849</v>
      </c>
      <c r="FM51">
        <v>0</v>
      </c>
      <c r="FN51">
        <v>0</v>
      </c>
      <c r="FO51">
        <v>0</v>
      </c>
      <c r="FP51">
        <v>3</v>
      </c>
      <c r="FQ51">
        <v>2158</v>
      </c>
      <c r="FR51">
        <v>1</v>
      </c>
      <c r="FS51">
        <v>19</v>
      </c>
      <c r="FT51">
        <v>15.4</v>
      </c>
      <c r="FU51">
        <v>15.4</v>
      </c>
      <c r="FV51">
        <v>1.79565</v>
      </c>
      <c r="FW51">
        <v>2.5744600000000002</v>
      </c>
      <c r="FX51">
        <v>1.5490699999999999</v>
      </c>
      <c r="FY51">
        <v>2.3315399999999999</v>
      </c>
      <c r="FZ51">
        <v>1.50146</v>
      </c>
      <c r="GA51">
        <v>2.4060100000000002</v>
      </c>
      <c r="GB51">
        <v>33.602899999999998</v>
      </c>
      <c r="GC51">
        <v>23.982399999999998</v>
      </c>
      <c r="GD51">
        <v>19</v>
      </c>
      <c r="GE51">
        <v>276.94099999999997</v>
      </c>
      <c r="GF51">
        <v>600.13599999999997</v>
      </c>
      <c r="GG51">
        <v>22.8552</v>
      </c>
      <c r="GH51">
        <v>26.368600000000001</v>
      </c>
      <c r="GI51">
        <v>30</v>
      </c>
      <c r="GJ51">
        <v>26.396999999999998</v>
      </c>
      <c r="GK51">
        <v>26.345600000000001</v>
      </c>
      <c r="GL51">
        <v>35.9099</v>
      </c>
      <c r="GM51">
        <v>22.536200000000001</v>
      </c>
      <c r="GN51">
        <v>100</v>
      </c>
      <c r="GO51">
        <v>22.864699999999999</v>
      </c>
      <c r="GP51">
        <v>800</v>
      </c>
      <c r="GQ51">
        <v>20.138200000000001</v>
      </c>
      <c r="GR51">
        <v>99.742099999999994</v>
      </c>
      <c r="GS51">
        <v>99.579400000000007</v>
      </c>
    </row>
    <row r="52" spans="1:201" x14ac:dyDescent="0.25">
      <c r="A52">
        <v>36</v>
      </c>
      <c r="B52">
        <v>1690385755.5999999</v>
      </c>
      <c r="C52">
        <v>421</v>
      </c>
      <c r="D52" t="s">
        <v>405</v>
      </c>
      <c r="E52" t="s">
        <v>406</v>
      </c>
      <c r="F52" t="s">
        <v>330</v>
      </c>
      <c r="H52">
        <v>1690385755.5999999</v>
      </c>
      <c r="I52">
        <f t="shared" si="0"/>
        <v>2.2099118494964327E-4</v>
      </c>
      <c r="J52">
        <f t="shared" si="1"/>
        <v>0.22099118494964326</v>
      </c>
      <c r="K52">
        <f t="shared" si="2"/>
        <v>0.584382168707275</v>
      </c>
      <c r="L52">
        <f t="shared" si="3"/>
        <v>791.99699999999996</v>
      </c>
      <c r="M52">
        <f t="shared" si="4"/>
        <v>701.09582190630897</v>
      </c>
      <c r="N52">
        <f t="shared" si="5"/>
        <v>69.240979643530167</v>
      </c>
      <c r="O52">
        <f t="shared" si="6"/>
        <v>78.218478047163899</v>
      </c>
      <c r="P52">
        <f t="shared" si="7"/>
        <v>1.322842341843406E-2</v>
      </c>
      <c r="Q52">
        <f t="shared" si="8"/>
        <v>2.1554509025367987</v>
      </c>
      <c r="R52">
        <f t="shared" si="9"/>
        <v>1.3183485851856956E-2</v>
      </c>
      <c r="S52">
        <f t="shared" si="10"/>
        <v>8.2437033314502854E-3</v>
      </c>
      <c r="T52">
        <f t="shared" si="11"/>
        <v>276.11633835000004</v>
      </c>
      <c r="U52">
        <f t="shared" si="12"/>
        <v>28.112773278222164</v>
      </c>
      <c r="V52">
        <f t="shared" si="13"/>
        <v>28.112773278222164</v>
      </c>
      <c r="W52">
        <f t="shared" si="14"/>
        <v>3.8198597385883972</v>
      </c>
      <c r="X52">
        <f t="shared" si="15"/>
        <v>65.536166970095508</v>
      </c>
      <c r="Y52">
        <f t="shared" si="16"/>
        <v>2.2149344642206397</v>
      </c>
      <c r="Z52">
        <f t="shared" si="17"/>
        <v>3.3797131669774427</v>
      </c>
      <c r="AA52">
        <f t="shared" si="18"/>
        <v>1.6049252743677576</v>
      </c>
      <c r="AB52">
        <f t="shared" si="19"/>
        <v>-9.745711256279268</v>
      </c>
      <c r="AC52">
        <f t="shared" si="20"/>
        <v>-242.34173212419944</v>
      </c>
      <c r="AD52">
        <f t="shared" si="21"/>
        <v>-24.28143888392276</v>
      </c>
      <c r="AE52">
        <f t="shared" si="22"/>
        <v>-0.25254391440142854</v>
      </c>
      <c r="AF52">
        <v>0</v>
      </c>
      <c r="AG52">
        <v>0</v>
      </c>
      <c r="AH52">
        <f t="shared" si="23"/>
        <v>1</v>
      </c>
      <c r="AI52">
        <f t="shared" si="24"/>
        <v>0</v>
      </c>
      <c r="AJ52">
        <f t="shared" si="25"/>
        <v>52235.356242127295</v>
      </c>
      <c r="AK52">
        <f t="shared" si="26"/>
        <v>1800</v>
      </c>
      <c r="AL52">
        <f t="shared" si="27"/>
        <v>1499.1159239999999</v>
      </c>
      <c r="AM52">
        <f t="shared" si="28"/>
        <v>0.83284217999999999</v>
      </c>
      <c r="AN52">
        <f t="shared" si="29"/>
        <v>0.15339796575</v>
      </c>
      <c r="AO52">
        <v>31.8</v>
      </c>
      <c r="AP52">
        <v>0.5</v>
      </c>
      <c r="AQ52" t="s">
        <v>331</v>
      </c>
      <c r="AR52">
        <v>2</v>
      </c>
      <c r="AS52">
        <v>1690385755.5999999</v>
      </c>
      <c r="AT52">
        <v>791.99699999999996</v>
      </c>
      <c r="AU52">
        <v>800.04399999999998</v>
      </c>
      <c r="AV52">
        <v>22.427199999999999</v>
      </c>
      <c r="AW52">
        <v>20.138000000000002</v>
      </c>
      <c r="AX52">
        <v>792.28</v>
      </c>
      <c r="AY52">
        <v>22.147500000000001</v>
      </c>
      <c r="AZ52">
        <v>300.101</v>
      </c>
      <c r="BA52">
        <v>98.661100000000005</v>
      </c>
      <c r="BB52">
        <v>9.9978700000000004E-2</v>
      </c>
      <c r="BC52">
        <v>26.0273</v>
      </c>
      <c r="BD52">
        <v>26.941700000000001</v>
      </c>
      <c r="BE52">
        <v>27.910599999999999</v>
      </c>
      <c r="BF52">
        <v>0</v>
      </c>
      <c r="BG52">
        <v>0</v>
      </c>
      <c r="BH52">
        <v>9979.3799999999992</v>
      </c>
      <c r="BI52">
        <v>1071.1600000000001</v>
      </c>
      <c r="BJ52">
        <v>1.5137799999999999</v>
      </c>
      <c r="BK52">
        <v>-8.0468799999999998</v>
      </c>
      <c r="BL52">
        <v>810.16700000000003</v>
      </c>
      <c r="BM52">
        <v>816.48599999999999</v>
      </c>
      <c r="BN52">
        <v>2.28912</v>
      </c>
      <c r="BO52">
        <v>800.04399999999998</v>
      </c>
      <c r="BP52">
        <v>20.138000000000002</v>
      </c>
      <c r="BQ52">
        <v>2.2126899999999998</v>
      </c>
      <c r="BR52">
        <v>1.9868399999999999</v>
      </c>
      <c r="BS52">
        <v>19.054500000000001</v>
      </c>
      <c r="BT52">
        <v>17.3399</v>
      </c>
      <c r="BU52">
        <v>1800</v>
      </c>
      <c r="BV52">
        <v>0.91000899999999996</v>
      </c>
      <c r="BW52">
        <v>3.39975E-2</v>
      </c>
      <c r="BX52">
        <v>2.20085E-2</v>
      </c>
      <c r="BY52">
        <v>3.3985300000000003E-2</v>
      </c>
      <c r="BZ52">
        <v>25</v>
      </c>
      <c r="CA52">
        <v>33528.199999999997</v>
      </c>
      <c r="CB52">
        <v>1690384821</v>
      </c>
      <c r="CC52" t="s">
        <v>332</v>
      </c>
      <c r="CD52">
        <v>1690384820</v>
      </c>
      <c r="CE52">
        <v>1690384821</v>
      </c>
      <c r="CF52">
        <v>5</v>
      </c>
      <c r="CG52">
        <v>-2.5000000000000001E-2</v>
      </c>
      <c r="CH52">
        <v>0.104</v>
      </c>
      <c r="CI52">
        <v>-0.28799999999999998</v>
      </c>
      <c r="CJ52">
        <v>0.28000000000000003</v>
      </c>
      <c r="CK52">
        <v>800</v>
      </c>
      <c r="CL52">
        <v>24</v>
      </c>
      <c r="CM52">
        <v>0.08</v>
      </c>
      <c r="CN52">
        <v>0.11</v>
      </c>
      <c r="CO52">
        <v>-7.5387152500000001</v>
      </c>
      <c r="CP52">
        <v>-2.475547654784239</v>
      </c>
      <c r="CQ52">
        <v>0.23944447829285501</v>
      </c>
      <c r="CR52">
        <v>-1</v>
      </c>
      <c r="CS52">
        <v>2.2610442499999999</v>
      </c>
      <c r="CT52">
        <v>0.31787831144464812</v>
      </c>
      <c r="CU52">
        <v>3.3139936925671708E-2</v>
      </c>
      <c r="CV52">
        <v>-1</v>
      </c>
      <c r="CW52">
        <v>0</v>
      </c>
      <c r="CX52">
        <v>0</v>
      </c>
      <c r="CY52" t="s">
        <v>333</v>
      </c>
      <c r="CZ52">
        <v>2.3641399999999999</v>
      </c>
      <c r="DA52">
        <v>2.7137500000000001</v>
      </c>
      <c r="DB52">
        <v>0.14516299999999999</v>
      </c>
      <c r="DC52">
        <v>0.14577200000000001</v>
      </c>
      <c r="DD52">
        <v>0.107784</v>
      </c>
      <c r="DE52">
        <v>9.8763400000000001E-2</v>
      </c>
      <c r="DF52">
        <v>31214.400000000001</v>
      </c>
      <c r="DG52">
        <v>27532.3</v>
      </c>
      <c r="DH52">
        <v>31173.1</v>
      </c>
      <c r="DI52">
        <v>28084.400000000001</v>
      </c>
      <c r="DJ52">
        <v>37764.1</v>
      </c>
      <c r="DK52">
        <v>35990.5</v>
      </c>
      <c r="DL52">
        <v>44363.3</v>
      </c>
      <c r="DM52">
        <v>42568.3</v>
      </c>
      <c r="DN52">
        <v>1.4613</v>
      </c>
      <c r="DO52">
        <v>2.0565799999999999</v>
      </c>
      <c r="DP52">
        <v>0.10003099999999999</v>
      </c>
      <c r="DQ52">
        <v>0.17957799999999999</v>
      </c>
      <c r="DR52">
        <v>25.3035</v>
      </c>
      <c r="DS52">
        <v>24.971</v>
      </c>
      <c r="DT52">
        <v>57.4</v>
      </c>
      <c r="DU52">
        <v>28.9</v>
      </c>
      <c r="DV52">
        <v>23.2636</v>
      </c>
      <c r="DW52">
        <v>61.182200000000002</v>
      </c>
      <c r="DX52">
        <v>36.6907</v>
      </c>
      <c r="DY52">
        <v>1</v>
      </c>
      <c r="DZ52">
        <v>-8.3678900000000001E-2</v>
      </c>
      <c r="EA52">
        <v>0.87663899999999995</v>
      </c>
      <c r="EB52">
        <v>20.186900000000001</v>
      </c>
      <c r="EC52">
        <v>5.2409499999999998</v>
      </c>
      <c r="ED52">
        <v>12.039899999999999</v>
      </c>
      <c r="EE52">
        <v>5.0172499999999998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1.8689100000000001</v>
      </c>
      <c r="EL52">
        <v>1.8646199999999999</v>
      </c>
      <c r="EM52">
        <v>1.8692</v>
      </c>
      <c r="EN52">
        <v>1.8672599999999999</v>
      </c>
      <c r="EO52">
        <v>1.8633999999999999</v>
      </c>
      <c r="EP52">
        <v>1.8644700000000001</v>
      </c>
      <c r="EQ52">
        <v>1.8701700000000001</v>
      </c>
      <c r="ER52">
        <v>1.8694299999999999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-0.28299999999999997</v>
      </c>
      <c r="FG52">
        <v>0.2797</v>
      </c>
      <c r="FH52">
        <v>0.26269369235785539</v>
      </c>
      <c r="FI52">
        <v>-6.1462078757559423E-4</v>
      </c>
      <c r="FJ52">
        <v>-1.8861989874597051E-7</v>
      </c>
      <c r="FK52">
        <v>1.1980462299894961E-10</v>
      </c>
      <c r="FL52">
        <v>0.27968571428570849</v>
      </c>
      <c r="FM52">
        <v>0</v>
      </c>
      <c r="FN52">
        <v>0</v>
      </c>
      <c r="FO52">
        <v>0</v>
      </c>
      <c r="FP52">
        <v>3</v>
      </c>
      <c r="FQ52">
        <v>2158</v>
      </c>
      <c r="FR52">
        <v>1</v>
      </c>
      <c r="FS52">
        <v>19</v>
      </c>
      <c r="FT52">
        <v>15.6</v>
      </c>
      <c r="FU52">
        <v>15.6</v>
      </c>
      <c r="FV52">
        <v>1.79565</v>
      </c>
      <c r="FW52">
        <v>2.5805699999999998</v>
      </c>
      <c r="FX52">
        <v>1.5490699999999999</v>
      </c>
      <c r="FY52">
        <v>2.3315399999999999</v>
      </c>
      <c r="FZ52">
        <v>1.50146</v>
      </c>
      <c r="GA52">
        <v>2.36572</v>
      </c>
      <c r="GB52">
        <v>33.602899999999998</v>
      </c>
      <c r="GC52">
        <v>23.982399999999998</v>
      </c>
      <c r="GD52">
        <v>19</v>
      </c>
      <c r="GE52">
        <v>276.77499999999998</v>
      </c>
      <c r="GF52">
        <v>600.14099999999996</v>
      </c>
      <c r="GG52">
        <v>22.914400000000001</v>
      </c>
      <c r="GH52">
        <v>26.364699999999999</v>
      </c>
      <c r="GI52">
        <v>29.9999</v>
      </c>
      <c r="GJ52">
        <v>26.396999999999998</v>
      </c>
      <c r="GK52">
        <v>26.347899999999999</v>
      </c>
      <c r="GL52">
        <v>35.909999999999997</v>
      </c>
      <c r="GM52">
        <v>22.536200000000001</v>
      </c>
      <c r="GN52">
        <v>100</v>
      </c>
      <c r="GO52">
        <v>22.923200000000001</v>
      </c>
      <c r="GP52">
        <v>800</v>
      </c>
      <c r="GQ52">
        <v>20.122499999999999</v>
      </c>
      <c r="GR52">
        <v>99.741900000000001</v>
      </c>
      <c r="GS52">
        <v>99.580100000000002</v>
      </c>
    </row>
    <row r="53" spans="1:201" x14ac:dyDescent="0.25">
      <c r="A53">
        <v>37</v>
      </c>
      <c r="B53">
        <v>1690385765.5999999</v>
      </c>
      <c r="C53">
        <v>431</v>
      </c>
      <c r="D53" t="s">
        <v>407</v>
      </c>
      <c r="E53" t="s">
        <v>408</v>
      </c>
      <c r="F53" t="s">
        <v>330</v>
      </c>
      <c r="H53">
        <v>1690385765.5999999</v>
      </c>
      <c r="I53">
        <f t="shared" si="0"/>
        <v>2.1998792737796497E-4</v>
      </c>
      <c r="J53">
        <f t="shared" si="1"/>
        <v>0.21998792737796496</v>
      </c>
      <c r="K53">
        <f t="shared" si="2"/>
        <v>0.63718934109243519</v>
      </c>
      <c r="L53">
        <f t="shared" si="3"/>
        <v>791.49599999999998</v>
      </c>
      <c r="M53">
        <f t="shared" si="4"/>
        <v>693.86414846310163</v>
      </c>
      <c r="N53">
        <f t="shared" si="5"/>
        <v>68.526608229693068</v>
      </c>
      <c r="O53">
        <f t="shared" si="6"/>
        <v>78.168812191127984</v>
      </c>
      <c r="P53">
        <f t="shared" si="7"/>
        <v>1.3157961983349429E-2</v>
      </c>
      <c r="Q53">
        <f t="shared" si="8"/>
        <v>2.1522941678234542</v>
      </c>
      <c r="R53">
        <f t="shared" si="9"/>
        <v>1.3113436022813108E-2</v>
      </c>
      <c r="S53">
        <f t="shared" si="10"/>
        <v>8.1998853727052873E-3</v>
      </c>
      <c r="T53">
        <f t="shared" si="11"/>
        <v>276.11332390409046</v>
      </c>
      <c r="U53">
        <f t="shared" si="12"/>
        <v>28.109391241904067</v>
      </c>
      <c r="V53">
        <f t="shared" si="13"/>
        <v>28.109391241904067</v>
      </c>
      <c r="W53">
        <f t="shared" si="14"/>
        <v>3.8191073066321795</v>
      </c>
      <c r="X53">
        <f t="shared" si="15"/>
        <v>65.501582625523795</v>
      </c>
      <c r="Y53">
        <f t="shared" si="16"/>
        <v>2.2129144569324</v>
      </c>
      <c r="Z53">
        <f t="shared" si="17"/>
        <v>3.3784137241137442</v>
      </c>
      <c r="AA53">
        <f t="shared" si="18"/>
        <v>1.6061928496997795</v>
      </c>
      <c r="AB53">
        <f t="shared" si="19"/>
        <v>-9.7014675973682554</v>
      </c>
      <c r="AC53">
        <f t="shared" si="20"/>
        <v>-242.34860531962767</v>
      </c>
      <c r="AD53">
        <f t="shared" si="21"/>
        <v>-24.316541388532542</v>
      </c>
      <c r="AE53">
        <f t="shared" si="22"/>
        <v>-0.25329040143799375</v>
      </c>
      <c r="AF53">
        <v>0</v>
      </c>
      <c r="AG53">
        <v>0</v>
      </c>
      <c r="AH53">
        <f t="shared" si="23"/>
        <v>1</v>
      </c>
      <c r="AI53">
        <f t="shared" si="24"/>
        <v>0</v>
      </c>
      <c r="AJ53">
        <f t="shared" si="25"/>
        <v>52104.376113439954</v>
      </c>
      <c r="AK53">
        <f t="shared" si="26"/>
        <v>1799.98</v>
      </c>
      <c r="AL53">
        <f t="shared" si="27"/>
        <v>1499.09587059414</v>
      </c>
      <c r="AM53">
        <f t="shared" si="28"/>
        <v>0.83284029299999995</v>
      </c>
      <c r="AN53">
        <f t="shared" si="29"/>
        <v>0.15339799548000002</v>
      </c>
      <c r="AO53">
        <v>31.8</v>
      </c>
      <c r="AP53">
        <v>0.5</v>
      </c>
      <c r="AQ53" t="s">
        <v>331</v>
      </c>
      <c r="AR53">
        <v>2</v>
      </c>
      <c r="AS53">
        <v>1690385765.5999999</v>
      </c>
      <c r="AT53">
        <v>791.49599999999998</v>
      </c>
      <c r="AU53">
        <v>800.08900000000006</v>
      </c>
      <c r="AV53">
        <v>22.4068</v>
      </c>
      <c r="AW53">
        <v>20.129000000000001</v>
      </c>
      <c r="AX53">
        <v>791.77800000000002</v>
      </c>
      <c r="AY53">
        <v>22.127099999999999</v>
      </c>
      <c r="AZ53">
        <v>300.24</v>
      </c>
      <c r="BA53">
        <v>98.660799999999995</v>
      </c>
      <c r="BB53">
        <v>0.10004300000000001</v>
      </c>
      <c r="BC53">
        <v>26.020800000000001</v>
      </c>
      <c r="BD53">
        <v>26.946000000000002</v>
      </c>
      <c r="BE53">
        <v>27.9038</v>
      </c>
      <c r="BF53">
        <v>0</v>
      </c>
      <c r="BG53">
        <v>0</v>
      </c>
      <c r="BH53">
        <v>9953.1200000000008</v>
      </c>
      <c r="BI53">
        <v>1071.06</v>
      </c>
      <c r="BJ53">
        <v>1.5137799999999999</v>
      </c>
      <c r="BK53">
        <v>-8.59314</v>
      </c>
      <c r="BL53">
        <v>809.63699999999994</v>
      </c>
      <c r="BM53">
        <v>816.52499999999998</v>
      </c>
      <c r="BN53">
        <v>2.2777599999999998</v>
      </c>
      <c r="BO53">
        <v>800.08900000000006</v>
      </c>
      <c r="BP53">
        <v>20.129000000000001</v>
      </c>
      <c r="BQ53">
        <v>2.2106699999999999</v>
      </c>
      <c r="BR53">
        <v>1.98594</v>
      </c>
      <c r="BS53">
        <v>19.039899999999999</v>
      </c>
      <c r="BT53">
        <v>17.332699999999999</v>
      </c>
      <c r="BU53">
        <v>1799.98</v>
      </c>
      <c r="BV53">
        <v>0.90998800000000002</v>
      </c>
      <c r="BW53">
        <v>3.39951E-2</v>
      </c>
      <c r="BX53">
        <v>2.2006899999999999E-2</v>
      </c>
      <c r="BY53">
        <v>3.4010400000000003E-2</v>
      </c>
      <c r="BZ53">
        <v>25</v>
      </c>
      <c r="CA53">
        <v>33528</v>
      </c>
      <c r="CB53">
        <v>1690384821</v>
      </c>
      <c r="CC53" t="s">
        <v>332</v>
      </c>
      <c r="CD53">
        <v>1690384820</v>
      </c>
      <c r="CE53">
        <v>1690384821</v>
      </c>
      <c r="CF53">
        <v>5</v>
      </c>
      <c r="CG53">
        <v>-2.5000000000000001E-2</v>
      </c>
      <c r="CH53">
        <v>0.104</v>
      </c>
      <c r="CI53">
        <v>-0.28799999999999998</v>
      </c>
      <c r="CJ53">
        <v>0.28000000000000003</v>
      </c>
      <c r="CK53">
        <v>800</v>
      </c>
      <c r="CL53">
        <v>24</v>
      </c>
      <c r="CM53">
        <v>0.08</v>
      </c>
      <c r="CN53">
        <v>0.11</v>
      </c>
      <c r="CO53">
        <v>-7.9840480487804886</v>
      </c>
      <c r="CP53">
        <v>-2.8012891986062849</v>
      </c>
      <c r="CQ53">
        <v>0.27919581540140631</v>
      </c>
      <c r="CR53">
        <v>-1</v>
      </c>
      <c r="CS53">
        <v>2.2873290243902442</v>
      </c>
      <c r="CT53">
        <v>-4.5991567944247767E-2</v>
      </c>
      <c r="CU53">
        <v>5.8109991604979091E-3</v>
      </c>
      <c r="CV53">
        <v>-1</v>
      </c>
      <c r="CW53">
        <v>0</v>
      </c>
      <c r="CX53">
        <v>0</v>
      </c>
      <c r="CY53" t="s">
        <v>333</v>
      </c>
      <c r="CZ53">
        <v>2.36456</v>
      </c>
      <c r="DA53">
        <v>2.7137899999999999</v>
      </c>
      <c r="DB53">
        <v>0.14510000000000001</v>
      </c>
      <c r="DC53">
        <v>0.14577699999999999</v>
      </c>
      <c r="DD53">
        <v>0.107714</v>
      </c>
      <c r="DE53">
        <v>9.8731200000000005E-2</v>
      </c>
      <c r="DF53">
        <v>31216.799999999999</v>
      </c>
      <c r="DG53">
        <v>27532.2</v>
      </c>
      <c r="DH53">
        <v>31173.200000000001</v>
      </c>
      <c r="DI53">
        <v>28084.400000000001</v>
      </c>
      <c r="DJ53">
        <v>37767.5</v>
      </c>
      <c r="DK53">
        <v>35991.800000000003</v>
      </c>
      <c r="DL53">
        <v>44363.7</v>
      </c>
      <c r="DM53">
        <v>42568.3</v>
      </c>
      <c r="DN53">
        <v>1.4616199999999999</v>
      </c>
      <c r="DO53">
        <v>2.0567500000000001</v>
      </c>
      <c r="DP53">
        <v>0.101171</v>
      </c>
      <c r="DQ53">
        <v>0.17996500000000001</v>
      </c>
      <c r="DR53">
        <v>25.289100000000001</v>
      </c>
      <c r="DS53">
        <v>24.957899999999999</v>
      </c>
      <c r="DT53">
        <v>57.4</v>
      </c>
      <c r="DU53">
        <v>28.9</v>
      </c>
      <c r="DV53">
        <v>23.2606</v>
      </c>
      <c r="DW53">
        <v>61.2622</v>
      </c>
      <c r="DX53">
        <v>36.478400000000001</v>
      </c>
      <c r="DY53">
        <v>1</v>
      </c>
      <c r="DZ53">
        <v>-8.3859199999999995E-2</v>
      </c>
      <c r="EA53">
        <v>0.78945799999999999</v>
      </c>
      <c r="EB53">
        <v>20.1876</v>
      </c>
      <c r="EC53">
        <v>5.2409499999999998</v>
      </c>
      <c r="ED53">
        <v>12.039899999999999</v>
      </c>
      <c r="EE53">
        <v>5.0171000000000001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1.86894</v>
      </c>
      <c r="EL53">
        <v>1.8646199999999999</v>
      </c>
      <c r="EM53">
        <v>1.8692</v>
      </c>
      <c r="EN53">
        <v>1.8672299999999999</v>
      </c>
      <c r="EO53">
        <v>1.8633999999999999</v>
      </c>
      <c r="EP53">
        <v>1.8644700000000001</v>
      </c>
      <c r="EQ53">
        <v>1.8701700000000001</v>
      </c>
      <c r="ER53">
        <v>1.86944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-0.28199999999999997</v>
      </c>
      <c r="FG53">
        <v>0.2797</v>
      </c>
      <c r="FH53">
        <v>0.26269369235785539</v>
      </c>
      <c r="FI53">
        <v>-6.1462078757559423E-4</v>
      </c>
      <c r="FJ53">
        <v>-1.8861989874597051E-7</v>
      </c>
      <c r="FK53">
        <v>1.1980462299894961E-10</v>
      </c>
      <c r="FL53">
        <v>0.27968571428570849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15.8</v>
      </c>
      <c r="FU53">
        <v>15.7</v>
      </c>
      <c r="FV53">
        <v>1.79565</v>
      </c>
      <c r="FW53">
        <v>2.5793499999999998</v>
      </c>
      <c r="FX53">
        <v>1.5490699999999999</v>
      </c>
      <c r="FY53">
        <v>2.3315399999999999</v>
      </c>
      <c r="FZ53">
        <v>1.50146</v>
      </c>
      <c r="GA53">
        <v>2.3034699999999999</v>
      </c>
      <c r="GB53">
        <v>33.602899999999998</v>
      </c>
      <c r="GC53">
        <v>23.982399999999998</v>
      </c>
      <c r="GD53">
        <v>19</v>
      </c>
      <c r="GE53">
        <v>276.91000000000003</v>
      </c>
      <c r="GF53">
        <v>600.31500000000005</v>
      </c>
      <c r="GG53">
        <v>22.987300000000001</v>
      </c>
      <c r="GH53">
        <v>26.360199999999999</v>
      </c>
      <c r="GI53">
        <v>30.0001</v>
      </c>
      <c r="GJ53">
        <v>26.396999999999998</v>
      </c>
      <c r="GK53">
        <v>26.350100000000001</v>
      </c>
      <c r="GL53">
        <v>35.908499999999997</v>
      </c>
      <c r="GM53">
        <v>22.536200000000001</v>
      </c>
      <c r="GN53">
        <v>100</v>
      </c>
      <c r="GO53">
        <v>22.998200000000001</v>
      </c>
      <c r="GP53">
        <v>800</v>
      </c>
      <c r="GQ53">
        <v>20.111699999999999</v>
      </c>
      <c r="GR53">
        <v>99.742800000000003</v>
      </c>
      <c r="GS53">
        <v>99.580100000000002</v>
      </c>
    </row>
    <row r="54" spans="1:201" x14ac:dyDescent="0.25">
      <c r="A54">
        <v>38</v>
      </c>
      <c r="B54">
        <v>1690385775.5999999</v>
      </c>
      <c r="C54">
        <v>441</v>
      </c>
      <c r="D54" t="s">
        <v>409</v>
      </c>
      <c r="E54" t="s">
        <v>410</v>
      </c>
      <c r="F54" t="s">
        <v>330</v>
      </c>
      <c r="H54">
        <v>1690385775.5999999</v>
      </c>
      <c r="I54">
        <f t="shared" si="0"/>
        <v>2.1953214900370083E-4</v>
      </c>
      <c r="J54">
        <f t="shared" si="1"/>
        <v>0.21953214900370083</v>
      </c>
      <c r="K54">
        <f t="shared" si="2"/>
        <v>0.6781303231800162</v>
      </c>
      <c r="L54">
        <f t="shared" si="3"/>
        <v>790.99400000000003</v>
      </c>
      <c r="M54">
        <f t="shared" si="4"/>
        <v>688.28695834723226</v>
      </c>
      <c r="N54">
        <f t="shared" si="5"/>
        <v>67.977027929726148</v>
      </c>
      <c r="O54">
        <f t="shared" si="6"/>
        <v>78.120645143939811</v>
      </c>
      <c r="P54">
        <f t="shared" si="7"/>
        <v>1.313148673961969E-2</v>
      </c>
      <c r="Q54">
        <f t="shared" si="8"/>
        <v>2.1601898251246254</v>
      </c>
      <c r="R54">
        <f t="shared" si="9"/>
        <v>1.308730095876502E-2</v>
      </c>
      <c r="S54">
        <f t="shared" si="10"/>
        <v>8.18352056039846E-3</v>
      </c>
      <c r="T54">
        <f t="shared" si="11"/>
        <v>276.11452969186854</v>
      </c>
      <c r="U54">
        <f t="shared" si="12"/>
        <v>28.103808733297775</v>
      </c>
      <c r="V54">
        <f t="shared" si="13"/>
        <v>28.103808733297775</v>
      </c>
      <c r="W54">
        <f t="shared" si="14"/>
        <v>3.817865598726836</v>
      </c>
      <c r="X54">
        <f t="shared" si="15"/>
        <v>65.462453075485044</v>
      </c>
      <c r="Y54">
        <f t="shared" si="16"/>
        <v>2.2117495198958199</v>
      </c>
      <c r="Z54">
        <f t="shared" si="17"/>
        <v>3.3786535884095903</v>
      </c>
      <c r="AA54">
        <f t="shared" si="18"/>
        <v>1.606116078831016</v>
      </c>
      <c r="AB54">
        <f t="shared" si="19"/>
        <v>-9.681367771063206</v>
      </c>
      <c r="AC54">
        <f t="shared" si="20"/>
        <v>-242.44776537054369</v>
      </c>
      <c r="AD54">
        <f t="shared" si="21"/>
        <v>-24.237042762303432</v>
      </c>
      <c r="AE54">
        <f t="shared" si="22"/>
        <v>-0.25164621204177706</v>
      </c>
      <c r="AF54">
        <v>0</v>
      </c>
      <c r="AG54">
        <v>0</v>
      </c>
      <c r="AH54">
        <f t="shared" si="23"/>
        <v>1</v>
      </c>
      <c r="AI54">
        <f t="shared" si="24"/>
        <v>0</v>
      </c>
      <c r="AJ54">
        <f t="shared" si="25"/>
        <v>52435.028281090657</v>
      </c>
      <c r="AK54">
        <f t="shared" si="26"/>
        <v>1799.99</v>
      </c>
      <c r="AL54">
        <f t="shared" si="27"/>
        <v>1499.10458059495</v>
      </c>
      <c r="AM54">
        <f t="shared" si="28"/>
        <v>0.83284050499999995</v>
      </c>
      <c r="AN54">
        <f t="shared" si="29"/>
        <v>0.15339781315000001</v>
      </c>
      <c r="AO54">
        <v>31.8</v>
      </c>
      <c r="AP54">
        <v>0.5</v>
      </c>
      <c r="AQ54" t="s">
        <v>331</v>
      </c>
      <c r="AR54">
        <v>2</v>
      </c>
      <c r="AS54">
        <v>1690385775.5999999</v>
      </c>
      <c r="AT54">
        <v>790.99400000000003</v>
      </c>
      <c r="AU54">
        <v>800.01599999999996</v>
      </c>
      <c r="AV54">
        <v>22.394600000000001</v>
      </c>
      <c r="AW54">
        <v>20.121400000000001</v>
      </c>
      <c r="AX54">
        <v>791.27700000000004</v>
      </c>
      <c r="AY54">
        <v>22.114899999999999</v>
      </c>
      <c r="AZ54">
        <v>300.22800000000001</v>
      </c>
      <c r="BA54">
        <v>98.662700000000001</v>
      </c>
      <c r="BB54">
        <v>9.9926699999999993E-2</v>
      </c>
      <c r="BC54">
        <v>26.021999999999998</v>
      </c>
      <c r="BD54">
        <v>26.927299999999999</v>
      </c>
      <c r="BE54">
        <v>27.897300000000001</v>
      </c>
      <c r="BF54">
        <v>0</v>
      </c>
      <c r="BG54">
        <v>0</v>
      </c>
      <c r="BH54">
        <v>10018.799999999999</v>
      </c>
      <c r="BI54">
        <v>1070.8499999999999</v>
      </c>
      <c r="BJ54">
        <v>1.5137799999999999</v>
      </c>
      <c r="BK54">
        <v>-9.0218500000000006</v>
      </c>
      <c r="BL54">
        <v>809.11400000000003</v>
      </c>
      <c r="BM54">
        <v>816.44399999999996</v>
      </c>
      <c r="BN54">
        <v>2.2732299999999999</v>
      </c>
      <c r="BO54">
        <v>800.01599999999996</v>
      </c>
      <c r="BP54">
        <v>20.121400000000001</v>
      </c>
      <c r="BQ54">
        <v>2.2095099999999999</v>
      </c>
      <c r="BR54">
        <v>1.9852300000000001</v>
      </c>
      <c r="BS54">
        <v>19.031500000000001</v>
      </c>
      <c r="BT54">
        <v>17.327000000000002</v>
      </c>
      <c r="BU54">
        <v>1799.99</v>
      </c>
      <c r="BV54">
        <v>0.90999200000000002</v>
      </c>
      <c r="BW54">
        <v>3.3992000000000001E-2</v>
      </c>
      <c r="BX54">
        <v>2.2005E-2</v>
      </c>
      <c r="BY54">
        <v>3.4011300000000001E-2</v>
      </c>
      <c r="BZ54">
        <v>25</v>
      </c>
      <c r="CA54">
        <v>33528.199999999997</v>
      </c>
      <c r="CB54">
        <v>1690384821</v>
      </c>
      <c r="CC54" t="s">
        <v>332</v>
      </c>
      <c r="CD54">
        <v>1690384820</v>
      </c>
      <c r="CE54">
        <v>1690384821</v>
      </c>
      <c r="CF54">
        <v>5</v>
      </c>
      <c r="CG54">
        <v>-2.5000000000000001E-2</v>
      </c>
      <c r="CH54">
        <v>0.104</v>
      </c>
      <c r="CI54">
        <v>-0.28799999999999998</v>
      </c>
      <c r="CJ54">
        <v>0.28000000000000003</v>
      </c>
      <c r="CK54">
        <v>800</v>
      </c>
      <c r="CL54">
        <v>24</v>
      </c>
      <c r="CM54">
        <v>0.08</v>
      </c>
      <c r="CN54">
        <v>0.11</v>
      </c>
      <c r="CO54">
        <v>-8.4909987499999993</v>
      </c>
      <c r="CP54">
        <v>-2.8508412382739099</v>
      </c>
      <c r="CQ54">
        <v>0.28075385724142332</v>
      </c>
      <c r="CR54">
        <v>-1</v>
      </c>
      <c r="CS54">
        <v>2.2784179999999998</v>
      </c>
      <c r="CT54">
        <v>-4.6422889305817457E-2</v>
      </c>
      <c r="CU54">
        <v>4.6579706954853082E-3</v>
      </c>
      <c r="CV54">
        <v>-1</v>
      </c>
      <c r="CW54">
        <v>0</v>
      </c>
      <c r="CX54">
        <v>0</v>
      </c>
      <c r="CY54" t="s">
        <v>333</v>
      </c>
      <c r="CZ54">
        <v>2.3645499999999999</v>
      </c>
      <c r="DA54">
        <v>2.71374</v>
      </c>
      <c r="DB54">
        <v>0.145041</v>
      </c>
      <c r="DC54">
        <v>0.14577000000000001</v>
      </c>
      <c r="DD54">
        <v>0.10767400000000001</v>
      </c>
      <c r="DE54">
        <v>9.8706100000000005E-2</v>
      </c>
      <c r="DF54">
        <v>31219.599999999999</v>
      </c>
      <c r="DG54">
        <v>27532.5</v>
      </c>
      <c r="DH54">
        <v>31173.8</v>
      </c>
      <c r="DI54">
        <v>28084.400000000001</v>
      </c>
      <c r="DJ54">
        <v>37769.699999999997</v>
      </c>
      <c r="DK54">
        <v>35993.1</v>
      </c>
      <c r="DL54">
        <v>44364.3</v>
      </c>
      <c r="DM54">
        <v>42568.6</v>
      </c>
      <c r="DN54">
        <v>1.4612700000000001</v>
      </c>
      <c r="DO54">
        <v>2.0569500000000001</v>
      </c>
      <c r="DP54">
        <v>0.100747</v>
      </c>
      <c r="DQ54">
        <v>0.180177</v>
      </c>
      <c r="DR54">
        <v>25.2773</v>
      </c>
      <c r="DS54">
        <v>24.947900000000001</v>
      </c>
      <c r="DT54">
        <v>57.4</v>
      </c>
      <c r="DU54">
        <v>28.9</v>
      </c>
      <c r="DV54">
        <v>23.26</v>
      </c>
      <c r="DW54">
        <v>61.0122</v>
      </c>
      <c r="DX54">
        <v>35.833300000000001</v>
      </c>
      <c r="DY54">
        <v>1</v>
      </c>
      <c r="DZ54">
        <v>-8.4128599999999998E-2</v>
      </c>
      <c r="EA54">
        <v>0.67755699999999996</v>
      </c>
      <c r="EB54">
        <v>20.188500000000001</v>
      </c>
      <c r="EC54">
        <v>5.2411000000000003</v>
      </c>
      <c r="ED54">
        <v>12.039899999999999</v>
      </c>
      <c r="EE54">
        <v>5.01715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1.8689100000000001</v>
      </c>
      <c r="EL54">
        <v>1.8646199999999999</v>
      </c>
      <c r="EM54">
        <v>1.86921</v>
      </c>
      <c r="EN54">
        <v>1.8672299999999999</v>
      </c>
      <c r="EO54">
        <v>1.8633999999999999</v>
      </c>
      <c r="EP54">
        <v>1.8644700000000001</v>
      </c>
      <c r="EQ54">
        <v>1.87015</v>
      </c>
      <c r="ER54">
        <v>1.86941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-0.28299999999999997</v>
      </c>
      <c r="FG54">
        <v>0.2797</v>
      </c>
      <c r="FH54">
        <v>0.26269369235785539</v>
      </c>
      <c r="FI54">
        <v>-6.1462078757559423E-4</v>
      </c>
      <c r="FJ54">
        <v>-1.8861989874597051E-7</v>
      </c>
      <c r="FK54">
        <v>1.1980462299894961E-10</v>
      </c>
      <c r="FL54">
        <v>0.27968571428570849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15.9</v>
      </c>
      <c r="FU54">
        <v>15.9</v>
      </c>
      <c r="FV54">
        <v>1.79688</v>
      </c>
      <c r="FW54">
        <v>2.5830099999999998</v>
      </c>
      <c r="FX54">
        <v>1.5490699999999999</v>
      </c>
      <c r="FY54">
        <v>2.3315399999999999</v>
      </c>
      <c r="FZ54">
        <v>1.50146</v>
      </c>
      <c r="GA54">
        <v>2.32544</v>
      </c>
      <c r="GB54">
        <v>33.602899999999998</v>
      </c>
      <c r="GC54">
        <v>23.973700000000001</v>
      </c>
      <c r="GD54">
        <v>19</v>
      </c>
      <c r="GE54">
        <v>276.76799999999997</v>
      </c>
      <c r="GF54">
        <v>600.50800000000004</v>
      </c>
      <c r="GG54">
        <v>23.057200000000002</v>
      </c>
      <c r="GH54">
        <v>26.3552</v>
      </c>
      <c r="GI54">
        <v>29.9999</v>
      </c>
      <c r="GJ54">
        <v>26.398099999999999</v>
      </c>
      <c r="GK54">
        <v>26.3522</v>
      </c>
      <c r="GL54">
        <v>35.911099999999998</v>
      </c>
      <c r="GM54">
        <v>22.536200000000001</v>
      </c>
      <c r="GN54">
        <v>100</v>
      </c>
      <c r="GO54">
        <v>23.0792</v>
      </c>
      <c r="GP54">
        <v>800</v>
      </c>
      <c r="GQ54">
        <v>20.1008</v>
      </c>
      <c r="GR54">
        <v>99.744200000000006</v>
      </c>
      <c r="GS54">
        <v>99.580600000000004</v>
      </c>
    </row>
    <row r="55" spans="1:201" x14ac:dyDescent="0.25">
      <c r="A55">
        <v>39</v>
      </c>
      <c r="B55">
        <v>1690385785.5999999</v>
      </c>
      <c r="C55">
        <v>451</v>
      </c>
      <c r="D55" t="s">
        <v>411</v>
      </c>
      <c r="E55" t="s">
        <v>412</v>
      </c>
      <c r="F55" t="s">
        <v>330</v>
      </c>
      <c r="H55">
        <v>1690385785.5999999</v>
      </c>
      <c r="I55">
        <f t="shared" si="0"/>
        <v>2.1960085628669818E-4</v>
      </c>
      <c r="J55">
        <f t="shared" si="1"/>
        <v>0.21960085628669818</v>
      </c>
      <c r="K55">
        <f t="shared" si="2"/>
        <v>0.72070320895441931</v>
      </c>
      <c r="L55">
        <f t="shared" si="3"/>
        <v>790.5</v>
      </c>
      <c r="M55">
        <f t="shared" si="4"/>
        <v>682.54187474267417</v>
      </c>
      <c r="N55">
        <f t="shared" si="5"/>
        <v>67.406841768616871</v>
      </c>
      <c r="O55">
        <f t="shared" si="6"/>
        <v>78.068629032000004</v>
      </c>
      <c r="P55">
        <f t="shared" si="7"/>
        <v>1.3116107920623152E-2</v>
      </c>
      <c r="Q55">
        <f t="shared" si="8"/>
        <v>2.1584885477252134</v>
      </c>
      <c r="R55">
        <f t="shared" si="9"/>
        <v>1.307199076835488E-2</v>
      </c>
      <c r="S55">
        <f t="shared" si="10"/>
        <v>8.1739455494514984E-3</v>
      </c>
      <c r="T55">
        <f t="shared" si="11"/>
        <v>276.11433176496809</v>
      </c>
      <c r="U55">
        <f t="shared" si="12"/>
        <v>28.111065591188975</v>
      </c>
      <c r="V55">
        <f t="shared" si="13"/>
        <v>28.111065591188975</v>
      </c>
      <c r="W55">
        <f t="shared" si="14"/>
        <v>3.8194797979737314</v>
      </c>
      <c r="X55">
        <f t="shared" si="15"/>
        <v>65.419464607008081</v>
      </c>
      <c r="Y55">
        <f t="shared" si="16"/>
        <v>2.2110556623440001</v>
      </c>
      <c r="Z55">
        <f t="shared" si="17"/>
        <v>3.3798131421991799</v>
      </c>
      <c r="AA55">
        <f t="shared" si="18"/>
        <v>1.6084241356297313</v>
      </c>
      <c r="AB55">
        <f t="shared" si="19"/>
        <v>-9.684397762243389</v>
      </c>
      <c r="AC55">
        <f t="shared" si="20"/>
        <v>-242.42635567137594</v>
      </c>
      <c r="AD55">
        <f t="shared" si="21"/>
        <v>-24.255587443449858</v>
      </c>
      <c r="AE55">
        <f t="shared" si="22"/>
        <v>-0.25200911210109211</v>
      </c>
      <c r="AF55">
        <v>0</v>
      </c>
      <c r="AG55">
        <v>0</v>
      </c>
      <c r="AH55">
        <f t="shared" si="23"/>
        <v>1</v>
      </c>
      <c r="AI55">
        <f t="shared" si="24"/>
        <v>0</v>
      </c>
      <c r="AJ55">
        <f t="shared" si="25"/>
        <v>52362.529622582784</v>
      </c>
      <c r="AK55">
        <f t="shared" si="26"/>
        <v>1799.99</v>
      </c>
      <c r="AL55">
        <f t="shared" si="27"/>
        <v>1499.10375079956</v>
      </c>
      <c r="AM55">
        <f t="shared" si="28"/>
        <v>0.832840044</v>
      </c>
      <c r="AN55">
        <f t="shared" si="29"/>
        <v>0.15339770318999998</v>
      </c>
      <c r="AO55">
        <v>31.8</v>
      </c>
      <c r="AP55">
        <v>0.5</v>
      </c>
      <c r="AQ55" t="s">
        <v>331</v>
      </c>
      <c r="AR55">
        <v>2</v>
      </c>
      <c r="AS55">
        <v>1690385785.5999999</v>
      </c>
      <c r="AT55">
        <v>790.5</v>
      </c>
      <c r="AU55">
        <v>799.971</v>
      </c>
      <c r="AV55">
        <v>22.388500000000001</v>
      </c>
      <c r="AW55">
        <v>20.114899999999999</v>
      </c>
      <c r="AX55">
        <v>790.78200000000004</v>
      </c>
      <c r="AY55">
        <v>22.108799999999999</v>
      </c>
      <c r="AZ55">
        <v>300.27100000000002</v>
      </c>
      <c r="BA55">
        <v>98.658500000000004</v>
      </c>
      <c r="BB55">
        <v>0.10004399999999999</v>
      </c>
      <c r="BC55">
        <v>26.027799999999999</v>
      </c>
      <c r="BD55">
        <v>26.929099999999998</v>
      </c>
      <c r="BE55">
        <v>27.916499999999999</v>
      </c>
      <c r="BF55">
        <v>0</v>
      </c>
      <c r="BG55">
        <v>0</v>
      </c>
      <c r="BH55">
        <v>10005</v>
      </c>
      <c r="BI55">
        <v>1070.76</v>
      </c>
      <c r="BJ55">
        <v>1.5137799999999999</v>
      </c>
      <c r="BK55">
        <v>-9.4718599999999995</v>
      </c>
      <c r="BL55">
        <v>808.60299999999995</v>
      </c>
      <c r="BM55">
        <v>816.39300000000003</v>
      </c>
      <c r="BN55">
        <v>2.27366</v>
      </c>
      <c r="BO55">
        <v>799.971</v>
      </c>
      <c r="BP55">
        <v>20.114899999999999</v>
      </c>
      <c r="BQ55">
        <v>2.2088199999999998</v>
      </c>
      <c r="BR55">
        <v>1.9844999999999999</v>
      </c>
      <c r="BS55">
        <v>19.026399999999999</v>
      </c>
      <c r="BT55">
        <v>17.321200000000001</v>
      </c>
      <c r="BU55">
        <v>1799.99</v>
      </c>
      <c r="BV55">
        <v>0.90999200000000002</v>
      </c>
      <c r="BW55">
        <v>3.39951E-2</v>
      </c>
      <c r="BX55">
        <v>2.2003700000000001E-2</v>
      </c>
      <c r="BY55">
        <v>3.4009299999999999E-2</v>
      </c>
      <c r="BZ55">
        <v>25</v>
      </c>
      <c r="CA55">
        <v>33528.1</v>
      </c>
      <c r="CB55">
        <v>1690384821</v>
      </c>
      <c r="CC55" t="s">
        <v>332</v>
      </c>
      <c r="CD55">
        <v>1690384820</v>
      </c>
      <c r="CE55">
        <v>1690384821</v>
      </c>
      <c r="CF55">
        <v>5</v>
      </c>
      <c r="CG55">
        <v>-2.5000000000000001E-2</v>
      </c>
      <c r="CH55">
        <v>0.104</v>
      </c>
      <c r="CI55">
        <v>-0.28799999999999998</v>
      </c>
      <c r="CJ55">
        <v>0.28000000000000003</v>
      </c>
      <c r="CK55">
        <v>800</v>
      </c>
      <c r="CL55">
        <v>24</v>
      </c>
      <c r="CM55">
        <v>0.08</v>
      </c>
      <c r="CN55">
        <v>0.11</v>
      </c>
      <c r="CO55">
        <v>-8.9341065000000004</v>
      </c>
      <c r="CP55">
        <v>-2.8785543714821809</v>
      </c>
      <c r="CQ55">
        <v>0.28256424690280613</v>
      </c>
      <c r="CR55">
        <v>-1</v>
      </c>
      <c r="CS55">
        <v>2.2741085000000001</v>
      </c>
      <c r="CT55">
        <v>-1.39810131332153E-2</v>
      </c>
      <c r="CU55">
        <v>1.7827037751684781E-3</v>
      </c>
      <c r="CV55">
        <v>-1</v>
      </c>
      <c r="CW55">
        <v>0</v>
      </c>
      <c r="CX55">
        <v>0</v>
      </c>
      <c r="CY55" t="s">
        <v>333</v>
      </c>
      <c r="CZ55">
        <v>2.3646799999999999</v>
      </c>
      <c r="DA55">
        <v>2.7138399999999998</v>
      </c>
      <c r="DB55">
        <v>0.14497399999999999</v>
      </c>
      <c r="DC55">
        <v>0.145758</v>
      </c>
      <c r="DD55">
        <v>0.10764899999999999</v>
      </c>
      <c r="DE55">
        <v>9.8679199999999995E-2</v>
      </c>
      <c r="DF55">
        <v>31222</v>
      </c>
      <c r="DG55">
        <v>27533.3</v>
      </c>
      <c r="DH55">
        <v>31173.7</v>
      </c>
      <c r="DI55">
        <v>28084.9</v>
      </c>
      <c r="DJ55">
        <v>37770.6</v>
      </c>
      <c r="DK55">
        <v>35994.6</v>
      </c>
      <c r="DL55">
        <v>44364.1</v>
      </c>
      <c r="DM55">
        <v>42569.1</v>
      </c>
      <c r="DN55">
        <v>1.4615</v>
      </c>
      <c r="DO55">
        <v>2.0569700000000002</v>
      </c>
      <c r="DP55">
        <v>0.101503</v>
      </c>
      <c r="DQ55">
        <v>0.18199199999999999</v>
      </c>
      <c r="DR55">
        <v>25.2667</v>
      </c>
      <c r="DS55">
        <v>24.9374</v>
      </c>
      <c r="DT55">
        <v>57.4</v>
      </c>
      <c r="DU55">
        <v>28.9</v>
      </c>
      <c r="DV55">
        <v>23.2653</v>
      </c>
      <c r="DW55">
        <v>61.392200000000003</v>
      </c>
      <c r="DX55">
        <v>35.3566</v>
      </c>
      <c r="DY55">
        <v>1</v>
      </c>
      <c r="DZ55">
        <v>-8.4811999999999999E-2</v>
      </c>
      <c r="EA55">
        <v>0.52415</v>
      </c>
      <c r="EB55">
        <v>20.1891</v>
      </c>
      <c r="EC55">
        <v>5.2411000000000003</v>
      </c>
      <c r="ED55">
        <v>12.039899999999999</v>
      </c>
      <c r="EE55">
        <v>5.01715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1.8689100000000001</v>
      </c>
      <c r="EL55">
        <v>1.8646199999999999</v>
      </c>
      <c r="EM55">
        <v>1.8692</v>
      </c>
      <c r="EN55">
        <v>1.8672500000000001</v>
      </c>
      <c r="EO55">
        <v>1.8633999999999999</v>
      </c>
      <c r="EP55">
        <v>1.8644700000000001</v>
      </c>
      <c r="EQ55">
        <v>1.8701399999999999</v>
      </c>
      <c r="ER55">
        <v>1.86937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-0.28199999999999997</v>
      </c>
      <c r="FG55">
        <v>0.2797</v>
      </c>
      <c r="FH55">
        <v>0.26269369235785539</v>
      </c>
      <c r="FI55">
        <v>-6.1462078757559423E-4</v>
      </c>
      <c r="FJ55">
        <v>-1.8861989874597051E-7</v>
      </c>
      <c r="FK55">
        <v>1.1980462299894961E-10</v>
      </c>
      <c r="FL55">
        <v>0.27968571428570849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16.100000000000001</v>
      </c>
      <c r="FU55">
        <v>16.100000000000001</v>
      </c>
      <c r="FV55">
        <v>1.79565</v>
      </c>
      <c r="FW55">
        <v>2.5842299999999998</v>
      </c>
      <c r="FX55">
        <v>1.5490699999999999</v>
      </c>
      <c r="FY55">
        <v>2.3315399999999999</v>
      </c>
      <c r="FZ55">
        <v>1.50146</v>
      </c>
      <c r="GA55">
        <v>2.3754900000000001</v>
      </c>
      <c r="GB55">
        <v>33.602899999999998</v>
      </c>
      <c r="GC55">
        <v>23.982399999999998</v>
      </c>
      <c r="GD55">
        <v>19</v>
      </c>
      <c r="GE55">
        <v>276.86099999999999</v>
      </c>
      <c r="GF55">
        <v>600.53</v>
      </c>
      <c r="GG55">
        <v>23.158200000000001</v>
      </c>
      <c r="GH55">
        <v>26.350200000000001</v>
      </c>
      <c r="GI55">
        <v>29.9999</v>
      </c>
      <c r="GJ55">
        <v>26.397500000000001</v>
      </c>
      <c r="GK55">
        <v>26.3522</v>
      </c>
      <c r="GL55">
        <v>35.911000000000001</v>
      </c>
      <c r="GM55">
        <v>22.536200000000001</v>
      </c>
      <c r="GN55">
        <v>100</v>
      </c>
      <c r="GO55">
        <v>23.186499999999999</v>
      </c>
      <c r="GP55">
        <v>800</v>
      </c>
      <c r="GQ55">
        <v>20.0852</v>
      </c>
      <c r="GR55">
        <v>99.743899999999996</v>
      </c>
      <c r="GS55">
        <v>99.581900000000005</v>
      </c>
    </row>
    <row r="56" spans="1:201" x14ac:dyDescent="0.25">
      <c r="A56">
        <v>40</v>
      </c>
      <c r="B56">
        <v>1690385795.5999999</v>
      </c>
      <c r="C56">
        <v>461</v>
      </c>
      <c r="D56" t="s">
        <v>413</v>
      </c>
      <c r="E56" t="s">
        <v>414</v>
      </c>
      <c r="F56" t="s">
        <v>330</v>
      </c>
      <c r="H56">
        <v>1690385795.5999999</v>
      </c>
      <c r="I56">
        <f t="shared" si="0"/>
        <v>2.206715021644146E-4</v>
      </c>
      <c r="J56">
        <f t="shared" si="1"/>
        <v>0.22067150216441461</v>
      </c>
      <c r="K56">
        <f t="shared" si="2"/>
        <v>0.77536167119993837</v>
      </c>
      <c r="L56">
        <f t="shared" si="3"/>
        <v>789.92499999999995</v>
      </c>
      <c r="M56">
        <f t="shared" si="4"/>
        <v>675.80901999001185</v>
      </c>
      <c r="N56">
        <f t="shared" si="5"/>
        <v>66.741590583112668</v>
      </c>
      <c r="O56">
        <f t="shared" si="6"/>
        <v>78.011463863185</v>
      </c>
      <c r="P56">
        <f t="shared" si="7"/>
        <v>1.3176843435986449E-2</v>
      </c>
      <c r="Q56">
        <f t="shared" si="8"/>
        <v>2.1584118956025176</v>
      </c>
      <c r="R56">
        <f t="shared" si="9"/>
        <v>1.3132315932753984E-2</v>
      </c>
      <c r="S56">
        <f t="shared" si="10"/>
        <v>8.2116854720982926E-3</v>
      </c>
      <c r="T56">
        <f t="shared" si="11"/>
        <v>276.11424966742419</v>
      </c>
      <c r="U56">
        <f t="shared" si="12"/>
        <v>28.115154784095616</v>
      </c>
      <c r="V56">
        <f t="shared" si="13"/>
        <v>28.115154784095616</v>
      </c>
      <c r="W56">
        <f t="shared" si="14"/>
        <v>3.820389651155125</v>
      </c>
      <c r="X56">
        <f t="shared" si="15"/>
        <v>65.417602687909167</v>
      </c>
      <c r="Y56">
        <f t="shared" si="16"/>
        <v>2.21156833808196</v>
      </c>
      <c r="Z56">
        <f t="shared" si="17"/>
        <v>3.380693035531726</v>
      </c>
      <c r="AA56">
        <f t="shared" si="18"/>
        <v>1.608821313073165</v>
      </c>
      <c r="AB56">
        <f t="shared" si="19"/>
        <v>-9.7316132454506832</v>
      </c>
      <c r="AC56">
        <f t="shared" si="20"/>
        <v>-242.3815797898927</v>
      </c>
      <c r="AD56">
        <f t="shared" si="21"/>
        <v>-24.252997776748863</v>
      </c>
      <c r="AE56">
        <f t="shared" si="22"/>
        <v>-0.25194114466805217</v>
      </c>
      <c r="AF56">
        <v>0</v>
      </c>
      <c r="AG56">
        <v>0</v>
      </c>
      <c r="AH56">
        <f t="shared" si="23"/>
        <v>1</v>
      </c>
      <c r="AI56">
        <f t="shared" si="24"/>
        <v>0</v>
      </c>
      <c r="AJ56">
        <f t="shared" si="25"/>
        <v>52358.535432462995</v>
      </c>
      <c r="AK56">
        <f t="shared" si="26"/>
        <v>1799.99</v>
      </c>
      <c r="AL56">
        <f t="shared" si="27"/>
        <v>1499.10081501587</v>
      </c>
      <c r="AM56">
        <f t="shared" si="28"/>
        <v>0.83283841299999994</v>
      </c>
      <c r="AN56">
        <f t="shared" si="29"/>
        <v>0.15339765757999999</v>
      </c>
      <c r="AO56">
        <v>31.8</v>
      </c>
      <c r="AP56">
        <v>0.5</v>
      </c>
      <c r="AQ56" t="s">
        <v>331</v>
      </c>
      <c r="AR56">
        <v>2</v>
      </c>
      <c r="AS56">
        <v>1690385795.5999999</v>
      </c>
      <c r="AT56">
        <v>789.92499999999995</v>
      </c>
      <c r="AU56">
        <v>799.98699999999997</v>
      </c>
      <c r="AV56">
        <v>22.393799999999999</v>
      </c>
      <c r="AW56">
        <v>20.1081</v>
      </c>
      <c r="AX56">
        <v>790.20600000000002</v>
      </c>
      <c r="AY56">
        <v>22.1142</v>
      </c>
      <c r="AZ56">
        <v>300.13600000000002</v>
      </c>
      <c r="BA56">
        <v>98.658100000000005</v>
      </c>
      <c r="BB56">
        <v>9.9964200000000003E-2</v>
      </c>
      <c r="BC56">
        <v>26.0322</v>
      </c>
      <c r="BD56">
        <v>26.992599999999999</v>
      </c>
      <c r="BE56">
        <v>27.9163</v>
      </c>
      <c r="BF56">
        <v>0</v>
      </c>
      <c r="BG56">
        <v>0</v>
      </c>
      <c r="BH56">
        <v>10004.4</v>
      </c>
      <c r="BI56">
        <v>1070.67</v>
      </c>
      <c r="BJ56">
        <v>1.5137799999999999</v>
      </c>
      <c r="BK56">
        <v>-10.0618</v>
      </c>
      <c r="BL56">
        <v>808.02</v>
      </c>
      <c r="BM56">
        <v>816.40300000000002</v>
      </c>
      <c r="BN56">
        <v>2.2857599999999998</v>
      </c>
      <c r="BO56">
        <v>799.98699999999997</v>
      </c>
      <c r="BP56">
        <v>20.1081</v>
      </c>
      <c r="BQ56">
        <v>2.20933</v>
      </c>
      <c r="BR56">
        <v>1.98383</v>
      </c>
      <c r="BS56">
        <v>19.030200000000001</v>
      </c>
      <c r="BT56">
        <v>17.315799999999999</v>
      </c>
      <c r="BU56">
        <v>1799.99</v>
      </c>
      <c r="BV56">
        <v>0.90998400000000002</v>
      </c>
      <c r="BW56">
        <v>3.4007500000000003E-2</v>
      </c>
      <c r="BX56">
        <v>2.2001900000000001E-2</v>
      </c>
      <c r="BY56">
        <v>3.4006599999999998E-2</v>
      </c>
      <c r="BZ56">
        <v>25</v>
      </c>
      <c r="CA56">
        <v>33528.1</v>
      </c>
      <c r="CB56">
        <v>1690384821</v>
      </c>
      <c r="CC56" t="s">
        <v>332</v>
      </c>
      <c r="CD56">
        <v>1690384820</v>
      </c>
      <c r="CE56">
        <v>1690384821</v>
      </c>
      <c r="CF56">
        <v>5</v>
      </c>
      <c r="CG56">
        <v>-2.5000000000000001E-2</v>
      </c>
      <c r="CH56">
        <v>0.104</v>
      </c>
      <c r="CI56">
        <v>-0.28799999999999998</v>
      </c>
      <c r="CJ56">
        <v>0.28000000000000003</v>
      </c>
      <c r="CK56">
        <v>800</v>
      </c>
      <c r="CL56">
        <v>24</v>
      </c>
      <c r="CM56">
        <v>0.08</v>
      </c>
      <c r="CN56">
        <v>0.11</v>
      </c>
      <c r="CO56">
        <v>-9.5002892499999998</v>
      </c>
      <c r="CP56">
        <v>-3.3099585365853419</v>
      </c>
      <c r="CQ56">
        <v>0.31950468615802419</v>
      </c>
      <c r="CR56">
        <v>-1</v>
      </c>
      <c r="CS56">
        <v>2.2761635</v>
      </c>
      <c r="CT56">
        <v>3.7236923076922633E-2</v>
      </c>
      <c r="CU56">
        <v>3.877254537685166E-3</v>
      </c>
      <c r="CV56">
        <v>-1</v>
      </c>
      <c r="CW56">
        <v>0</v>
      </c>
      <c r="CX56">
        <v>0</v>
      </c>
      <c r="CY56" t="s">
        <v>333</v>
      </c>
      <c r="CZ56">
        <v>2.3642300000000001</v>
      </c>
      <c r="DA56">
        <v>2.7137600000000002</v>
      </c>
      <c r="DB56">
        <v>0.144903</v>
      </c>
      <c r="DC56">
        <v>0.145758</v>
      </c>
      <c r="DD56">
        <v>0.107667</v>
      </c>
      <c r="DE56">
        <v>9.8654800000000001E-2</v>
      </c>
      <c r="DF56">
        <v>31224.6</v>
      </c>
      <c r="DG56">
        <v>27533</v>
      </c>
      <c r="DH56">
        <v>31173.8</v>
      </c>
      <c r="DI56">
        <v>28084.6</v>
      </c>
      <c r="DJ56">
        <v>37770.1</v>
      </c>
      <c r="DK56">
        <v>35995.199999999997</v>
      </c>
      <c r="DL56">
        <v>44364.5</v>
      </c>
      <c r="DM56">
        <v>42568.6</v>
      </c>
      <c r="DN56">
        <v>1.4611000000000001</v>
      </c>
      <c r="DO56">
        <v>2.0569700000000002</v>
      </c>
      <c r="DP56">
        <v>0.106197</v>
      </c>
      <c r="DQ56">
        <v>0.18268499999999999</v>
      </c>
      <c r="DR56">
        <v>25.253399999999999</v>
      </c>
      <c r="DS56">
        <v>24.925799999999999</v>
      </c>
      <c r="DT56">
        <v>57.4</v>
      </c>
      <c r="DU56">
        <v>28.9</v>
      </c>
      <c r="DV56">
        <v>23.260899999999999</v>
      </c>
      <c r="DW56">
        <v>60.752200000000002</v>
      </c>
      <c r="DX56">
        <v>35.717100000000002</v>
      </c>
      <c r="DY56">
        <v>1</v>
      </c>
      <c r="DZ56">
        <v>-8.5406499999999996E-2</v>
      </c>
      <c r="EA56">
        <v>0.53571299999999999</v>
      </c>
      <c r="EB56">
        <v>20.189299999999999</v>
      </c>
      <c r="EC56">
        <v>5.2409499999999998</v>
      </c>
      <c r="ED56">
        <v>12.039899999999999</v>
      </c>
      <c r="EE56">
        <v>5.0172499999999998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1.8689199999999999</v>
      </c>
      <c r="EL56">
        <v>1.86463</v>
      </c>
      <c r="EM56">
        <v>1.8692</v>
      </c>
      <c r="EN56">
        <v>1.8672200000000001</v>
      </c>
      <c r="EO56">
        <v>1.8633999999999999</v>
      </c>
      <c r="EP56">
        <v>1.8644700000000001</v>
      </c>
      <c r="EQ56">
        <v>1.87016</v>
      </c>
      <c r="ER56">
        <v>1.86941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-0.28100000000000003</v>
      </c>
      <c r="FG56">
        <v>0.27960000000000002</v>
      </c>
      <c r="FH56">
        <v>0.26269369235785539</v>
      </c>
      <c r="FI56">
        <v>-6.1462078757559423E-4</v>
      </c>
      <c r="FJ56">
        <v>-1.8861989874597051E-7</v>
      </c>
      <c r="FK56">
        <v>1.1980462299894961E-10</v>
      </c>
      <c r="FL56">
        <v>0.27968571428570849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16.3</v>
      </c>
      <c r="FU56">
        <v>16.2</v>
      </c>
      <c r="FV56">
        <v>1.79565</v>
      </c>
      <c r="FW56">
        <v>2.5793499999999998</v>
      </c>
      <c r="FX56">
        <v>1.5490699999999999</v>
      </c>
      <c r="FY56">
        <v>2.3315399999999999</v>
      </c>
      <c r="FZ56">
        <v>1.50146</v>
      </c>
      <c r="GA56">
        <v>2.4157700000000002</v>
      </c>
      <c r="GB56">
        <v>33.602899999999998</v>
      </c>
      <c r="GC56">
        <v>23.991199999999999</v>
      </c>
      <c r="GD56">
        <v>19</v>
      </c>
      <c r="GE56">
        <v>276.69</v>
      </c>
      <c r="GF56">
        <v>600.55600000000004</v>
      </c>
      <c r="GG56">
        <v>23.258199999999999</v>
      </c>
      <c r="GH56">
        <v>26.3446</v>
      </c>
      <c r="GI56">
        <v>29.9998</v>
      </c>
      <c r="GJ56">
        <v>26.396999999999998</v>
      </c>
      <c r="GK56">
        <v>26.354500000000002</v>
      </c>
      <c r="GL56">
        <v>35.910899999999998</v>
      </c>
      <c r="GM56">
        <v>22.536200000000001</v>
      </c>
      <c r="GN56">
        <v>100</v>
      </c>
      <c r="GO56">
        <v>23.267499999999998</v>
      </c>
      <c r="GP56">
        <v>800</v>
      </c>
      <c r="GQ56">
        <v>20.063199999999998</v>
      </c>
      <c r="GR56">
        <v>99.744500000000002</v>
      </c>
      <c r="GS56">
        <v>99.5809</v>
      </c>
    </row>
    <row r="57" spans="1:201" x14ac:dyDescent="0.25">
      <c r="A57">
        <v>41</v>
      </c>
      <c r="B57">
        <v>1690385805.5999999</v>
      </c>
      <c r="C57">
        <v>471</v>
      </c>
      <c r="D57" t="s">
        <v>415</v>
      </c>
      <c r="E57" t="s">
        <v>416</v>
      </c>
      <c r="F57" t="s">
        <v>330</v>
      </c>
      <c r="H57">
        <v>1690385805.5999999</v>
      </c>
      <c r="I57">
        <f t="shared" si="0"/>
        <v>2.2116558379939991E-4</v>
      </c>
      <c r="J57">
        <f t="shared" si="1"/>
        <v>0.22116558379939991</v>
      </c>
      <c r="K57">
        <f t="shared" si="2"/>
        <v>0.8373602223677119</v>
      </c>
      <c r="L57">
        <f t="shared" si="3"/>
        <v>789.30600000000004</v>
      </c>
      <c r="M57">
        <f t="shared" si="4"/>
        <v>667.89785378050112</v>
      </c>
      <c r="N57">
        <f t="shared" si="5"/>
        <v>65.96159177220315</v>
      </c>
      <c r="O57">
        <f t="shared" si="6"/>
        <v>77.951860244277597</v>
      </c>
      <c r="P57">
        <f t="shared" si="7"/>
        <v>1.3197135428571705E-2</v>
      </c>
      <c r="Q57">
        <f t="shared" si="8"/>
        <v>2.1625452183049516</v>
      </c>
      <c r="R57">
        <f t="shared" si="9"/>
        <v>1.3152555985270381E-2</v>
      </c>
      <c r="S57">
        <f t="shared" si="10"/>
        <v>8.224340161495659E-3</v>
      </c>
      <c r="T57">
        <f t="shared" si="11"/>
        <v>276.11559444599999</v>
      </c>
      <c r="U57">
        <f t="shared" si="12"/>
        <v>28.119656510471589</v>
      </c>
      <c r="V57">
        <f t="shared" si="13"/>
        <v>28.119656510471589</v>
      </c>
      <c r="W57">
        <f t="shared" si="14"/>
        <v>3.8213915124686868</v>
      </c>
      <c r="X57">
        <f t="shared" si="15"/>
        <v>65.381223877583864</v>
      </c>
      <c r="Y57">
        <f t="shared" si="16"/>
        <v>2.2114240350432399</v>
      </c>
      <c r="Z57">
        <f t="shared" si="17"/>
        <v>3.382353378981994</v>
      </c>
      <c r="AA57">
        <f t="shared" si="18"/>
        <v>1.6099674774254469</v>
      </c>
      <c r="AB57">
        <f t="shared" si="19"/>
        <v>-9.7534022455535361</v>
      </c>
      <c r="AC57">
        <f t="shared" si="20"/>
        <v>-242.402906613364</v>
      </c>
      <c r="AD57">
        <f t="shared" si="21"/>
        <v>-24.210320518345132</v>
      </c>
      <c r="AE57">
        <f t="shared" si="22"/>
        <v>-0.25103493126266585</v>
      </c>
      <c r="AF57">
        <v>0</v>
      </c>
      <c r="AG57">
        <v>0</v>
      </c>
      <c r="AH57">
        <f t="shared" si="23"/>
        <v>1</v>
      </c>
      <c r="AI57">
        <f t="shared" si="24"/>
        <v>0</v>
      </c>
      <c r="AJ57">
        <f t="shared" si="25"/>
        <v>52530.659000849424</v>
      </c>
      <c r="AK57">
        <f t="shared" si="26"/>
        <v>1800</v>
      </c>
      <c r="AL57">
        <f t="shared" si="27"/>
        <v>1499.1109776000001</v>
      </c>
      <c r="AM57">
        <f t="shared" si="28"/>
        <v>0.83283943199999999</v>
      </c>
      <c r="AN57">
        <f t="shared" si="29"/>
        <v>0.15339755247</v>
      </c>
      <c r="AO57">
        <v>31.8</v>
      </c>
      <c r="AP57">
        <v>0.5</v>
      </c>
      <c r="AQ57" t="s">
        <v>331</v>
      </c>
      <c r="AR57">
        <v>2</v>
      </c>
      <c r="AS57">
        <v>1690385805.5999999</v>
      </c>
      <c r="AT57">
        <v>789.30600000000004</v>
      </c>
      <c r="AU57">
        <v>800.02700000000004</v>
      </c>
      <c r="AV57">
        <v>22.3919</v>
      </c>
      <c r="AW57">
        <v>20.101199999999999</v>
      </c>
      <c r="AX57">
        <v>789.58699999999999</v>
      </c>
      <c r="AY57">
        <v>22.112200000000001</v>
      </c>
      <c r="AZ57">
        <v>300.15199999999999</v>
      </c>
      <c r="BA57">
        <v>98.66</v>
      </c>
      <c r="BB57">
        <v>9.9999599999999994E-2</v>
      </c>
      <c r="BC57">
        <v>26.040500000000002</v>
      </c>
      <c r="BD57">
        <v>26.936599999999999</v>
      </c>
      <c r="BE57">
        <v>27.9346</v>
      </c>
      <c r="BF57">
        <v>0</v>
      </c>
      <c r="BG57">
        <v>0</v>
      </c>
      <c r="BH57">
        <v>10038.799999999999</v>
      </c>
      <c r="BI57">
        <v>1070.7</v>
      </c>
      <c r="BJ57">
        <v>1.5137799999999999</v>
      </c>
      <c r="BK57">
        <v>-10.721399999999999</v>
      </c>
      <c r="BL57">
        <v>807.38499999999999</v>
      </c>
      <c r="BM57">
        <v>816.43799999999999</v>
      </c>
      <c r="BN57">
        <v>2.2906599999999999</v>
      </c>
      <c r="BO57">
        <v>800.02700000000004</v>
      </c>
      <c r="BP57">
        <v>20.101199999999999</v>
      </c>
      <c r="BQ57">
        <v>2.2091799999999999</v>
      </c>
      <c r="BR57">
        <v>1.9831799999999999</v>
      </c>
      <c r="BS57">
        <v>19.0291</v>
      </c>
      <c r="BT57">
        <v>17.310700000000001</v>
      </c>
      <c r="BU57">
        <v>1800</v>
      </c>
      <c r="BV57">
        <v>0.90999200000000002</v>
      </c>
      <c r="BW57">
        <v>3.4004699999999999E-2</v>
      </c>
      <c r="BX57">
        <v>2.2000100000000002E-2</v>
      </c>
      <c r="BY57">
        <v>3.4003699999999998E-2</v>
      </c>
      <c r="BZ57">
        <v>25</v>
      </c>
      <c r="CA57">
        <v>33528.300000000003</v>
      </c>
      <c r="CB57">
        <v>1690384821</v>
      </c>
      <c r="CC57" t="s">
        <v>332</v>
      </c>
      <c r="CD57">
        <v>1690384820</v>
      </c>
      <c r="CE57">
        <v>1690384821</v>
      </c>
      <c r="CF57">
        <v>5</v>
      </c>
      <c r="CG57">
        <v>-2.5000000000000001E-2</v>
      </c>
      <c r="CH57">
        <v>0.104</v>
      </c>
      <c r="CI57">
        <v>-0.28799999999999998</v>
      </c>
      <c r="CJ57">
        <v>0.28000000000000003</v>
      </c>
      <c r="CK57">
        <v>800</v>
      </c>
      <c r="CL57">
        <v>24</v>
      </c>
      <c r="CM57">
        <v>0.08</v>
      </c>
      <c r="CN57">
        <v>0.11</v>
      </c>
      <c r="CO57">
        <v>-10.022185121951219</v>
      </c>
      <c r="CP57">
        <v>-3.576846480836263</v>
      </c>
      <c r="CQ57">
        <v>0.35295792007271681</v>
      </c>
      <c r="CR57">
        <v>-1</v>
      </c>
      <c r="CS57">
        <v>2.2835802439024389</v>
      </c>
      <c r="CT57">
        <v>5.8337351916374777E-2</v>
      </c>
      <c r="CU57">
        <v>5.8492044436349189E-3</v>
      </c>
      <c r="CV57">
        <v>-1</v>
      </c>
      <c r="CW57">
        <v>0</v>
      </c>
      <c r="CX57">
        <v>0</v>
      </c>
      <c r="CY57" t="s">
        <v>333</v>
      </c>
      <c r="CZ57">
        <v>2.3643200000000002</v>
      </c>
      <c r="DA57">
        <v>2.7138200000000001</v>
      </c>
      <c r="DB57">
        <v>0.14482999999999999</v>
      </c>
      <c r="DC57">
        <v>0.14576600000000001</v>
      </c>
      <c r="DD57">
        <v>0.10766199999999999</v>
      </c>
      <c r="DE57">
        <v>9.8632700000000004E-2</v>
      </c>
      <c r="DF57">
        <v>31227.9</v>
      </c>
      <c r="DG57">
        <v>27533.200000000001</v>
      </c>
      <c r="DH57">
        <v>31174.3</v>
      </c>
      <c r="DI57">
        <v>28085</v>
      </c>
      <c r="DJ57">
        <v>37771.1</v>
      </c>
      <c r="DK57">
        <v>35996.6</v>
      </c>
      <c r="DL57">
        <v>44365.4</v>
      </c>
      <c r="DM57">
        <v>42569.3</v>
      </c>
      <c r="DN57">
        <v>1.4612499999999999</v>
      </c>
      <c r="DO57">
        <v>2.05687</v>
      </c>
      <c r="DP57">
        <v>0.103489</v>
      </c>
      <c r="DQ57">
        <v>0.18432000000000001</v>
      </c>
      <c r="DR57">
        <v>25.241700000000002</v>
      </c>
      <c r="DS57">
        <v>24.917400000000001</v>
      </c>
      <c r="DT57">
        <v>57.4</v>
      </c>
      <c r="DU57">
        <v>28.9</v>
      </c>
      <c r="DV57">
        <v>23.266100000000002</v>
      </c>
      <c r="DW57">
        <v>60.862200000000001</v>
      </c>
      <c r="DX57">
        <v>36.386200000000002</v>
      </c>
      <c r="DY57">
        <v>1</v>
      </c>
      <c r="DZ57">
        <v>-8.5584300000000002E-2</v>
      </c>
      <c r="EA57">
        <v>0.57564800000000005</v>
      </c>
      <c r="EB57">
        <v>20.1891</v>
      </c>
      <c r="EC57">
        <v>5.24125</v>
      </c>
      <c r="ED57">
        <v>12.039899999999999</v>
      </c>
      <c r="EE57">
        <v>5.0174500000000002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1.8689100000000001</v>
      </c>
      <c r="EL57">
        <v>1.8646199999999999</v>
      </c>
      <c r="EM57">
        <v>1.8692</v>
      </c>
      <c r="EN57">
        <v>1.8672500000000001</v>
      </c>
      <c r="EO57">
        <v>1.86338</v>
      </c>
      <c r="EP57">
        <v>1.86446</v>
      </c>
      <c r="EQ57">
        <v>1.87018</v>
      </c>
      <c r="ER57">
        <v>1.8694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-0.28100000000000003</v>
      </c>
      <c r="FG57">
        <v>0.2797</v>
      </c>
      <c r="FH57">
        <v>0.26269369235785539</v>
      </c>
      <c r="FI57">
        <v>-6.1462078757559423E-4</v>
      </c>
      <c r="FJ57">
        <v>-1.8861989874597051E-7</v>
      </c>
      <c r="FK57">
        <v>1.1980462299894961E-10</v>
      </c>
      <c r="FL57">
        <v>0.27968571428570849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16.399999999999999</v>
      </c>
      <c r="FU57">
        <v>16.399999999999999</v>
      </c>
      <c r="FV57">
        <v>1.79565</v>
      </c>
      <c r="FW57">
        <v>2.5781200000000002</v>
      </c>
      <c r="FX57">
        <v>1.5490699999999999</v>
      </c>
      <c r="FY57">
        <v>2.3315399999999999</v>
      </c>
      <c r="FZ57">
        <v>1.50146</v>
      </c>
      <c r="GA57">
        <v>2.3901400000000002</v>
      </c>
      <c r="GB57">
        <v>33.602899999999998</v>
      </c>
      <c r="GC57">
        <v>23.991199999999999</v>
      </c>
      <c r="GD57">
        <v>19</v>
      </c>
      <c r="GE57">
        <v>276.75299999999999</v>
      </c>
      <c r="GF57">
        <v>600.471</v>
      </c>
      <c r="GG57">
        <v>23.3033</v>
      </c>
      <c r="GH57">
        <v>26.339099999999998</v>
      </c>
      <c r="GI57">
        <v>29.9998</v>
      </c>
      <c r="GJ57">
        <v>26.396999999999998</v>
      </c>
      <c r="GK57">
        <v>26.354500000000002</v>
      </c>
      <c r="GL57">
        <v>35.909399999999998</v>
      </c>
      <c r="GM57">
        <v>22.536200000000001</v>
      </c>
      <c r="GN57">
        <v>100</v>
      </c>
      <c r="GO57">
        <v>23.312000000000001</v>
      </c>
      <c r="GP57">
        <v>800</v>
      </c>
      <c r="GQ57">
        <v>20.045400000000001</v>
      </c>
      <c r="GR57">
        <v>99.746300000000005</v>
      </c>
      <c r="GS57">
        <v>99.582499999999996</v>
      </c>
    </row>
    <row r="58" spans="1:201" x14ac:dyDescent="0.25">
      <c r="A58">
        <v>42</v>
      </c>
      <c r="B58">
        <v>1690385815.5999999</v>
      </c>
      <c r="C58">
        <v>481</v>
      </c>
      <c r="D58" t="s">
        <v>417</v>
      </c>
      <c r="E58" t="s">
        <v>418</v>
      </c>
      <c r="F58" t="s">
        <v>330</v>
      </c>
      <c r="H58">
        <v>1690385815.5999999</v>
      </c>
      <c r="I58">
        <f t="shared" si="0"/>
        <v>2.2192787017758674E-4</v>
      </c>
      <c r="J58">
        <f t="shared" si="1"/>
        <v>0.22192787017758675</v>
      </c>
      <c r="K58">
        <f t="shared" si="2"/>
        <v>0.88971718344385864</v>
      </c>
      <c r="L58">
        <f t="shared" si="3"/>
        <v>788.67399999999998</v>
      </c>
      <c r="M58">
        <f t="shared" si="4"/>
        <v>661.20946695284374</v>
      </c>
      <c r="N58">
        <f t="shared" si="5"/>
        <v>65.299583765833432</v>
      </c>
      <c r="O58">
        <f t="shared" si="6"/>
        <v>77.887698983305398</v>
      </c>
      <c r="P58">
        <f t="shared" si="7"/>
        <v>1.322616667827897E-2</v>
      </c>
      <c r="Q58">
        <f t="shared" si="8"/>
        <v>2.1560871484396844</v>
      </c>
      <c r="R58">
        <f t="shared" si="9"/>
        <v>1.3181257622433612E-2</v>
      </c>
      <c r="S58">
        <f t="shared" si="10"/>
        <v>8.2423081404805493E-3</v>
      </c>
      <c r="T58">
        <f t="shared" si="11"/>
        <v>276.1135984850419</v>
      </c>
      <c r="U58">
        <f t="shared" si="12"/>
        <v>28.129235784876634</v>
      </c>
      <c r="V58">
        <f t="shared" si="13"/>
        <v>28.129235784876634</v>
      </c>
      <c r="W58">
        <f t="shared" si="14"/>
        <v>3.823524147280883</v>
      </c>
      <c r="X58">
        <f t="shared" si="15"/>
        <v>65.369647714334292</v>
      </c>
      <c r="Y58">
        <f t="shared" si="16"/>
        <v>2.2115818843173995</v>
      </c>
      <c r="Z58">
        <f t="shared" si="17"/>
        <v>3.3831938241154735</v>
      </c>
      <c r="AA58">
        <f t="shared" si="18"/>
        <v>1.6119422629634834</v>
      </c>
      <c r="AB58">
        <f t="shared" si="19"/>
        <v>-9.7870190748315746</v>
      </c>
      <c r="AC58">
        <f t="shared" si="20"/>
        <v>-242.30429328486912</v>
      </c>
      <c r="AD58">
        <f t="shared" si="21"/>
        <v>-24.274631805946377</v>
      </c>
      <c r="AE58">
        <f t="shared" si="22"/>
        <v>-0.25234568060514562</v>
      </c>
      <c r="AF58">
        <v>0</v>
      </c>
      <c r="AG58">
        <v>0</v>
      </c>
      <c r="AH58">
        <f t="shared" si="23"/>
        <v>1</v>
      </c>
      <c r="AI58">
        <f t="shared" si="24"/>
        <v>0</v>
      </c>
      <c r="AJ58">
        <f t="shared" si="25"/>
        <v>52258.900093938428</v>
      </c>
      <c r="AK58">
        <f t="shared" si="26"/>
        <v>1799.99</v>
      </c>
      <c r="AL58">
        <f t="shared" si="27"/>
        <v>1499.1029804038401</v>
      </c>
      <c r="AM58">
        <f t="shared" si="28"/>
        <v>0.832839616</v>
      </c>
      <c r="AN58">
        <f t="shared" si="29"/>
        <v>0.15339729581</v>
      </c>
      <c r="AO58">
        <v>31.8</v>
      </c>
      <c r="AP58">
        <v>0.5</v>
      </c>
      <c r="AQ58" t="s">
        <v>331</v>
      </c>
      <c r="AR58">
        <v>2</v>
      </c>
      <c r="AS58">
        <v>1690385815.5999999</v>
      </c>
      <c r="AT58">
        <v>788.67399999999998</v>
      </c>
      <c r="AU58">
        <v>799.96199999999999</v>
      </c>
      <c r="AV58">
        <v>22.393999999999998</v>
      </c>
      <c r="AW58">
        <v>20.093900000000001</v>
      </c>
      <c r="AX58">
        <v>788.95500000000004</v>
      </c>
      <c r="AY58">
        <v>22.1143</v>
      </c>
      <c r="AZ58">
        <v>299.95499999999998</v>
      </c>
      <c r="BA58">
        <v>98.658000000000001</v>
      </c>
      <c r="BB58">
        <v>9.9787100000000004E-2</v>
      </c>
      <c r="BC58">
        <v>26.044699999999999</v>
      </c>
      <c r="BD58">
        <v>26.927099999999999</v>
      </c>
      <c r="BE58">
        <v>27.939</v>
      </c>
      <c r="BF58">
        <v>0</v>
      </c>
      <c r="BG58">
        <v>0</v>
      </c>
      <c r="BH58">
        <v>9985</v>
      </c>
      <c r="BI58">
        <v>1070.6500000000001</v>
      </c>
      <c r="BJ58">
        <v>1.5137799999999999</v>
      </c>
      <c r="BK58">
        <v>-11.288</v>
      </c>
      <c r="BL58">
        <v>806.74099999999999</v>
      </c>
      <c r="BM58">
        <v>816.36599999999999</v>
      </c>
      <c r="BN58">
        <v>2.3000799999999999</v>
      </c>
      <c r="BO58">
        <v>799.96199999999999</v>
      </c>
      <c r="BP58">
        <v>20.093900000000001</v>
      </c>
      <c r="BQ58">
        <v>2.2093500000000001</v>
      </c>
      <c r="BR58">
        <v>1.9824299999999999</v>
      </c>
      <c r="BS58">
        <v>19.0303</v>
      </c>
      <c r="BT58">
        <v>17.3047</v>
      </c>
      <c r="BU58">
        <v>1799.99</v>
      </c>
      <c r="BV58">
        <v>0.909999</v>
      </c>
      <c r="BW58">
        <v>3.4001799999999999E-2</v>
      </c>
      <c r="BX58">
        <v>2.1998299999999998E-2</v>
      </c>
      <c r="BY58">
        <v>3.4000900000000001E-2</v>
      </c>
      <c r="BZ58">
        <v>25</v>
      </c>
      <c r="CA58">
        <v>33528.300000000003</v>
      </c>
      <c r="CB58">
        <v>1690384821</v>
      </c>
      <c r="CC58" t="s">
        <v>332</v>
      </c>
      <c r="CD58">
        <v>1690384820</v>
      </c>
      <c r="CE58">
        <v>1690384821</v>
      </c>
      <c r="CF58">
        <v>5</v>
      </c>
      <c r="CG58">
        <v>-2.5000000000000001E-2</v>
      </c>
      <c r="CH58">
        <v>0.104</v>
      </c>
      <c r="CI58">
        <v>-0.28799999999999998</v>
      </c>
      <c r="CJ58">
        <v>0.28000000000000003</v>
      </c>
      <c r="CK58">
        <v>800</v>
      </c>
      <c r="CL58">
        <v>24</v>
      </c>
      <c r="CM58">
        <v>0.08</v>
      </c>
      <c r="CN58">
        <v>0.11</v>
      </c>
      <c r="CO58">
        <v>-10.63236829268293</v>
      </c>
      <c r="CP58">
        <v>-3.6313672473867742</v>
      </c>
      <c r="CQ58">
        <v>0.35895449432295168</v>
      </c>
      <c r="CR58">
        <v>-1</v>
      </c>
      <c r="CS58">
        <v>2.291642195121951</v>
      </c>
      <c r="CT58">
        <v>3.6753031358889257E-2</v>
      </c>
      <c r="CU58">
        <v>3.7034674011250188E-3</v>
      </c>
      <c r="CV58">
        <v>-1</v>
      </c>
      <c r="CW58">
        <v>0</v>
      </c>
      <c r="CX58">
        <v>0</v>
      </c>
      <c r="CY58" t="s">
        <v>333</v>
      </c>
      <c r="CZ58">
        <v>2.3636599999999999</v>
      </c>
      <c r="DA58">
        <v>2.7135600000000002</v>
      </c>
      <c r="DB58">
        <v>0.14474999999999999</v>
      </c>
      <c r="DC58">
        <v>0.145755</v>
      </c>
      <c r="DD58">
        <v>0.107668</v>
      </c>
      <c r="DE58">
        <v>9.8605399999999996E-2</v>
      </c>
      <c r="DF58">
        <v>31230.9</v>
      </c>
      <c r="DG58">
        <v>27533.7</v>
      </c>
      <c r="DH58">
        <v>31174.400000000001</v>
      </c>
      <c r="DI58">
        <v>28085.1</v>
      </c>
      <c r="DJ58">
        <v>37771</v>
      </c>
      <c r="DK58">
        <v>35997.9</v>
      </c>
      <c r="DL58">
        <v>44365.599999999999</v>
      </c>
      <c r="DM58">
        <v>42569.5</v>
      </c>
      <c r="DN58">
        <v>1.4605999999999999</v>
      </c>
      <c r="DO58">
        <v>2.0572499999999998</v>
      </c>
      <c r="DP58">
        <v>0.103496</v>
      </c>
      <c r="DQ58">
        <v>0.18506500000000001</v>
      </c>
      <c r="DR58">
        <v>25.231999999999999</v>
      </c>
      <c r="DS58">
        <v>24.909600000000001</v>
      </c>
      <c r="DT58">
        <v>57.4</v>
      </c>
      <c r="DU58">
        <v>28.9</v>
      </c>
      <c r="DV58">
        <v>23.2654</v>
      </c>
      <c r="DW58">
        <v>61.302199999999999</v>
      </c>
      <c r="DX58">
        <v>36.871000000000002</v>
      </c>
      <c r="DY58">
        <v>1</v>
      </c>
      <c r="DZ58">
        <v>-8.5968000000000003E-2</v>
      </c>
      <c r="EA58">
        <v>0.48039999999999999</v>
      </c>
      <c r="EB58">
        <v>20.189299999999999</v>
      </c>
      <c r="EC58">
        <v>5.2409499999999998</v>
      </c>
      <c r="ED58">
        <v>12.039899999999999</v>
      </c>
      <c r="EE58">
        <v>5.0164999999999997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</v>
      </c>
      <c r="EL58">
        <v>1.8646199999999999</v>
      </c>
      <c r="EM58">
        <v>1.8692</v>
      </c>
      <c r="EN58">
        <v>1.8672200000000001</v>
      </c>
      <c r="EO58">
        <v>1.8633900000000001</v>
      </c>
      <c r="EP58">
        <v>1.8644700000000001</v>
      </c>
      <c r="EQ58">
        <v>1.87015</v>
      </c>
      <c r="ER58">
        <v>1.86938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-0.28100000000000003</v>
      </c>
      <c r="FG58">
        <v>0.2797</v>
      </c>
      <c r="FH58">
        <v>0.26269369235785539</v>
      </c>
      <c r="FI58">
        <v>-6.1462078757559423E-4</v>
      </c>
      <c r="FJ58">
        <v>-1.8861989874597051E-7</v>
      </c>
      <c r="FK58">
        <v>1.1980462299894961E-10</v>
      </c>
      <c r="FL58">
        <v>0.27968571428570849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16.600000000000001</v>
      </c>
      <c r="FU58">
        <v>16.600000000000001</v>
      </c>
      <c r="FV58">
        <v>1.79565</v>
      </c>
      <c r="FW58">
        <v>2.5769000000000002</v>
      </c>
      <c r="FX58">
        <v>1.5490699999999999</v>
      </c>
      <c r="FY58">
        <v>2.3315399999999999</v>
      </c>
      <c r="FZ58">
        <v>1.50146</v>
      </c>
      <c r="GA58">
        <v>2.36572</v>
      </c>
      <c r="GB58">
        <v>33.580399999999997</v>
      </c>
      <c r="GC58">
        <v>23.982399999999998</v>
      </c>
      <c r="GD58">
        <v>19</v>
      </c>
      <c r="GE58">
        <v>276.471</v>
      </c>
      <c r="GF58">
        <v>600.78800000000001</v>
      </c>
      <c r="GG58">
        <v>23.374400000000001</v>
      </c>
      <c r="GH58">
        <v>26.3324</v>
      </c>
      <c r="GI58">
        <v>29.9999</v>
      </c>
      <c r="GJ58">
        <v>26.3947</v>
      </c>
      <c r="GK58">
        <v>26.354500000000002</v>
      </c>
      <c r="GL58">
        <v>35.909199999999998</v>
      </c>
      <c r="GM58">
        <v>22.536200000000001</v>
      </c>
      <c r="GN58">
        <v>100</v>
      </c>
      <c r="GO58">
        <v>23.386900000000001</v>
      </c>
      <c r="GP58">
        <v>800</v>
      </c>
      <c r="GQ58">
        <v>20.023399999999999</v>
      </c>
      <c r="GR58">
        <v>99.746700000000004</v>
      </c>
      <c r="GS58">
        <v>99.582800000000006</v>
      </c>
    </row>
    <row r="59" spans="1:201" x14ac:dyDescent="0.25">
      <c r="A59">
        <v>43</v>
      </c>
      <c r="B59">
        <v>1690385825.5999999</v>
      </c>
      <c r="C59">
        <v>491</v>
      </c>
      <c r="D59" t="s">
        <v>419</v>
      </c>
      <c r="E59" t="s">
        <v>420</v>
      </c>
      <c r="F59" t="s">
        <v>330</v>
      </c>
      <c r="H59">
        <v>1690385825.5999999</v>
      </c>
      <c r="I59">
        <f t="shared" si="0"/>
        <v>2.2486800524207175E-4</v>
      </c>
      <c r="J59">
        <f t="shared" si="1"/>
        <v>0.22486800524207176</v>
      </c>
      <c r="K59">
        <f t="shared" si="2"/>
        <v>0.97215885330700924</v>
      </c>
      <c r="L59">
        <f t="shared" si="3"/>
        <v>787.95299999999997</v>
      </c>
      <c r="M59">
        <f t="shared" si="4"/>
        <v>652.12348195147979</v>
      </c>
      <c r="N59">
        <f t="shared" si="5"/>
        <v>64.401814137578256</v>
      </c>
      <c r="O59">
        <f t="shared" si="6"/>
        <v>77.815941397004991</v>
      </c>
      <c r="P59">
        <f t="shared" si="7"/>
        <v>1.3398152921219101E-2</v>
      </c>
      <c r="Q59">
        <f t="shared" si="8"/>
        <v>2.1616042299037943</v>
      </c>
      <c r="R59">
        <f t="shared" si="9"/>
        <v>1.3352187700857299E-2</v>
      </c>
      <c r="S59">
        <f t="shared" si="10"/>
        <v>8.3492338966271434E-3</v>
      </c>
      <c r="T59">
        <f t="shared" si="11"/>
        <v>276.114912156</v>
      </c>
      <c r="U59">
        <f t="shared" si="12"/>
        <v>28.134371307184804</v>
      </c>
      <c r="V59">
        <f t="shared" si="13"/>
        <v>28.134371307184804</v>
      </c>
      <c r="W59">
        <f t="shared" si="14"/>
        <v>3.8246678965930268</v>
      </c>
      <c r="X59">
        <f t="shared" si="15"/>
        <v>65.348542232071509</v>
      </c>
      <c r="Y59">
        <f t="shared" si="16"/>
        <v>2.2123068396274999</v>
      </c>
      <c r="Z59">
        <f t="shared" si="17"/>
        <v>3.3853958543879377</v>
      </c>
      <c r="AA59">
        <f t="shared" si="18"/>
        <v>1.6123610569655269</v>
      </c>
      <c r="AB59">
        <f t="shared" si="19"/>
        <v>-9.9166790311753648</v>
      </c>
      <c r="AC59">
        <f t="shared" si="20"/>
        <v>-242.24088597754039</v>
      </c>
      <c r="AD59">
        <f t="shared" si="21"/>
        <v>-24.208290104861465</v>
      </c>
      <c r="AE59">
        <f t="shared" si="22"/>
        <v>-0.25094295757722307</v>
      </c>
      <c r="AF59">
        <v>0</v>
      </c>
      <c r="AG59">
        <v>0</v>
      </c>
      <c r="AH59">
        <f t="shared" si="23"/>
        <v>1</v>
      </c>
      <c r="AI59">
        <f t="shared" si="24"/>
        <v>0</v>
      </c>
      <c r="AJ59">
        <f t="shared" si="25"/>
        <v>52488.390612499032</v>
      </c>
      <c r="AK59">
        <f t="shared" si="26"/>
        <v>1800</v>
      </c>
      <c r="AL59">
        <f t="shared" si="27"/>
        <v>1499.1127056</v>
      </c>
      <c r="AM59">
        <f t="shared" si="28"/>
        <v>0.83284039200000004</v>
      </c>
      <c r="AN59">
        <f t="shared" si="29"/>
        <v>0.15339717342</v>
      </c>
      <c r="AO59">
        <v>31.8</v>
      </c>
      <c r="AP59">
        <v>0.5</v>
      </c>
      <c r="AQ59" t="s">
        <v>331</v>
      </c>
      <c r="AR59">
        <v>2</v>
      </c>
      <c r="AS59">
        <v>1690385825.5999999</v>
      </c>
      <c r="AT59">
        <v>787.95299999999997</v>
      </c>
      <c r="AU59">
        <v>800.12400000000002</v>
      </c>
      <c r="AV59">
        <v>22.401499999999999</v>
      </c>
      <c r="AW59">
        <v>20.073599999999999</v>
      </c>
      <c r="AX59">
        <v>788.23299999999995</v>
      </c>
      <c r="AY59">
        <v>22.1218</v>
      </c>
      <c r="AZ59">
        <v>300.29700000000003</v>
      </c>
      <c r="BA59">
        <v>98.657200000000003</v>
      </c>
      <c r="BB59">
        <v>9.9885000000000002E-2</v>
      </c>
      <c r="BC59">
        <v>26.055700000000002</v>
      </c>
      <c r="BD59">
        <v>26.936599999999999</v>
      </c>
      <c r="BE59">
        <v>27.939699999999998</v>
      </c>
      <c r="BF59">
        <v>0</v>
      </c>
      <c r="BG59">
        <v>0</v>
      </c>
      <c r="BH59">
        <v>10031.200000000001</v>
      </c>
      <c r="BI59">
        <v>1070.57</v>
      </c>
      <c r="BJ59">
        <v>1.5137799999999999</v>
      </c>
      <c r="BK59">
        <v>-12.171200000000001</v>
      </c>
      <c r="BL59">
        <v>806.00900000000001</v>
      </c>
      <c r="BM59">
        <v>816.51499999999999</v>
      </c>
      <c r="BN59">
        <v>2.3278799999999999</v>
      </c>
      <c r="BO59">
        <v>800.12400000000002</v>
      </c>
      <c r="BP59">
        <v>20.073599999999999</v>
      </c>
      <c r="BQ59">
        <v>2.21007</v>
      </c>
      <c r="BR59">
        <v>1.98041</v>
      </c>
      <c r="BS59">
        <v>19.035499999999999</v>
      </c>
      <c r="BT59">
        <v>17.288599999999999</v>
      </c>
      <c r="BU59">
        <v>1800</v>
      </c>
      <c r="BV59">
        <v>0.91000599999999998</v>
      </c>
      <c r="BW59">
        <v>3.3999300000000003E-2</v>
      </c>
      <c r="BX59">
        <v>2.1996600000000002E-2</v>
      </c>
      <c r="BY59">
        <v>3.3998399999999998E-2</v>
      </c>
      <c r="BZ59">
        <v>25</v>
      </c>
      <c r="CA59">
        <v>33528.400000000001</v>
      </c>
      <c r="CB59">
        <v>1690384821</v>
      </c>
      <c r="CC59" t="s">
        <v>332</v>
      </c>
      <c r="CD59">
        <v>1690384820</v>
      </c>
      <c r="CE59">
        <v>1690384821</v>
      </c>
      <c r="CF59">
        <v>5</v>
      </c>
      <c r="CG59">
        <v>-2.5000000000000001E-2</v>
      </c>
      <c r="CH59">
        <v>0.104</v>
      </c>
      <c r="CI59">
        <v>-0.28799999999999998</v>
      </c>
      <c r="CJ59">
        <v>0.28000000000000003</v>
      </c>
      <c r="CK59">
        <v>800</v>
      </c>
      <c r="CL59">
        <v>24</v>
      </c>
      <c r="CM59">
        <v>0.08</v>
      </c>
      <c r="CN59">
        <v>0.11</v>
      </c>
      <c r="CO59">
        <v>-11.273441463414629</v>
      </c>
      <c r="CP59">
        <v>-3.943896167247396</v>
      </c>
      <c r="CQ59">
        <v>0.39077881771962292</v>
      </c>
      <c r="CR59">
        <v>-1</v>
      </c>
      <c r="CS59">
        <v>2.3003124390243901</v>
      </c>
      <c r="CT59">
        <v>7.0060139372823654E-2</v>
      </c>
      <c r="CU59">
        <v>7.1094930629501171E-3</v>
      </c>
      <c r="CV59">
        <v>-1</v>
      </c>
      <c r="CW59">
        <v>0</v>
      </c>
      <c r="CX59">
        <v>0</v>
      </c>
      <c r="CY59" t="s">
        <v>333</v>
      </c>
      <c r="CZ59">
        <v>2.3647800000000001</v>
      </c>
      <c r="DA59">
        <v>2.7137099999999998</v>
      </c>
      <c r="DB59">
        <v>0.14466100000000001</v>
      </c>
      <c r="DC59">
        <v>0.14577300000000001</v>
      </c>
      <c r="DD59">
        <v>0.107693</v>
      </c>
      <c r="DE59">
        <v>9.8534099999999999E-2</v>
      </c>
      <c r="DF59">
        <v>31234.2</v>
      </c>
      <c r="DG59">
        <v>27533.599999999999</v>
      </c>
      <c r="DH59">
        <v>31174.400000000001</v>
      </c>
      <c r="DI59">
        <v>28085.599999999999</v>
      </c>
      <c r="DJ59">
        <v>37769.9</v>
      </c>
      <c r="DK59">
        <v>36001.300000000003</v>
      </c>
      <c r="DL59">
        <v>44365.599999999999</v>
      </c>
      <c r="DM59">
        <v>42570.1</v>
      </c>
      <c r="DN59">
        <v>1.46132</v>
      </c>
      <c r="DO59">
        <v>2.05687</v>
      </c>
      <c r="DP59">
        <v>0.104588</v>
      </c>
      <c r="DQ59">
        <v>0.18556</v>
      </c>
      <c r="DR59">
        <v>25.223600000000001</v>
      </c>
      <c r="DS59">
        <v>24.902200000000001</v>
      </c>
      <c r="DT59">
        <v>57.5</v>
      </c>
      <c r="DU59">
        <v>28.9</v>
      </c>
      <c r="DV59">
        <v>23.3033</v>
      </c>
      <c r="DW59">
        <v>61.4422</v>
      </c>
      <c r="DX59">
        <v>36.025599999999997</v>
      </c>
      <c r="DY59">
        <v>1</v>
      </c>
      <c r="DZ59">
        <v>-8.6018800000000006E-2</v>
      </c>
      <c r="EA59">
        <v>0.46607300000000002</v>
      </c>
      <c r="EB59">
        <v>20.189499999999999</v>
      </c>
      <c r="EC59">
        <v>5.24125</v>
      </c>
      <c r="ED59">
        <v>12.039899999999999</v>
      </c>
      <c r="EE59">
        <v>5.0169499999999996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</v>
      </c>
      <c r="EL59">
        <v>1.8646199999999999</v>
      </c>
      <c r="EM59">
        <v>1.8692</v>
      </c>
      <c r="EN59">
        <v>1.8672299999999999</v>
      </c>
      <c r="EO59">
        <v>1.8633999999999999</v>
      </c>
      <c r="EP59">
        <v>1.8644700000000001</v>
      </c>
      <c r="EQ59">
        <v>1.8701700000000001</v>
      </c>
      <c r="ER59">
        <v>1.8693900000000001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-0.28000000000000003</v>
      </c>
      <c r="FG59">
        <v>0.2797</v>
      </c>
      <c r="FH59">
        <v>0.26269369235785539</v>
      </c>
      <c r="FI59">
        <v>-6.1462078757559423E-4</v>
      </c>
      <c r="FJ59">
        <v>-1.8861989874597051E-7</v>
      </c>
      <c r="FK59">
        <v>1.1980462299894961E-10</v>
      </c>
      <c r="FL59">
        <v>0.27968571428570849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16.8</v>
      </c>
      <c r="FU59">
        <v>16.7</v>
      </c>
      <c r="FV59">
        <v>1.79565</v>
      </c>
      <c r="FW59">
        <v>2.5744600000000002</v>
      </c>
      <c r="FX59">
        <v>1.5490699999999999</v>
      </c>
      <c r="FY59">
        <v>2.3315399999999999</v>
      </c>
      <c r="FZ59">
        <v>1.50146</v>
      </c>
      <c r="GA59">
        <v>2.3962400000000001</v>
      </c>
      <c r="GB59">
        <v>33.580399999999997</v>
      </c>
      <c r="GC59">
        <v>23.982399999999998</v>
      </c>
      <c r="GD59">
        <v>19</v>
      </c>
      <c r="GE59">
        <v>276.77</v>
      </c>
      <c r="GF59">
        <v>600.471</v>
      </c>
      <c r="GG59">
        <v>23.448</v>
      </c>
      <c r="GH59">
        <v>26.3263</v>
      </c>
      <c r="GI59">
        <v>29.9999</v>
      </c>
      <c r="GJ59">
        <v>26.3935</v>
      </c>
      <c r="GK59">
        <v>26.354500000000002</v>
      </c>
      <c r="GL59">
        <v>35.904299999999999</v>
      </c>
      <c r="GM59">
        <v>22.811399999999999</v>
      </c>
      <c r="GN59">
        <v>100</v>
      </c>
      <c r="GO59">
        <v>23.4496</v>
      </c>
      <c r="GP59">
        <v>800</v>
      </c>
      <c r="GQ59">
        <v>19.998000000000001</v>
      </c>
      <c r="GR59">
        <v>99.746700000000004</v>
      </c>
      <c r="GS59">
        <v>99.584500000000006</v>
      </c>
    </row>
    <row r="60" spans="1:201" x14ac:dyDescent="0.25">
      <c r="A60">
        <v>44</v>
      </c>
      <c r="B60">
        <v>1690385835.5999999</v>
      </c>
      <c r="C60">
        <v>501</v>
      </c>
      <c r="D60" t="s">
        <v>421</v>
      </c>
      <c r="E60" t="s">
        <v>422</v>
      </c>
      <c r="F60" t="s">
        <v>330</v>
      </c>
      <c r="H60">
        <v>1690385835.5999999</v>
      </c>
      <c r="I60">
        <f t="shared" si="0"/>
        <v>2.2833410643517284E-4</v>
      </c>
      <c r="J60">
        <f t="shared" si="1"/>
        <v>0.22833410643517282</v>
      </c>
      <c r="K60">
        <f t="shared" si="2"/>
        <v>1.0220706809015465</v>
      </c>
      <c r="L60">
        <f t="shared" si="3"/>
        <v>787.25300000000004</v>
      </c>
      <c r="M60">
        <f t="shared" si="4"/>
        <v>647.31700236919755</v>
      </c>
      <c r="N60">
        <f t="shared" si="5"/>
        <v>63.926146204931207</v>
      </c>
      <c r="O60">
        <f t="shared" si="6"/>
        <v>77.745602531798212</v>
      </c>
      <c r="P60">
        <f t="shared" si="7"/>
        <v>1.3599361955636704E-2</v>
      </c>
      <c r="Q60">
        <f t="shared" si="8"/>
        <v>2.1611430221003722</v>
      </c>
      <c r="R60">
        <f t="shared" si="9"/>
        <v>1.3551998353971211E-2</v>
      </c>
      <c r="S60">
        <f t="shared" si="10"/>
        <v>8.4742405870078738E-3</v>
      </c>
      <c r="T60">
        <f t="shared" si="11"/>
        <v>276.11302448623081</v>
      </c>
      <c r="U60">
        <f t="shared" si="12"/>
        <v>28.139155896110317</v>
      </c>
      <c r="V60">
        <f t="shared" si="13"/>
        <v>28.139155896110317</v>
      </c>
      <c r="W60">
        <f t="shared" si="14"/>
        <v>3.825733756925374</v>
      </c>
      <c r="X60">
        <f t="shared" si="15"/>
        <v>65.338424340289507</v>
      </c>
      <c r="Y60">
        <f t="shared" si="16"/>
        <v>2.2126970887465198</v>
      </c>
      <c r="Z60">
        <f t="shared" si="17"/>
        <v>3.3865173687424059</v>
      </c>
      <c r="AA60">
        <f t="shared" si="18"/>
        <v>1.6130366681788542</v>
      </c>
      <c r="AB60">
        <f t="shared" si="19"/>
        <v>-10.069534093791122</v>
      </c>
      <c r="AC60">
        <f t="shared" si="20"/>
        <v>-242.09419577185105</v>
      </c>
      <c r="AD60">
        <f t="shared" si="21"/>
        <v>-24.20004965324501</v>
      </c>
      <c r="AE60">
        <f t="shared" si="22"/>
        <v>-0.25075503265637167</v>
      </c>
      <c r="AF60">
        <v>0</v>
      </c>
      <c r="AG60">
        <v>0</v>
      </c>
      <c r="AH60">
        <f t="shared" si="23"/>
        <v>1</v>
      </c>
      <c r="AI60">
        <f t="shared" si="24"/>
        <v>0</v>
      </c>
      <c r="AJ60">
        <f t="shared" si="25"/>
        <v>52468.001696015461</v>
      </c>
      <c r="AK60">
        <f t="shared" si="26"/>
        <v>1799.99</v>
      </c>
      <c r="AL60">
        <f t="shared" si="27"/>
        <v>1499.10483619353</v>
      </c>
      <c r="AM60">
        <f t="shared" si="28"/>
        <v>0.83284064700000004</v>
      </c>
      <c r="AN60">
        <f t="shared" si="29"/>
        <v>0.15339697692000001</v>
      </c>
      <c r="AO60">
        <v>31.8</v>
      </c>
      <c r="AP60">
        <v>0.5</v>
      </c>
      <c r="AQ60" t="s">
        <v>331</v>
      </c>
      <c r="AR60">
        <v>2</v>
      </c>
      <c r="AS60">
        <v>1690385835.5999999</v>
      </c>
      <c r="AT60">
        <v>787.25300000000004</v>
      </c>
      <c r="AU60">
        <v>799.98099999999999</v>
      </c>
      <c r="AV60">
        <v>22.405799999999999</v>
      </c>
      <c r="AW60">
        <v>20.041799999999999</v>
      </c>
      <c r="AX60">
        <v>787.53300000000002</v>
      </c>
      <c r="AY60">
        <v>22.126200000000001</v>
      </c>
      <c r="AZ60">
        <v>300.26799999999997</v>
      </c>
      <c r="BA60">
        <v>98.655600000000007</v>
      </c>
      <c r="BB60">
        <v>9.9949399999999994E-2</v>
      </c>
      <c r="BC60">
        <v>26.061299999999999</v>
      </c>
      <c r="BD60">
        <v>26.9621</v>
      </c>
      <c r="BE60">
        <v>27.965299999999999</v>
      </c>
      <c r="BF60">
        <v>0</v>
      </c>
      <c r="BG60">
        <v>0</v>
      </c>
      <c r="BH60">
        <v>10027.5</v>
      </c>
      <c r="BI60">
        <v>1070.53</v>
      </c>
      <c r="BJ60">
        <v>1.4703299999999999</v>
      </c>
      <c r="BK60">
        <v>-12.728400000000001</v>
      </c>
      <c r="BL60">
        <v>805.29600000000005</v>
      </c>
      <c r="BM60">
        <v>816.34199999999998</v>
      </c>
      <c r="BN60">
        <v>2.3640500000000002</v>
      </c>
      <c r="BO60">
        <v>799.98099999999999</v>
      </c>
      <c r="BP60">
        <v>20.041799999999999</v>
      </c>
      <c r="BQ60">
        <v>2.2104599999999999</v>
      </c>
      <c r="BR60">
        <v>1.9772400000000001</v>
      </c>
      <c r="BS60">
        <v>19.0383</v>
      </c>
      <c r="BT60">
        <v>17.263200000000001</v>
      </c>
      <c r="BU60">
        <v>1799.99</v>
      </c>
      <c r="BV60">
        <v>0.91001200000000004</v>
      </c>
      <c r="BW60">
        <v>3.3996899999999997E-2</v>
      </c>
      <c r="BX60">
        <v>2.19951E-2</v>
      </c>
      <c r="BY60">
        <v>3.3995999999999998E-2</v>
      </c>
      <c r="BZ60">
        <v>25</v>
      </c>
      <c r="CA60">
        <v>33528.400000000001</v>
      </c>
      <c r="CB60">
        <v>1690384821</v>
      </c>
      <c r="CC60" t="s">
        <v>332</v>
      </c>
      <c r="CD60">
        <v>1690384820</v>
      </c>
      <c r="CE60">
        <v>1690384821</v>
      </c>
      <c r="CF60">
        <v>5</v>
      </c>
      <c r="CG60">
        <v>-2.5000000000000001E-2</v>
      </c>
      <c r="CH60">
        <v>0.104</v>
      </c>
      <c r="CI60">
        <v>-0.28799999999999998</v>
      </c>
      <c r="CJ60">
        <v>0.28000000000000003</v>
      </c>
      <c r="CK60">
        <v>800</v>
      </c>
      <c r="CL60">
        <v>24</v>
      </c>
      <c r="CM60">
        <v>0.08</v>
      </c>
      <c r="CN60">
        <v>0.11</v>
      </c>
      <c r="CO60">
        <v>-11.97454390243902</v>
      </c>
      <c r="CP60">
        <v>-4.3509909407665486</v>
      </c>
      <c r="CQ60">
        <v>0.43139778714720201</v>
      </c>
      <c r="CR60">
        <v>-1</v>
      </c>
      <c r="CS60">
        <v>2.328410243902439</v>
      </c>
      <c r="CT60">
        <v>0.2424790243902431</v>
      </c>
      <c r="CU60">
        <v>2.480614159671193E-2</v>
      </c>
      <c r="CV60">
        <v>-1</v>
      </c>
      <c r="CW60">
        <v>0</v>
      </c>
      <c r="CX60">
        <v>0</v>
      </c>
      <c r="CY60" t="s">
        <v>333</v>
      </c>
      <c r="CZ60">
        <v>2.36469</v>
      </c>
      <c r="DA60">
        <v>2.7137699999999998</v>
      </c>
      <c r="DB60">
        <v>0.14457300000000001</v>
      </c>
      <c r="DC60">
        <v>0.14575299999999999</v>
      </c>
      <c r="DD60">
        <v>0.107706</v>
      </c>
      <c r="DE60">
        <v>9.8421599999999998E-2</v>
      </c>
      <c r="DF60">
        <v>31237.9</v>
      </c>
      <c r="DG60">
        <v>27534</v>
      </c>
      <c r="DH60">
        <v>31174.9</v>
      </c>
      <c r="DI60">
        <v>28085.3</v>
      </c>
      <c r="DJ60">
        <v>37769.800000000003</v>
      </c>
      <c r="DK60">
        <v>36005.4</v>
      </c>
      <c r="DL60">
        <v>44366.2</v>
      </c>
      <c r="DM60">
        <v>42569.7</v>
      </c>
      <c r="DN60">
        <v>1.4617</v>
      </c>
      <c r="DO60">
        <v>2.05715</v>
      </c>
      <c r="DP60">
        <v>0.1067</v>
      </c>
      <c r="DQ60">
        <v>0.187416</v>
      </c>
      <c r="DR60">
        <v>25.214500000000001</v>
      </c>
      <c r="DS60">
        <v>24.897400000000001</v>
      </c>
      <c r="DT60">
        <v>57.5</v>
      </c>
      <c r="DU60">
        <v>28.9</v>
      </c>
      <c r="DV60">
        <v>23.305700000000002</v>
      </c>
      <c r="DW60">
        <v>60.682200000000002</v>
      </c>
      <c r="DX60">
        <v>35.6691</v>
      </c>
      <c r="DY60">
        <v>1</v>
      </c>
      <c r="DZ60">
        <v>-8.6466000000000001E-2</v>
      </c>
      <c r="EA60">
        <v>0.38567000000000001</v>
      </c>
      <c r="EB60">
        <v>20.189599999999999</v>
      </c>
      <c r="EC60">
        <v>5.2409499999999998</v>
      </c>
      <c r="ED60">
        <v>12.039899999999999</v>
      </c>
      <c r="EE60">
        <v>5.0167000000000002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1.8689100000000001</v>
      </c>
      <c r="EL60">
        <v>1.8646199999999999</v>
      </c>
      <c r="EM60">
        <v>1.8692</v>
      </c>
      <c r="EN60">
        <v>1.8672200000000001</v>
      </c>
      <c r="EO60">
        <v>1.8633900000000001</v>
      </c>
      <c r="EP60">
        <v>1.8644700000000001</v>
      </c>
      <c r="EQ60">
        <v>1.87015</v>
      </c>
      <c r="ER60">
        <v>1.86937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-0.28000000000000003</v>
      </c>
      <c r="FG60">
        <v>0.27960000000000002</v>
      </c>
      <c r="FH60">
        <v>0.26269369235785539</v>
      </c>
      <c r="FI60">
        <v>-6.1462078757559423E-4</v>
      </c>
      <c r="FJ60">
        <v>-1.8861989874597051E-7</v>
      </c>
      <c r="FK60">
        <v>1.1980462299894961E-10</v>
      </c>
      <c r="FL60">
        <v>0.27968571428570849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16.899999999999999</v>
      </c>
      <c r="FU60">
        <v>16.899999999999999</v>
      </c>
      <c r="FV60">
        <v>1.79565</v>
      </c>
      <c r="FW60">
        <v>2.5842299999999998</v>
      </c>
      <c r="FX60">
        <v>1.5490699999999999</v>
      </c>
      <c r="FY60">
        <v>2.3315399999999999</v>
      </c>
      <c r="FZ60">
        <v>1.50146</v>
      </c>
      <c r="GA60">
        <v>2.3571800000000001</v>
      </c>
      <c r="GB60">
        <v>33.602899999999998</v>
      </c>
      <c r="GC60">
        <v>23.982399999999998</v>
      </c>
      <c r="GD60">
        <v>19</v>
      </c>
      <c r="GE60">
        <v>276.92200000000003</v>
      </c>
      <c r="GF60">
        <v>600.70399999999995</v>
      </c>
      <c r="GG60">
        <v>23.5092</v>
      </c>
      <c r="GH60">
        <v>26.319600000000001</v>
      </c>
      <c r="GI60">
        <v>30</v>
      </c>
      <c r="GJ60">
        <v>26.392499999999998</v>
      </c>
      <c r="GK60">
        <v>26.354500000000002</v>
      </c>
      <c r="GL60">
        <v>35.908900000000003</v>
      </c>
      <c r="GM60">
        <v>22.811399999999999</v>
      </c>
      <c r="GN60">
        <v>100</v>
      </c>
      <c r="GO60">
        <v>23.521899999999999</v>
      </c>
      <c r="GP60">
        <v>800</v>
      </c>
      <c r="GQ60">
        <v>19.976600000000001</v>
      </c>
      <c r="GR60">
        <v>99.748199999999997</v>
      </c>
      <c r="GS60">
        <v>99.583399999999997</v>
      </c>
    </row>
    <row r="61" spans="1:201" x14ac:dyDescent="0.25">
      <c r="A61">
        <v>45</v>
      </c>
      <c r="B61">
        <v>1690385845.5999999</v>
      </c>
      <c r="C61">
        <v>511</v>
      </c>
      <c r="D61" t="s">
        <v>423</v>
      </c>
      <c r="E61" t="s">
        <v>424</v>
      </c>
      <c r="F61" t="s">
        <v>330</v>
      </c>
      <c r="H61">
        <v>1690385845.5999999</v>
      </c>
      <c r="I61">
        <f t="shared" si="0"/>
        <v>2.3097177078070698E-4</v>
      </c>
      <c r="J61">
        <f t="shared" si="1"/>
        <v>0.23097177078070699</v>
      </c>
      <c r="K61">
        <f t="shared" si="2"/>
        <v>1.0948287251883559</v>
      </c>
      <c r="L61">
        <f t="shared" si="3"/>
        <v>786.43299999999999</v>
      </c>
      <c r="M61">
        <f t="shared" si="4"/>
        <v>639.42485691411457</v>
      </c>
      <c r="N61">
        <f t="shared" si="5"/>
        <v>63.150077798055783</v>
      </c>
      <c r="O61">
        <f t="shared" si="6"/>
        <v>77.668712118317004</v>
      </c>
      <c r="P61">
        <f t="shared" si="7"/>
        <v>1.3749537178654495E-2</v>
      </c>
      <c r="Q61">
        <f t="shared" si="8"/>
        <v>2.1596395867036753</v>
      </c>
      <c r="R61">
        <f t="shared" si="9"/>
        <v>1.3701090181740991E-2</v>
      </c>
      <c r="S61">
        <f t="shared" si="10"/>
        <v>8.567519837993252E-3</v>
      </c>
      <c r="T61">
        <f t="shared" si="11"/>
        <v>276.11276670966288</v>
      </c>
      <c r="U61">
        <f t="shared" si="12"/>
        <v>28.147845432179182</v>
      </c>
      <c r="V61">
        <f t="shared" si="13"/>
        <v>28.147845432179182</v>
      </c>
      <c r="W61">
        <f t="shared" si="14"/>
        <v>3.8276701829330961</v>
      </c>
      <c r="X61">
        <f t="shared" si="15"/>
        <v>65.335738459445523</v>
      </c>
      <c r="Y61">
        <f t="shared" si="16"/>
        <v>2.2136925606103</v>
      </c>
      <c r="Z61">
        <f t="shared" si="17"/>
        <v>3.388180210107151</v>
      </c>
      <c r="AA61">
        <f t="shared" si="18"/>
        <v>1.6139776223227962</v>
      </c>
      <c r="AB61">
        <f t="shared" si="19"/>
        <v>-10.185855091429177</v>
      </c>
      <c r="AC61">
        <f t="shared" si="20"/>
        <v>-241.97113275854593</v>
      </c>
      <c r="AD61">
        <f t="shared" si="21"/>
        <v>-24.206642028795251</v>
      </c>
      <c r="AE61">
        <f t="shared" si="22"/>
        <v>-0.25086316910747541</v>
      </c>
      <c r="AF61">
        <v>0</v>
      </c>
      <c r="AG61">
        <v>0</v>
      </c>
      <c r="AH61">
        <f t="shared" si="23"/>
        <v>1</v>
      </c>
      <c r="AI61">
        <f t="shared" si="24"/>
        <v>0</v>
      </c>
      <c r="AJ61">
        <f t="shared" si="25"/>
        <v>52403.546020079484</v>
      </c>
      <c r="AK61">
        <f t="shared" si="26"/>
        <v>1799.99</v>
      </c>
      <c r="AL61">
        <f t="shared" si="27"/>
        <v>1499.1054013903899</v>
      </c>
      <c r="AM61">
        <f t="shared" si="28"/>
        <v>0.83284096099999994</v>
      </c>
      <c r="AN61">
        <f t="shared" si="29"/>
        <v>0.15339683370999999</v>
      </c>
      <c r="AO61">
        <v>31.8</v>
      </c>
      <c r="AP61">
        <v>0.5</v>
      </c>
      <c r="AQ61" t="s">
        <v>331</v>
      </c>
      <c r="AR61">
        <v>2</v>
      </c>
      <c r="AS61">
        <v>1690385845.5999999</v>
      </c>
      <c r="AT61">
        <v>786.43299999999999</v>
      </c>
      <c r="AU61">
        <v>799.95500000000004</v>
      </c>
      <c r="AV61">
        <v>22.4147</v>
      </c>
      <c r="AW61">
        <v>20.0228</v>
      </c>
      <c r="AX61">
        <v>786.71199999999999</v>
      </c>
      <c r="AY61">
        <v>22.135000000000002</v>
      </c>
      <c r="AZ61">
        <v>300.19099999999997</v>
      </c>
      <c r="BA61">
        <v>98.660700000000006</v>
      </c>
      <c r="BB61">
        <v>0.100049</v>
      </c>
      <c r="BC61">
        <v>26.069600000000001</v>
      </c>
      <c r="BD61">
        <v>26.9862</v>
      </c>
      <c r="BE61">
        <v>27.982299999999999</v>
      </c>
      <c r="BF61">
        <v>0</v>
      </c>
      <c r="BG61">
        <v>0</v>
      </c>
      <c r="BH61">
        <v>10014.4</v>
      </c>
      <c r="BI61">
        <v>1070.5899999999999</v>
      </c>
      <c r="BJ61">
        <v>1.4857499999999999</v>
      </c>
      <c r="BK61">
        <v>-13.522600000000001</v>
      </c>
      <c r="BL61">
        <v>804.46500000000003</v>
      </c>
      <c r="BM61">
        <v>816.3</v>
      </c>
      <c r="BN61">
        <v>2.3918599999999999</v>
      </c>
      <c r="BO61">
        <v>799.95500000000004</v>
      </c>
      <c r="BP61">
        <v>20.0228</v>
      </c>
      <c r="BQ61">
        <v>2.2114500000000001</v>
      </c>
      <c r="BR61">
        <v>1.97546</v>
      </c>
      <c r="BS61">
        <v>19.045500000000001</v>
      </c>
      <c r="BT61">
        <v>17.248999999999999</v>
      </c>
      <c r="BU61">
        <v>1799.99</v>
      </c>
      <c r="BV61">
        <v>0.91001699999999996</v>
      </c>
      <c r="BW61">
        <v>3.3994999999999997E-2</v>
      </c>
      <c r="BX61">
        <v>2.1993800000000001E-2</v>
      </c>
      <c r="BY61">
        <v>3.3994099999999999E-2</v>
      </c>
      <c r="BZ61">
        <v>25</v>
      </c>
      <c r="CA61">
        <v>33528.300000000003</v>
      </c>
      <c r="CB61">
        <v>1690384821</v>
      </c>
      <c r="CC61" t="s">
        <v>332</v>
      </c>
      <c r="CD61">
        <v>1690384820</v>
      </c>
      <c r="CE61">
        <v>1690384821</v>
      </c>
      <c r="CF61">
        <v>5</v>
      </c>
      <c r="CG61">
        <v>-2.5000000000000001E-2</v>
      </c>
      <c r="CH61">
        <v>0.104</v>
      </c>
      <c r="CI61">
        <v>-0.28799999999999998</v>
      </c>
      <c r="CJ61">
        <v>0.28000000000000003</v>
      </c>
      <c r="CK61">
        <v>800</v>
      </c>
      <c r="CL61">
        <v>24</v>
      </c>
      <c r="CM61">
        <v>0.08</v>
      </c>
      <c r="CN61">
        <v>0.11</v>
      </c>
      <c r="CO61">
        <v>-12.779949999999999</v>
      </c>
      <c r="CP61">
        <v>-4.5158949343339581</v>
      </c>
      <c r="CQ61">
        <v>0.43783931698740802</v>
      </c>
      <c r="CR61">
        <v>-1</v>
      </c>
      <c r="CS61">
        <v>2.3636054999999998</v>
      </c>
      <c r="CT61">
        <v>0.12803257035646581</v>
      </c>
      <c r="CU61">
        <v>1.3026196288633159E-2</v>
      </c>
      <c r="CV61">
        <v>-1</v>
      </c>
      <c r="CW61">
        <v>0</v>
      </c>
      <c r="CX61">
        <v>0</v>
      </c>
      <c r="CY61" t="s">
        <v>333</v>
      </c>
      <c r="CZ61">
        <v>2.36443</v>
      </c>
      <c r="DA61">
        <v>2.7138499999999999</v>
      </c>
      <c r="DB61">
        <v>0.14448</v>
      </c>
      <c r="DC61">
        <v>0.145756</v>
      </c>
      <c r="DD61">
        <v>0.107742</v>
      </c>
      <c r="DE61">
        <v>9.8360199999999995E-2</v>
      </c>
      <c r="DF61">
        <v>31241.599999999999</v>
      </c>
      <c r="DG61">
        <v>27534.1</v>
      </c>
      <c r="DH61">
        <v>31175.200000000001</v>
      </c>
      <c r="DI61">
        <v>28085.599999999999</v>
      </c>
      <c r="DJ61">
        <v>37768.6</v>
      </c>
      <c r="DK61">
        <v>36008.300000000003</v>
      </c>
      <c r="DL61">
        <v>44366.6</v>
      </c>
      <c r="DM61">
        <v>42570.2</v>
      </c>
      <c r="DN61">
        <v>1.4615499999999999</v>
      </c>
      <c r="DO61">
        <v>2.0569999999999999</v>
      </c>
      <c r="DP61">
        <v>0.1086</v>
      </c>
      <c r="DQ61">
        <v>0.188585</v>
      </c>
      <c r="DR61">
        <v>25.207599999999999</v>
      </c>
      <c r="DS61">
        <v>24.895299999999999</v>
      </c>
      <c r="DT61">
        <v>57.5</v>
      </c>
      <c r="DU61">
        <v>28.9</v>
      </c>
      <c r="DV61">
        <v>23.308199999999999</v>
      </c>
      <c r="DW61">
        <v>61.092199999999998</v>
      </c>
      <c r="DX61">
        <v>35.396599999999999</v>
      </c>
      <c r="DY61">
        <v>1</v>
      </c>
      <c r="DZ61">
        <v>-8.6928400000000003E-2</v>
      </c>
      <c r="EA61">
        <v>0.42924800000000002</v>
      </c>
      <c r="EB61">
        <v>20.189499999999999</v>
      </c>
      <c r="EC61">
        <v>5.2409499999999998</v>
      </c>
      <c r="ED61">
        <v>12.039899999999999</v>
      </c>
      <c r="EE61">
        <v>5.0167999999999999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1.8689100000000001</v>
      </c>
      <c r="EL61">
        <v>1.8646199999999999</v>
      </c>
      <c r="EM61">
        <v>1.86921</v>
      </c>
      <c r="EN61">
        <v>1.8672200000000001</v>
      </c>
      <c r="EO61">
        <v>1.8633999999999999</v>
      </c>
      <c r="EP61">
        <v>1.8644700000000001</v>
      </c>
      <c r="EQ61">
        <v>1.87016</v>
      </c>
      <c r="ER61">
        <v>1.8693900000000001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-0.27900000000000003</v>
      </c>
      <c r="FG61">
        <v>0.2797</v>
      </c>
      <c r="FH61">
        <v>0.26269369235785539</v>
      </c>
      <c r="FI61">
        <v>-6.1462078757559423E-4</v>
      </c>
      <c r="FJ61">
        <v>-1.8861989874597051E-7</v>
      </c>
      <c r="FK61">
        <v>1.1980462299894961E-10</v>
      </c>
      <c r="FL61">
        <v>0.27968571428570849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17.100000000000001</v>
      </c>
      <c r="FU61">
        <v>17.100000000000001</v>
      </c>
      <c r="FV61">
        <v>1.79565</v>
      </c>
      <c r="FW61">
        <v>2.5817899999999998</v>
      </c>
      <c r="FX61">
        <v>1.5490699999999999</v>
      </c>
      <c r="FY61">
        <v>2.3315399999999999</v>
      </c>
      <c r="FZ61">
        <v>1.50146</v>
      </c>
      <c r="GA61">
        <v>2.4194300000000002</v>
      </c>
      <c r="GB61">
        <v>33.580399999999997</v>
      </c>
      <c r="GC61">
        <v>23.982399999999998</v>
      </c>
      <c r="GD61">
        <v>19</v>
      </c>
      <c r="GE61">
        <v>276.851</v>
      </c>
      <c r="GF61">
        <v>600.577</v>
      </c>
      <c r="GG61">
        <v>23.5593</v>
      </c>
      <c r="GH61">
        <v>26.313500000000001</v>
      </c>
      <c r="GI61">
        <v>29.9998</v>
      </c>
      <c r="GJ61">
        <v>26.3903</v>
      </c>
      <c r="GK61">
        <v>26.354500000000002</v>
      </c>
      <c r="GL61">
        <v>35.9086</v>
      </c>
      <c r="GM61">
        <v>23.091100000000001</v>
      </c>
      <c r="GN61">
        <v>100</v>
      </c>
      <c r="GO61">
        <v>23.560199999999998</v>
      </c>
      <c r="GP61">
        <v>800</v>
      </c>
      <c r="GQ61">
        <v>19.9451</v>
      </c>
      <c r="GR61">
        <v>99.749099999999999</v>
      </c>
      <c r="GS61">
        <v>99.584500000000006</v>
      </c>
    </row>
    <row r="62" spans="1:201" x14ac:dyDescent="0.25">
      <c r="A62">
        <v>46</v>
      </c>
      <c r="B62">
        <v>1690385855.5999999</v>
      </c>
      <c r="C62">
        <v>521</v>
      </c>
      <c r="D62" t="s">
        <v>425</v>
      </c>
      <c r="E62" t="s">
        <v>426</v>
      </c>
      <c r="F62" t="s">
        <v>330</v>
      </c>
      <c r="H62">
        <v>1690385855.5999999</v>
      </c>
      <c r="I62">
        <f t="shared" si="0"/>
        <v>2.3467294261693609E-4</v>
      </c>
      <c r="J62">
        <f t="shared" si="1"/>
        <v>0.23467294261693608</v>
      </c>
      <c r="K62">
        <f t="shared" si="2"/>
        <v>1.1786159671662944</v>
      </c>
      <c r="L62">
        <f t="shared" si="3"/>
        <v>785.553</v>
      </c>
      <c r="M62">
        <f t="shared" si="4"/>
        <v>630.80355890833118</v>
      </c>
      <c r="N62">
        <f t="shared" si="5"/>
        <v>62.294160372464383</v>
      </c>
      <c r="O62">
        <f t="shared" si="6"/>
        <v>77.576234109645895</v>
      </c>
      <c r="P62">
        <f t="shared" si="7"/>
        <v>1.3947066890701061E-2</v>
      </c>
      <c r="Q62">
        <f t="shared" si="8"/>
        <v>2.1588849301393354</v>
      </c>
      <c r="R62">
        <f t="shared" si="9"/>
        <v>1.3897203255600949E-2</v>
      </c>
      <c r="S62">
        <f t="shared" si="10"/>
        <v>8.6902171563035327E-3</v>
      </c>
      <c r="T62">
        <f t="shared" si="11"/>
        <v>276.11241301162789</v>
      </c>
      <c r="U62">
        <f t="shared" si="12"/>
        <v>28.158805886172352</v>
      </c>
      <c r="V62">
        <f t="shared" si="13"/>
        <v>28.158805886172352</v>
      </c>
      <c r="W62">
        <f t="shared" si="14"/>
        <v>3.8301138927027969</v>
      </c>
      <c r="X62">
        <f t="shared" si="15"/>
        <v>65.286828211647503</v>
      </c>
      <c r="Y62">
        <f t="shared" si="16"/>
        <v>2.2135534202584699</v>
      </c>
      <c r="Z62">
        <f t="shared" si="17"/>
        <v>3.3905053758815633</v>
      </c>
      <c r="AA62">
        <f t="shared" si="18"/>
        <v>1.616560472444327</v>
      </c>
      <c r="AB62">
        <f t="shared" si="19"/>
        <v>-10.349076769406881</v>
      </c>
      <c r="AC62">
        <f t="shared" si="20"/>
        <v>-241.81214261563724</v>
      </c>
      <c r="AD62">
        <f t="shared" si="21"/>
        <v>-24.201921468204265</v>
      </c>
      <c r="AE62">
        <f t="shared" si="22"/>
        <v>-0.25072784162048833</v>
      </c>
      <c r="AF62">
        <v>0</v>
      </c>
      <c r="AG62">
        <v>0</v>
      </c>
      <c r="AH62">
        <f t="shared" si="23"/>
        <v>1</v>
      </c>
      <c r="AI62">
        <f t="shared" si="24"/>
        <v>0</v>
      </c>
      <c r="AJ62">
        <f t="shared" si="25"/>
        <v>52369.700500701838</v>
      </c>
      <c r="AK62">
        <f t="shared" si="26"/>
        <v>1799.99</v>
      </c>
      <c r="AL62">
        <f t="shared" si="27"/>
        <v>1499.10586038784</v>
      </c>
      <c r="AM62">
        <f t="shared" si="28"/>
        <v>0.83284121600000005</v>
      </c>
      <c r="AN62">
        <f t="shared" si="29"/>
        <v>0.15339663720999999</v>
      </c>
      <c r="AO62">
        <v>31.8</v>
      </c>
      <c r="AP62">
        <v>0.5</v>
      </c>
      <c r="AQ62" t="s">
        <v>331</v>
      </c>
      <c r="AR62">
        <v>2</v>
      </c>
      <c r="AS62">
        <v>1690385855.5999999</v>
      </c>
      <c r="AT62">
        <v>785.553</v>
      </c>
      <c r="AU62">
        <v>799.99699999999996</v>
      </c>
      <c r="AV62">
        <v>22.414899999999999</v>
      </c>
      <c r="AW62">
        <v>19.983699999999999</v>
      </c>
      <c r="AX62">
        <v>785.83199999999999</v>
      </c>
      <c r="AY62">
        <v>22.135200000000001</v>
      </c>
      <c r="AZ62">
        <v>300.07100000000003</v>
      </c>
      <c r="BA62">
        <v>98.653700000000001</v>
      </c>
      <c r="BB62">
        <v>9.9960300000000002E-2</v>
      </c>
      <c r="BC62">
        <v>26.081199999999999</v>
      </c>
      <c r="BD62">
        <v>26.999199999999998</v>
      </c>
      <c r="BE62">
        <v>27.9924</v>
      </c>
      <c r="BF62">
        <v>0</v>
      </c>
      <c r="BG62">
        <v>0</v>
      </c>
      <c r="BH62">
        <v>10008.799999999999</v>
      </c>
      <c r="BI62">
        <v>1070.6300000000001</v>
      </c>
      <c r="BJ62">
        <v>1.45912</v>
      </c>
      <c r="BK62">
        <v>-14.444100000000001</v>
      </c>
      <c r="BL62">
        <v>803.56500000000005</v>
      </c>
      <c r="BM62">
        <v>816.31</v>
      </c>
      <c r="BN62">
        <v>2.4311199999999999</v>
      </c>
      <c r="BO62">
        <v>799.99699999999996</v>
      </c>
      <c r="BP62">
        <v>19.983699999999999</v>
      </c>
      <c r="BQ62">
        <v>2.2113100000000001</v>
      </c>
      <c r="BR62">
        <v>1.9714700000000001</v>
      </c>
      <c r="BS62">
        <v>19.044499999999999</v>
      </c>
      <c r="BT62">
        <v>17.216999999999999</v>
      </c>
      <c r="BU62">
        <v>1799.99</v>
      </c>
      <c r="BV62">
        <v>0.91002300000000003</v>
      </c>
      <c r="BW62">
        <v>3.3992599999999998E-2</v>
      </c>
      <c r="BX62">
        <v>2.1992299999999999E-2</v>
      </c>
      <c r="BY62">
        <v>3.39917E-2</v>
      </c>
      <c r="BZ62">
        <v>25</v>
      </c>
      <c r="CA62">
        <v>33528.400000000001</v>
      </c>
      <c r="CB62">
        <v>1690384821</v>
      </c>
      <c r="CC62" t="s">
        <v>332</v>
      </c>
      <c r="CD62">
        <v>1690384820</v>
      </c>
      <c r="CE62">
        <v>1690384821</v>
      </c>
      <c r="CF62">
        <v>5</v>
      </c>
      <c r="CG62">
        <v>-2.5000000000000001E-2</v>
      </c>
      <c r="CH62">
        <v>0.104</v>
      </c>
      <c r="CI62">
        <v>-0.28799999999999998</v>
      </c>
      <c r="CJ62">
        <v>0.28000000000000003</v>
      </c>
      <c r="CK62">
        <v>800</v>
      </c>
      <c r="CL62">
        <v>24</v>
      </c>
      <c r="CM62">
        <v>0.08</v>
      </c>
      <c r="CN62">
        <v>0.11</v>
      </c>
      <c r="CO62">
        <v>-13.4930825</v>
      </c>
      <c r="CP62">
        <v>-5.1190075046904102</v>
      </c>
      <c r="CQ62">
        <v>0.49389773379086288</v>
      </c>
      <c r="CR62">
        <v>-1</v>
      </c>
      <c r="CS62">
        <v>2.3935852500000001</v>
      </c>
      <c r="CT62">
        <v>0.25476889305815842</v>
      </c>
      <c r="CU62">
        <v>2.5378710761926021E-2</v>
      </c>
      <c r="CV62">
        <v>-1</v>
      </c>
      <c r="CW62">
        <v>0</v>
      </c>
      <c r="CX62">
        <v>0</v>
      </c>
      <c r="CY62" t="s">
        <v>333</v>
      </c>
      <c r="CZ62">
        <v>2.3640699999999999</v>
      </c>
      <c r="DA62">
        <v>2.7137600000000002</v>
      </c>
      <c r="DB62">
        <v>0.14436299999999999</v>
      </c>
      <c r="DC62">
        <v>0.14575099999999999</v>
      </c>
      <c r="DD62">
        <v>0.107737</v>
      </c>
      <c r="DE62">
        <v>9.8217700000000005E-2</v>
      </c>
      <c r="DF62">
        <v>31246.2</v>
      </c>
      <c r="DG62">
        <v>27534.400000000001</v>
      </c>
      <c r="DH62">
        <v>31175.5</v>
      </c>
      <c r="DI62">
        <v>28085.7</v>
      </c>
      <c r="DJ62">
        <v>37769.199999999997</v>
      </c>
      <c r="DK62">
        <v>36014.199999999997</v>
      </c>
      <c r="DL62">
        <v>44367</v>
      </c>
      <c r="DM62">
        <v>42570.400000000001</v>
      </c>
      <c r="DN62">
        <v>1.4613</v>
      </c>
      <c r="DO62">
        <v>2.0572499999999998</v>
      </c>
      <c r="DP62">
        <v>0.109807</v>
      </c>
      <c r="DQ62">
        <v>0.18933</v>
      </c>
      <c r="DR62">
        <v>25.200800000000001</v>
      </c>
      <c r="DS62">
        <v>24.8932</v>
      </c>
      <c r="DT62">
        <v>57.5</v>
      </c>
      <c r="DU62">
        <v>28.9</v>
      </c>
      <c r="DV62">
        <v>23.306699999999999</v>
      </c>
      <c r="DW62">
        <v>60.752200000000002</v>
      </c>
      <c r="DX62">
        <v>36.2941</v>
      </c>
      <c r="DY62">
        <v>1</v>
      </c>
      <c r="DZ62">
        <v>-8.7616899999999998E-2</v>
      </c>
      <c r="EA62">
        <v>0.45530799999999999</v>
      </c>
      <c r="EB62">
        <v>20.189399999999999</v>
      </c>
      <c r="EC62">
        <v>5.2409499999999998</v>
      </c>
      <c r="ED62">
        <v>12.039899999999999</v>
      </c>
      <c r="EE62">
        <v>5.0167999999999999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</v>
      </c>
      <c r="EL62">
        <v>1.86463</v>
      </c>
      <c r="EM62">
        <v>1.8692</v>
      </c>
      <c r="EN62">
        <v>1.8672299999999999</v>
      </c>
      <c r="EO62">
        <v>1.8633999999999999</v>
      </c>
      <c r="EP62">
        <v>1.8644700000000001</v>
      </c>
      <c r="EQ62">
        <v>1.8702099999999999</v>
      </c>
      <c r="ER62">
        <v>1.8693900000000001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-0.27900000000000003</v>
      </c>
      <c r="FG62">
        <v>0.2797</v>
      </c>
      <c r="FH62">
        <v>0.26269369235785539</v>
      </c>
      <c r="FI62">
        <v>-6.1462078757559423E-4</v>
      </c>
      <c r="FJ62">
        <v>-1.8861989874597051E-7</v>
      </c>
      <c r="FK62">
        <v>1.1980462299894961E-10</v>
      </c>
      <c r="FL62">
        <v>0.27968571428570849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17.3</v>
      </c>
      <c r="FU62">
        <v>17.2</v>
      </c>
      <c r="FV62">
        <v>1.79565</v>
      </c>
      <c r="FW62">
        <v>2.5769000000000002</v>
      </c>
      <c r="FX62">
        <v>1.5490699999999999</v>
      </c>
      <c r="FY62">
        <v>2.3315399999999999</v>
      </c>
      <c r="FZ62">
        <v>1.50146</v>
      </c>
      <c r="GA62">
        <v>2.4182100000000002</v>
      </c>
      <c r="GB62">
        <v>33.580399999999997</v>
      </c>
      <c r="GC62">
        <v>23.991199999999999</v>
      </c>
      <c r="GD62">
        <v>19</v>
      </c>
      <c r="GE62">
        <v>276.73599999999999</v>
      </c>
      <c r="GF62">
        <v>600.78300000000002</v>
      </c>
      <c r="GG62">
        <v>23.5794</v>
      </c>
      <c r="GH62">
        <v>26.306799999999999</v>
      </c>
      <c r="GI62">
        <v>29.9998</v>
      </c>
      <c r="GJ62">
        <v>26.388000000000002</v>
      </c>
      <c r="GK62">
        <v>26.353999999999999</v>
      </c>
      <c r="GL62">
        <v>35.905000000000001</v>
      </c>
      <c r="GM62">
        <v>23.091100000000001</v>
      </c>
      <c r="GN62">
        <v>100</v>
      </c>
      <c r="GO62">
        <v>23.582100000000001</v>
      </c>
      <c r="GP62">
        <v>800</v>
      </c>
      <c r="GQ62">
        <v>19.9239</v>
      </c>
      <c r="GR62">
        <v>99.75</v>
      </c>
      <c r="GS62">
        <v>99.584900000000005</v>
      </c>
    </row>
    <row r="63" spans="1:201" x14ac:dyDescent="0.25">
      <c r="A63">
        <v>47</v>
      </c>
      <c r="B63">
        <v>1690385865.5999999</v>
      </c>
      <c r="C63">
        <v>531</v>
      </c>
      <c r="D63" t="s">
        <v>427</v>
      </c>
      <c r="E63" t="s">
        <v>428</v>
      </c>
      <c r="F63" t="s">
        <v>330</v>
      </c>
      <c r="H63">
        <v>1690385865.5999999</v>
      </c>
      <c r="I63">
        <f t="shared" si="0"/>
        <v>2.3223072586156505E-4</v>
      </c>
      <c r="J63">
        <f t="shared" si="1"/>
        <v>0.23223072586156504</v>
      </c>
      <c r="K63">
        <f t="shared" si="2"/>
        <v>1.2759829853939619</v>
      </c>
      <c r="L63">
        <f t="shared" si="3"/>
        <v>784.60599999999999</v>
      </c>
      <c r="M63">
        <f t="shared" si="4"/>
        <v>617.24644866670565</v>
      </c>
      <c r="N63">
        <f t="shared" si="5"/>
        <v>60.957944720562118</v>
      </c>
      <c r="O63">
        <f t="shared" si="6"/>
        <v>77.486017584601797</v>
      </c>
      <c r="P63">
        <f t="shared" si="7"/>
        <v>1.3796747543621026E-2</v>
      </c>
      <c r="Q63">
        <f t="shared" si="8"/>
        <v>2.1571344152510887</v>
      </c>
      <c r="R63">
        <f t="shared" si="9"/>
        <v>1.3747911484410987E-2</v>
      </c>
      <c r="S63">
        <f t="shared" si="10"/>
        <v>8.5968179275351421E-3</v>
      </c>
      <c r="T63">
        <f t="shared" si="11"/>
        <v>276.11393812199998</v>
      </c>
      <c r="U63">
        <f t="shared" si="12"/>
        <v>28.14682141456419</v>
      </c>
      <c r="V63">
        <f t="shared" si="13"/>
        <v>28.14682141456419</v>
      </c>
      <c r="W63">
        <f t="shared" si="14"/>
        <v>3.8274419405447828</v>
      </c>
      <c r="X63">
        <f t="shared" si="15"/>
        <v>65.243786298116987</v>
      </c>
      <c r="Y63">
        <f t="shared" si="16"/>
        <v>2.2102110131010297</v>
      </c>
      <c r="Z63">
        <f t="shared" si="17"/>
        <v>3.3876191718885864</v>
      </c>
      <c r="AA63">
        <f t="shared" si="18"/>
        <v>1.6172309274437531</v>
      </c>
      <c r="AB63">
        <f t="shared" si="19"/>
        <v>-10.241375010495018</v>
      </c>
      <c r="AC63">
        <f t="shared" si="20"/>
        <v>-241.89698605359817</v>
      </c>
      <c r="AD63">
        <f t="shared" si="21"/>
        <v>-24.226865463948503</v>
      </c>
      <c r="AE63">
        <f t="shared" si="22"/>
        <v>-0.25128840604170932</v>
      </c>
      <c r="AF63">
        <v>0</v>
      </c>
      <c r="AG63">
        <v>0</v>
      </c>
      <c r="AH63">
        <f t="shared" si="23"/>
        <v>1</v>
      </c>
      <c r="AI63">
        <f t="shared" si="24"/>
        <v>0</v>
      </c>
      <c r="AJ63">
        <f t="shared" si="25"/>
        <v>52298.916482978602</v>
      </c>
      <c r="AK63">
        <f t="shared" si="26"/>
        <v>1800</v>
      </c>
      <c r="AL63">
        <f t="shared" si="27"/>
        <v>1499.1122231999998</v>
      </c>
      <c r="AM63">
        <f t="shared" si="28"/>
        <v>0.83284012399999985</v>
      </c>
      <c r="AN63">
        <f t="shared" si="29"/>
        <v>0.15339663229</v>
      </c>
      <c r="AO63">
        <v>31.8</v>
      </c>
      <c r="AP63">
        <v>0.5</v>
      </c>
      <c r="AQ63" t="s">
        <v>331</v>
      </c>
      <c r="AR63">
        <v>2</v>
      </c>
      <c r="AS63">
        <v>1690385865.5999999</v>
      </c>
      <c r="AT63">
        <v>784.60599999999999</v>
      </c>
      <c r="AU63">
        <v>800.05799999999999</v>
      </c>
      <c r="AV63">
        <v>22.380099999999999</v>
      </c>
      <c r="AW63">
        <v>19.974299999999999</v>
      </c>
      <c r="AX63">
        <v>784.88400000000001</v>
      </c>
      <c r="AY63">
        <v>22.1004</v>
      </c>
      <c r="AZ63">
        <v>300.09399999999999</v>
      </c>
      <c r="BA63">
        <v>98.657899999999998</v>
      </c>
      <c r="BB63">
        <v>9.9970299999999998E-2</v>
      </c>
      <c r="BC63">
        <v>26.066800000000001</v>
      </c>
      <c r="BD63">
        <v>26.961099999999998</v>
      </c>
      <c r="BE63">
        <v>27.9757</v>
      </c>
      <c r="BF63">
        <v>0</v>
      </c>
      <c r="BG63">
        <v>0</v>
      </c>
      <c r="BH63">
        <v>9993.75</v>
      </c>
      <c r="BI63">
        <v>1070.68</v>
      </c>
      <c r="BJ63">
        <v>1.4577199999999999</v>
      </c>
      <c r="BK63">
        <v>-15.452400000000001</v>
      </c>
      <c r="BL63">
        <v>802.56799999999998</v>
      </c>
      <c r="BM63">
        <v>816.36500000000001</v>
      </c>
      <c r="BN63">
        <v>2.4058199999999998</v>
      </c>
      <c r="BO63">
        <v>800.05799999999999</v>
      </c>
      <c r="BP63">
        <v>19.974299999999999</v>
      </c>
      <c r="BQ63">
        <v>2.2079800000000001</v>
      </c>
      <c r="BR63">
        <v>1.97062</v>
      </c>
      <c r="BS63">
        <v>19.020299999999999</v>
      </c>
      <c r="BT63">
        <v>17.2102</v>
      </c>
      <c r="BU63">
        <v>1800</v>
      </c>
      <c r="BV63">
        <v>0.91001699999999996</v>
      </c>
      <c r="BW63">
        <v>3.40028E-2</v>
      </c>
      <c r="BX63">
        <v>2.1990699999999998E-2</v>
      </c>
      <c r="BY63">
        <v>3.39893E-2</v>
      </c>
      <c r="BZ63">
        <v>25</v>
      </c>
      <c r="CA63">
        <v>33528.5</v>
      </c>
      <c r="CB63">
        <v>1690384821</v>
      </c>
      <c r="CC63" t="s">
        <v>332</v>
      </c>
      <c r="CD63">
        <v>1690384820</v>
      </c>
      <c r="CE63">
        <v>1690384821</v>
      </c>
      <c r="CF63">
        <v>5</v>
      </c>
      <c r="CG63">
        <v>-2.5000000000000001E-2</v>
      </c>
      <c r="CH63">
        <v>0.104</v>
      </c>
      <c r="CI63">
        <v>-0.28799999999999998</v>
      </c>
      <c r="CJ63">
        <v>0.28000000000000003</v>
      </c>
      <c r="CK63">
        <v>800</v>
      </c>
      <c r="CL63">
        <v>24</v>
      </c>
      <c r="CM63">
        <v>0.08</v>
      </c>
      <c r="CN63">
        <v>0.11</v>
      </c>
      <c r="CO63">
        <v>-14.464192499999999</v>
      </c>
      <c r="CP63">
        <v>-5.650069418386467</v>
      </c>
      <c r="CQ63">
        <v>0.5442623872671617</v>
      </c>
      <c r="CR63">
        <v>-1</v>
      </c>
      <c r="CS63">
        <v>2.42474525</v>
      </c>
      <c r="CT63">
        <v>5.3765515947462983E-2</v>
      </c>
      <c r="CU63">
        <v>1.0596475354451599E-2</v>
      </c>
      <c r="CV63">
        <v>-1</v>
      </c>
      <c r="CW63">
        <v>0</v>
      </c>
      <c r="CX63">
        <v>0</v>
      </c>
      <c r="CY63" t="s">
        <v>333</v>
      </c>
      <c r="CZ63">
        <v>2.36415</v>
      </c>
      <c r="DA63">
        <v>2.7137500000000001</v>
      </c>
      <c r="DB63">
        <v>0.14425299999999999</v>
      </c>
      <c r="DC63">
        <v>0.14576500000000001</v>
      </c>
      <c r="DD63">
        <v>0.107622</v>
      </c>
      <c r="DE63">
        <v>9.8189200000000004E-2</v>
      </c>
      <c r="DF63">
        <v>31250</v>
      </c>
      <c r="DG63">
        <v>27534.1</v>
      </c>
      <c r="DH63">
        <v>31175.200000000001</v>
      </c>
      <c r="DI63">
        <v>28085.8</v>
      </c>
      <c r="DJ63">
        <v>37773.699999999997</v>
      </c>
      <c r="DK63">
        <v>36015.199999999997</v>
      </c>
      <c r="DL63">
        <v>44366.6</v>
      </c>
      <c r="DM63">
        <v>42570.3</v>
      </c>
      <c r="DN63">
        <v>1.4610799999999999</v>
      </c>
      <c r="DO63">
        <v>2.0576500000000002</v>
      </c>
      <c r="DP63">
        <v>0.10777299999999999</v>
      </c>
      <c r="DQ63">
        <v>0.18843599999999999</v>
      </c>
      <c r="DR63">
        <v>25.195900000000002</v>
      </c>
      <c r="DS63">
        <v>24.891100000000002</v>
      </c>
      <c r="DT63">
        <v>57.5</v>
      </c>
      <c r="DU63">
        <v>28.9</v>
      </c>
      <c r="DV63">
        <v>23.307099999999998</v>
      </c>
      <c r="DW63">
        <v>60.862200000000001</v>
      </c>
      <c r="DX63">
        <v>36.850999999999999</v>
      </c>
      <c r="DY63">
        <v>1</v>
      </c>
      <c r="DZ63">
        <v>-8.5043199999999999E-2</v>
      </c>
      <c r="EA63">
        <v>1.81979</v>
      </c>
      <c r="EB63">
        <v>20.176500000000001</v>
      </c>
      <c r="EC63">
        <v>5.24125</v>
      </c>
      <c r="ED63">
        <v>12.039899999999999</v>
      </c>
      <c r="EE63">
        <v>5.0168499999999998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1.86894</v>
      </c>
      <c r="EL63">
        <v>1.8646199999999999</v>
      </c>
      <c r="EM63">
        <v>1.8692</v>
      </c>
      <c r="EN63">
        <v>1.8672299999999999</v>
      </c>
      <c r="EO63">
        <v>1.86338</v>
      </c>
      <c r="EP63">
        <v>1.8644700000000001</v>
      </c>
      <c r="EQ63">
        <v>1.87019</v>
      </c>
      <c r="ER63">
        <v>1.8694200000000001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-0.27800000000000002</v>
      </c>
      <c r="FG63">
        <v>0.2797</v>
      </c>
      <c r="FH63">
        <v>0.26269369235785539</v>
      </c>
      <c r="FI63">
        <v>-6.1462078757559423E-4</v>
      </c>
      <c r="FJ63">
        <v>-1.8861989874597051E-7</v>
      </c>
      <c r="FK63">
        <v>1.1980462299894961E-10</v>
      </c>
      <c r="FL63">
        <v>0.27968571428570849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17.399999999999999</v>
      </c>
      <c r="FU63">
        <v>17.399999999999999</v>
      </c>
      <c r="FV63">
        <v>1.79565</v>
      </c>
      <c r="FW63">
        <v>2.5756800000000002</v>
      </c>
      <c r="FX63">
        <v>1.5490699999999999</v>
      </c>
      <c r="FY63">
        <v>2.3315399999999999</v>
      </c>
      <c r="FZ63">
        <v>1.50146</v>
      </c>
      <c r="GA63">
        <v>2.36694</v>
      </c>
      <c r="GB63">
        <v>33.580399999999997</v>
      </c>
      <c r="GC63">
        <v>23.982399999999998</v>
      </c>
      <c r="GD63">
        <v>19</v>
      </c>
      <c r="GE63">
        <v>276.62700000000001</v>
      </c>
      <c r="GF63">
        <v>601.101</v>
      </c>
      <c r="GG63">
        <v>23.027999999999999</v>
      </c>
      <c r="GH63">
        <v>26.299700000000001</v>
      </c>
      <c r="GI63">
        <v>30.000399999999999</v>
      </c>
      <c r="GJ63">
        <v>26.384699999999999</v>
      </c>
      <c r="GK63">
        <v>26.3522</v>
      </c>
      <c r="GL63">
        <v>35.902900000000002</v>
      </c>
      <c r="GM63">
        <v>23.091100000000001</v>
      </c>
      <c r="GN63">
        <v>100</v>
      </c>
      <c r="GO63">
        <v>23.029900000000001</v>
      </c>
      <c r="GP63">
        <v>800</v>
      </c>
      <c r="GQ63">
        <v>19.939299999999999</v>
      </c>
      <c r="GR63">
        <v>99.749099999999999</v>
      </c>
      <c r="GS63">
        <v>99.584900000000005</v>
      </c>
    </row>
    <row r="64" spans="1:201" x14ac:dyDescent="0.25">
      <c r="A64">
        <v>48</v>
      </c>
      <c r="B64">
        <v>1690385875.5999999</v>
      </c>
      <c r="C64">
        <v>541</v>
      </c>
      <c r="D64" t="s">
        <v>429</v>
      </c>
      <c r="E64" t="s">
        <v>430</v>
      </c>
      <c r="F64" t="s">
        <v>330</v>
      </c>
      <c r="H64">
        <v>1690385875.5999999</v>
      </c>
      <c r="I64">
        <f t="shared" si="0"/>
        <v>2.2618833536136153E-4</v>
      </c>
      <c r="J64">
        <f t="shared" si="1"/>
        <v>0.22618833536136154</v>
      </c>
      <c r="K64">
        <f t="shared" si="2"/>
        <v>1.3741688306491484</v>
      </c>
      <c r="L64">
        <f t="shared" si="3"/>
        <v>783.59799999999996</v>
      </c>
      <c r="M64">
        <f t="shared" si="4"/>
        <v>601.14356535810487</v>
      </c>
      <c r="N64">
        <f t="shared" si="5"/>
        <v>59.365339468240634</v>
      </c>
      <c r="O64">
        <f t="shared" si="6"/>
        <v>77.383447078773997</v>
      </c>
      <c r="P64">
        <f t="shared" si="7"/>
        <v>1.3463678360134837E-2</v>
      </c>
      <c r="Q64">
        <f t="shared" si="8"/>
        <v>2.1578355077535121</v>
      </c>
      <c r="R64">
        <f t="shared" si="9"/>
        <v>1.3417182520109424E-2</v>
      </c>
      <c r="S64">
        <f t="shared" si="10"/>
        <v>8.389903092465973E-3</v>
      </c>
      <c r="T64">
        <f t="shared" si="11"/>
        <v>276.11537914799999</v>
      </c>
      <c r="U64">
        <f t="shared" si="12"/>
        <v>28.10178958058626</v>
      </c>
      <c r="V64">
        <f t="shared" si="13"/>
        <v>28.10178958058626</v>
      </c>
      <c r="W64">
        <f t="shared" si="14"/>
        <v>3.8174165687599406</v>
      </c>
      <c r="X64">
        <f t="shared" si="15"/>
        <v>65.221089949403549</v>
      </c>
      <c r="Y64">
        <f t="shared" si="16"/>
        <v>2.2033600364507997</v>
      </c>
      <c r="Z64">
        <f t="shared" si="17"/>
        <v>3.3782937975432432</v>
      </c>
      <c r="AA64">
        <f t="shared" si="18"/>
        <v>1.6140565323091409</v>
      </c>
      <c r="AB64">
        <f t="shared" si="19"/>
        <v>-9.9749055894360446</v>
      </c>
      <c r="AC64">
        <f t="shared" si="20"/>
        <v>-242.15803506013268</v>
      </c>
      <c r="AD64">
        <f t="shared" si="21"/>
        <v>-24.234028586750274</v>
      </c>
      <c r="AE64">
        <f t="shared" si="22"/>
        <v>-0.25159008831900564</v>
      </c>
      <c r="AF64">
        <v>0</v>
      </c>
      <c r="AG64">
        <v>0</v>
      </c>
      <c r="AH64">
        <f t="shared" si="23"/>
        <v>1</v>
      </c>
      <c r="AI64">
        <f t="shared" si="24"/>
        <v>0</v>
      </c>
      <c r="AJ64">
        <f t="shared" si="25"/>
        <v>52336.375281145542</v>
      </c>
      <c r="AK64">
        <f t="shared" si="26"/>
        <v>1800</v>
      </c>
      <c r="AL64">
        <f t="shared" si="27"/>
        <v>1499.1117497999999</v>
      </c>
      <c r="AM64">
        <f t="shared" si="28"/>
        <v>0.83283986099999996</v>
      </c>
      <c r="AN64">
        <f t="shared" si="29"/>
        <v>0.15339743285999999</v>
      </c>
      <c r="AO64">
        <v>31.8</v>
      </c>
      <c r="AP64">
        <v>0.5</v>
      </c>
      <c r="AQ64" t="s">
        <v>331</v>
      </c>
      <c r="AR64">
        <v>2</v>
      </c>
      <c r="AS64">
        <v>1690385875.5999999</v>
      </c>
      <c r="AT64">
        <v>783.59799999999996</v>
      </c>
      <c r="AU64">
        <v>800.03099999999995</v>
      </c>
      <c r="AV64">
        <v>22.311599999999999</v>
      </c>
      <c r="AW64">
        <v>19.969200000000001</v>
      </c>
      <c r="AX64">
        <v>783.875</v>
      </c>
      <c r="AY64">
        <v>22.032</v>
      </c>
      <c r="AZ64">
        <v>300.21800000000002</v>
      </c>
      <c r="BA64">
        <v>98.653999999999996</v>
      </c>
      <c r="BB64">
        <v>0.100013</v>
      </c>
      <c r="BC64">
        <v>26.020199999999999</v>
      </c>
      <c r="BD64">
        <v>26.914899999999999</v>
      </c>
      <c r="BE64">
        <v>27.9437</v>
      </c>
      <c r="BF64">
        <v>0</v>
      </c>
      <c r="BG64">
        <v>0</v>
      </c>
      <c r="BH64">
        <v>10000</v>
      </c>
      <c r="BI64">
        <v>1070.58</v>
      </c>
      <c r="BJ64">
        <v>1.4577199999999999</v>
      </c>
      <c r="BK64">
        <v>-16.433700000000002</v>
      </c>
      <c r="BL64">
        <v>801.48</v>
      </c>
      <c r="BM64">
        <v>816.33299999999997</v>
      </c>
      <c r="BN64">
        <v>2.3424</v>
      </c>
      <c r="BO64">
        <v>800.03099999999995</v>
      </c>
      <c r="BP64">
        <v>19.969200000000001</v>
      </c>
      <c r="BQ64">
        <v>2.20113</v>
      </c>
      <c r="BR64">
        <v>1.97004</v>
      </c>
      <c r="BS64">
        <v>18.970600000000001</v>
      </c>
      <c r="BT64">
        <v>17.2056</v>
      </c>
      <c r="BU64">
        <v>1800</v>
      </c>
      <c r="BV64">
        <v>0.91000300000000001</v>
      </c>
      <c r="BW64">
        <v>3.4008900000000002E-2</v>
      </c>
      <c r="BX64">
        <v>2.20003E-2</v>
      </c>
      <c r="BY64">
        <v>3.3987799999999999E-2</v>
      </c>
      <c r="BZ64">
        <v>25</v>
      </c>
      <c r="CA64">
        <v>33528.199999999997</v>
      </c>
      <c r="CB64">
        <v>1690384821</v>
      </c>
      <c r="CC64" t="s">
        <v>332</v>
      </c>
      <c r="CD64">
        <v>1690384820</v>
      </c>
      <c r="CE64">
        <v>1690384821</v>
      </c>
      <c r="CF64">
        <v>5</v>
      </c>
      <c r="CG64">
        <v>-2.5000000000000001E-2</v>
      </c>
      <c r="CH64">
        <v>0.104</v>
      </c>
      <c r="CI64">
        <v>-0.28799999999999998</v>
      </c>
      <c r="CJ64">
        <v>0.28000000000000003</v>
      </c>
      <c r="CK64">
        <v>800</v>
      </c>
      <c r="CL64">
        <v>24</v>
      </c>
      <c r="CM64">
        <v>0.08</v>
      </c>
      <c r="CN64">
        <v>0.11</v>
      </c>
      <c r="CO64">
        <v>-15.4114275</v>
      </c>
      <c r="CP64">
        <v>-5.7408731707316516</v>
      </c>
      <c r="CQ64">
        <v>0.55291090873100868</v>
      </c>
      <c r="CR64">
        <v>-1</v>
      </c>
      <c r="CS64">
        <v>2.39772125</v>
      </c>
      <c r="CT64">
        <v>-0.34250848030019321</v>
      </c>
      <c r="CU64">
        <v>3.4458704429178692E-2</v>
      </c>
      <c r="CV64">
        <v>-1</v>
      </c>
      <c r="CW64">
        <v>0</v>
      </c>
      <c r="CX64">
        <v>0</v>
      </c>
      <c r="CY64" t="s">
        <v>333</v>
      </c>
      <c r="CZ64">
        <v>2.36456</v>
      </c>
      <c r="DA64">
        <v>2.7138</v>
      </c>
      <c r="DB64">
        <v>0.144122</v>
      </c>
      <c r="DC64">
        <v>0.145756</v>
      </c>
      <c r="DD64">
        <v>0.10738300000000001</v>
      </c>
      <c r="DE64">
        <v>9.81678E-2</v>
      </c>
      <c r="DF64">
        <v>31254.400000000001</v>
      </c>
      <c r="DG64">
        <v>27534.9</v>
      </c>
      <c r="DH64">
        <v>31174.9</v>
      </c>
      <c r="DI64">
        <v>28086.3</v>
      </c>
      <c r="DJ64">
        <v>37783.599999999999</v>
      </c>
      <c r="DK64">
        <v>36016.699999999997</v>
      </c>
      <c r="DL64">
        <v>44366.400000000001</v>
      </c>
      <c r="DM64">
        <v>42571.1</v>
      </c>
      <c r="DN64">
        <v>1.4612000000000001</v>
      </c>
      <c r="DO64">
        <v>2.0576500000000002</v>
      </c>
      <c r="DP64">
        <v>0.105239</v>
      </c>
      <c r="DQ64">
        <v>0.186667</v>
      </c>
      <c r="DR64">
        <v>25.191099999999999</v>
      </c>
      <c r="DS64">
        <v>24.888000000000002</v>
      </c>
      <c r="DT64">
        <v>57.4</v>
      </c>
      <c r="DU64">
        <v>28.9</v>
      </c>
      <c r="DV64">
        <v>23.265000000000001</v>
      </c>
      <c r="DW64">
        <v>60.7622</v>
      </c>
      <c r="DX64">
        <v>36.3782</v>
      </c>
      <c r="DY64">
        <v>1</v>
      </c>
      <c r="DZ64">
        <v>-8.7736300000000003E-2</v>
      </c>
      <c r="EA64">
        <v>0.79724099999999998</v>
      </c>
      <c r="EB64">
        <v>20.187200000000001</v>
      </c>
      <c r="EC64">
        <v>5.24125</v>
      </c>
      <c r="ED64">
        <v>12.039899999999999</v>
      </c>
      <c r="EE64">
        <v>5.0173500000000004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1.86894</v>
      </c>
      <c r="EL64">
        <v>1.8646199999999999</v>
      </c>
      <c r="EM64">
        <v>1.8692</v>
      </c>
      <c r="EN64">
        <v>1.8672599999999999</v>
      </c>
      <c r="EO64">
        <v>1.8633900000000001</v>
      </c>
      <c r="EP64">
        <v>1.8644700000000001</v>
      </c>
      <c r="EQ64">
        <v>1.87022</v>
      </c>
      <c r="ER64">
        <v>1.86941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-0.27700000000000002</v>
      </c>
      <c r="FG64">
        <v>0.27960000000000002</v>
      </c>
      <c r="FH64">
        <v>0.26269369235785539</v>
      </c>
      <c r="FI64">
        <v>-6.1462078757559423E-4</v>
      </c>
      <c r="FJ64">
        <v>-1.8861989874597051E-7</v>
      </c>
      <c r="FK64">
        <v>1.1980462299894961E-10</v>
      </c>
      <c r="FL64">
        <v>0.27968571428570849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17.600000000000001</v>
      </c>
      <c r="FU64">
        <v>17.600000000000001</v>
      </c>
      <c r="FV64">
        <v>1.79565</v>
      </c>
      <c r="FW64">
        <v>2.5854499999999998</v>
      </c>
      <c r="FX64">
        <v>1.5490699999999999</v>
      </c>
      <c r="FY64">
        <v>2.3315399999999999</v>
      </c>
      <c r="FZ64">
        <v>1.50146</v>
      </c>
      <c r="GA64">
        <v>2.2863799999999999</v>
      </c>
      <c r="GB64">
        <v>33.580399999999997</v>
      </c>
      <c r="GC64">
        <v>23.973700000000001</v>
      </c>
      <c r="GD64">
        <v>19</v>
      </c>
      <c r="GE64">
        <v>276.66500000000002</v>
      </c>
      <c r="GF64">
        <v>601.101</v>
      </c>
      <c r="GG64">
        <v>22.958400000000001</v>
      </c>
      <c r="GH64">
        <v>26.292999999999999</v>
      </c>
      <c r="GI64">
        <v>29.999099999999999</v>
      </c>
      <c r="GJ64">
        <v>26.381399999999999</v>
      </c>
      <c r="GK64">
        <v>26.3522</v>
      </c>
      <c r="GL64">
        <v>35.9026</v>
      </c>
      <c r="GM64">
        <v>23.091100000000001</v>
      </c>
      <c r="GN64">
        <v>100</v>
      </c>
      <c r="GO64">
        <v>23.0564</v>
      </c>
      <c r="GP64">
        <v>800</v>
      </c>
      <c r="GQ64">
        <v>19.9694</v>
      </c>
      <c r="GR64">
        <v>99.7483</v>
      </c>
      <c r="GS64">
        <v>99.586699999999993</v>
      </c>
    </row>
    <row r="65" spans="1:201" x14ac:dyDescent="0.25">
      <c r="A65">
        <v>49</v>
      </c>
      <c r="B65">
        <v>1690385885.5999999</v>
      </c>
      <c r="C65">
        <v>551</v>
      </c>
      <c r="D65" t="s">
        <v>431</v>
      </c>
      <c r="E65" t="s">
        <v>432</v>
      </c>
      <c r="F65" t="s">
        <v>330</v>
      </c>
      <c r="H65">
        <v>1690385885.5999999</v>
      </c>
      <c r="I65">
        <f t="shared" si="0"/>
        <v>2.2979953535168479E-4</v>
      </c>
      <c r="J65">
        <f t="shared" si="1"/>
        <v>0.22979953535168479</v>
      </c>
      <c r="K65">
        <f t="shared" si="2"/>
        <v>1.475872316866121</v>
      </c>
      <c r="L65">
        <f t="shared" si="3"/>
        <v>782.42600000000004</v>
      </c>
      <c r="M65">
        <f t="shared" si="4"/>
        <v>591.8187017845737</v>
      </c>
      <c r="N65">
        <f t="shared" si="5"/>
        <v>58.445220183607191</v>
      </c>
      <c r="O65">
        <f t="shared" si="6"/>
        <v>77.268696831457603</v>
      </c>
      <c r="P65">
        <f t="shared" si="7"/>
        <v>1.3755838884001934E-2</v>
      </c>
      <c r="Q65">
        <f t="shared" si="8"/>
        <v>2.1573268372803023</v>
      </c>
      <c r="R65">
        <f t="shared" si="9"/>
        <v>1.3707295766083295E-2</v>
      </c>
      <c r="S65">
        <f t="shared" si="10"/>
        <v>8.5714069142537232E-3</v>
      </c>
      <c r="T65">
        <f t="shared" si="11"/>
        <v>276.11644987799997</v>
      </c>
      <c r="U65">
        <f t="shared" si="12"/>
        <v>28.075147407331745</v>
      </c>
      <c r="V65">
        <f t="shared" si="13"/>
        <v>28.075147407331745</v>
      </c>
      <c r="W65">
        <f t="shared" si="14"/>
        <v>3.8114960531208824</v>
      </c>
      <c r="X65">
        <f t="shared" si="15"/>
        <v>65.4092005375513</v>
      </c>
      <c r="Y65">
        <f t="shared" si="16"/>
        <v>2.20633115897264</v>
      </c>
      <c r="Z65">
        <f t="shared" si="17"/>
        <v>3.3731205103263564</v>
      </c>
      <c r="AA65">
        <f t="shared" si="18"/>
        <v>1.6051648941482424</v>
      </c>
      <c r="AB65">
        <f t="shared" si="19"/>
        <v>-10.134159509009299</v>
      </c>
      <c r="AC65">
        <f t="shared" si="20"/>
        <v>-242.01463165044453</v>
      </c>
      <c r="AD65">
        <f t="shared" si="21"/>
        <v>-24.219025569033214</v>
      </c>
      <c r="AE65">
        <f t="shared" si="22"/>
        <v>-0.25136685048707363</v>
      </c>
      <c r="AF65">
        <v>0</v>
      </c>
      <c r="AG65">
        <v>0</v>
      </c>
      <c r="AH65">
        <f t="shared" si="23"/>
        <v>1</v>
      </c>
      <c r="AI65">
        <f t="shared" si="24"/>
        <v>0</v>
      </c>
      <c r="AJ65">
        <f t="shared" si="25"/>
        <v>52319.608574761456</v>
      </c>
      <c r="AK65">
        <f t="shared" si="26"/>
        <v>1800</v>
      </c>
      <c r="AL65">
        <f t="shared" si="27"/>
        <v>1499.1126767999999</v>
      </c>
      <c r="AM65">
        <f t="shared" si="28"/>
        <v>0.83284037599999994</v>
      </c>
      <c r="AN65">
        <f t="shared" si="29"/>
        <v>0.15339802771</v>
      </c>
      <c r="AO65">
        <v>31.8</v>
      </c>
      <c r="AP65">
        <v>0.5</v>
      </c>
      <c r="AQ65" t="s">
        <v>331</v>
      </c>
      <c r="AR65">
        <v>2</v>
      </c>
      <c r="AS65">
        <v>1690385885.5999999</v>
      </c>
      <c r="AT65">
        <v>782.42600000000004</v>
      </c>
      <c r="AU65">
        <v>799.96100000000001</v>
      </c>
      <c r="AV65">
        <v>22.3414</v>
      </c>
      <c r="AW65">
        <v>19.962</v>
      </c>
      <c r="AX65">
        <v>782.70299999999997</v>
      </c>
      <c r="AY65">
        <v>22.061699999999998</v>
      </c>
      <c r="AZ65">
        <v>300.25900000000001</v>
      </c>
      <c r="BA65">
        <v>98.655299999999997</v>
      </c>
      <c r="BB65">
        <v>9.99776E-2</v>
      </c>
      <c r="BC65">
        <v>25.994299999999999</v>
      </c>
      <c r="BD65">
        <v>26.883400000000002</v>
      </c>
      <c r="BE65">
        <v>27.892800000000001</v>
      </c>
      <c r="BF65">
        <v>0</v>
      </c>
      <c r="BG65">
        <v>0</v>
      </c>
      <c r="BH65">
        <v>9995.6200000000008</v>
      </c>
      <c r="BI65">
        <v>1070.47</v>
      </c>
      <c r="BJ65">
        <v>1.4577199999999999</v>
      </c>
      <c r="BK65">
        <v>-17.534400000000002</v>
      </c>
      <c r="BL65">
        <v>800.30600000000004</v>
      </c>
      <c r="BM65">
        <v>816.255</v>
      </c>
      <c r="BN65">
        <v>2.3793899999999999</v>
      </c>
      <c r="BO65">
        <v>799.96100000000001</v>
      </c>
      <c r="BP65">
        <v>19.962</v>
      </c>
      <c r="BQ65">
        <v>2.2040999999999999</v>
      </c>
      <c r="BR65">
        <v>1.96936</v>
      </c>
      <c r="BS65">
        <v>18.992100000000001</v>
      </c>
      <c r="BT65">
        <v>17.200099999999999</v>
      </c>
      <c r="BU65">
        <v>1800</v>
      </c>
      <c r="BV65">
        <v>0.90999799999999997</v>
      </c>
      <c r="BW65">
        <v>3.4006700000000001E-2</v>
      </c>
      <c r="BX65">
        <v>2.2009299999999999E-2</v>
      </c>
      <c r="BY65">
        <v>3.3985700000000001E-2</v>
      </c>
      <c r="BZ65">
        <v>25</v>
      </c>
      <c r="CA65">
        <v>33528.199999999997</v>
      </c>
      <c r="CB65">
        <v>1690384821</v>
      </c>
      <c r="CC65" t="s">
        <v>332</v>
      </c>
      <c r="CD65">
        <v>1690384820</v>
      </c>
      <c r="CE65">
        <v>1690384821</v>
      </c>
      <c r="CF65">
        <v>5</v>
      </c>
      <c r="CG65">
        <v>-2.5000000000000001E-2</v>
      </c>
      <c r="CH65">
        <v>0.104</v>
      </c>
      <c r="CI65">
        <v>-0.28799999999999998</v>
      </c>
      <c r="CJ65">
        <v>0.28000000000000003</v>
      </c>
      <c r="CK65">
        <v>800</v>
      </c>
      <c r="CL65">
        <v>24</v>
      </c>
      <c r="CM65">
        <v>0.08</v>
      </c>
      <c r="CN65">
        <v>0.11</v>
      </c>
      <c r="CO65">
        <v>-16.41499</v>
      </c>
      <c r="CP65">
        <v>-6.2919557223264473</v>
      </c>
      <c r="CQ65">
        <v>0.60611885253636533</v>
      </c>
      <c r="CR65">
        <v>-1</v>
      </c>
      <c r="CS65">
        <v>2.3608122499999999</v>
      </c>
      <c r="CT65">
        <v>-7.5025553470923295E-2</v>
      </c>
      <c r="CU65">
        <v>1.7333435823214571E-2</v>
      </c>
      <c r="CV65">
        <v>-1</v>
      </c>
      <c r="CW65">
        <v>0</v>
      </c>
      <c r="CX65">
        <v>0</v>
      </c>
      <c r="CY65" t="s">
        <v>333</v>
      </c>
      <c r="CZ65">
        <v>2.3647300000000002</v>
      </c>
      <c r="DA65">
        <v>2.7137699999999998</v>
      </c>
      <c r="DB65">
        <v>0.143981</v>
      </c>
      <c r="DC65">
        <v>0.14574999999999999</v>
      </c>
      <c r="DD65">
        <v>0.107488</v>
      </c>
      <c r="DE65">
        <v>9.8144300000000004E-2</v>
      </c>
      <c r="DF65">
        <v>31260.7</v>
      </c>
      <c r="DG65">
        <v>27535.8</v>
      </c>
      <c r="DH65">
        <v>31175.9</v>
      </c>
      <c r="DI65">
        <v>28087</v>
      </c>
      <c r="DJ65">
        <v>37780.6</v>
      </c>
      <c r="DK65">
        <v>36018.699999999997</v>
      </c>
      <c r="DL65">
        <v>44368</v>
      </c>
      <c r="DM65">
        <v>42572.3</v>
      </c>
      <c r="DN65">
        <v>1.4614499999999999</v>
      </c>
      <c r="DO65">
        <v>2.0576500000000002</v>
      </c>
      <c r="DP65">
        <v>0.103798</v>
      </c>
      <c r="DQ65">
        <v>0.184059</v>
      </c>
      <c r="DR65">
        <v>25.183199999999999</v>
      </c>
      <c r="DS65">
        <v>24.8797</v>
      </c>
      <c r="DT65">
        <v>57.4</v>
      </c>
      <c r="DU65">
        <v>28.9</v>
      </c>
      <c r="DV65">
        <v>23.268899999999999</v>
      </c>
      <c r="DW65">
        <v>60.842199999999998</v>
      </c>
      <c r="DX65">
        <v>35.661099999999998</v>
      </c>
      <c r="DY65">
        <v>1</v>
      </c>
      <c r="DZ65">
        <v>-8.8876999999999998E-2</v>
      </c>
      <c r="EA65">
        <v>0.39455899999999999</v>
      </c>
      <c r="EB65">
        <v>20.189800000000002</v>
      </c>
      <c r="EC65">
        <v>5.24125</v>
      </c>
      <c r="ED65">
        <v>12.039899999999999</v>
      </c>
      <c r="EE65">
        <v>5.0174500000000002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1.8689100000000001</v>
      </c>
      <c r="EL65">
        <v>1.86463</v>
      </c>
      <c r="EM65">
        <v>1.86921</v>
      </c>
      <c r="EN65">
        <v>1.8672299999999999</v>
      </c>
      <c r="EO65">
        <v>1.8633900000000001</v>
      </c>
      <c r="EP65">
        <v>1.8644700000000001</v>
      </c>
      <c r="EQ65">
        <v>1.87018</v>
      </c>
      <c r="ER65">
        <v>1.8693900000000001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-0.27700000000000002</v>
      </c>
      <c r="FG65">
        <v>0.2797</v>
      </c>
      <c r="FH65">
        <v>0.26269369235785539</v>
      </c>
      <c r="FI65">
        <v>-6.1462078757559423E-4</v>
      </c>
      <c r="FJ65">
        <v>-1.8861989874597051E-7</v>
      </c>
      <c r="FK65">
        <v>1.1980462299894961E-10</v>
      </c>
      <c r="FL65">
        <v>0.27968571428570849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17.8</v>
      </c>
      <c r="FU65">
        <v>17.7</v>
      </c>
      <c r="FV65">
        <v>1.79565</v>
      </c>
      <c r="FW65">
        <v>2.5830099999999998</v>
      </c>
      <c r="FX65">
        <v>1.5490699999999999</v>
      </c>
      <c r="FY65">
        <v>2.3315399999999999</v>
      </c>
      <c r="FZ65">
        <v>1.50146</v>
      </c>
      <c r="GA65">
        <v>2.33521</v>
      </c>
      <c r="GB65">
        <v>33.580399999999997</v>
      </c>
      <c r="GC65">
        <v>23.982399999999998</v>
      </c>
      <c r="GD65">
        <v>19</v>
      </c>
      <c r="GE65">
        <v>276.76</v>
      </c>
      <c r="GF65">
        <v>601.07600000000002</v>
      </c>
      <c r="GG65">
        <v>23.122499999999999</v>
      </c>
      <c r="GH65">
        <v>26.285799999999998</v>
      </c>
      <c r="GI65">
        <v>29.999500000000001</v>
      </c>
      <c r="GJ65">
        <v>26.379200000000001</v>
      </c>
      <c r="GK65">
        <v>26.350100000000001</v>
      </c>
      <c r="GL65">
        <v>35.904699999999998</v>
      </c>
      <c r="GM65">
        <v>23.091100000000001</v>
      </c>
      <c r="GN65">
        <v>100</v>
      </c>
      <c r="GO65">
        <v>23.174600000000002</v>
      </c>
      <c r="GP65">
        <v>800</v>
      </c>
      <c r="GQ65">
        <v>19.936800000000002</v>
      </c>
      <c r="GR65">
        <v>99.751900000000006</v>
      </c>
      <c r="GS65">
        <v>99.589500000000001</v>
      </c>
    </row>
    <row r="66" spans="1:201" x14ac:dyDescent="0.25">
      <c r="A66">
        <v>50</v>
      </c>
      <c r="B66">
        <v>1690385895.5999999</v>
      </c>
      <c r="C66">
        <v>561</v>
      </c>
      <c r="D66" t="s">
        <v>433</v>
      </c>
      <c r="E66" t="s">
        <v>434</v>
      </c>
      <c r="F66" t="s">
        <v>330</v>
      </c>
      <c r="H66">
        <v>1690385895.5999999</v>
      </c>
      <c r="I66">
        <f t="shared" si="0"/>
        <v>2.3595187585810255E-4</v>
      </c>
      <c r="J66">
        <f t="shared" si="1"/>
        <v>0.23595187585810254</v>
      </c>
      <c r="K66">
        <f t="shared" si="2"/>
        <v>1.5922248393178395</v>
      </c>
      <c r="L66">
        <f t="shared" si="3"/>
        <v>781.24199999999996</v>
      </c>
      <c r="M66">
        <f t="shared" si="4"/>
        <v>582.43214766881181</v>
      </c>
      <c r="N66">
        <f t="shared" si="5"/>
        <v>57.516031922416531</v>
      </c>
      <c r="O66">
        <f t="shared" si="6"/>
        <v>77.148797488223991</v>
      </c>
      <c r="P66">
        <f t="shared" si="7"/>
        <v>1.4152874223042096E-2</v>
      </c>
      <c r="Q66">
        <f t="shared" si="8"/>
        <v>2.154733436987764</v>
      </c>
      <c r="R66">
        <f t="shared" si="9"/>
        <v>1.4101432513341507E-2</v>
      </c>
      <c r="S66">
        <f t="shared" si="10"/>
        <v>8.8180014992327929E-3</v>
      </c>
      <c r="T66">
        <f t="shared" si="11"/>
        <v>276.11635818600001</v>
      </c>
      <c r="U66">
        <f t="shared" si="12"/>
        <v>28.085780542650078</v>
      </c>
      <c r="V66">
        <f t="shared" si="13"/>
        <v>28.085780542650078</v>
      </c>
      <c r="W66">
        <f t="shared" si="14"/>
        <v>3.8138580238566759</v>
      </c>
      <c r="X66">
        <f t="shared" si="15"/>
        <v>65.533993841607113</v>
      </c>
      <c r="Y66">
        <f t="shared" si="16"/>
        <v>2.2119144710335998</v>
      </c>
      <c r="Z66">
        <f t="shared" si="17"/>
        <v>3.3752169543942392</v>
      </c>
      <c r="AA66">
        <f t="shared" si="18"/>
        <v>1.6019435528230761</v>
      </c>
      <c r="AB66">
        <f t="shared" si="19"/>
        <v>-10.405477725342323</v>
      </c>
      <c r="AC66">
        <f t="shared" si="20"/>
        <v>-241.73916294091626</v>
      </c>
      <c r="AD66">
        <f t="shared" si="21"/>
        <v>-24.223134227874386</v>
      </c>
      <c r="AE66">
        <f t="shared" si="22"/>
        <v>-0.25141670813295036</v>
      </c>
      <c r="AF66">
        <v>0</v>
      </c>
      <c r="AG66">
        <v>0</v>
      </c>
      <c r="AH66">
        <f t="shared" si="23"/>
        <v>1</v>
      </c>
      <c r="AI66">
        <f t="shared" si="24"/>
        <v>0</v>
      </c>
      <c r="AJ66">
        <f t="shared" si="25"/>
        <v>52209.034754859691</v>
      </c>
      <c r="AK66">
        <f t="shared" si="26"/>
        <v>1800</v>
      </c>
      <c r="AL66">
        <f t="shared" si="27"/>
        <v>1499.1105275999998</v>
      </c>
      <c r="AM66">
        <f t="shared" si="28"/>
        <v>0.83283918199999996</v>
      </c>
      <c r="AN66">
        <f t="shared" si="29"/>
        <v>0.15339797677</v>
      </c>
      <c r="AO66">
        <v>31.8</v>
      </c>
      <c r="AP66">
        <v>0.5</v>
      </c>
      <c r="AQ66" t="s">
        <v>331</v>
      </c>
      <c r="AR66">
        <v>2</v>
      </c>
      <c r="AS66">
        <v>1690385895.5999999</v>
      </c>
      <c r="AT66">
        <v>781.24199999999996</v>
      </c>
      <c r="AU66">
        <v>800.06299999999999</v>
      </c>
      <c r="AV66">
        <v>22.398800000000001</v>
      </c>
      <c r="AW66">
        <v>19.955100000000002</v>
      </c>
      <c r="AX66">
        <v>781.51800000000003</v>
      </c>
      <c r="AY66">
        <v>22.1191</v>
      </c>
      <c r="AZ66">
        <v>300.16800000000001</v>
      </c>
      <c r="BA66">
        <v>98.651399999999995</v>
      </c>
      <c r="BB66">
        <v>0.10007199999999999</v>
      </c>
      <c r="BC66">
        <v>26.004799999999999</v>
      </c>
      <c r="BD66">
        <v>26.880700000000001</v>
      </c>
      <c r="BE66">
        <v>27.886399999999998</v>
      </c>
      <c r="BF66">
        <v>0</v>
      </c>
      <c r="BG66">
        <v>0</v>
      </c>
      <c r="BH66">
        <v>9974.3799999999992</v>
      </c>
      <c r="BI66">
        <v>1070.3900000000001</v>
      </c>
      <c r="BJ66">
        <v>1.4577199999999999</v>
      </c>
      <c r="BK66">
        <v>-18.821000000000002</v>
      </c>
      <c r="BL66">
        <v>799.14200000000005</v>
      </c>
      <c r="BM66">
        <v>816.35299999999995</v>
      </c>
      <c r="BN66">
        <v>2.4436100000000001</v>
      </c>
      <c r="BO66">
        <v>800.06299999999999</v>
      </c>
      <c r="BP66">
        <v>19.955100000000002</v>
      </c>
      <c r="BQ66">
        <v>2.20967</v>
      </c>
      <c r="BR66">
        <v>1.9685999999999999</v>
      </c>
      <c r="BS66">
        <v>19.032599999999999</v>
      </c>
      <c r="BT66">
        <v>17.193999999999999</v>
      </c>
      <c r="BU66">
        <v>1800</v>
      </c>
      <c r="BV66">
        <v>0.90998699999999999</v>
      </c>
      <c r="BW66">
        <v>3.4004899999999998E-2</v>
      </c>
      <c r="BX66">
        <v>2.2008099999999999E-2</v>
      </c>
      <c r="BY66">
        <v>3.3999500000000002E-2</v>
      </c>
      <c r="BZ66">
        <v>25</v>
      </c>
      <c r="CA66">
        <v>33528.199999999997</v>
      </c>
      <c r="CB66">
        <v>1690384821</v>
      </c>
      <c r="CC66" t="s">
        <v>332</v>
      </c>
      <c r="CD66">
        <v>1690384820</v>
      </c>
      <c r="CE66">
        <v>1690384821</v>
      </c>
      <c r="CF66">
        <v>5</v>
      </c>
      <c r="CG66">
        <v>-2.5000000000000001E-2</v>
      </c>
      <c r="CH66">
        <v>0.104</v>
      </c>
      <c r="CI66">
        <v>-0.28799999999999998</v>
      </c>
      <c r="CJ66">
        <v>0.28000000000000003</v>
      </c>
      <c r="CK66">
        <v>800</v>
      </c>
      <c r="CL66">
        <v>24</v>
      </c>
      <c r="CM66">
        <v>0.08</v>
      </c>
      <c r="CN66">
        <v>0.11</v>
      </c>
      <c r="CO66">
        <v>-17.526274999999998</v>
      </c>
      <c r="CP66">
        <v>-7.0107287054408634</v>
      </c>
      <c r="CQ66">
        <v>0.67483822496580603</v>
      </c>
      <c r="CR66">
        <v>-1</v>
      </c>
      <c r="CS66">
        <v>2.3821210000000002</v>
      </c>
      <c r="CT66">
        <v>0.32074784240149817</v>
      </c>
      <c r="CU66">
        <v>3.112906020104042E-2</v>
      </c>
      <c r="CV66">
        <v>-1</v>
      </c>
      <c r="CW66">
        <v>0</v>
      </c>
      <c r="CX66">
        <v>0</v>
      </c>
      <c r="CY66" t="s">
        <v>333</v>
      </c>
      <c r="CZ66">
        <v>2.3643999999999998</v>
      </c>
      <c r="DA66">
        <v>2.7138399999999998</v>
      </c>
      <c r="DB66">
        <v>0.14383099999999999</v>
      </c>
      <c r="DC66">
        <v>0.145757</v>
      </c>
      <c r="DD66">
        <v>0.107682</v>
      </c>
      <c r="DE66">
        <v>9.8116999999999996E-2</v>
      </c>
      <c r="DF66">
        <v>31266.6</v>
      </c>
      <c r="DG66">
        <v>27536.2</v>
      </c>
      <c r="DH66">
        <v>31176.400000000001</v>
      </c>
      <c r="DI66">
        <v>28087.599999999999</v>
      </c>
      <c r="DJ66">
        <v>37772.800000000003</v>
      </c>
      <c r="DK66">
        <v>36020.6</v>
      </c>
      <c r="DL66">
        <v>44368.7</v>
      </c>
      <c r="DM66">
        <v>42573.3</v>
      </c>
      <c r="DN66">
        <v>1.4620500000000001</v>
      </c>
      <c r="DO66">
        <v>2.0575700000000001</v>
      </c>
      <c r="DP66">
        <v>0.10427500000000001</v>
      </c>
      <c r="DQ66">
        <v>0.18430099999999999</v>
      </c>
      <c r="DR66">
        <v>25.172699999999999</v>
      </c>
      <c r="DS66">
        <v>24.869199999999999</v>
      </c>
      <c r="DT66">
        <v>57.5</v>
      </c>
      <c r="DU66">
        <v>28.9</v>
      </c>
      <c r="DV66">
        <v>23.3062</v>
      </c>
      <c r="DW66">
        <v>61.372199999999999</v>
      </c>
      <c r="DX66">
        <v>35.556899999999999</v>
      </c>
      <c r="DY66">
        <v>1</v>
      </c>
      <c r="DZ66">
        <v>-8.9715500000000004E-2</v>
      </c>
      <c r="EA66">
        <v>0.24083099999999999</v>
      </c>
      <c r="EB66">
        <v>20.190100000000001</v>
      </c>
      <c r="EC66">
        <v>5.2409499999999998</v>
      </c>
      <c r="ED66">
        <v>12.039899999999999</v>
      </c>
      <c r="EE66">
        <v>5.0172499999999998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1.8689199999999999</v>
      </c>
      <c r="EL66">
        <v>1.8646400000000001</v>
      </c>
      <c r="EM66">
        <v>1.86921</v>
      </c>
      <c r="EN66">
        <v>1.8672299999999999</v>
      </c>
      <c r="EO66">
        <v>1.8633999999999999</v>
      </c>
      <c r="EP66">
        <v>1.8644700000000001</v>
      </c>
      <c r="EQ66">
        <v>1.87018</v>
      </c>
      <c r="ER66">
        <v>1.86937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-0.27600000000000002</v>
      </c>
      <c r="FG66">
        <v>0.2797</v>
      </c>
      <c r="FH66">
        <v>0.26269369235785539</v>
      </c>
      <c r="FI66">
        <v>-6.1462078757559423E-4</v>
      </c>
      <c r="FJ66">
        <v>-1.8861989874597051E-7</v>
      </c>
      <c r="FK66">
        <v>1.1980462299894961E-10</v>
      </c>
      <c r="FL66">
        <v>0.27968571428570849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17.899999999999999</v>
      </c>
      <c r="FU66">
        <v>17.899999999999999</v>
      </c>
      <c r="FV66">
        <v>1.79565</v>
      </c>
      <c r="FW66">
        <v>2.5866699999999998</v>
      </c>
      <c r="FX66">
        <v>1.5490699999999999</v>
      </c>
      <c r="FY66">
        <v>2.3315399999999999</v>
      </c>
      <c r="FZ66">
        <v>1.50146</v>
      </c>
      <c r="GA66">
        <v>2.3596200000000001</v>
      </c>
      <c r="GB66">
        <v>33.580399999999997</v>
      </c>
      <c r="GC66">
        <v>23.982399999999998</v>
      </c>
      <c r="GD66">
        <v>19</v>
      </c>
      <c r="GE66">
        <v>277.00299999999999</v>
      </c>
      <c r="GF66">
        <v>600.99400000000003</v>
      </c>
      <c r="GG66">
        <v>23.296900000000001</v>
      </c>
      <c r="GH66">
        <v>26.279699999999998</v>
      </c>
      <c r="GI66">
        <v>29.999500000000001</v>
      </c>
      <c r="GJ66">
        <v>26.376999999999999</v>
      </c>
      <c r="GK66">
        <v>26.348500000000001</v>
      </c>
      <c r="GL66">
        <v>35.901000000000003</v>
      </c>
      <c r="GM66">
        <v>23.091100000000001</v>
      </c>
      <c r="GN66">
        <v>100</v>
      </c>
      <c r="GO66">
        <v>23.328800000000001</v>
      </c>
      <c r="GP66">
        <v>800</v>
      </c>
      <c r="GQ66">
        <v>19.878399999999999</v>
      </c>
      <c r="GR66">
        <v>99.753399999999999</v>
      </c>
      <c r="GS66">
        <v>99.591700000000003</v>
      </c>
    </row>
    <row r="67" spans="1:201" x14ac:dyDescent="0.25">
      <c r="A67">
        <v>51</v>
      </c>
      <c r="B67">
        <v>1690385905.5999999</v>
      </c>
      <c r="C67">
        <v>571</v>
      </c>
      <c r="D67" t="s">
        <v>435</v>
      </c>
      <c r="E67" t="s">
        <v>436</v>
      </c>
      <c r="F67" t="s">
        <v>330</v>
      </c>
      <c r="H67">
        <v>1690385905.5999999</v>
      </c>
      <c r="I67">
        <f t="shared" si="0"/>
        <v>2.4932739538721389E-4</v>
      </c>
      <c r="J67">
        <f t="shared" si="1"/>
        <v>0.24932739538721388</v>
      </c>
      <c r="K67">
        <f t="shared" si="2"/>
        <v>1.6957589254048888</v>
      </c>
      <c r="L67">
        <f t="shared" si="3"/>
        <v>779.923</v>
      </c>
      <c r="M67">
        <f t="shared" si="4"/>
        <v>580.38148188155139</v>
      </c>
      <c r="N67">
        <f t="shared" si="5"/>
        <v>57.314620895238996</v>
      </c>
      <c r="O67">
        <f t="shared" si="6"/>
        <v>77.020016089349312</v>
      </c>
      <c r="P67">
        <f t="shared" si="7"/>
        <v>1.5006431564900259E-2</v>
      </c>
      <c r="Q67">
        <f t="shared" si="8"/>
        <v>2.1595509920493332</v>
      </c>
      <c r="R67">
        <f t="shared" si="9"/>
        <v>1.4948740000250401E-2</v>
      </c>
      <c r="S67">
        <f t="shared" si="10"/>
        <v>9.3481272954842182E-3</v>
      </c>
      <c r="T67">
        <f t="shared" si="11"/>
        <v>276.11499443128656</v>
      </c>
      <c r="U67">
        <f t="shared" si="12"/>
        <v>28.087615279036697</v>
      </c>
      <c r="V67">
        <f t="shared" si="13"/>
        <v>28.087615279036697</v>
      </c>
      <c r="W67">
        <f t="shared" si="14"/>
        <v>3.8142657085896965</v>
      </c>
      <c r="X67">
        <f t="shared" si="15"/>
        <v>65.657219331952476</v>
      </c>
      <c r="Y67">
        <f t="shared" si="16"/>
        <v>2.2174770525827703</v>
      </c>
      <c r="Z67">
        <f t="shared" si="17"/>
        <v>3.3773545013710655</v>
      </c>
      <c r="AA67">
        <f t="shared" si="18"/>
        <v>1.5967886560069262</v>
      </c>
      <c r="AB67">
        <f t="shared" si="19"/>
        <v>-10.995338136576132</v>
      </c>
      <c r="AC67">
        <f t="shared" si="20"/>
        <v>-241.24749895278063</v>
      </c>
      <c r="AD67">
        <f t="shared" si="21"/>
        <v>-24.121449351758194</v>
      </c>
      <c r="AE67">
        <f t="shared" si="22"/>
        <v>-0.24929200982839461</v>
      </c>
      <c r="AF67">
        <v>0</v>
      </c>
      <c r="AG67">
        <v>0</v>
      </c>
      <c r="AH67">
        <f t="shared" si="23"/>
        <v>1</v>
      </c>
      <c r="AI67">
        <f t="shared" si="24"/>
        <v>0</v>
      </c>
      <c r="AJ67">
        <f t="shared" si="25"/>
        <v>52409.149150165234</v>
      </c>
      <c r="AK67">
        <f t="shared" si="26"/>
        <v>1799.99</v>
      </c>
      <c r="AL67">
        <f t="shared" si="27"/>
        <v>1499.1018518101098</v>
      </c>
      <c r="AM67">
        <f t="shared" si="28"/>
        <v>0.83283898899999986</v>
      </c>
      <c r="AN67">
        <f t="shared" si="29"/>
        <v>0.15339807133999997</v>
      </c>
      <c r="AO67">
        <v>31.8</v>
      </c>
      <c r="AP67">
        <v>0.5</v>
      </c>
      <c r="AQ67" t="s">
        <v>331</v>
      </c>
      <c r="AR67">
        <v>2</v>
      </c>
      <c r="AS67">
        <v>1690385905.5999999</v>
      </c>
      <c r="AT67">
        <v>779.923</v>
      </c>
      <c r="AU67">
        <v>799.94899999999996</v>
      </c>
      <c r="AV67">
        <v>22.454699999999999</v>
      </c>
      <c r="AW67">
        <v>19.872499999999999</v>
      </c>
      <c r="AX67">
        <v>780.19799999999998</v>
      </c>
      <c r="AY67">
        <v>22.175000000000001</v>
      </c>
      <c r="AZ67">
        <v>300.154</v>
      </c>
      <c r="BA67">
        <v>98.653400000000005</v>
      </c>
      <c r="BB67">
        <v>9.9959099999999995E-2</v>
      </c>
      <c r="BC67">
        <v>26.015499999999999</v>
      </c>
      <c r="BD67">
        <v>26.917100000000001</v>
      </c>
      <c r="BE67">
        <v>27.901299999999999</v>
      </c>
      <c r="BF67">
        <v>0</v>
      </c>
      <c r="BG67">
        <v>0</v>
      </c>
      <c r="BH67">
        <v>10014.4</v>
      </c>
      <c r="BI67">
        <v>1070.42</v>
      </c>
      <c r="BJ67">
        <v>1.4577199999999999</v>
      </c>
      <c r="BK67">
        <v>-20.026599999999998</v>
      </c>
      <c r="BL67">
        <v>797.83799999999997</v>
      </c>
      <c r="BM67">
        <v>816.16899999999998</v>
      </c>
      <c r="BN67">
        <v>2.58223</v>
      </c>
      <c r="BO67">
        <v>799.94899999999996</v>
      </c>
      <c r="BP67">
        <v>19.872499999999999</v>
      </c>
      <c r="BQ67">
        <v>2.21523</v>
      </c>
      <c r="BR67">
        <v>1.96048</v>
      </c>
      <c r="BS67">
        <v>19.072900000000001</v>
      </c>
      <c r="BT67">
        <v>17.128699999999998</v>
      </c>
      <c r="BU67">
        <v>1799.99</v>
      </c>
      <c r="BV67">
        <v>0.90997799999999995</v>
      </c>
      <c r="BW67">
        <v>3.4002699999999997E-2</v>
      </c>
      <c r="BX67">
        <v>2.2006700000000001E-2</v>
      </c>
      <c r="BY67">
        <v>3.4013000000000002E-2</v>
      </c>
      <c r="BZ67">
        <v>25</v>
      </c>
      <c r="CA67">
        <v>33528.1</v>
      </c>
      <c r="CB67">
        <v>1690384821</v>
      </c>
      <c r="CC67" t="s">
        <v>332</v>
      </c>
      <c r="CD67">
        <v>1690384820</v>
      </c>
      <c r="CE67">
        <v>1690384821</v>
      </c>
      <c r="CF67">
        <v>5</v>
      </c>
      <c r="CG67">
        <v>-2.5000000000000001E-2</v>
      </c>
      <c r="CH67">
        <v>0.104</v>
      </c>
      <c r="CI67">
        <v>-0.28799999999999998</v>
      </c>
      <c r="CJ67">
        <v>0.28000000000000003</v>
      </c>
      <c r="CK67">
        <v>800</v>
      </c>
      <c r="CL67">
        <v>24</v>
      </c>
      <c r="CM67">
        <v>0.08</v>
      </c>
      <c r="CN67">
        <v>0.11</v>
      </c>
      <c r="CO67">
        <v>-18.636849999999999</v>
      </c>
      <c r="CP67">
        <v>-7.6802071294558587</v>
      </c>
      <c r="CQ67">
        <v>0.73944879471130376</v>
      </c>
      <c r="CR67">
        <v>-1</v>
      </c>
      <c r="CS67">
        <v>2.4455437500000001</v>
      </c>
      <c r="CT67">
        <v>0.53878367729830701</v>
      </c>
      <c r="CU67">
        <v>5.3941973299439998E-2</v>
      </c>
      <c r="CV67">
        <v>-1</v>
      </c>
      <c r="CW67">
        <v>0</v>
      </c>
      <c r="CX67">
        <v>0</v>
      </c>
      <c r="CY67" t="s">
        <v>333</v>
      </c>
      <c r="CZ67">
        <v>2.36435</v>
      </c>
      <c r="DA67">
        <v>2.7137600000000002</v>
      </c>
      <c r="DB67">
        <v>0.143673</v>
      </c>
      <c r="DC67">
        <v>0.14574500000000001</v>
      </c>
      <c r="DD67">
        <v>0.107876</v>
      </c>
      <c r="DE67">
        <v>9.7830500000000001E-2</v>
      </c>
      <c r="DF67">
        <v>31272.799999999999</v>
      </c>
      <c r="DG67">
        <v>27537.200000000001</v>
      </c>
      <c r="DH67">
        <v>31176.7</v>
      </c>
      <c r="DI67">
        <v>28088.2</v>
      </c>
      <c r="DJ67">
        <v>37764.800000000003</v>
      </c>
      <c r="DK67">
        <v>36032.9</v>
      </c>
      <c r="DL67">
        <v>44369.1</v>
      </c>
      <c r="DM67">
        <v>42574.2</v>
      </c>
      <c r="DN67">
        <v>1.46183</v>
      </c>
      <c r="DO67">
        <v>2.0577200000000002</v>
      </c>
      <c r="DP67">
        <v>0.107083</v>
      </c>
      <c r="DQ67">
        <v>0.18576200000000001</v>
      </c>
      <c r="DR67">
        <v>25.1631</v>
      </c>
      <c r="DS67">
        <v>24.860299999999999</v>
      </c>
      <c r="DT67">
        <v>57.4</v>
      </c>
      <c r="DU67">
        <v>28.9</v>
      </c>
      <c r="DV67">
        <v>23.2669</v>
      </c>
      <c r="DW67">
        <v>61.3322</v>
      </c>
      <c r="DX67">
        <v>35.933500000000002</v>
      </c>
      <c r="DY67">
        <v>1</v>
      </c>
      <c r="DZ67">
        <v>-9.0271900000000002E-2</v>
      </c>
      <c r="EA67">
        <v>0.186394</v>
      </c>
      <c r="EB67">
        <v>20.190200000000001</v>
      </c>
      <c r="EC67">
        <v>5.24125</v>
      </c>
      <c r="ED67">
        <v>12.039899999999999</v>
      </c>
      <c r="EE67">
        <v>5.0170500000000002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1.8689199999999999</v>
      </c>
      <c r="EL67">
        <v>1.86463</v>
      </c>
      <c r="EM67">
        <v>1.86921</v>
      </c>
      <c r="EN67">
        <v>1.8672299999999999</v>
      </c>
      <c r="EO67">
        <v>1.8633999999999999</v>
      </c>
      <c r="EP67">
        <v>1.8644700000000001</v>
      </c>
      <c r="EQ67">
        <v>1.8702099999999999</v>
      </c>
      <c r="ER67">
        <v>1.86941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-0.27500000000000002</v>
      </c>
      <c r="FG67">
        <v>0.2797</v>
      </c>
      <c r="FH67">
        <v>0.26269369235785539</v>
      </c>
      <c r="FI67">
        <v>-6.1462078757559423E-4</v>
      </c>
      <c r="FJ67">
        <v>-1.8861989874597051E-7</v>
      </c>
      <c r="FK67">
        <v>1.1980462299894961E-10</v>
      </c>
      <c r="FL67">
        <v>0.27968571428570849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18.100000000000001</v>
      </c>
      <c r="FU67">
        <v>18.100000000000001</v>
      </c>
      <c r="FV67">
        <v>1.79565</v>
      </c>
      <c r="FW67">
        <v>2.5769000000000002</v>
      </c>
      <c r="FX67">
        <v>1.5490699999999999</v>
      </c>
      <c r="FY67">
        <v>2.3327599999999999</v>
      </c>
      <c r="FZ67">
        <v>1.50146</v>
      </c>
      <c r="GA67">
        <v>2.4169900000000002</v>
      </c>
      <c r="GB67">
        <v>33.580399999999997</v>
      </c>
      <c r="GC67">
        <v>23.982399999999998</v>
      </c>
      <c r="GD67">
        <v>19</v>
      </c>
      <c r="GE67">
        <v>276.899</v>
      </c>
      <c r="GF67">
        <v>601.10199999999998</v>
      </c>
      <c r="GG67">
        <v>23.456399999999999</v>
      </c>
      <c r="GH67">
        <v>26.273</v>
      </c>
      <c r="GI67">
        <v>29.9998</v>
      </c>
      <c r="GJ67">
        <v>26.3748</v>
      </c>
      <c r="GK67">
        <v>26.346800000000002</v>
      </c>
      <c r="GL67">
        <v>35.9026</v>
      </c>
      <c r="GM67">
        <v>23.365300000000001</v>
      </c>
      <c r="GN67">
        <v>100</v>
      </c>
      <c r="GO67">
        <v>23.474699999999999</v>
      </c>
      <c r="GP67">
        <v>800</v>
      </c>
      <c r="GQ67">
        <v>19.814</v>
      </c>
      <c r="GR67">
        <v>99.754400000000004</v>
      </c>
      <c r="GS67">
        <v>99.593800000000002</v>
      </c>
    </row>
    <row r="68" spans="1:201" x14ac:dyDescent="0.25">
      <c r="A68">
        <v>52</v>
      </c>
      <c r="B68">
        <v>1690385915.5999999</v>
      </c>
      <c r="C68">
        <v>581</v>
      </c>
      <c r="D68" t="s">
        <v>437</v>
      </c>
      <c r="E68" t="s">
        <v>438</v>
      </c>
      <c r="F68" t="s">
        <v>330</v>
      </c>
      <c r="H68">
        <v>1690385915.5999999</v>
      </c>
      <c r="I68">
        <f t="shared" si="0"/>
        <v>2.5427857007614008E-4</v>
      </c>
      <c r="J68">
        <f t="shared" si="1"/>
        <v>0.25427857007614008</v>
      </c>
      <c r="K68">
        <f t="shared" si="2"/>
        <v>1.8389292451475723</v>
      </c>
      <c r="L68">
        <f t="shared" si="3"/>
        <v>778.53300000000002</v>
      </c>
      <c r="M68">
        <f t="shared" si="4"/>
        <v>567.73615858289281</v>
      </c>
      <c r="N68">
        <f t="shared" si="5"/>
        <v>56.065129673819392</v>
      </c>
      <c r="O68">
        <f t="shared" si="6"/>
        <v>76.881757380571514</v>
      </c>
      <c r="P68">
        <f t="shared" si="7"/>
        <v>1.530852322908861E-2</v>
      </c>
      <c r="Q68">
        <f t="shared" si="8"/>
        <v>2.1600611749915988</v>
      </c>
      <c r="R68">
        <f t="shared" si="9"/>
        <v>1.5248504663492037E-2</v>
      </c>
      <c r="S68">
        <f t="shared" si="10"/>
        <v>9.5356881532261701E-3</v>
      </c>
      <c r="T68">
        <f t="shared" si="11"/>
        <v>276.11473665471868</v>
      </c>
      <c r="U68">
        <f t="shared" si="12"/>
        <v>28.102330132391828</v>
      </c>
      <c r="V68">
        <f t="shared" si="13"/>
        <v>28.102330132391828</v>
      </c>
      <c r="W68">
        <f t="shared" si="14"/>
        <v>3.8175367750418907</v>
      </c>
      <c r="X68">
        <f t="shared" si="15"/>
        <v>65.699713162335016</v>
      </c>
      <c r="Y68">
        <f t="shared" si="16"/>
        <v>2.2211319070660003</v>
      </c>
      <c r="Z68">
        <f t="shared" si="17"/>
        <v>3.3807330354363749</v>
      </c>
      <c r="AA68">
        <f t="shared" si="18"/>
        <v>1.5964048679758904</v>
      </c>
      <c r="AB68">
        <f t="shared" si="19"/>
        <v>-11.213684940357778</v>
      </c>
      <c r="AC68">
        <f t="shared" si="20"/>
        <v>-241.05002508911429</v>
      </c>
      <c r="AD68">
        <f t="shared" si="21"/>
        <v>-24.09981997639844</v>
      </c>
      <c r="AE68">
        <f t="shared" si="22"/>
        <v>-0.24879335115181789</v>
      </c>
      <c r="AF68">
        <v>0</v>
      </c>
      <c r="AG68">
        <v>0</v>
      </c>
      <c r="AH68">
        <f t="shared" si="23"/>
        <v>1</v>
      </c>
      <c r="AI68">
        <f t="shared" si="24"/>
        <v>0</v>
      </c>
      <c r="AJ68">
        <f t="shared" si="25"/>
        <v>52427.571398442742</v>
      </c>
      <c r="AK68">
        <f t="shared" si="26"/>
        <v>1799.99</v>
      </c>
      <c r="AL68">
        <f t="shared" si="27"/>
        <v>1499.1024170069697</v>
      </c>
      <c r="AM68">
        <f t="shared" si="28"/>
        <v>0.83283930299999986</v>
      </c>
      <c r="AN68">
        <f t="shared" si="29"/>
        <v>0.15339792813</v>
      </c>
      <c r="AO68">
        <v>31.8</v>
      </c>
      <c r="AP68">
        <v>0.5</v>
      </c>
      <c r="AQ68" t="s">
        <v>331</v>
      </c>
      <c r="AR68">
        <v>2</v>
      </c>
      <c r="AS68">
        <v>1690385915.5999999</v>
      </c>
      <c r="AT68">
        <v>778.53300000000002</v>
      </c>
      <c r="AU68">
        <v>800.11400000000003</v>
      </c>
      <c r="AV68">
        <v>22.492000000000001</v>
      </c>
      <c r="AW68">
        <v>19.858499999999999</v>
      </c>
      <c r="AX68">
        <v>778.80700000000002</v>
      </c>
      <c r="AY68">
        <v>22.212299999999999</v>
      </c>
      <c r="AZ68">
        <v>300.14</v>
      </c>
      <c r="BA68">
        <v>98.652100000000004</v>
      </c>
      <c r="BB68">
        <v>9.9985500000000005E-2</v>
      </c>
      <c r="BC68">
        <v>26.032399999999999</v>
      </c>
      <c r="BD68">
        <v>26.920100000000001</v>
      </c>
      <c r="BE68">
        <v>27.936199999999999</v>
      </c>
      <c r="BF68">
        <v>0</v>
      </c>
      <c r="BG68">
        <v>0</v>
      </c>
      <c r="BH68">
        <v>10018.799999999999</v>
      </c>
      <c r="BI68">
        <v>1070.43</v>
      </c>
      <c r="BJ68">
        <v>1.4577199999999999</v>
      </c>
      <c r="BK68">
        <v>-21.581099999999999</v>
      </c>
      <c r="BL68">
        <v>796.447</v>
      </c>
      <c r="BM68">
        <v>816.32500000000005</v>
      </c>
      <c r="BN68">
        <v>2.6335600000000001</v>
      </c>
      <c r="BO68">
        <v>800.11400000000003</v>
      </c>
      <c r="BP68">
        <v>19.858499999999999</v>
      </c>
      <c r="BQ68">
        <v>2.21889</v>
      </c>
      <c r="BR68">
        <v>1.9590799999999999</v>
      </c>
      <c r="BS68">
        <v>19.099299999999999</v>
      </c>
      <c r="BT68">
        <v>17.1174</v>
      </c>
      <c r="BU68">
        <v>1799.99</v>
      </c>
      <c r="BV68">
        <v>0.90998299999999999</v>
      </c>
      <c r="BW68">
        <v>3.4000799999999998E-2</v>
      </c>
      <c r="BX68">
        <v>2.2005400000000001E-2</v>
      </c>
      <c r="BY68">
        <v>3.4011100000000002E-2</v>
      </c>
      <c r="BZ68">
        <v>25</v>
      </c>
      <c r="CA68">
        <v>33528.199999999997</v>
      </c>
      <c r="CB68">
        <v>1690384821</v>
      </c>
      <c r="CC68" t="s">
        <v>332</v>
      </c>
      <c r="CD68">
        <v>1690384820</v>
      </c>
      <c r="CE68">
        <v>1690384821</v>
      </c>
      <c r="CF68">
        <v>5</v>
      </c>
      <c r="CG68">
        <v>-2.5000000000000001E-2</v>
      </c>
      <c r="CH68">
        <v>0.104</v>
      </c>
      <c r="CI68">
        <v>-0.28799999999999998</v>
      </c>
      <c r="CJ68">
        <v>0.28000000000000003</v>
      </c>
      <c r="CK68">
        <v>800</v>
      </c>
      <c r="CL68">
        <v>24</v>
      </c>
      <c r="CM68">
        <v>0.08</v>
      </c>
      <c r="CN68">
        <v>0.11</v>
      </c>
      <c r="CO68">
        <v>-19.938972499999998</v>
      </c>
      <c r="CP68">
        <v>-8.069656660412722</v>
      </c>
      <c r="CQ68">
        <v>0.77779740613719572</v>
      </c>
      <c r="CR68">
        <v>-1</v>
      </c>
      <c r="CS68">
        <v>2.5450515</v>
      </c>
      <c r="CT68">
        <v>0.65927076923075911</v>
      </c>
      <c r="CU68">
        <v>6.5477477179179663E-2</v>
      </c>
      <c r="CV68">
        <v>-1</v>
      </c>
      <c r="CW68">
        <v>0</v>
      </c>
      <c r="CX68">
        <v>0</v>
      </c>
      <c r="CY68" t="s">
        <v>333</v>
      </c>
      <c r="CZ68">
        <v>2.3643299999999998</v>
      </c>
      <c r="DA68">
        <v>2.7137899999999999</v>
      </c>
      <c r="DB68">
        <v>0.14350099999999999</v>
      </c>
      <c r="DC68">
        <v>0.145763</v>
      </c>
      <c r="DD68">
        <v>0.108004</v>
      </c>
      <c r="DE68">
        <v>9.7780699999999998E-2</v>
      </c>
      <c r="DF68">
        <v>31279.4</v>
      </c>
      <c r="DG68">
        <v>27536.799999999999</v>
      </c>
      <c r="DH68">
        <v>31177</v>
      </c>
      <c r="DI68">
        <v>28088.400000000001</v>
      </c>
      <c r="DJ68">
        <v>37759.699999999997</v>
      </c>
      <c r="DK68">
        <v>36035.1</v>
      </c>
      <c r="DL68">
        <v>44369.599999999999</v>
      </c>
      <c r="DM68">
        <v>42574.5</v>
      </c>
      <c r="DN68">
        <v>1.4619</v>
      </c>
      <c r="DO68">
        <v>2.0577200000000002</v>
      </c>
      <c r="DP68">
        <v>0.10775800000000001</v>
      </c>
      <c r="DQ68">
        <v>0.18818299999999999</v>
      </c>
      <c r="DR68">
        <v>25.155100000000001</v>
      </c>
      <c r="DS68">
        <v>24.855599999999999</v>
      </c>
      <c r="DT68">
        <v>57.4</v>
      </c>
      <c r="DU68">
        <v>28.9</v>
      </c>
      <c r="DV68">
        <v>23.2668</v>
      </c>
      <c r="DW68">
        <v>61.142200000000003</v>
      </c>
      <c r="DX68">
        <v>36.506399999999999</v>
      </c>
      <c r="DY68">
        <v>1</v>
      </c>
      <c r="DZ68">
        <v>-9.0469999999999995E-2</v>
      </c>
      <c r="EA68">
        <v>0.146536</v>
      </c>
      <c r="EB68">
        <v>20.1904</v>
      </c>
      <c r="EC68">
        <v>5.2415500000000002</v>
      </c>
      <c r="ED68">
        <v>12.039899999999999</v>
      </c>
      <c r="EE68">
        <v>5.0172499999999998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1.8689100000000001</v>
      </c>
      <c r="EL68">
        <v>1.8646199999999999</v>
      </c>
      <c r="EM68">
        <v>1.8692</v>
      </c>
      <c r="EN68">
        <v>1.8672299999999999</v>
      </c>
      <c r="EO68">
        <v>1.8633999999999999</v>
      </c>
      <c r="EP68">
        <v>1.8644700000000001</v>
      </c>
      <c r="EQ68">
        <v>1.87019</v>
      </c>
      <c r="ER68">
        <v>1.86937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-0.27400000000000002</v>
      </c>
      <c r="FG68">
        <v>0.2797</v>
      </c>
      <c r="FH68">
        <v>0.26269369235785539</v>
      </c>
      <c r="FI68">
        <v>-6.1462078757559423E-4</v>
      </c>
      <c r="FJ68">
        <v>-1.8861989874597051E-7</v>
      </c>
      <c r="FK68">
        <v>1.1980462299894961E-10</v>
      </c>
      <c r="FL68">
        <v>0.27968571428570849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18.3</v>
      </c>
      <c r="FU68">
        <v>18.2</v>
      </c>
      <c r="FV68">
        <v>1.79565</v>
      </c>
      <c r="FW68">
        <v>2.5781200000000002</v>
      </c>
      <c r="FX68">
        <v>1.5490699999999999</v>
      </c>
      <c r="FY68">
        <v>2.3315399999999999</v>
      </c>
      <c r="FZ68">
        <v>1.50146</v>
      </c>
      <c r="GA68">
        <v>2.3815900000000001</v>
      </c>
      <c r="GB68">
        <v>33.580399999999997</v>
      </c>
      <c r="GC68">
        <v>23.982399999999998</v>
      </c>
      <c r="GD68">
        <v>19</v>
      </c>
      <c r="GE68">
        <v>276.916</v>
      </c>
      <c r="GF68">
        <v>601.08799999999997</v>
      </c>
      <c r="GG68">
        <v>23.581499999999998</v>
      </c>
      <c r="GH68">
        <v>26.266400000000001</v>
      </c>
      <c r="GI68">
        <v>29.9999</v>
      </c>
      <c r="GJ68">
        <v>26.371400000000001</v>
      </c>
      <c r="GK68">
        <v>26.345600000000001</v>
      </c>
      <c r="GL68">
        <v>35.898499999999999</v>
      </c>
      <c r="GM68">
        <v>23.652100000000001</v>
      </c>
      <c r="GN68">
        <v>100</v>
      </c>
      <c r="GO68">
        <v>23.601099999999999</v>
      </c>
      <c r="GP68">
        <v>800</v>
      </c>
      <c r="GQ68">
        <v>19.753</v>
      </c>
      <c r="GR68">
        <v>99.755499999999998</v>
      </c>
      <c r="GS68">
        <v>99.594499999999996</v>
      </c>
    </row>
    <row r="69" spans="1:201" x14ac:dyDescent="0.25">
      <c r="A69">
        <v>53</v>
      </c>
      <c r="B69">
        <v>1690385925.5999999</v>
      </c>
      <c r="C69">
        <v>591</v>
      </c>
      <c r="D69" t="s">
        <v>439</v>
      </c>
      <c r="E69" t="s">
        <v>440</v>
      </c>
      <c r="F69" t="s">
        <v>330</v>
      </c>
      <c r="H69">
        <v>1690385925.5999999</v>
      </c>
      <c r="I69">
        <f t="shared" si="0"/>
        <v>2.6672497999145954E-4</v>
      </c>
      <c r="J69">
        <f t="shared" si="1"/>
        <v>0.26672497999145955</v>
      </c>
      <c r="K69">
        <f t="shared" si="2"/>
        <v>1.9640828597455289</v>
      </c>
      <c r="L69">
        <f t="shared" si="3"/>
        <v>777.08600000000001</v>
      </c>
      <c r="M69">
        <f t="shared" si="4"/>
        <v>562.77278258184595</v>
      </c>
      <c r="N69">
        <f t="shared" si="5"/>
        <v>55.573895288942715</v>
      </c>
      <c r="O69">
        <f t="shared" si="6"/>
        <v>76.737357120184996</v>
      </c>
      <c r="P69">
        <f t="shared" si="7"/>
        <v>1.605384994716242E-2</v>
      </c>
      <c r="Q69">
        <f t="shared" si="8"/>
        <v>2.1595121541990299</v>
      </c>
      <c r="R69">
        <f t="shared" si="9"/>
        <v>1.5987841754704996E-2</v>
      </c>
      <c r="S69">
        <f t="shared" si="10"/>
        <v>9.9983089659489259E-3</v>
      </c>
      <c r="T69">
        <f t="shared" si="11"/>
        <v>276.11456030969845</v>
      </c>
      <c r="U69">
        <f t="shared" si="12"/>
        <v>28.119578238390911</v>
      </c>
      <c r="V69">
        <f t="shared" si="13"/>
        <v>28.119578238390911</v>
      </c>
      <c r="W69">
        <f t="shared" si="14"/>
        <v>3.8213740910227219</v>
      </c>
      <c r="X69">
        <f t="shared" si="15"/>
        <v>65.713036617203414</v>
      </c>
      <c r="Y69">
        <f t="shared" si="16"/>
        <v>2.2243569474522498</v>
      </c>
      <c r="Z69">
        <f t="shared" si="17"/>
        <v>3.3849553482206938</v>
      </c>
      <c r="AA69">
        <f t="shared" si="18"/>
        <v>1.5970171435704721</v>
      </c>
      <c r="AB69">
        <f t="shared" si="19"/>
        <v>-11.762571617623365</v>
      </c>
      <c r="AC69">
        <f t="shared" si="20"/>
        <v>-240.54030618196475</v>
      </c>
      <c r="AD69">
        <f t="shared" si="21"/>
        <v>-24.059583547072862</v>
      </c>
      <c r="AE69">
        <f t="shared" si="22"/>
        <v>-0.24790103696253141</v>
      </c>
      <c r="AF69">
        <v>0</v>
      </c>
      <c r="AG69">
        <v>0</v>
      </c>
      <c r="AH69">
        <f t="shared" si="23"/>
        <v>1</v>
      </c>
      <c r="AI69">
        <f t="shared" si="24"/>
        <v>0</v>
      </c>
      <c r="AJ69">
        <f t="shared" si="25"/>
        <v>52400.789878452946</v>
      </c>
      <c r="AK69">
        <f t="shared" si="26"/>
        <v>1799.99</v>
      </c>
      <c r="AL69">
        <f t="shared" si="27"/>
        <v>1499.10329540209</v>
      </c>
      <c r="AM69">
        <f t="shared" si="28"/>
        <v>0.83283979099999994</v>
      </c>
      <c r="AN69">
        <f t="shared" si="29"/>
        <v>0.15339783016000003</v>
      </c>
      <c r="AO69">
        <v>31.8</v>
      </c>
      <c r="AP69">
        <v>0.5</v>
      </c>
      <c r="AQ69" t="s">
        <v>331</v>
      </c>
      <c r="AR69">
        <v>2</v>
      </c>
      <c r="AS69">
        <v>1690385925.5999999</v>
      </c>
      <c r="AT69">
        <v>777.08600000000001</v>
      </c>
      <c r="AU69">
        <v>800.08399999999995</v>
      </c>
      <c r="AV69">
        <v>22.525099999999998</v>
      </c>
      <c r="AW69">
        <v>19.7637</v>
      </c>
      <c r="AX69">
        <v>777.35900000000004</v>
      </c>
      <c r="AY69">
        <v>22.2454</v>
      </c>
      <c r="AZ69">
        <v>300.23899999999998</v>
      </c>
      <c r="BA69">
        <v>98.650199999999998</v>
      </c>
      <c r="BB69">
        <v>9.9947499999999995E-2</v>
      </c>
      <c r="BC69">
        <v>26.0535</v>
      </c>
      <c r="BD69">
        <v>26.9604</v>
      </c>
      <c r="BE69">
        <v>27.952100000000002</v>
      </c>
      <c r="BF69">
        <v>0</v>
      </c>
      <c r="BG69">
        <v>0</v>
      </c>
      <c r="BH69">
        <v>10014.4</v>
      </c>
      <c r="BI69">
        <v>1070.3800000000001</v>
      </c>
      <c r="BJ69">
        <v>1.4577199999999999</v>
      </c>
      <c r="BK69">
        <v>-22.9971</v>
      </c>
      <c r="BL69">
        <v>794.99400000000003</v>
      </c>
      <c r="BM69">
        <v>816.21500000000003</v>
      </c>
      <c r="BN69">
        <v>2.7613400000000001</v>
      </c>
      <c r="BO69">
        <v>800.08399999999995</v>
      </c>
      <c r="BP69">
        <v>19.7637</v>
      </c>
      <c r="BQ69">
        <v>2.2221000000000002</v>
      </c>
      <c r="BR69">
        <v>1.9497</v>
      </c>
      <c r="BS69">
        <v>19.122599999999998</v>
      </c>
      <c r="BT69">
        <v>17.041599999999999</v>
      </c>
      <c r="BU69">
        <v>1799.99</v>
      </c>
      <c r="BV69">
        <v>0.90998800000000002</v>
      </c>
      <c r="BW69">
        <v>3.3998899999999999E-2</v>
      </c>
      <c r="BX69">
        <v>2.2004300000000001E-2</v>
      </c>
      <c r="BY69">
        <v>3.4009200000000003E-2</v>
      </c>
      <c r="BZ69">
        <v>25</v>
      </c>
      <c r="CA69">
        <v>33528.199999999997</v>
      </c>
      <c r="CB69">
        <v>1690384821</v>
      </c>
      <c r="CC69" t="s">
        <v>332</v>
      </c>
      <c r="CD69">
        <v>1690384820</v>
      </c>
      <c r="CE69">
        <v>1690384821</v>
      </c>
      <c r="CF69">
        <v>5</v>
      </c>
      <c r="CG69">
        <v>-2.5000000000000001E-2</v>
      </c>
      <c r="CH69">
        <v>0.104</v>
      </c>
      <c r="CI69">
        <v>-0.28799999999999998</v>
      </c>
      <c r="CJ69">
        <v>0.28000000000000003</v>
      </c>
      <c r="CK69">
        <v>800</v>
      </c>
      <c r="CL69">
        <v>24</v>
      </c>
      <c r="CM69">
        <v>0.08</v>
      </c>
      <c r="CN69">
        <v>0.11</v>
      </c>
      <c r="CO69">
        <v>-21.482150000000001</v>
      </c>
      <c r="CP69">
        <v>-8.9017440900562708</v>
      </c>
      <c r="CQ69">
        <v>0.85697519625716145</v>
      </c>
      <c r="CR69">
        <v>-1</v>
      </c>
      <c r="CS69">
        <v>2.64629775</v>
      </c>
      <c r="CT69">
        <v>0.46937392120074761</v>
      </c>
      <c r="CU69">
        <v>4.6180734483521398E-2</v>
      </c>
      <c r="CV69">
        <v>-1</v>
      </c>
      <c r="CW69">
        <v>0</v>
      </c>
      <c r="CX69">
        <v>0</v>
      </c>
      <c r="CY69" t="s">
        <v>333</v>
      </c>
      <c r="CZ69">
        <v>2.3646600000000002</v>
      </c>
      <c r="DA69">
        <v>2.7137500000000001</v>
      </c>
      <c r="DB69">
        <v>0.143321</v>
      </c>
      <c r="DC69">
        <v>0.145756</v>
      </c>
      <c r="DD69">
        <v>0.108116</v>
      </c>
      <c r="DE69">
        <v>9.7448099999999996E-2</v>
      </c>
      <c r="DF69">
        <v>31286.6</v>
      </c>
      <c r="DG69">
        <v>27537.3</v>
      </c>
      <c r="DH69">
        <v>31177.7</v>
      </c>
      <c r="DI69">
        <v>28088.6</v>
      </c>
      <c r="DJ69">
        <v>37755.699999999997</v>
      </c>
      <c r="DK69">
        <v>36048.699999999997</v>
      </c>
      <c r="DL69">
        <v>44370.5</v>
      </c>
      <c r="DM69">
        <v>42574.8</v>
      </c>
      <c r="DN69">
        <v>1.4619</v>
      </c>
      <c r="DO69">
        <v>2.0575999999999999</v>
      </c>
      <c r="DP69">
        <v>0.11057</v>
      </c>
      <c r="DQ69">
        <v>0.18928900000000001</v>
      </c>
      <c r="DR69">
        <v>25.1493</v>
      </c>
      <c r="DS69">
        <v>24.853400000000001</v>
      </c>
      <c r="DT69">
        <v>57.5</v>
      </c>
      <c r="DU69">
        <v>28.9</v>
      </c>
      <c r="DV69">
        <v>23.305399999999999</v>
      </c>
      <c r="DW69">
        <v>60.892200000000003</v>
      </c>
      <c r="DX69">
        <v>36.5625</v>
      </c>
      <c r="DY69">
        <v>1</v>
      </c>
      <c r="DZ69">
        <v>-9.1394799999999998E-2</v>
      </c>
      <c r="EA69">
        <v>0.131386</v>
      </c>
      <c r="EB69">
        <v>20.1904</v>
      </c>
      <c r="EC69">
        <v>5.24125</v>
      </c>
      <c r="ED69">
        <v>12.039899999999999</v>
      </c>
      <c r="EE69">
        <v>5.0171999999999999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</v>
      </c>
      <c r="EL69">
        <v>1.86463</v>
      </c>
      <c r="EM69">
        <v>1.8692</v>
      </c>
      <c r="EN69">
        <v>1.8672299999999999</v>
      </c>
      <c r="EO69">
        <v>1.8633999999999999</v>
      </c>
      <c r="EP69">
        <v>1.8644700000000001</v>
      </c>
      <c r="EQ69">
        <v>1.8701700000000001</v>
      </c>
      <c r="ER69">
        <v>1.86938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-0.27300000000000002</v>
      </c>
      <c r="FG69">
        <v>0.2797</v>
      </c>
      <c r="FH69">
        <v>0.26269369235785539</v>
      </c>
      <c r="FI69">
        <v>-6.1462078757559423E-4</v>
      </c>
      <c r="FJ69">
        <v>-1.8861989874597051E-7</v>
      </c>
      <c r="FK69">
        <v>1.1980462299894961E-10</v>
      </c>
      <c r="FL69">
        <v>0.27968571428570849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18.399999999999999</v>
      </c>
      <c r="FU69">
        <v>18.399999999999999</v>
      </c>
      <c r="FV69">
        <v>1.79565</v>
      </c>
      <c r="FW69">
        <v>2.5817899999999998</v>
      </c>
      <c r="FX69">
        <v>1.5490699999999999</v>
      </c>
      <c r="FY69">
        <v>2.3315399999999999</v>
      </c>
      <c r="FZ69">
        <v>1.50146</v>
      </c>
      <c r="GA69">
        <v>2.3107899999999999</v>
      </c>
      <c r="GB69">
        <v>33.580399999999997</v>
      </c>
      <c r="GC69">
        <v>23.982399999999998</v>
      </c>
      <c r="GD69">
        <v>19</v>
      </c>
      <c r="GE69">
        <v>276.90300000000002</v>
      </c>
      <c r="GF69">
        <v>600.95100000000002</v>
      </c>
      <c r="GG69">
        <v>23.697700000000001</v>
      </c>
      <c r="GH69">
        <v>26.260200000000001</v>
      </c>
      <c r="GI69">
        <v>29.9999</v>
      </c>
      <c r="GJ69">
        <v>26.368099999999998</v>
      </c>
      <c r="GK69">
        <v>26.3429</v>
      </c>
      <c r="GL69">
        <v>35.892299999999999</v>
      </c>
      <c r="GM69">
        <v>23.9267</v>
      </c>
      <c r="GN69">
        <v>100</v>
      </c>
      <c r="GO69">
        <v>23.709199999999999</v>
      </c>
      <c r="GP69">
        <v>800</v>
      </c>
      <c r="GQ69">
        <v>19.6905</v>
      </c>
      <c r="GR69">
        <v>99.757499999999993</v>
      </c>
      <c r="GS69">
        <v>99.595299999999995</v>
      </c>
    </row>
    <row r="70" spans="1:201" x14ac:dyDescent="0.25">
      <c r="A70">
        <v>54</v>
      </c>
      <c r="B70">
        <v>1690385935.5999999</v>
      </c>
      <c r="C70">
        <v>601</v>
      </c>
      <c r="D70" t="s">
        <v>441</v>
      </c>
      <c r="E70" t="s">
        <v>442</v>
      </c>
      <c r="F70" t="s">
        <v>330</v>
      </c>
      <c r="H70">
        <v>1690385935.5999999</v>
      </c>
      <c r="I70">
        <f t="shared" si="0"/>
        <v>2.7250709049896798E-4</v>
      </c>
      <c r="J70">
        <f t="shared" si="1"/>
        <v>0.27250709049896799</v>
      </c>
      <c r="K70">
        <f t="shared" si="2"/>
        <v>2.1161177973582239</v>
      </c>
      <c r="L70">
        <f t="shared" si="3"/>
        <v>775.39099999999996</v>
      </c>
      <c r="M70">
        <f t="shared" si="4"/>
        <v>550.39805410837187</v>
      </c>
      <c r="N70">
        <f t="shared" si="5"/>
        <v>54.35261213987819</v>
      </c>
      <c r="O70">
        <f t="shared" si="6"/>
        <v>76.570994328868295</v>
      </c>
      <c r="P70">
        <f t="shared" si="7"/>
        <v>1.6392052052564467E-2</v>
      </c>
      <c r="Q70">
        <f t="shared" si="8"/>
        <v>2.1574316157950211</v>
      </c>
      <c r="R70">
        <f t="shared" si="9"/>
        <v>1.6323173787619036E-2</v>
      </c>
      <c r="S70">
        <f t="shared" si="10"/>
        <v>1.0208147847176177E-2</v>
      </c>
      <c r="T70">
        <f t="shared" si="11"/>
        <v>276.11430253313057</v>
      </c>
      <c r="U70">
        <f t="shared" si="12"/>
        <v>28.132170453383463</v>
      </c>
      <c r="V70">
        <f t="shared" si="13"/>
        <v>28.132170453383463</v>
      </c>
      <c r="W70">
        <f t="shared" si="14"/>
        <v>3.8241777005557274</v>
      </c>
      <c r="X70">
        <f t="shared" si="15"/>
        <v>65.714028295703059</v>
      </c>
      <c r="Y70">
        <f t="shared" si="16"/>
        <v>2.2260751909168603</v>
      </c>
      <c r="Z70">
        <f t="shared" si="17"/>
        <v>3.3875189950308067</v>
      </c>
      <c r="AA70">
        <f t="shared" si="18"/>
        <v>1.598102509638867</v>
      </c>
      <c r="AB70">
        <f t="shared" si="19"/>
        <v>-12.017562691004487</v>
      </c>
      <c r="AC70">
        <f t="shared" si="20"/>
        <v>-240.28439470211572</v>
      </c>
      <c r="AD70">
        <f t="shared" si="21"/>
        <v>-24.060217370656925</v>
      </c>
      <c r="AE70">
        <f t="shared" si="22"/>
        <v>-0.24787223064654995</v>
      </c>
      <c r="AF70">
        <v>0</v>
      </c>
      <c r="AG70">
        <v>0</v>
      </c>
      <c r="AH70">
        <f t="shared" si="23"/>
        <v>1</v>
      </c>
      <c r="AI70">
        <f t="shared" si="24"/>
        <v>0</v>
      </c>
      <c r="AJ70">
        <f t="shared" si="25"/>
        <v>52311.322317094127</v>
      </c>
      <c r="AK70">
        <f t="shared" si="26"/>
        <v>1799.99</v>
      </c>
      <c r="AL70">
        <f t="shared" si="27"/>
        <v>1499.1038605989502</v>
      </c>
      <c r="AM70">
        <f t="shared" si="28"/>
        <v>0.83284010500000005</v>
      </c>
      <c r="AN70">
        <f t="shared" si="29"/>
        <v>0.15339768695000003</v>
      </c>
      <c r="AO70">
        <v>31.8</v>
      </c>
      <c r="AP70">
        <v>0.5</v>
      </c>
      <c r="AQ70" t="s">
        <v>331</v>
      </c>
      <c r="AR70">
        <v>2</v>
      </c>
      <c r="AS70">
        <v>1690385935.5999999</v>
      </c>
      <c r="AT70">
        <v>775.39099999999996</v>
      </c>
      <c r="AU70">
        <v>800.04100000000005</v>
      </c>
      <c r="AV70">
        <v>22.542200000000001</v>
      </c>
      <c r="AW70">
        <v>19.7211</v>
      </c>
      <c r="AX70">
        <v>775.66300000000001</v>
      </c>
      <c r="AY70">
        <v>22.262499999999999</v>
      </c>
      <c r="AZ70">
        <v>300.25099999999998</v>
      </c>
      <c r="BA70">
        <v>98.651499999999999</v>
      </c>
      <c r="BB70">
        <v>9.9961300000000003E-2</v>
      </c>
      <c r="BC70">
        <v>26.066299999999998</v>
      </c>
      <c r="BD70">
        <v>26.974699999999999</v>
      </c>
      <c r="BE70">
        <v>27.966100000000001</v>
      </c>
      <c r="BF70">
        <v>0</v>
      </c>
      <c r="BG70">
        <v>0</v>
      </c>
      <c r="BH70">
        <v>9996.8799999999992</v>
      </c>
      <c r="BI70">
        <v>1070.4100000000001</v>
      </c>
      <c r="BJ70">
        <v>1.4577199999999999</v>
      </c>
      <c r="BK70">
        <v>-24.649699999999999</v>
      </c>
      <c r="BL70">
        <v>793.27300000000002</v>
      </c>
      <c r="BM70">
        <v>816.13599999999997</v>
      </c>
      <c r="BN70">
        <v>2.8210600000000001</v>
      </c>
      <c r="BO70">
        <v>800.04100000000005</v>
      </c>
      <c r="BP70">
        <v>19.7211</v>
      </c>
      <c r="BQ70">
        <v>2.2238199999999999</v>
      </c>
      <c r="BR70">
        <v>1.9455199999999999</v>
      </c>
      <c r="BS70">
        <v>19.135000000000002</v>
      </c>
      <c r="BT70">
        <v>17.0078</v>
      </c>
      <c r="BU70">
        <v>1799.99</v>
      </c>
      <c r="BV70">
        <v>0.90999300000000005</v>
      </c>
      <c r="BW70">
        <v>3.3996999999999999E-2</v>
      </c>
      <c r="BX70">
        <v>2.2003000000000002E-2</v>
      </c>
      <c r="BY70">
        <v>3.4007299999999997E-2</v>
      </c>
      <c r="BZ70">
        <v>25</v>
      </c>
      <c r="CA70">
        <v>33528.1</v>
      </c>
      <c r="CB70">
        <v>1690384821</v>
      </c>
      <c r="CC70" t="s">
        <v>332</v>
      </c>
      <c r="CD70">
        <v>1690384820</v>
      </c>
      <c r="CE70">
        <v>1690384821</v>
      </c>
      <c r="CF70">
        <v>5</v>
      </c>
      <c r="CG70">
        <v>-2.5000000000000001E-2</v>
      </c>
      <c r="CH70">
        <v>0.104</v>
      </c>
      <c r="CI70">
        <v>-0.28799999999999998</v>
      </c>
      <c r="CJ70">
        <v>0.28000000000000003</v>
      </c>
      <c r="CK70">
        <v>800</v>
      </c>
      <c r="CL70">
        <v>24</v>
      </c>
      <c r="CM70">
        <v>0.08</v>
      </c>
      <c r="CN70">
        <v>0.11</v>
      </c>
      <c r="CO70">
        <v>-22.953955000000001</v>
      </c>
      <c r="CP70">
        <v>-8.9055602251407233</v>
      </c>
      <c r="CQ70">
        <v>0.85875205063801763</v>
      </c>
      <c r="CR70">
        <v>-1</v>
      </c>
      <c r="CS70">
        <v>2.7434590000000001</v>
      </c>
      <c r="CT70">
        <v>0.64443467166978952</v>
      </c>
      <c r="CU70">
        <v>6.3381163439936952E-2</v>
      </c>
      <c r="CV70">
        <v>-1</v>
      </c>
      <c r="CW70">
        <v>0</v>
      </c>
      <c r="CX70">
        <v>0</v>
      </c>
      <c r="CY70" t="s">
        <v>333</v>
      </c>
      <c r="CZ70">
        <v>2.3647</v>
      </c>
      <c r="DA70">
        <v>2.7137500000000001</v>
      </c>
      <c r="DB70">
        <v>0.14311499999999999</v>
      </c>
      <c r="DC70">
        <v>0.14575199999999999</v>
      </c>
      <c r="DD70">
        <v>0.108178</v>
      </c>
      <c r="DE70">
        <v>9.7300499999999998E-2</v>
      </c>
      <c r="DF70">
        <v>31293.9</v>
      </c>
      <c r="DG70">
        <v>27537.9</v>
      </c>
      <c r="DH70">
        <v>31177.3</v>
      </c>
      <c r="DI70">
        <v>28089.1</v>
      </c>
      <c r="DJ70">
        <v>37752.800000000003</v>
      </c>
      <c r="DK70">
        <v>36055</v>
      </c>
      <c r="DL70">
        <v>44370.3</v>
      </c>
      <c r="DM70">
        <v>42575.199999999997</v>
      </c>
      <c r="DN70">
        <v>1.4617800000000001</v>
      </c>
      <c r="DO70">
        <v>2.0576300000000001</v>
      </c>
      <c r="DP70">
        <v>0.111803</v>
      </c>
      <c r="DQ70">
        <v>0.19014300000000001</v>
      </c>
      <c r="DR70">
        <v>25.1435</v>
      </c>
      <c r="DS70">
        <v>24.853400000000001</v>
      </c>
      <c r="DT70">
        <v>57.5</v>
      </c>
      <c r="DU70">
        <v>28.9</v>
      </c>
      <c r="DV70">
        <v>23.305599999999998</v>
      </c>
      <c r="DW70">
        <v>61.002200000000002</v>
      </c>
      <c r="DX70">
        <v>35.929499999999997</v>
      </c>
      <c r="DY70">
        <v>1</v>
      </c>
      <c r="DZ70">
        <v>-9.1534500000000005E-2</v>
      </c>
      <c r="EA70">
        <v>0.17039199999999999</v>
      </c>
      <c r="EB70">
        <v>20.190300000000001</v>
      </c>
      <c r="EC70">
        <v>5.2406499999999996</v>
      </c>
      <c r="ED70">
        <v>12.039899999999999</v>
      </c>
      <c r="EE70">
        <v>5.0171000000000001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1.8689100000000001</v>
      </c>
      <c r="EL70">
        <v>1.8646199999999999</v>
      </c>
      <c r="EM70">
        <v>1.8692</v>
      </c>
      <c r="EN70">
        <v>1.8672200000000001</v>
      </c>
      <c r="EO70">
        <v>1.8633999999999999</v>
      </c>
      <c r="EP70">
        <v>1.86446</v>
      </c>
      <c r="EQ70">
        <v>1.8702099999999999</v>
      </c>
      <c r="ER70">
        <v>1.8693599999999999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-0.27200000000000002</v>
      </c>
      <c r="FG70">
        <v>0.2797</v>
      </c>
      <c r="FH70">
        <v>0.26269369235785539</v>
      </c>
      <c r="FI70">
        <v>-6.1462078757559423E-4</v>
      </c>
      <c r="FJ70">
        <v>-1.8861989874597051E-7</v>
      </c>
      <c r="FK70">
        <v>1.1980462299894961E-10</v>
      </c>
      <c r="FL70">
        <v>0.27968571428570849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18.600000000000001</v>
      </c>
      <c r="FU70">
        <v>18.600000000000001</v>
      </c>
      <c r="FV70">
        <v>1.79565</v>
      </c>
      <c r="FW70">
        <v>2.5842299999999998</v>
      </c>
      <c r="FX70">
        <v>1.5490699999999999</v>
      </c>
      <c r="FY70">
        <v>2.3315399999999999</v>
      </c>
      <c r="FZ70">
        <v>1.50146</v>
      </c>
      <c r="GA70">
        <v>2.3132299999999999</v>
      </c>
      <c r="GB70">
        <v>33.580399999999997</v>
      </c>
      <c r="GC70">
        <v>23.973700000000001</v>
      </c>
      <c r="GD70">
        <v>19</v>
      </c>
      <c r="GE70">
        <v>276.83300000000003</v>
      </c>
      <c r="GF70">
        <v>600.95100000000002</v>
      </c>
      <c r="GG70">
        <v>23.770700000000001</v>
      </c>
      <c r="GH70">
        <v>26.253699999999998</v>
      </c>
      <c r="GI70">
        <v>29.9999</v>
      </c>
      <c r="GJ70">
        <v>26.3642</v>
      </c>
      <c r="GK70">
        <v>26.341200000000001</v>
      </c>
      <c r="GL70">
        <v>35.895400000000002</v>
      </c>
      <c r="GM70">
        <v>23.9267</v>
      </c>
      <c r="GN70">
        <v>100</v>
      </c>
      <c r="GO70">
        <v>23.778400000000001</v>
      </c>
      <c r="GP70">
        <v>800</v>
      </c>
      <c r="GQ70">
        <v>19.634399999999999</v>
      </c>
      <c r="GR70">
        <v>99.756799999999998</v>
      </c>
      <c r="GS70">
        <v>99.596500000000006</v>
      </c>
    </row>
    <row r="71" spans="1:201" x14ac:dyDescent="0.25">
      <c r="A71">
        <v>55</v>
      </c>
      <c r="B71">
        <v>1690385945.5999999</v>
      </c>
      <c r="C71">
        <v>611</v>
      </c>
      <c r="D71" t="s">
        <v>443</v>
      </c>
      <c r="E71" t="s">
        <v>444</v>
      </c>
      <c r="F71" t="s">
        <v>330</v>
      </c>
      <c r="H71">
        <v>1690385945.5999999</v>
      </c>
      <c r="I71">
        <f t="shared" si="0"/>
        <v>2.7919014690606654E-4</v>
      </c>
      <c r="J71">
        <f t="shared" si="1"/>
        <v>0.27919014690606653</v>
      </c>
      <c r="K71">
        <f t="shared" si="2"/>
        <v>2.268394209864145</v>
      </c>
      <c r="L71">
        <f t="shared" si="3"/>
        <v>773.702</v>
      </c>
      <c r="M71">
        <f t="shared" si="4"/>
        <v>539.18718905370099</v>
      </c>
      <c r="N71">
        <f t="shared" si="5"/>
        <v>53.244930212652847</v>
      </c>
      <c r="O71">
        <f t="shared" si="6"/>
        <v>76.403352734864399</v>
      </c>
      <c r="P71">
        <f t="shared" si="7"/>
        <v>1.6788554564841091E-2</v>
      </c>
      <c r="Q71">
        <f t="shared" si="8"/>
        <v>2.1602556473802585</v>
      </c>
      <c r="R71">
        <f t="shared" si="9"/>
        <v>1.6716405776638896E-2</v>
      </c>
      <c r="S71">
        <f t="shared" si="10"/>
        <v>1.0454209961208763E-2</v>
      </c>
      <c r="T71">
        <f t="shared" si="11"/>
        <v>276.11390811932165</v>
      </c>
      <c r="U71">
        <f t="shared" si="12"/>
        <v>28.142578941011134</v>
      </c>
      <c r="V71">
        <f t="shared" si="13"/>
        <v>28.142578941011134</v>
      </c>
      <c r="W71">
        <f t="shared" si="14"/>
        <v>3.8264964658205174</v>
      </c>
      <c r="X71">
        <f t="shared" si="15"/>
        <v>65.704928948144286</v>
      </c>
      <c r="Y71">
        <f t="shared" si="16"/>
        <v>2.2277686710871198</v>
      </c>
      <c r="Z71">
        <f t="shared" si="17"/>
        <v>3.3905655279611087</v>
      </c>
      <c r="AA71">
        <f t="shared" si="18"/>
        <v>1.5987277947333975</v>
      </c>
      <c r="AB71">
        <f t="shared" si="19"/>
        <v>-12.312285478557534</v>
      </c>
      <c r="AC71">
        <f t="shared" si="20"/>
        <v>-240.0408845357174</v>
      </c>
      <c r="AD71">
        <f t="shared" si="21"/>
        <v>-24.007484245620656</v>
      </c>
      <c r="AE71">
        <f t="shared" si="22"/>
        <v>-0.24674614057391864</v>
      </c>
      <c r="AF71">
        <v>0</v>
      </c>
      <c r="AG71">
        <v>0</v>
      </c>
      <c r="AH71">
        <f t="shared" si="23"/>
        <v>1</v>
      </c>
      <c r="AI71">
        <f t="shared" si="24"/>
        <v>0</v>
      </c>
      <c r="AJ71">
        <f t="shared" si="25"/>
        <v>52427.089232948594</v>
      </c>
      <c r="AK71">
        <f t="shared" si="26"/>
        <v>1799.99</v>
      </c>
      <c r="AL71">
        <f t="shared" si="27"/>
        <v>1499.1041629972699</v>
      </c>
      <c r="AM71">
        <f t="shared" si="28"/>
        <v>0.83284027299999996</v>
      </c>
      <c r="AN71">
        <f t="shared" si="29"/>
        <v>0.15339746782999997</v>
      </c>
      <c r="AO71">
        <v>31.8</v>
      </c>
      <c r="AP71">
        <v>0.5</v>
      </c>
      <c r="AQ71" t="s">
        <v>331</v>
      </c>
      <c r="AR71">
        <v>2</v>
      </c>
      <c r="AS71">
        <v>1690385945.5999999</v>
      </c>
      <c r="AT71">
        <v>773.702</v>
      </c>
      <c r="AU71">
        <v>800.01800000000003</v>
      </c>
      <c r="AV71">
        <v>22.5596</v>
      </c>
      <c r="AW71">
        <v>19.669</v>
      </c>
      <c r="AX71">
        <v>773.97299999999996</v>
      </c>
      <c r="AY71">
        <v>22.279900000000001</v>
      </c>
      <c r="AZ71">
        <v>300.21300000000002</v>
      </c>
      <c r="BA71">
        <v>98.650400000000005</v>
      </c>
      <c r="BB71">
        <v>9.9962200000000001E-2</v>
      </c>
      <c r="BC71">
        <v>26.081499999999998</v>
      </c>
      <c r="BD71">
        <v>26.995899999999999</v>
      </c>
      <c r="BE71">
        <v>27.984100000000002</v>
      </c>
      <c r="BF71">
        <v>0</v>
      </c>
      <c r="BG71">
        <v>0</v>
      </c>
      <c r="BH71">
        <v>10020.6</v>
      </c>
      <c r="BI71">
        <v>1070.46</v>
      </c>
      <c r="BJ71">
        <v>1.4577199999999999</v>
      </c>
      <c r="BK71">
        <v>-26.3154</v>
      </c>
      <c r="BL71">
        <v>791.56</v>
      </c>
      <c r="BM71">
        <v>816.06899999999996</v>
      </c>
      <c r="BN71">
        <v>2.8906200000000002</v>
      </c>
      <c r="BO71">
        <v>800.01800000000003</v>
      </c>
      <c r="BP71">
        <v>19.669</v>
      </c>
      <c r="BQ71">
        <v>2.2255099999999999</v>
      </c>
      <c r="BR71">
        <v>1.94035</v>
      </c>
      <c r="BS71">
        <v>19.147200000000002</v>
      </c>
      <c r="BT71">
        <v>16.965800000000002</v>
      </c>
      <c r="BU71">
        <v>1799.99</v>
      </c>
      <c r="BV71">
        <v>0.909999</v>
      </c>
      <c r="BW71">
        <v>3.39946E-2</v>
      </c>
      <c r="BX71">
        <v>2.2001400000000001E-2</v>
      </c>
      <c r="BY71">
        <v>3.4004899999999998E-2</v>
      </c>
      <c r="BZ71">
        <v>25</v>
      </c>
      <c r="CA71">
        <v>33528.199999999997</v>
      </c>
      <c r="CB71">
        <v>1690384821</v>
      </c>
      <c r="CC71" t="s">
        <v>332</v>
      </c>
      <c r="CD71">
        <v>1690384820</v>
      </c>
      <c r="CE71">
        <v>1690384821</v>
      </c>
      <c r="CF71">
        <v>5</v>
      </c>
      <c r="CG71">
        <v>-2.5000000000000001E-2</v>
      </c>
      <c r="CH71">
        <v>0.104</v>
      </c>
      <c r="CI71">
        <v>-0.28799999999999998</v>
      </c>
      <c r="CJ71">
        <v>0.28000000000000003</v>
      </c>
      <c r="CK71">
        <v>800</v>
      </c>
      <c r="CL71">
        <v>24</v>
      </c>
      <c r="CM71">
        <v>0.08</v>
      </c>
      <c r="CN71">
        <v>0.11</v>
      </c>
      <c r="CO71">
        <v>-24.429168292682931</v>
      </c>
      <c r="CP71">
        <v>-10.18625435540071</v>
      </c>
      <c r="CQ71">
        <v>1.0058966104654421</v>
      </c>
      <c r="CR71">
        <v>-1</v>
      </c>
      <c r="CS71">
        <v>2.821072926829268</v>
      </c>
      <c r="CT71">
        <v>0.34303233449476872</v>
      </c>
      <c r="CU71">
        <v>3.5075806563325332E-2</v>
      </c>
      <c r="CV71">
        <v>-1</v>
      </c>
      <c r="CW71">
        <v>0</v>
      </c>
      <c r="CX71">
        <v>0</v>
      </c>
      <c r="CY71" t="s">
        <v>333</v>
      </c>
      <c r="CZ71">
        <v>2.3645800000000001</v>
      </c>
      <c r="DA71">
        <v>2.7137699999999998</v>
      </c>
      <c r="DB71">
        <v>0.142905</v>
      </c>
      <c r="DC71">
        <v>0.14574799999999999</v>
      </c>
      <c r="DD71">
        <v>0.108237</v>
      </c>
      <c r="DE71">
        <v>9.7117200000000001E-2</v>
      </c>
      <c r="DF71">
        <v>31302.2</v>
      </c>
      <c r="DG71">
        <v>27538.2</v>
      </c>
      <c r="DH71">
        <v>31178</v>
      </c>
      <c r="DI71">
        <v>28089.200000000001</v>
      </c>
      <c r="DJ71">
        <v>37751</v>
      </c>
      <c r="DK71">
        <v>36062.5</v>
      </c>
      <c r="DL71">
        <v>44371.1</v>
      </c>
      <c r="DM71">
        <v>42575.5</v>
      </c>
      <c r="DN71">
        <v>1.4619500000000001</v>
      </c>
      <c r="DO71">
        <v>2.0577800000000002</v>
      </c>
      <c r="DP71">
        <v>0.113327</v>
      </c>
      <c r="DQ71">
        <v>0.191249</v>
      </c>
      <c r="DR71">
        <v>25.139700000000001</v>
      </c>
      <c r="DS71">
        <v>24.853400000000001</v>
      </c>
      <c r="DT71">
        <v>57.5</v>
      </c>
      <c r="DU71">
        <v>28.9</v>
      </c>
      <c r="DV71">
        <v>23.305800000000001</v>
      </c>
      <c r="DW71">
        <v>60.872199999999999</v>
      </c>
      <c r="DX71">
        <v>35.504800000000003</v>
      </c>
      <c r="DY71">
        <v>1</v>
      </c>
      <c r="DZ71">
        <v>-9.2002E-2</v>
      </c>
      <c r="EA71">
        <v>0.215779</v>
      </c>
      <c r="EB71">
        <v>20.190100000000001</v>
      </c>
      <c r="EC71">
        <v>5.24125</v>
      </c>
      <c r="ED71">
        <v>12.039899999999999</v>
      </c>
      <c r="EE71">
        <v>5.0174500000000002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1.8689100000000001</v>
      </c>
      <c r="EL71">
        <v>1.8646199999999999</v>
      </c>
      <c r="EM71">
        <v>1.8692</v>
      </c>
      <c r="EN71">
        <v>1.8672299999999999</v>
      </c>
      <c r="EO71">
        <v>1.8633900000000001</v>
      </c>
      <c r="EP71">
        <v>1.8644700000000001</v>
      </c>
      <c r="EQ71">
        <v>1.87019</v>
      </c>
      <c r="ER71">
        <v>1.8693900000000001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-0.27100000000000002</v>
      </c>
      <c r="FG71">
        <v>0.2797</v>
      </c>
      <c r="FH71">
        <v>0.26269369235785539</v>
      </c>
      <c r="FI71">
        <v>-6.1462078757559423E-4</v>
      </c>
      <c r="FJ71">
        <v>-1.8861989874597051E-7</v>
      </c>
      <c r="FK71">
        <v>1.1980462299894961E-10</v>
      </c>
      <c r="FL71">
        <v>0.27968571428570849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18.8</v>
      </c>
      <c r="FU71">
        <v>18.7</v>
      </c>
      <c r="FV71">
        <v>1.79565</v>
      </c>
      <c r="FW71">
        <v>2.5805699999999998</v>
      </c>
      <c r="FX71">
        <v>1.5490699999999999</v>
      </c>
      <c r="FY71">
        <v>2.3315399999999999</v>
      </c>
      <c r="FZ71">
        <v>1.50146</v>
      </c>
      <c r="GA71">
        <v>2.3645</v>
      </c>
      <c r="GB71">
        <v>33.580399999999997</v>
      </c>
      <c r="GC71">
        <v>23.982399999999998</v>
      </c>
      <c r="GD71">
        <v>19</v>
      </c>
      <c r="GE71">
        <v>276.89499999999998</v>
      </c>
      <c r="GF71">
        <v>601.048</v>
      </c>
      <c r="GG71">
        <v>23.8154</v>
      </c>
      <c r="GH71">
        <v>26.247</v>
      </c>
      <c r="GI71">
        <v>29.9999</v>
      </c>
      <c r="GJ71">
        <v>26.3614</v>
      </c>
      <c r="GK71">
        <v>26.3386</v>
      </c>
      <c r="GL71">
        <v>35.892600000000002</v>
      </c>
      <c r="GM71">
        <v>24.502199999999998</v>
      </c>
      <c r="GN71">
        <v>100</v>
      </c>
      <c r="GO71">
        <v>23.819800000000001</v>
      </c>
      <c r="GP71">
        <v>800</v>
      </c>
      <c r="GQ71">
        <v>19.5716</v>
      </c>
      <c r="GR71">
        <v>99.758700000000005</v>
      </c>
      <c r="GS71">
        <v>99.596900000000005</v>
      </c>
    </row>
    <row r="72" spans="1:201" x14ac:dyDescent="0.25">
      <c r="A72">
        <v>56</v>
      </c>
      <c r="B72">
        <v>1690385955.5999999</v>
      </c>
      <c r="C72">
        <v>621</v>
      </c>
      <c r="D72" t="s">
        <v>445</v>
      </c>
      <c r="E72" t="s">
        <v>446</v>
      </c>
      <c r="F72" t="s">
        <v>330</v>
      </c>
      <c r="H72">
        <v>1690385955.5999999</v>
      </c>
      <c r="I72">
        <f t="shared" si="0"/>
        <v>2.8983363572682337E-4</v>
      </c>
      <c r="J72">
        <f t="shared" si="1"/>
        <v>0.28983363572682336</v>
      </c>
      <c r="K72">
        <f t="shared" si="2"/>
        <v>2.4289844367041948</v>
      </c>
      <c r="L72">
        <f t="shared" si="3"/>
        <v>771.90300000000002</v>
      </c>
      <c r="M72">
        <f t="shared" si="4"/>
        <v>530.6031526561278</v>
      </c>
      <c r="N72">
        <f t="shared" si="5"/>
        <v>52.397874739425646</v>
      </c>
      <c r="O72">
        <f t="shared" si="6"/>
        <v>76.226604577299</v>
      </c>
      <c r="P72">
        <f t="shared" si="7"/>
        <v>1.74243786684459E-2</v>
      </c>
      <c r="Q72">
        <f t="shared" si="8"/>
        <v>2.1533829513191383</v>
      </c>
      <c r="R72">
        <f t="shared" si="9"/>
        <v>1.7346428341892432E-2</v>
      </c>
      <c r="S72">
        <f t="shared" si="10"/>
        <v>1.0848492083230134E-2</v>
      </c>
      <c r="T72">
        <f t="shared" si="11"/>
        <v>276.11378910398292</v>
      </c>
      <c r="U72">
        <f t="shared" si="12"/>
        <v>28.151072413509109</v>
      </c>
      <c r="V72">
        <f t="shared" si="13"/>
        <v>28.151072413509109</v>
      </c>
      <c r="W72">
        <f t="shared" si="14"/>
        <v>3.8283895196402162</v>
      </c>
      <c r="X72">
        <f t="shared" si="15"/>
        <v>65.717141845993865</v>
      </c>
      <c r="Y72">
        <f t="shared" si="16"/>
        <v>2.2289998525693999</v>
      </c>
      <c r="Z72">
        <f t="shared" si="17"/>
        <v>3.3918088796268613</v>
      </c>
      <c r="AA72">
        <f t="shared" si="18"/>
        <v>1.5993896670708163</v>
      </c>
      <c r="AB72">
        <f t="shared" si="19"/>
        <v>-12.78166333555291</v>
      </c>
      <c r="AC72">
        <f t="shared" si="20"/>
        <v>-239.5434684575101</v>
      </c>
      <c r="AD72">
        <f t="shared" si="21"/>
        <v>-24.035964384543263</v>
      </c>
      <c r="AE72">
        <f t="shared" si="22"/>
        <v>-0.2473070736233467</v>
      </c>
      <c r="AF72">
        <v>0</v>
      </c>
      <c r="AG72">
        <v>0</v>
      </c>
      <c r="AH72">
        <f t="shared" si="23"/>
        <v>1</v>
      </c>
      <c r="AI72">
        <f t="shared" si="24"/>
        <v>0</v>
      </c>
      <c r="AJ72">
        <f t="shared" si="25"/>
        <v>52138.057066093665</v>
      </c>
      <c r="AK72">
        <f t="shared" si="26"/>
        <v>1799.99</v>
      </c>
      <c r="AL72">
        <f t="shared" si="27"/>
        <v>1499.1053023909401</v>
      </c>
      <c r="AM72">
        <f t="shared" si="28"/>
        <v>0.83284090600000005</v>
      </c>
      <c r="AN72">
        <f t="shared" si="29"/>
        <v>0.15339740171000002</v>
      </c>
      <c r="AO72">
        <v>31.8</v>
      </c>
      <c r="AP72">
        <v>0.5</v>
      </c>
      <c r="AQ72" t="s">
        <v>331</v>
      </c>
      <c r="AR72">
        <v>2</v>
      </c>
      <c r="AS72">
        <v>1690385955.5999999</v>
      </c>
      <c r="AT72">
        <v>771.90300000000002</v>
      </c>
      <c r="AU72">
        <v>800.00400000000002</v>
      </c>
      <c r="AV72">
        <v>22.5718</v>
      </c>
      <c r="AW72">
        <v>19.570799999999998</v>
      </c>
      <c r="AX72">
        <v>772.17200000000003</v>
      </c>
      <c r="AY72">
        <v>22.292100000000001</v>
      </c>
      <c r="AZ72">
        <v>300.18900000000002</v>
      </c>
      <c r="BA72">
        <v>98.651499999999999</v>
      </c>
      <c r="BB72">
        <v>0.100033</v>
      </c>
      <c r="BC72">
        <v>26.087700000000002</v>
      </c>
      <c r="BD72">
        <v>26.964700000000001</v>
      </c>
      <c r="BE72">
        <v>27.998200000000001</v>
      </c>
      <c r="BF72">
        <v>0</v>
      </c>
      <c r="BG72">
        <v>0</v>
      </c>
      <c r="BH72">
        <v>9963.1200000000008</v>
      </c>
      <c r="BI72">
        <v>1070.5</v>
      </c>
      <c r="BJ72">
        <v>1.4577199999999999</v>
      </c>
      <c r="BK72">
        <v>-28.101299999999998</v>
      </c>
      <c r="BL72">
        <v>789.72799999999995</v>
      </c>
      <c r="BM72">
        <v>815.97299999999996</v>
      </c>
      <c r="BN72">
        <v>3.0009299999999999</v>
      </c>
      <c r="BO72">
        <v>800.00400000000002</v>
      </c>
      <c r="BP72">
        <v>19.570799999999998</v>
      </c>
      <c r="BQ72">
        <v>2.2267399999999999</v>
      </c>
      <c r="BR72">
        <v>1.93069</v>
      </c>
      <c r="BS72">
        <v>19.155999999999999</v>
      </c>
      <c r="BT72">
        <v>16.8871</v>
      </c>
      <c r="BU72">
        <v>1799.99</v>
      </c>
      <c r="BV72">
        <v>0.91000400000000004</v>
      </c>
      <c r="BW72">
        <v>3.3992799999999997E-2</v>
      </c>
      <c r="BX72">
        <v>2.20003E-2</v>
      </c>
      <c r="BY72">
        <v>3.4003100000000001E-2</v>
      </c>
      <c r="BZ72">
        <v>25</v>
      </c>
      <c r="CA72">
        <v>33528.300000000003</v>
      </c>
      <c r="CB72">
        <v>1690384821</v>
      </c>
      <c r="CC72" t="s">
        <v>332</v>
      </c>
      <c r="CD72">
        <v>1690384820</v>
      </c>
      <c r="CE72">
        <v>1690384821</v>
      </c>
      <c r="CF72">
        <v>5</v>
      </c>
      <c r="CG72">
        <v>-2.5000000000000001E-2</v>
      </c>
      <c r="CH72">
        <v>0.104</v>
      </c>
      <c r="CI72">
        <v>-0.28799999999999998</v>
      </c>
      <c r="CJ72">
        <v>0.28000000000000003</v>
      </c>
      <c r="CK72">
        <v>800</v>
      </c>
      <c r="CL72">
        <v>24</v>
      </c>
      <c r="CM72">
        <v>0.08</v>
      </c>
      <c r="CN72">
        <v>0.11</v>
      </c>
      <c r="CO72">
        <v>-26.2905525</v>
      </c>
      <c r="CP72">
        <v>-10.513840525328281</v>
      </c>
      <c r="CQ72">
        <v>1.011942720213822</v>
      </c>
      <c r="CR72">
        <v>-1</v>
      </c>
      <c r="CS72">
        <v>2.8994152500000001</v>
      </c>
      <c r="CT72">
        <v>0.59737294559099241</v>
      </c>
      <c r="CU72">
        <v>5.8538677598127378E-2</v>
      </c>
      <c r="CV72">
        <v>-1</v>
      </c>
      <c r="CW72">
        <v>0</v>
      </c>
      <c r="CX72">
        <v>0</v>
      </c>
      <c r="CY72" t="s">
        <v>333</v>
      </c>
      <c r="CZ72">
        <v>2.36449</v>
      </c>
      <c r="DA72">
        <v>2.7137899999999999</v>
      </c>
      <c r="DB72">
        <v>0.14268400000000001</v>
      </c>
      <c r="DC72">
        <v>0.14574699999999999</v>
      </c>
      <c r="DD72">
        <v>0.108281</v>
      </c>
      <c r="DE72">
        <v>9.6774399999999997E-2</v>
      </c>
      <c r="DF72">
        <v>31310.3</v>
      </c>
      <c r="DG72">
        <v>27538.3</v>
      </c>
      <c r="DH72">
        <v>31178</v>
      </c>
      <c r="DI72">
        <v>28089.3</v>
      </c>
      <c r="DJ72">
        <v>37749.1</v>
      </c>
      <c r="DK72">
        <v>36076.400000000001</v>
      </c>
      <c r="DL72">
        <v>44371.1</v>
      </c>
      <c r="DM72">
        <v>42575.7</v>
      </c>
      <c r="DN72">
        <v>1.4620500000000001</v>
      </c>
      <c r="DO72">
        <v>2.0577000000000001</v>
      </c>
      <c r="DP72">
        <v>0.111707</v>
      </c>
      <c r="DQ72">
        <v>0.192109</v>
      </c>
      <c r="DR72">
        <v>25.135000000000002</v>
      </c>
      <c r="DS72">
        <v>24.853400000000001</v>
      </c>
      <c r="DT72">
        <v>57.5</v>
      </c>
      <c r="DU72">
        <v>28.9</v>
      </c>
      <c r="DV72">
        <v>23.307300000000001</v>
      </c>
      <c r="DW72">
        <v>61.252200000000002</v>
      </c>
      <c r="DX72">
        <v>35.769199999999998</v>
      </c>
      <c r="DY72">
        <v>1</v>
      </c>
      <c r="DZ72">
        <v>-9.1003600000000004E-2</v>
      </c>
      <c r="EA72">
        <v>1.90286</v>
      </c>
      <c r="EB72">
        <v>20.174099999999999</v>
      </c>
      <c r="EC72">
        <v>5.2409499999999998</v>
      </c>
      <c r="ED72">
        <v>12.039899999999999</v>
      </c>
      <c r="EE72">
        <v>5.01675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1.8689100000000001</v>
      </c>
      <c r="EL72">
        <v>1.8646199999999999</v>
      </c>
      <c r="EM72">
        <v>1.8692</v>
      </c>
      <c r="EN72">
        <v>1.86724</v>
      </c>
      <c r="EO72">
        <v>1.8633900000000001</v>
      </c>
      <c r="EP72">
        <v>1.8644700000000001</v>
      </c>
      <c r="EQ72">
        <v>1.87018</v>
      </c>
      <c r="ER72">
        <v>1.8693599999999999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-0.26900000000000002</v>
      </c>
      <c r="FG72">
        <v>0.2797</v>
      </c>
      <c r="FH72">
        <v>0.26269369235785539</v>
      </c>
      <c r="FI72">
        <v>-6.1462078757559423E-4</v>
      </c>
      <c r="FJ72">
        <v>-1.8861989874597051E-7</v>
      </c>
      <c r="FK72">
        <v>1.1980462299894961E-10</v>
      </c>
      <c r="FL72">
        <v>0.27968571428570849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18.899999999999999</v>
      </c>
      <c r="FU72">
        <v>18.899999999999999</v>
      </c>
      <c r="FV72">
        <v>1.79565</v>
      </c>
      <c r="FW72">
        <v>2.5781200000000002</v>
      </c>
      <c r="FX72">
        <v>1.5490699999999999</v>
      </c>
      <c r="FY72">
        <v>2.3315399999999999</v>
      </c>
      <c r="FZ72">
        <v>1.50146</v>
      </c>
      <c r="GA72">
        <v>2.3913600000000002</v>
      </c>
      <c r="GB72">
        <v>33.580399999999997</v>
      </c>
      <c r="GC72">
        <v>23.982399999999998</v>
      </c>
      <c r="GD72">
        <v>19</v>
      </c>
      <c r="GE72">
        <v>276.91699999999997</v>
      </c>
      <c r="GF72">
        <v>600.94000000000005</v>
      </c>
      <c r="GG72">
        <v>23.720400000000001</v>
      </c>
      <c r="GH72">
        <v>26.240400000000001</v>
      </c>
      <c r="GI72">
        <v>30.000800000000002</v>
      </c>
      <c r="GJ72">
        <v>26.357099999999999</v>
      </c>
      <c r="GK72">
        <v>26.334700000000002</v>
      </c>
      <c r="GL72">
        <v>35.890999999999998</v>
      </c>
      <c r="GM72">
        <v>24.502199999999998</v>
      </c>
      <c r="GN72">
        <v>100</v>
      </c>
      <c r="GO72">
        <v>23.4239</v>
      </c>
      <c r="GP72">
        <v>800</v>
      </c>
      <c r="GQ72">
        <v>19.515000000000001</v>
      </c>
      <c r="GR72">
        <v>99.758799999999994</v>
      </c>
      <c r="GS72">
        <v>99.597499999999997</v>
      </c>
    </row>
    <row r="73" spans="1:201" x14ac:dyDescent="0.25">
      <c r="A73">
        <v>57</v>
      </c>
      <c r="B73">
        <v>1690385965.5999999</v>
      </c>
      <c r="C73">
        <v>631</v>
      </c>
      <c r="D73" t="s">
        <v>447</v>
      </c>
      <c r="E73" t="s">
        <v>448</v>
      </c>
      <c r="F73" t="s">
        <v>330</v>
      </c>
      <c r="H73">
        <v>1690385965.5999999</v>
      </c>
      <c r="I73">
        <f t="shared" si="0"/>
        <v>2.8639099339477559E-4</v>
      </c>
      <c r="J73">
        <f t="shared" si="1"/>
        <v>0.28639099339477558</v>
      </c>
      <c r="K73">
        <f t="shared" si="2"/>
        <v>2.6165481156148975</v>
      </c>
      <c r="L73">
        <f t="shared" si="3"/>
        <v>769.928</v>
      </c>
      <c r="M73">
        <f t="shared" si="4"/>
        <v>509.0291943822474</v>
      </c>
      <c r="N73">
        <f t="shared" si="5"/>
        <v>50.268161559917665</v>
      </c>
      <c r="O73">
        <f t="shared" si="6"/>
        <v>76.032702093783996</v>
      </c>
      <c r="P73">
        <f t="shared" si="7"/>
        <v>1.7234614025315793E-2</v>
      </c>
      <c r="Q73">
        <f t="shared" si="8"/>
        <v>2.1611831131844532</v>
      </c>
      <c r="R73">
        <f t="shared" si="9"/>
        <v>1.7158622266647452E-2</v>
      </c>
      <c r="S73">
        <f t="shared" si="10"/>
        <v>1.0730938455966087E-2</v>
      </c>
      <c r="T73">
        <f t="shared" si="11"/>
        <v>276.11362582689003</v>
      </c>
      <c r="U73">
        <f t="shared" si="12"/>
        <v>28.123620940204617</v>
      </c>
      <c r="V73">
        <f t="shared" si="13"/>
        <v>28.123620940204617</v>
      </c>
      <c r="W73">
        <f t="shared" si="14"/>
        <v>3.8222739879557861</v>
      </c>
      <c r="X73">
        <f t="shared" si="15"/>
        <v>65.668603797788933</v>
      </c>
      <c r="Y73">
        <f t="shared" si="16"/>
        <v>2.2244706443768001</v>
      </c>
      <c r="Z73">
        <f t="shared" si="17"/>
        <v>3.3874188207602764</v>
      </c>
      <c r="AA73">
        <f t="shared" si="18"/>
        <v>1.597803343578986</v>
      </c>
      <c r="AB73">
        <f t="shared" si="19"/>
        <v>-12.629842808709604</v>
      </c>
      <c r="AC73">
        <f t="shared" si="20"/>
        <v>-239.7643399078874</v>
      </c>
      <c r="AD73">
        <f t="shared" si="21"/>
        <v>-23.965382243630124</v>
      </c>
      <c r="AE73">
        <f t="shared" si="22"/>
        <v>-0.24593913333711725</v>
      </c>
      <c r="AF73">
        <v>0</v>
      </c>
      <c r="AG73">
        <v>0</v>
      </c>
      <c r="AH73">
        <f t="shared" si="23"/>
        <v>1</v>
      </c>
      <c r="AI73">
        <f t="shared" si="24"/>
        <v>0</v>
      </c>
      <c r="AJ73">
        <f t="shared" si="25"/>
        <v>52468.838383218987</v>
      </c>
      <c r="AK73">
        <f t="shared" si="26"/>
        <v>1799.99</v>
      </c>
      <c r="AL73">
        <f t="shared" si="27"/>
        <v>1499.1055975893</v>
      </c>
      <c r="AM73">
        <f t="shared" si="28"/>
        <v>0.83284106999999996</v>
      </c>
      <c r="AN73">
        <f t="shared" si="29"/>
        <v>0.15339731100000001</v>
      </c>
      <c r="AO73">
        <v>31.8</v>
      </c>
      <c r="AP73">
        <v>0.5</v>
      </c>
      <c r="AQ73" t="s">
        <v>331</v>
      </c>
      <c r="AR73">
        <v>2</v>
      </c>
      <c r="AS73">
        <v>1690385965.5999999</v>
      </c>
      <c r="AT73">
        <v>769.928</v>
      </c>
      <c r="AU73">
        <v>799.99400000000003</v>
      </c>
      <c r="AV73">
        <v>22.525600000000001</v>
      </c>
      <c r="AW73">
        <v>19.558900000000001</v>
      </c>
      <c r="AX73">
        <v>770.19600000000003</v>
      </c>
      <c r="AY73">
        <v>22.245899999999999</v>
      </c>
      <c r="AZ73">
        <v>300.06700000000001</v>
      </c>
      <c r="BA73">
        <v>98.653000000000006</v>
      </c>
      <c r="BB73">
        <v>0.10000299999999999</v>
      </c>
      <c r="BC73">
        <v>26.065799999999999</v>
      </c>
      <c r="BD73">
        <v>26.9221</v>
      </c>
      <c r="BE73">
        <v>27.994199999999999</v>
      </c>
      <c r="BF73">
        <v>0</v>
      </c>
      <c r="BG73">
        <v>0</v>
      </c>
      <c r="BH73">
        <v>10028.1</v>
      </c>
      <c r="BI73">
        <v>1070.55</v>
      </c>
      <c r="BJ73">
        <v>1.4577199999999999</v>
      </c>
      <c r="BK73">
        <v>-30.066199999999998</v>
      </c>
      <c r="BL73">
        <v>787.67100000000005</v>
      </c>
      <c r="BM73">
        <v>815.95399999999995</v>
      </c>
      <c r="BN73">
        <v>2.9666199999999998</v>
      </c>
      <c r="BO73">
        <v>799.99400000000003</v>
      </c>
      <c r="BP73">
        <v>19.558900000000001</v>
      </c>
      <c r="BQ73">
        <v>2.22221</v>
      </c>
      <c r="BR73">
        <v>1.9295500000000001</v>
      </c>
      <c r="BS73">
        <v>19.1234</v>
      </c>
      <c r="BT73">
        <v>16.877800000000001</v>
      </c>
      <c r="BU73">
        <v>1799.99</v>
      </c>
      <c r="BV73">
        <v>0.91000700000000001</v>
      </c>
      <c r="BW73">
        <v>3.3993299999999997E-2</v>
      </c>
      <c r="BX73">
        <v>2.1999000000000001E-2</v>
      </c>
      <c r="BY73">
        <v>3.4001000000000003E-2</v>
      </c>
      <c r="BZ73">
        <v>25</v>
      </c>
      <c r="CA73">
        <v>33528.300000000003</v>
      </c>
      <c r="CB73">
        <v>1690384821</v>
      </c>
      <c r="CC73" t="s">
        <v>332</v>
      </c>
      <c r="CD73">
        <v>1690384820</v>
      </c>
      <c r="CE73">
        <v>1690384821</v>
      </c>
      <c r="CF73">
        <v>5</v>
      </c>
      <c r="CG73">
        <v>-2.5000000000000001E-2</v>
      </c>
      <c r="CH73">
        <v>0.104</v>
      </c>
      <c r="CI73">
        <v>-0.28799999999999998</v>
      </c>
      <c r="CJ73">
        <v>0.28000000000000003</v>
      </c>
      <c r="CK73">
        <v>800</v>
      </c>
      <c r="CL73">
        <v>24</v>
      </c>
      <c r="CM73">
        <v>0.08</v>
      </c>
      <c r="CN73">
        <v>0.11</v>
      </c>
      <c r="CO73">
        <v>-27.916657499999999</v>
      </c>
      <c r="CP73">
        <v>-11.175294934333881</v>
      </c>
      <c r="CQ73">
        <v>1.0755089680908061</v>
      </c>
      <c r="CR73">
        <v>-1</v>
      </c>
      <c r="CS73">
        <v>2.96337925</v>
      </c>
      <c r="CT73">
        <v>0.32198983114445051</v>
      </c>
      <c r="CU73">
        <v>4.0521972767098832E-2</v>
      </c>
      <c r="CV73">
        <v>-1</v>
      </c>
      <c r="CW73">
        <v>0</v>
      </c>
      <c r="CX73">
        <v>0</v>
      </c>
      <c r="CY73" t="s">
        <v>333</v>
      </c>
      <c r="CZ73">
        <v>2.3641200000000002</v>
      </c>
      <c r="DA73">
        <v>2.7138200000000001</v>
      </c>
      <c r="DB73">
        <v>0.14244299999999999</v>
      </c>
      <c r="DC73">
        <v>0.14574899999999999</v>
      </c>
      <c r="DD73">
        <v>0.108126</v>
      </c>
      <c r="DE73">
        <v>9.6735199999999993E-2</v>
      </c>
      <c r="DF73">
        <v>31319.4</v>
      </c>
      <c r="DG73">
        <v>27538.5</v>
      </c>
      <c r="DH73">
        <v>31178.3</v>
      </c>
      <c r="DI73">
        <v>28089.599999999999</v>
      </c>
      <c r="DJ73">
        <v>37756.199999999997</v>
      </c>
      <c r="DK73">
        <v>36078.5</v>
      </c>
      <c r="DL73">
        <v>44371.8</v>
      </c>
      <c r="DM73">
        <v>42576.3</v>
      </c>
      <c r="DN73">
        <v>1.46183</v>
      </c>
      <c r="DO73">
        <v>2.05783</v>
      </c>
      <c r="DP73">
        <v>0.10933</v>
      </c>
      <c r="DQ73">
        <v>0.19186400000000001</v>
      </c>
      <c r="DR73">
        <v>25.1313</v>
      </c>
      <c r="DS73">
        <v>24.853400000000001</v>
      </c>
      <c r="DT73">
        <v>57.5</v>
      </c>
      <c r="DU73">
        <v>28.8</v>
      </c>
      <c r="DV73">
        <v>23.170300000000001</v>
      </c>
      <c r="DW73">
        <v>60.7622</v>
      </c>
      <c r="DX73">
        <v>36.630600000000001</v>
      </c>
      <c r="DY73">
        <v>1</v>
      </c>
      <c r="DZ73">
        <v>-9.2002E-2</v>
      </c>
      <c r="EA73">
        <v>0.52082799999999996</v>
      </c>
      <c r="EB73">
        <v>20.188600000000001</v>
      </c>
      <c r="EC73">
        <v>5.24125</v>
      </c>
      <c r="ED73">
        <v>12.039899999999999</v>
      </c>
      <c r="EE73">
        <v>5.0170000000000003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1.8689199999999999</v>
      </c>
      <c r="EL73">
        <v>1.8646199999999999</v>
      </c>
      <c r="EM73">
        <v>1.8692</v>
      </c>
      <c r="EN73">
        <v>1.86724</v>
      </c>
      <c r="EO73">
        <v>1.8633999999999999</v>
      </c>
      <c r="EP73">
        <v>1.8644700000000001</v>
      </c>
      <c r="EQ73">
        <v>1.8702099999999999</v>
      </c>
      <c r="ER73">
        <v>1.86938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-0.26800000000000002</v>
      </c>
      <c r="FG73">
        <v>0.2797</v>
      </c>
      <c r="FH73">
        <v>0.26269369235785539</v>
      </c>
      <c r="FI73">
        <v>-6.1462078757559423E-4</v>
      </c>
      <c r="FJ73">
        <v>-1.8861989874597051E-7</v>
      </c>
      <c r="FK73">
        <v>1.1980462299894961E-10</v>
      </c>
      <c r="FL73">
        <v>0.27968571428570849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19.100000000000001</v>
      </c>
      <c r="FU73">
        <v>19.100000000000001</v>
      </c>
      <c r="FV73">
        <v>1.79443</v>
      </c>
      <c r="FW73">
        <v>2.5805699999999998</v>
      </c>
      <c r="FX73">
        <v>1.5490699999999999</v>
      </c>
      <c r="FY73">
        <v>2.3315399999999999</v>
      </c>
      <c r="FZ73">
        <v>1.50146</v>
      </c>
      <c r="GA73">
        <v>2.4072300000000002</v>
      </c>
      <c r="GB73">
        <v>33.580399999999997</v>
      </c>
      <c r="GC73">
        <v>23.982399999999998</v>
      </c>
      <c r="GD73">
        <v>19</v>
      </c>
      <c r="GE73">
        <v>276.80399999999997</v>
      </c>
      <c r="GF73">
        <v>601.01900000000001</v>
      </c>
      <c r="GG73">
        <v>23.465800000000002</v>
      </c>
      <c r="GH73">
        <v>26.234300000000001</v>
      </c>
      <c r="GI73">
        <v>29.999400000000001</v>
      </c>
      <c r="GJ73">
        <v>26.352599999999999</v>
      </c>
      <c r="GK73">
        <v>26.3325</v>
      </c>
      <c r="GL73">
        <v>35.891300000000001</v>
      </c>
      <c r="GM73">
        <v>24.502199999999998</v>
      </c>
      <c r="GN73">
        <v>100</v>
      </c>
      <c r="GO73">
        <v>23.5412</v>
      </c>
      <c r="GP73">
        <v>800</v>
      </c>
      <c r="GQ73">
        <v>19.503399999999999</v>
      </c>
      <c r="GR73">
        <v>99.76</v>
      </c>
      <c r="GS73">
        <v>99.598699999999994</v>
      </c>
    </row>
    <row r="74" spans="1:201" x14ac:dyDescent="0.25">
      <c r="A74">
        <v>58</v>
      </c>
      <c r="B74">
        <v>1690385975.5999999</v>
      </c>
      <c r="C74">
        <v>641</v>
      </c>
      <c r="D74" t="s">
        <v>449</v>
      </c>
      <c r="E74" t="s">
        <v>450</v>
      </c>
      <c r="F74" t="s">
        <v>330</v>
      </c>
      <c r="H74">
        <v>1690385975.5999999</v>
      </c>
      <c r="I74">
        <f t="shared" si="0"/>
        <v>2.8952834694026791E-4</v>
      </c>
      <c r="J74">
        <f t="shared" si="1"/>
        <v>0.28952834694026791</v>
      </c>
      <c r="K74">
        <f t="shared" si="2"/>
        <v>2.8116442284223853</v>
      </c>
      <c r="L74">
        <f t="shared" si="3"/>
        <v>767.89800000000002</v>
      </c>
      <c r="M74">
        <f t="shared" si="4"/>
        <v>492.78325893561595</v>
      </c>
      <c r="N74">
        <f t="shared" si="5"/>
        <v>48.663808119368127</v>
      </c>
      <c r="O74">
        <f t="shared" si="6"/>
        <v>75.832204624729201</v>
      </c>
      <c r="P74">
        <f t="shared" si="7"/>
        <v>1.7480181967004155E-2</v>
      </c>
      <c r="Q74">
        <f t="shared" si="8"/>
        <v>2.1616368119554163</v>
      </c>
      <c r="R74">
        <f t="shared" si="9"/>
        <v>1.7402030866876205E-2</v>
      </c>
      <c r="S74">
        <f t="shared" si="10"/>
        <v>1.0883261643114862E-2</v>
      </c>
      <c r="T74">
        <f t="shared" si="11"/>
        <v>276.11523001800003</v>
      </c>
      <c r="U74">
        <f t="shared" si="12"/>
        <v>28.109483639072486</v>
      </c>
      <c r="V74">
        <f t="shared" si="13"/>
        <v>28.109483639072486</v>
      </c>
      <c r="W74">
        <f t="shared" si="14"/>
        <v>3.8191278613409088</v>
      </c>
      <c r="X74">
        <f t="shared" si="15"/>
        <v>65.775107898780703</v>
      </c>
      <c r="Y74">
        <f t="shared" si="16"/>
        <v>2.2264053555360803</v>
      </c>
      <c r="Z74">
        <f t="shared" si="17"/>
        <v>3.3848752615689008</v>
      </c>
      <c r="AA74">
        <f t="shared" si="18"/>
        <v>1.5927225058048284</v>
      </c>
      <c r="AB74">
        <f t="shared" si="19"/>
        <v>-12.768200100065815</v>
      </c>
      <c r="AC74">
        <f t="shared" si="20"/>
        <v>-239.64717337849649</v>
      </c>
      <c r="AD74">
        <f t="shared" si="21"/>
        <v>-23.945430640091935</v>
      </c>
      <c r="AE74">
        <f t="shared" si="22"/>
        <v>-0.24557410065420981</v>
      </c>
      <c r="AF74">
        <v>0</v>
      </c>
      <c r="AG74">
        <v>0</v>
      </c>
      <c r="AH74">
        <f t="shared" si="23"/>
        <v>1</v>
      </c>
      <c r="AI74">
        <f t="shared" si="24"/>
        <v>0</v>
      </c>
      <c r="AJ74">
        <f t="shared" si="25"/>
        <v>52490.122566769445</v>
      </c>
      <c r="AK74">
        <f t="shared" si="26"/>
        <v>1800</v>
      </c>
      <c r="AL74">
        <f t="shared" si="27"/>
        <v>1499.1100038</v>
      </c>
      <c r="AM74">
        <f t="shared" si="28"/>
        <v>0.83283889099999997</v>
      </c>
      <c r="AN74">
        <f t="shared" si="29"/>
        <v>0.15339735001000002</v>
      </c>
      <c r="AO74">
        <v>31.8</v>
      </c>
      <c r="AP74">
        <v>0.5</v>
      </c>
      <c r="AQ74" t="s">
        <v>331</v>
      </c>
      <c r="AR74">
        <v>2</v>
      </c>
      <c r="AS74">
        <v>1690385975.5999999</v>
      </c>
      <c r="AT74">
        <v>767.89800000000002</v>
      </c>
      <c r="AU74">
        <v>800.04300000000001</v>
      </c>
      <c r="AV74">
        <v>22.545200000000001</v>
      </c>
      <c r="AW74">
        <v>19.546800000000001</v>
      </c>
      <c r="AX74">
        <v>768.16399999999999</v>
      </c>
      <c r="AY74">
        <v>22.265499999999999</v>
      </c>
      <c r="AZ74">
        <v>300.14100000000002</v>
      </c>
      <c r="BA74">
        <v>98.653000000000006</v>
      </c>
      <c r="BB74">
        <v>9.9965399999999996E-2</v>
      </c>
      <c r="BC74">
        <v>26.053100000000001</v>
      </c>
      <c r="BD74">
        <v>26.943300000000001</v>
      </c>
      <c r="BE74">
        <v>27.981999999999999</v>
      </c>
      <c r="BF74">
        <v>0</v>
      </c>
      <c r="BG74">
        <v>0</v>
      </c>
      <c r="BH74">
        <v>10031.9</v>
      </c>
      <c r="BI74">
        <v>1070.56</v>
      </c>
      <c r="BJ74">
        <v>1.4577199999999999</v>
      </c>
      <c r="BK74">
        <v>-32.145400000000002</v>
      </c>
      <c r="BL74">
        <v>785.60900000000004</v>
      </c>
      <c r="BM74">
        <v>815.99300000000005</v>
      </c>
      <c r="BN74">
        <v>2.9984099999999998</v>
      </c>
      <c r="BO74">
        <v>800.04300000000001</v>
      </c>
      <c r="BP74">
        <v>19.546800000000001</v>
      </c>
      <c r="BQ74">
        <v>2.2241499999999998</v>
      </c>
      <c r="BR74">
        <v>1.92835</v>
      </c>
      <c r="BS74">
        <v>19.1373</v>
      </c>
      <c r="BT74">
        <v>16.867899999999999</v>
      </c>
      <c r="BU74">
        <v>1800</v>
      </c>
      <c r="BV74">
        <v>0.90999399999999997</v>
      </c>
      <c r="BW74">
        <v>3.40091E-2</v>
      </c>
      <c r="BX74">
        <v>2.1997800000000001E-2</v>
      </c>
      <c r="BY74">
        <v>3.3999300000000003E-2</v>
      </c>
      <c r="BZ74">
        <v>25</v>
      </c>
      <c r="CA74">
        <v>33528.300000000003</v>
      </c>
      <c r="CB74">
        <v>1690384821</v>
      </c>
      <c r="CC74" t="s">
        <v>332</v>
      </c>
      <c r="CD74">
        <v>1690384820</v>
      </c>
      <c r="CE74">
        <v>1690384821</v>
      </c>
      <c r="CF74">
        <v>5</v>
      </c>
      <c r="CG74">
        <v>-2.5000000000000001E-2</v>
      </c>
      <c r="CH74">
        <v>0.104</v>
      </c>
      <c r="CI74">
        <v>-0.28799999999999998</v>
      </c>
      <c r="CJ74">
        <v>0.28000000000000003</v>
      </c>
      <c r="CK74">
        <v>800</v>
      </c>
      <c r="CL74">
        <v>24</v>
      </c>
      <c r="CM74">
        <v>0.08</v>
      </c>
      <c r="CN74">
        <v>0.11</v>
      </c>
      <c r="CO74">
        <v>-29.878429268292681</v>
      </c>
      <c r="CP74">
        <v>-11.839898257839749</v>
      </c>
      <c r="CQ74">
        <v>1.167614076788259</v>
      </c>
      <c r="CR74">
        <v>-1</v>
      </c>
      <c r="CS74">
        <v>2.982757073170732</v>
      </c>
      <c r="CT74">
        <v>-7.3271916376303675E-2</v>
      </c>
      <c r="CU74">
        <v>1.255895370892568E-2</v>
      </c>
      <c r="CV74">
        <v>-1</v>
      </c>
      <c r="CW74">
        <v>0</v>
      </c>
      <c r="CX74">
        <v>0</v>
      </c>
      <c r="CY74" t="s">
        <v>333</v>
      </c>
      <c r="CZ74">
        <v>2.36435</v>
      </c>
      <c r="DA74">
        <v>2.7137799999999999</v>
      </c>
      <c r="DB74">
        <v>0.14219000000000001</v>
      </c>
      <c r="DC74">
        <v>0.145755</v>
      </c>
      <c r="DD74">
        <v>0.108193</v>
      </c>
      <c r="DE74">
        <v>9.6692200000000006E-2</v>
      </c>
      <c r="DF74">
        <v>31328.9</v>
      </c>
      <c r="DG74">
        <v>27539.200000000001</v>
      </c>
      <c r="DH74">
        <v>31178.5</v>
      </c>
      <c r="DI74">
        <v>28090.400000000001</v>
      </c>
      <c r="DJ74">
        <v>37753.5</v>
      </c>
      <c r="DK74">
        <v>36081.1</v>
      </c>
      <c r="DL74">
        <v>44372</v>
      </c>
      <c r="DM74">
        <v>42577.4</v>
      </c>
      <c r="DN74">
        <v>1.4619500000000001</v>
      </c>
      <c r="DO74">
        <v>2.0578799999999999</v>
      </c>
      <c r="DP74">
        <v>0.11094999999999999</v>
      </c>
      <c r="DQ74">
        <v>0.191305</v>
      </c>
      <c r="DR74">
        <v>25.126000000000001</v>
      </c>
      <c r="DS74">
        <v>24.850300000000001</v>
      </c>
      <c r="DT74">
        <v>57.4</v>
      </c>
      <c r="DU74">
        <v>28.8</v>
      </c>
      <c r="DV74">
        <v>23.131900000000002</v>
      </c>
      <c r="DW74">
        <v>60.5122</v>
      </c>
      <c r="DX74">
        <v>36.718800000000002</v>
      </c>
      <c r="DY74">
        <v>1</v>
      </c>
      <c r="DZ74">
        <v>-9.2904E-2</v>
      </c>
      <c r="EA74">
        <v>0.13678399999999999</v>
      </c>
      <c r="EB74">
        <v>20.190100000000001</v>
      </c>
      <c r="EC74">
        <v>5.2409499999999998</v>
      </c>
      <c r="ED74">
        <v>12.039899999999999</v>
      </c>
      <c r="EE74">
        <v>5.0167000000000002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</v>
      </c>
      <c r="EL74">
        <v>1.8646199999999999</v>
      </c>
      <c r="EM74">
        <v>1.8692</v>
      </c>
      <c r="EN74">
        <v>1.8672299999999999</v>
      </c>
      <c r="EO74">
        <v>1.8633999999999999</v>
      </c>
      <c r="EP74">
        <v>1.8644700000000001</v>
      </c>
      <c r="EQ74">
        <v>1.8702099999999999</v>
      </c>
      <c r="ER74">
        <v>1.8693900000000001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-0.26600000000000001</v>
      </c>
      <c r="FG74">
        <v>0.2797</v>
      </c>
      <c r="FH74">
        <v>0.26269369235785539</v>
      </c>
      <c r="FI74">
        <v>-6.1462078757559423E-4</v>
      </c>
      <c r="FJ74">
        <v>-1.8861989874597051E-7</v>
      </c>
      <c r="FK74">
        <v>1.1980462299894961E-10</v>
      </c>
      <c r="FL74">
        <v>0.27968571428570849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19.3</v>
      </c>
      <c r="FU74">
        <v>19.2</v>
      </c>
      <c r="FV74">
        <v>1.79443</v>
      </c>
      <c r="FW74">
        <v>2.5769000000000002</v>
      </c>
      <c r="FX74">
        <v>1.5490699999999999</v>
      </c>
      <c r="FY74">
        <v>2.3327599999999999</v>
      </c>
      <c r="FZ74">
        <v>1.50146</v>
      </c>
      <c r="GA74">
        <v>2.36938</v>
      </c>
      <c r="GB74">
        <v>33.580399999999997</v>
      </c>
      <c r="GC74">
        <v>23.982399999999998</v>
      </c>
      <c r="GD74">
        <v>19</v>
      </c>
      <c r="GE74">
        <v>276.84399999999999</v>
      </c>
      <c r="GF74">
        <v>601.03499999999997</v>
      </c>
      <c r="GG74">
        <v>23.598400000000002</v>
      </c>
      <c r="GH74">
        <v>26.227699999999999</v>
      </c>
      <c r="GI74">
        <v>29.999700000000001</v>
      </c>
      <c r="GJ74">
        <v>26.349799999999998</v>
      </c>
      <c r="GK74">
        <v>26.330200000000001</v>
      </c>
      <c r="GL74">
        <v>35.889000000000003</v>
      </c>
      <c r="GM74">
        <v>24.776199999999999</v>
      </c>
      <c r="GN74">
        <v>100</v>
      </c>
      <c r="GO74">
        <v>23.6462</v>
      </c>
      <c r="GP74">
        <v>800</v>
      </c>
      <c r="GQ74">
        <v>19.4377</v>
      </c>
      <c r="GR74">
        <v>99.760599999999997</v>
      </c>
      <c r="GS74">
        <v>99.601399999999998</v>
      </c>
    </row>
    <row r="75" spans="1:201" x14ac:dyDescent="0.25">
      <c r="A75">
        <v>59</v>
      </c>
      <c r="B75">
        <v>1690385985.5999999</v>
      </c>
      <c r="C75">
        <v>651</v>
      </c>
      <c r="D75" t="s">
        <v>451</v>
      </c>
      <c r="E75" t="s">
        <v>452</v>
      </c>
      <c r="F75" t="s">
        <v>330</v>
      </c>
      <c r="H75">
        <v>1690385985.5999999</v>
      </c>
      <c r="I75">
        <f t="shared" si="0"/>
        <v>3.0536738372476964E-4</v>
      </c>
      <c r="J75">
        <f t="shared" si="1"/>
        <v>0.30536738372476963</v>
      </c>
      <c r="K75">
        <f t="shared" si="2"/>
        <v>3.0030914783148734</v>
      </c>
      <c r="L75">
        <f t="shared" si="3"/>
        <v>765.726</v>
      </c>
      <c r="M75">
        <f t="shared" si="4"/>
        <v>488.06792693733871</v>
      </c>
      <c r="N75">
        <f t="shared" si="5"/>
        <v>48.198555805460764</v>
      </c>
      <c r="O75">
        <f t="shared" si="6"/>
        <v>75.61834184492642</v>
      </c>
      <c r="P75">
        <f t="shared" si="7"/>
        <v>1.8483218734688535E-2</v>
      </c>
      <c r="Q75">
        <f t="shared" si="8"/>
        <v>2.1625415322503998</v>
      </c>
      <c r="R75">
        <f t="shared" si="9"/>
        <v>1.8395902027746377E-2</v>
      </c>
      <c r="S75">
        <f t="shared" si="10"/>
        <v>1.1505249347435216E-2</v>
      </c>
      <c r="T75">
        <f t="shared" si="11"/>
        <v>276.11507352599995</v>
      </c>
      <c r="U75">
        <f t="shared" si="12"/>
        <v>28.116822065879596</v>
      </c>
      <c r="V75">
        <f t="shared" si="13"/>
        <v>28.116822065879596</v>
      </c>
      <c r="W75">
        <f t="shared" si="14"/>
        <v>3.8207606787763733</v>
      </c>
      <c r="X75">
        <f t="shared" si="15"/>
        <v>65.87872717279572</v>
      </c>
      <c r="Y75">
        <f t="shared" si="16"/>
        <v>2.2317071927176801</v>
      </c>
      <c r="Z75">
        <f t="shared" si="17"/>
        <v>3.3875991363100466</v>
      </c>
      <c r="AA75">
        <f t="shared" si="18"/>
        <v>1.5890534860586931</v>
      </c>
      <c r="AB75">
        <f t="shared" si="19"/>
        <v>-13.466701622262342</v>
      </c>
      <c r="AC75">
        <f t="shared" si="20"/>
        <v>-239.01745641497021</v>
      </c>
      <c r="AD75">
        <f t="shared" si="21"/>
        <v>-23.875015093975957</v>
      </c>
      <c r="AE75">
        <f t="shared" si="22"/>
        <v>-0.24409960520856089</v>
      </c>
      <c r="AF75">
        <v>0</v>
      </c>
      <c r="AG75">
        <v>0</v>
      </c>
      <c r="AH75">
        <f t="shared" si="23"/>
        <v>1</v>
      </c>
      <c r="AI75">
        <f t="shared" si="24"/>
        <v>0</v>
      </c>
      <c r="AJ75">
        <f t="shared" si="25"/>
        <v>52525.764085777555</v>
      </c>
      <c r="AK75">
        <f t="shared" si="26"/>
        <v>1800</v>
      </c>
      <c r="AL75">
        <f t="shared" si="27"/>
        <v>1499.1103115999999</v>
      </c>
      <c r="AM75">
        <f t="shared" si="28"/>
        <v>0.83283906199999991</v>
      </c>
      <c r="AN75">
        <f t="shared" si="29"/>
        <v>0.15339726306999998</v>
      </c>
      <c r="AO75">
        <v>31.8</v>
      </c>
      <c r="AP75">
        <v>0.5</v>
      </c>
      <c r="AQ75" t="s">
        <v>331</v>
      </c>
      <c r="AR75">
        <v>2</v>
      </c>
      <c r="AS75">
        <v>1690385985.5999999</v>
      </c>
      <c r="AT75">
        <v>765.726</v>
      </c>
      <c r="AU75">
        <v>800.01300000000003</v>
      </c>
      <c r="AV75">
        <v>22.598700000000001</v>
      </c>
      <c r="AW75">
        <v>19.437200000000001</v>
      </c>
      <c r="AX75">
        <v>765.99099999999999</v>
      </c>
      <c r="AY75">
        <v>22.318999999999999</v>
      </c>
      <c r="AZ75">
        <v>300.21300000000002</v>
      </c>
      <c r="BA75">
        <v>98.653800000000004</v>
      </c>
      <c r="BB75">
        <v>9.9986400000000003E-2</v>
      </c>
      <c r="BC75">
        <v>26.066700000000001</v>
      </c>
      <c r="BD75">
        <v>26.9193</v>
      </c>
      <c r="BE75">
        <v>27.979700000000001</v>
      </c>
      <c r="BF75">
        <v>0</v>
      </c>
      <c r="BG75">
        <v>0</v>
      </c>
      <c r="BH75">
        <v>10039.4</v>
      </c>
      <c r="BI75">
        <v>1070.6300000000001</v>
      </c>
      <c r="BJ75">
        <v>1.4577199999999999</v>
      </c>
      <c r="BK75">
        <v>-34.286900000000003</v>
      </c>
      <c r="BL75">
        <v>783.43</v>
      </c>
      <c r="BM75">
        <v>815.87099999999998</v>
      </c>
      <c r="BN75">
        <v>3.1614599999999999</v>
      </c>
      <c r="BO75">
        <v>800.01300000000003</v>
      </c>
      <c r="BP75">
        <v>19.437200000000001</v>
      </c>
      <c r="BQ75">
        <v>2.2294399999999999</v>
      </c>
      <c r="BR75">
        <v>1.9175599999999999</v>
      </c>
      <c r="BS75">
        <v>19.1755</v>
      </c>
      <c r="BT75">
        <v>16.779499999999999</v>
      </c>
      <c r="BU75">
        <v>1800</v>
      </c>
      <c r="BV75">
        <v>0.90999699999999994</v>
      </c>
      <c r="BW75">
        <v>3.4007900000000001E-2</v>
      </c>
      <c r="BX75">
        <v>2.1997099999999999E-2</v>
      </c>
      <c r="BY75">
        <v>3.3998100000000003E-2</v>
      </c>
      <c r="BZ75">
        <v>25</v>
      </c>
      <c r="CA75">
        <v>33528.400000000001</v>
      </c>
      <c r="CB75">
        <v>1690384821</v>
      </c>
      <c r="CC75" t="s">
        <v>332</v>
      </c>
      <c r="CD75">
        <v>1690384820</v>
      </c>
      <c r="CE75">
        <v>1690384821</v>
      </c>
      <c r="CF75">
        <v>5</v>
      </c>
      <c r="CG75">
        <v>-2.5000000000000001E-2</v>
      </c>
      <c r="CH75">
        <v>0.104</v>
      </c>
      <c r="CI75">
        <v>-0.28799999999999998</v>
      </c>
      <c r="CJ75">
        <v>0.28000000000000003</v>
      </c>
      <c r="CK75">
        <v>800</v>
      </c>
      <c r="CL75">
        <v>24</v>
      </c>
      <c r="CM75">
        <v>0.08</v>
      </c>
      <c r="CN75">
        <v>0.11</v>
      </c>
      <c r="CO75">
        <v>-31.925343902439021</v>
      </c>
      <c r="CP75">
        <v>-12.658900348432081</v>
      </c>
      <c r="CQ75">
        <v>1.248499437676067</v>
      </c>
      <c r="CR75">
        <v>-1</v>
      </c>
      <c r="CS75">
        <v>3.0155804878048782</v>
      </c>
      <c r="CT75">
        <v>0.48701623693379847</v>
      </c>
      <c r="CU75">
        <v>5.146216492991957E-2</v>
      </c>
      <c r="CV75">
        <v>-1</v>
      </c>
      <c r="CW75">
        <v>0</v>
      </c>
      <c r="CX75">
        <v>0</v>
      </c>
      <c r="CY75" t="s">
        <v>333</v>
      </c>
      <c r="CZ75">
        <v>2.3645999999999998</v>
      </c>
      <c r="DA75">
        <v>2.7138100000000001</v>
      </c>
      <c r="DB75">
        <v>0.14192299999999999</v>
      </c>
      <c r="DC75">
        <v>0.14575099999999999</v>
      </c>
      <c r="DD75">
        <v>0.108378</v>
      </c>
      <c r="DE75">
        <v>9.6307799999999999E-2</v>
      </c>
      <c r="DF75">
        <v>31339.5</v>
      </c>
      <c r="DG75">
        <v>27540</v>
      </c>
      <c r="DH75">
        <v>31179.4</v>
      </c>
      <c r="DI75">
        <v>28091.1</v>
      </c>
      <c r="DJ75">
        <v>37746.6</v>
      </c>
      <c r="DK75">
        <v>36097.4</v>
      </c>
      <c r="DL75">
        <v>44373.3</v>
      </c>
      <c r="DM75">
        <v>42578.400000000001</v>
      </c>
      <c r="DN75">
        <v>1.4625300000000001</v>
      </c>
      <c r="DO75">
        <v>2.0577999999999999</v>
      </c>
      <c r="DP75">
        <v>0.1099</v>
      </c>
      <c r="DQ75">
        <v>0.19151699999999999</v>
      </c>
      <c r="DR75">
        <v>25.1191</v>
      </c>
      <c r="DS75">
        <v>24.8446</v>
      </c>
      <c r="DT75">
        <v>57.4</v>
      </c>
      <c r="DU75">
        <v>28.8</v>
      </c>
      <c r="DV75">
        <v>23.130600000000001</v>
      </c>
      <c r="DW75">
        <v>60.652200000000001</v>
      </c>
      <c r="DX75">
        <v>36.374200000000002</v>
      </c>
      <c r="DY75">
        <v>1</v>
      </c>
      <c r="DZ75">
        <v>-9.3978699999999998E-2</v>
      </c>
      <c r="EA75">
        <v>0.11093699999999999</v>
      </c>
      <c r="EB75">
        <v>20.190100000000001</v>
      </c>
      <c r="EC75">
        <v>5.2403500000000003</v>
      </c>
      <c r="ED75">
        <v>12.039899999999999</v>
      </c>
      <c r="EE75">
        <v>5.0170500000000002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</v>
      </c>
      <c r="EL75">
        <v>1.8646199999999999</v>
      </c>
      <c r="EM75">
        <v>1.8692</v>
      </c>
      <c r="EN75">
        <v>1.86724</v>
      </c>
      <c r="EO75">
        <v>1.8633900000000001</v>
      </c>
      <c r="EP75">
        <v>1.8644700000000001</v>
      </c>
      <c r="EQ75">
        <v>1.87022</v>
      </c>
      <c r="ER75">
        <v>1.86938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-0.26500000000000001</v>
      </c>
      <c r="FG75">
        <v>0.2797</v>
      </c>
      <c r="FH75">
        <v>0.26269369235785539</v>
      </c>
      <c r="FI75">
        <v>-6.1462078757559423E-4</v>
      </c>
      <c r="FJ75">
        <v>-1.8861989874597051E-7</v>
      </c>
      <c r="FK75">
        <v>1.1980462299894961E-10</v>
      </c>
      <c r="FL75">
        <v>0.27968571428570849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19.399999999999999</v>
      </c>
      <c r="FU75">
        <v>19.399999999999999</v>
      </c>
      <c r="FV75">
        <v>1.79443</v>
      </c>
      <c r="FW75">
        <v>2.5842299999999998</v>
      </c>
      <c r="FX75">
        <v>1.5490699999999999</v>
      </c>
      <c r="FY75">
        <v>2.3315399999999999</v>
      </c>
      <c r="FZ75">
        <v>1.50146</v>
      </c>
      <c r="GA75">
        <v>2.2888199999999999</v>
      </c>
      <c r="GB75">
        <v>33.580399999999997</v>
      </c>
      <c r="GC75">
        <v>23.973700000000001</v>
      </c>
      <c r="GD75">
        <v>19</v>
      </c>
      <c r="GE75">
        <v>277.06900000000002</v>
      </c>
      <c r="GF75">
        <v>600.94100000000003</v>
      </c>
      <c r="GG75">
        <v>23.720700000000001</v>
      </c>
      <c r="GH75">
        <v>26.221599999999999</v>
      </c>
      <c r="GI75">
        <v>30</v>
      </c>
      <c r="GJ75">
        <v>26.346</v>
      </c>
      <c r="GK75">
        <v>26.3276</v>
      </c>
      <c r="GL75">
        <v>35.887500000000003</v>
      </c>
      <c r="GM75">
        <v>25.067299999999999</v>
      </c>
      <c r="GN75">
        <v>100</v>
      </c>
      <c r="GO75">
        <v>23.739100000000001</v>
      </c>
      <c r="GP75">
        <v>800</v>
      </c>
      <c r="GQ75">
        <v>19.347200000000001</v>
      </c>
      <c r="GR75">
        <v>99.763400000000004</v>
      </c>
      <c r="GS75">
        <v>99.603899999999996</v>
      </c>
    </row>
    <row r="76" spans="1:201" x14ac:dyDescent="0.25">
      <c r="A76">
        <v>60</v>
      </c>
      <c r="B76">
        <v>1690385995.5999999</v>
      </c>
      <c r="C76">
        <v>661</v>
      </c>
      <c r="D76" t="s">
        <v>453</v>
      </c>
      <c r="E76" t="s">
        <v>454</v>
      </c>
      <c r="F76" t="s">
        <v>330</v>
      </c>
      <c r="H76">
        <v>1690385995.5999999</v>
      </c>
      <c r="I76">
        <f t="shared" si="0"/>
        <v>3.1637483738118947E-4</v>
      </c>
      <c r="J76">
        <f t="shared" si="1"/>
        <v>0.31637483738118949</v>
      </c>
      <c r="K76">
        <f t="shared" si="2"/>
        <v>3.2015246416572944</v>
      </c>
      <c r="L76">
        <f t="shared" si="3"/>
        <v>763.56399999999996</v>
      </c>
      <c r="M76">
        <f t="shared" si="4"/>
        <v>478.97260155559582</v>
      </c>
      <c r="N76">
        <f t="shared" si="5"/>
        <v>47.299039948668657</v>
      </c>
      <c r="O76">
        <f t="shared" si="6"/>
        <v>75.402734983314403</v>
      </c>
      <c r="P76">
        <f t="shared" si="7"/>
        <v>1.9184986592207763E-2</v>
      </c>
      <c r="Q76">
        <f t="shared" si="8"/>
        <v>2.1606464700596728</v>
      </c>
      <c r="R76">
        <f t="shared" si="9"/>
        <v>1.9090849713623258E-2</v>
      </c>
      <c r="S76">
        <f t="shared" si="10"/>
        <v>1.1940200293684509E-2</v>
      </c>
      <c r="T76">
        <f t="shared" si="11"/>
        <v>276.11497112399996</v>
      </c>
      <c r="U76">
        <f t="shared" si="12"/>
        <v>28.123648756108192</v>
      </c>
      <c r="V76">
        <f t="shared" si="13"/>
        <v>28.123648756108192</v>
      </c>
      <c r="W76">
        <f t="shared" si="14"/>
        <v>3.8222801803578395</v>
      </c>
      <c r="X76">
        <f t="shared" si="15"/>
        <v>65.969448422899646</v>
      </c>
      <c r="Y76">
        <f t="shared" si="16"/>
        <v>2.2359703009305001</v>
      </c>
      <c r="Z76">
        <f t="shared" si="17"/>
        <v>3.3894027529178778</v>
      </c>
      <c r="AA76">
        <f t="shared" si="18"/>
        <v>1.5863098794273394</v>
      </c>
      <c r="AB76">
        <f t="shared" si="19"/>
        <v>-13.952130328510457</v>
      </c>
      <c r="AC76">
        <f t="shared" si="20"/>
        <v>-238.55484493434025</v>
      </c>
      <c r="AD76">
        <f t="shared" si="21"/>
        <v>-23.851591655111783</v>
      </c>
      <c r="AE76">
        <f t="shared" si="22"/>
        <v>-0.24359579396252684</v>
      </c>
      <c r="AF76">
        <v>0</v>
      </c>
      <c r="AG76">
        <v>0</v>
      </c>
      <c r="AH76">
        <f t="shared" si="23"/>
        <v>1</v>
      </c>
      <c r="AI76">
        <f t="shared" si="24"/>
        <v>0</v>
      </c>
      <c r="AJ76">
        <f t="shared" si="25"/>
        <v>52444.527236581212</v>
      </c>
      <c r="AK76">
        <f t="shared" si="26"/>
        <v>1800</v>
      </c>
      <c r="AL76">
        <f t="shared" si="27"/>
        <v>1499.1115554</v>
      </c>
      <c r="AM76">
        <f t="shared" si="28"/>
        <v>0.83283975300000002</v>
      </c>
      <c r="AN76">
        <f t="shared" si="29"/>
        <v>0.15339720618</v>
      </c>
      <c r="AO76">
        <v>31.8</v>
      </c>
      <c r="AP76">
        <v>0.5</v>
      </c>
      <c r="AQ76" t="s">
        <v>331</v>
      </c>
      <c r="AR76">
        <v>2</v>
      </c>
      <c r="AS76">
        <v>1690385995.5999999</v>
      </c>
      <c r="AT76">
        <v>763.56399999999996</v>
      </c>
      <c r="AU76">
        <v>800.03700000000003</v>
      </c>
      <c r="AV76">
        <v>22.642499999999998</v>
      </c>
      <c r="AW76">
        <v>19.367000000000001</v>
      </c>
      <c r="AX76">
        <v>763.82799999999997</v>
      </c>
      <c r="AY76">
        <v>22.3628</v>
      </c>
      <c r="AZ76">
        <v>300.19600000000003</v>
      </c>
      <c r="BA76">
        <v>98.6511</v>
      </c>
      <c r="BB76">
        <v>9.9934599999999998E-2</v>
      </c>
      <c r="BC76">
        <v>26.075700000000001</v>
      </c>
      <c r="BD76">
        <v>26.953499999999998</v>
      </c>
      <c r="BE76">
        <v>27.9787</v>
      </c>
      <c r="BF76">
        <v>0</v>
      </c>
      <c r="BG76">
        <v>0</v>
      </c>
      <c r="BH76">
        <v>10023.799999999999</v>
      </c>
      <c r="BI76">
        <v>1070.6099999999999</v>
      </c>
      <c r="BJ76">
        <v>1.4577199999999999</v>
      </c>
      <c r="BK76">
        <v>-36.4726</v>
      </c>
      <c r="BL76">
        <v>781.25400000000002</v>
      </c>
      <c r="BM76">
        <v>815.83699999999999</v>
      </c>
      <c r="BN76">
        <v>3.2754599999999998</v>
      </c>
      <c r="BO76">
        <v>800.03700000000003</v>
      </c>
      <c r="BP76">
        <v>19.367000000000001</v>
      </c>
      <c r="BQ76">
        <v>2.2337099999999999</v>
      </c>
      <c r="BR76">
        <v>1.9105799999999999</v>
      </c>
      <c r="BS76">
        <v>19.206099999999999</v>
      </c>
      <c r="BT76">
        <v>16.722100000000001</v>
      </c>
      <c r="BU76">
        <v>1800</v>
      </c>
      <c r="BV76">
        <v>0.91000199999999998</v>
      </c>
      <c r="BW76">
        <v>3.40062E-2</v>
      </c>
      <c r="BX76">
        <v>2.1995899999999999E-2</v>
      </c>
      <c r="BY76">
        <v>3.3996400000000003E-2</v>
      </c>
      <c r="BZ76">
        <v>25</v>
      </c>
      <c r="CA76">
        <v>33528.300000000003</v>
      </c>
      <c r="CB76">
        <v>1690384821</v>
      </c>
      <c r="CC76" t="s">
        <v>332</v>
      </c>
      <c r="CD76">
        <v>1690384820</v>
      </c>
      <c r="CE76">
        <v>1690384821</v>
      </c>
      <c r="CF76">
        <v>5</v>
      </c>
      <c r="CG76">
        <v>-2.5000000000000001E-2</v>
      </c>
      <c r="CH76">
        <v>0.104</v>
      </c>
      <c r="CI76">
        <v>-0.28799999999999998</v>
      </c>
      <c r="CJ76">
        <v>0.28000000000000003</v>
      </c>
      <c r="CK76">
        <v>800</v>
      </c>
      <c r="CL76">
        <v>24</v>
      </c>
      <c r="CM76">
        <v>0.08</v>
      </c>
      <c r="CN76">
        <v>0.11</v>
      </c>
      <c r="CO76">
        <v>-34.014175000000002</v>
      </c>
      <c r="CP76">
        <v>-13.040490056285121</v>
      </c>
      <c r="CQ76">
        <v>1.255037030877973</v>
      </c>
      <c r="CR76">
        <v>-1</v>
      </c>
      <c r="CS76">
        <v>3.1260859999999999</v>
      </c>
      <c r="CT76">
        <v>0.87280570356471543</v>
      </c>
      <c r="CU76">
        <v>8.4331320806684873E-2</v>
      </c>
      <c r="CV76">
        <v>-1</v>
      </c>
      <c r="CW76">
        <v>0</v>
      </c>
      <c r="CX76">
        <v>0</v>
      </c>
      <c r="CY76" t="s">
        <v>333</v>
      </c>
      <c r="CZ76">
        <v>2.3645499999999999</v>
      </c>
      <c r="DA76">
        <v>2.7137500000000001</v>
      </c>
      <c r="DB76">
        <v>0.141651</v>
      </c>
      <c r="DC76">
        <v>0.14574999999999999</v>
      </c>
      <c r="DD76">
        <v>0.108526</v>
      </c>
      <c r="DE76">
        <v>9.6058500000000005E-2</v>
      </c>
      <c r="DF76">
        <v>31349.8</v>
      </c>
      <c r="DG76">
        <v>27540.400000000001</v>
      </c>
      <c r="DH76">
        <v>31179.7</v>
      </c>
      <c r="DI76">
        <v>28091.4</v>
      </c>
      <c r="DJ76">
        <v>37740.5</v>
      </c>
      <c r="DK76">
        <v>36107.5</v>
      </c>
      <c r="DL76">
        <v>44373.599999999999</v>
      </c>
      <c r="DM76">
        <v>42578.6</v>
      </c>
      <c r="DN76">
        <v>1.4621500000000001</v>
      </c>
      <c r="DO76">
        <v>2.05783</v>
      </c>
      <c r="DP76">
        <v>0.112347</v>
      </c>
      <c r="DQ76">
        <v>0.19180800000000001</v>
      </c>
      <c r="DR76">
        <v>25.113299999999999</v>
      </c>
      <c r="DS76">
        <v>24.838799999999999</v>
      </c>
      <c r="DT76">
        <v>57.5</v>
      </c>
      <c r="DU76">
        <v>28.8</v>
      </c>
      <c r="DV76">
        <v>23.173100000000002</v>
      </c>
      <c r="DW76">
        <v>60.612200000000001</v>
      </c>
      <c r="DX76">
        <v>35.693100000000001</v>
      </c>
      <c r="DY76">
        <v>1</v>
      </c>
      <c r="DZ76">
        <v>-9.4458799999999996E-2</v>
      </c>
      <c r="EA76">
        <v>-2.19635E-2</v>
      </c>
      <c r="EB76">
        <v>20.190200000000001</v>
      </c>
      <c r="EC76">
        <v>5.2401999999999997</v>
      </c>
      <c r="ED76">
        <v>12.039899999999999</v>
      </c>
      <c r="EE76">
        <v>5.0167000000000002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1.8689100000000001</v>
      </c>
      <c r="EL76">
        <v>1.8646199999999999</v>
      </c>
      <c r="EM76">
        <v>1.8692</v>
      </c>
      <c r="EN76">
        <v>1.86724</v>
      </c>
      <c r="EO76">
        <v>1.86338</v>
      </c>
      <c r="EP76">
        <v>1.8644700000000001</v>
      </c>
      <c r="EQ76">
        <v>1.8702099999999999</v>
      </c>
      <c r="ER76">
        <v>1.86937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-0.26400000000000001</v>
      </c>
      <c r="FG76">
        <v>0.2797</v>
      </c>
      <c r="FH76">
        <v>0.26269369235785539</v>
      </c>
      <c r="FI76">
        <v>-6.1462078757559423E-4</v>
      </c>
      <c r="FJ76">
        <v>-1.8861989874597051E-7</v>
      </c>
      <c r="FK76">
        <v>1.1980462299894961E-10</v>
      </c>
      <c r="FL76">
        <v>0.27968571428570849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19.600000000000001</v>
      </c>
      <c r="FU76">
        <v>19.600000000000001</v>
      </c>
      <c r="FV76">
        <v>1.79443</v>
      </c>
      <c r="FW76">
        <v>2.5854499999999998</v>
      </c>
      <c r="FX76">
        <v>1.5490699999999999</v>
      </c>
      <c r="FY76">
        <v>2.3315399999999999</v>
      </c>
      <c r="FZ76">
        <v>1.50146</v>
      </c>
      <c r="GA76">
        <v>2.3107899999999999</v>
      </c>
      <c r="GB76">
        <v>33.580399999999997</v>
      </c>
      <c r="GC76">
        <v>23.973700000000001</v>
      </c>
      <c r="GD76">
        <v>19</v>
      </c>
      <c r="GE76">
        <v>276.89800000000002</v>
      </c>
      <c r="GF76">
        <v>600.91700000000003</v>
      </c>
      <c r="GG76">
        <v>23.8324</v>
      </c>
      <c r="GH76">
        <v>26.215499999999999</v>
      </c>
      <c r="GI76">
        <v>29.9999</v>
      </c>
      <c r="GJ76">
        <v>26.342600000000001</v>
      </c>
      <c r="GK76">
        <v>26.323699999999999</v>
      </c>
      <c r="GL76">
        <v>35.884799999999998</v>
      </c>
      <c r="GM76">
        <v>25.618500000000001</v>
      </c>
      <c r="GN76">
        <v>100</v>
      </c>
      <c r="GO76">
        <v>23.862300000000001</v>
      </c>
      <c r="GP76">
        <v>800</v>
      </c>
      <c r="GQ76">
        <v>19.256399999999999</v>
      </c>
      <c r="GR76">
        <v>99.764300000000006</v>
      </c>
      <c r="GS76">
        <v>99.604500000000002</v>
      </c>
    </row>
    <row r="77" spans="1:201" x14ac:dyDescent="0.25">
      <c r="A77">
        <v>61</v>
      </c>
      <c r="B77">
        <v>1690386005.5999999</v>
      </c>
      <c r="C77">
        <v>671</v>
      </c>
      <c r="D77" t="s">
        <v>455</v>
      </c>
      <c r="E77" t="s">
        <v>456</v>
      </c>
      <c r="F77" t="s">
        <v>330</v>
      </c>
      <c r="H77">
        <v>1690386005.5999999</v>
      </c>
      <c r="I77">
        <f t="shared" si="0"/>
        <v>3.3044093607818875E-4</v>
      </c>
      <c r="J77">
        <f t="shared" si="1"/>
        <v>0.33044093607818875</v>
      </c>
      <c r="K77">
        <f t="shared" si="2"/>
        <v>3.418718394839471</v>
      </c>
      <c r="L77">
        <f t="shared" si="3"/>
        <v>761.14700000000005</v>
      </c>
      <c r="M77">
        <f t="shared" si="4"/>
        <v>470.70060661246725</v>
      </c>
      <c r="N77">
        <f t="shared" si="5"/>
        <v>46.481139831678682</v>
      </c>
      <c r="O77">
        <f t="shared" si="6"/>
        <v>75.162384841774013</v>
      </c>
      <c r="P77">
        <f t="shared" si="7"/>
        <v>2.0042008035556971E-2</v>
      </c>
      <c r="Q77">
        <f t="shared" si="8"/>
        <v>2.1629221468808377</v>
      </c>
      <c r="R77">
        <f t="shared" si="9"/>
        <v>1.9939404608478983E-2</v>
      </c>
      <c r="S77">
        <f t="shared" si="10"/>
        <v>1.2471302503397877E-2</v>
      </c>
      <c r="T77">
        <f t="shared" si="11"/>
        <v>276.11310330779293</v>
      </c>
      <c r="U77">
        <f t="shared" si="12"/>
        <v>28.139789848026034</v>
      </c>
      <c r="V77">
        <f t="shared" si="13"/>
        <v>28.139789848026034</v>
      </c>
      <c r="W77">
        <f t="shared" si="14"/>
        <v>3.8258750014965766</v>
      </c>
      <c r="X77">
        <f t="shared" si="15"/>
        <v>65.988009905094032</v>
      </c>
      <c r="Y77">
        <f t="shared" si="16"/>
        <v>2.2396434863283998</v>
      </c>
      <c r="Z77">
        <f t="shared" si="17"/>
        <v>3.3940158061283006</v>
      </c>
      <c r="AA77">
        <f t="shared" si="18"/>
        <v>1.5862315151681767</v>
      </c>
      <c r="AB77">
        <f t="shared" si="19"/>
        <v>-14.572445281048124</v>
      </c>
      <c r="AC77">
        <f t="shared" si="20"/>
        <v>-238.00630032536</v>
      </c>
      <c r="AD77">
        <f t="shared" si="21"/>
        <v>-23.776357982474234</v>
      </c>
      <c r="AE77">
        <f t="shared" si="22"/>
        <v>-0.24200028108941751</v>
      </c>
      <c r="AF77">
        <v>0</v>
      </c>
      <c r="AG77">
        <v>0</v>
      </c>
      <c r="AH77">
        <f t="shared" si="23"/>
        <v>1</v>
      </c>
      <c r="AI77">
        <f t="shared" si="24"/>
        <v>0</v>
      </c>
      <c r="AJ77">
        <f t="shared" si="25"/>
        <v>52536.027403731663</v>
      </c>
      <c r="AK77">
        <f t="shared" si="26"/>
        <v>1799.99</v>
      </c>
      <c r="AL77">
        <f t="shared" si="27"/>
        <v>1499.10311540309</v>
      </c>
      <c r="AM77">
        <f t="shared" si="28"/>
        <v>0.83283969099999999</v>
      </c>
      <c r="AN77">
        <f t="shared" si="29"/>
        <v>0.15339702071</v>
      </c>
      <c r="AO77">
        <v>31.8</v>
      </c>
      <c r="AP77">
        <v>0.5</v>
      </c>
      <c r="AQ77" t="s">
        <v>331</v>
      </c>
      <c r="AR77">
        <v>2</v>
      </c>
      <c r="AS77">
        <v>1690386005.5999999</v>
      </c>
      <c r="AT77">
        <v>761.14700000000005</v>
      </c>
      <c r="AU77">
        <v>800.01700000000005</v>
      </c>
      <c r="AV77">
        <v>22.680199999999999</v>
      </c>
      <c r="AW77">
        <v>19.260000000000002</v>
      </c>
      <c r="AX77">
        <v>761.40899999999999</v>
      </c>
      <c r="AY77">
        <v>22.400500000000001</v>
      </c>
      <c r="AZ77">
        <v>300.26600000000002</v>
      </c>
      <c r="BA77">
        <v>98.648799999999994</v>
      </c>
      <c r="BB77">
        <v>0.10004200000000001</v>
      </c>
      <c r="BC77">
        <v>26.098700000000001</v>
      </c>
      <c r="BD77">
        <v>26.9773</v>
      </c>
      <c r="BE77">
        <v>27.991099999999999</v>
      </c>
      <c r="BF77">
        <v>0</v>
      </c>
      <c r="BG77">
        <v>0</v>
      </c>
      <c r="BH77">
        <v>10043.1</v>
      </c>
      <c r="BI77">
        <v>1070.6400000000001</v>
      </c>
      <c r="BJ77">
        <v>1.4577199999999999</v>
      </c>
      <c r="BK77">
        <v>-38.870100000000001</v>
      </c>
      <c r="BL77">
        <v>778.81100000000004</v>
      </c>
      <c r="BM77">
        <v>815.72799999999995</v>
      </c>
      <c r="BN77">
        <v>3.4201899999999998</v>
      </c>
      <c r="BO77">
        <v>800.01700000000005</v>
      </c>
      <c r="BP77">
        <v>19.260000000000002</v>
      </c>
      <c r="BQ77">
        <v>2.2373699999999999</v>
      </c>
      <c r="BR77">
        <v>1.89998</v>
      </c>
      <c r="BS77">
        <v>19.232500000000002</v>
      </c>
      <c r="BT77">
        <v>16.634499999999999</v>
      </c>
      <c r="BU77">
        <v>1799.99</v>
      </c>
      <c r="BV77">
        <v>0.91000599999999998</v>
      </c>
      <c r="BW77">
        <v>3.40045E-2</v>
      </c>
      <c r="BX77">
        <v>2.1994799999999998E-2</v>
      </c>
      <c r="BY77">
        <v>3.3994700000000003E-2</v>
      </c>
      <c r="BZ77">
        <v>25</v>
      </c>
      <c r="CA77">
        <v>33528.199999999997</v>
      </c>
      <c r="CB77">
        <v>1690384821</v>
      </c>
      <c r="CC77" t="s">
        <v>332</v>
      </c>
      <c r="CD77">
        <v>1690384820</v>
      </c>
      <c r="CE77">
        <v>1690384821</v>
      </c>
      <c r="CF77">
        <v>5</v>
      </c>
      <c r="CG77">
        <v>-2.5000000000000001E-2</v>
      </c>
      <c r="CH77">
        <v>0.104</v>
      </c>
      <c r="CI77">
        <v>-0.28799999999999998</v>
      </c>
      <c r="CJ77">
        <v>0.28000000000000003</v>
      </c>
      <c r="CK77">
        <v>800</v>
      </c>
      <c r="CL77">
        <v>24</v>
      </c>
      <c r="CM77">
        <v>0.08</v>
      </c>
      <c r="CN77">
        <v>0.11</v>
      </c>
      <c r="CO77">
        <v>-36.280941463414628</v>
      </c>
      <c r="CP77">
        <v>-13.678195818815331</v>
      </c>
      <c r="CQ77">
        <v>1.349329404533719</v>
      </c>
      <c r="CR77">
        <v>-1</v>
      </c>
      <c r="CS77">
        <v>3.263863658536585</v>
      </c>
      <c r="CT77">
        <v>0.7159848083623771</v>
      </c>
      <c r="CU77">
        <v>7.0752594324789822E-2</v>
      </c>
      <c r="CV77">
        <v>-1</v>
      </c>
      <c r="CW77">
        <v>0</v>
      </c>
      <c r="CX77">
        <v>0</v>
      </c>
      <c r="CY77" t="s">
        <v>333</v>
      </c>
      <c r="CZ77">
        <v>2.36477</v>
      </c>
      <c r="DA77">
        <v>2.71387</v>
      </c>
      <c r="DB77">
        <v>0.141348</v>
      </c>
      <c r="DC77">
        <v>0.14574300000000001</v>
      </c>
      <c r="DD77">
        <v>0.108654</v>
      </c>
      <c r="DE77">
        <v>9.5678600000000003E-2</v>
      </c>
      <c r="DF77">
        <v>31361</v>
      </c>
      <c r="DG77">
        <v>27540.6</v>
      </c>
      <c r="DH77">
        <v>31179.8</v>
      </c>
      <c r="DI77">
        <v>28091.4</v>
      </c>
      <c r="DJ77">
        <v>37735.199999999997</v>
      </c>
      <c r="DK77">
        <v>36123</v>
      </c>
      <c r="DL77">
        <v>44373.8</v>
      </c>
      <c r="DM77">
        <v>42578.9</v>
      </c>
      <c r="DN77">
        <v>1.4629000000000001</v>
      </c>
      <c r="DO77">
        <v>2.0579800000000001</v>
      </c>
      <c r="DP77">
        <v>0.11412799999999999</v>
      </c>
      <c r="DQ77">
        <v>0.192694</v>
      </c>
      <c r="DR77">
        <v>25.108000000000001</v>
      </c>
      <c r="DS77">
        <v>24.8367</v>
      </c>
      <c r="DT77">
        <v>57.4</v>
      </c>
      <c r="DU77">
        <v>28.8</v>
      </c>
      <c r="DV77">
        <v>23.135100000000001</v>
      </c>
      <c r="DW77">
        <v>60.662199999999999</v>
      </c>
      <c r="DX77">
        <v>35.336500000000001</v>
      </c>
      <c r="DY77">
        <v>1</v>
      </c>
      <c r="DZ77">
        <v>-9.5426800000000006E-2</v>
      </c>
      <c r="EA77">
        <v>7.4068599999999998E-2</v>
      </c>
      <c r="EB77">
        <v>20.1904</v>
      </c>
      <c r="EC77">
        <v>5.2408000000000001</v>
      </c>
      <c r="ED77">
        <v>12.039899999999999</v>
      </c>
      <c r="EE77">
        <v>5.0170500000000002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1.8689100000000001</v>
      </c>
      <c r="EL77">
        <v>1.8646199999999999</v>
      </c>
      <c r="EM77">
        <v>1.86921</v>
      </c>
      <c r="EN77">
        <v>1.8672299999999999</v>
      </c>
      <c r="EO77">
        <v>1.86338</v>
      </c>
      <c r="EP77">
        <v>1.8644700000000001</v>
      </c>
      <c r="EQ77">
        <v>1.87018</v>
      </c>
      <c r="ER77">
        <v>1.86937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-0.26200000000000001</v>
      </c>
      <c r="FG77">
        <v>0.2797</v>
      </c>
      <c r="FH77">
        <v>0.26269369235785539</v>
      </c>
      <c r="FI77">
        <v>-6.1462078757559423E-4</v>
      </c>
      <c r="FJ77">
        <v>-1.8861989874597051E-7</v>
      </c>
      <c r="FK77">
        <v>1.1980462299894961E-10</v>
      </c>
      <c r="FL77">
        <v>0.27968571428570849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19.8</v>
      </c>
      <c r="FU77">
        <v>19.7</v>
      </c>
      <c r="FV77">
        <v>1.79443</v>
      </c>
      <c r="FW77">
        <v>2.5854499999999998</v>
      </c>
      <c r="FX77">
        <v>1.5490699999999999</v>
      </c>
      <c r="FY77">
        <v>2.3315399999999999</v>
      </c>
      <c r="FZ77">
        <v>1.50146</v>
      </c>
      <c r="GA77">
        <v>2.3767100000000001</v>
      </c>
      <c r="GB77">
        <v>33.580399999999997</v>
      </c>
      <c r="GC77">
        <v>23.982399999999998</v>
      </c>
      <c r="GD77">
        <v>19</v>
      </c>
      <c r="GE77">
        <v>277.19499999999999</v>
      </c>
      <c r="GF77">
        <v>601.01199999999994</v>
      </c>
      <c r="GG77">
        <v>23.930700000000002</v>
      </c>
      <c r="GH77">
        <v>26.209900000000001</v>
      </c>
      <c r="GI77">
        <v>29.9998</v>
      </c>
      <c r="GJ77">
        <v>26.338699999999999</v>
      </c>
      <c r="GK77">
        <v>26.320900000000002</v>
      </c>
      <c r="GL77">
        <v>35.883200000000002</v>
      </c>
      <c r="GM77">
        <v>25.9041</v>
      </c>
      <c r="GN77">
        <v>100</v>
      </c>
      <c r="GO77">
        <v>23.932200000000002</v>
      </c>
      <c r="GP77">
        <v>800</v>
      </c>
      <c r="GQ77">
        <v>19.160499999999999</v>
      </c>
      <c r="GR77">
        <v>99.764700000000005</v>
      </c>
      <c r="GS77">
        <v>99.604900000000001</v>
      </c>
    </row>
    <row r="78" spans="1:201" x14ac:dyDescent="0.25">
      <c r="A78">
        <v>62</v>
      </c>
      <c r="B78">
        <v>1690386015.5999999</v>
      </c>
      <c r="C78">
        <v>681</v>
      </c>
      <c r="D78" t="s">
        <v>457</v>
      </c>
      <c r="E78" t="s">
        <v>458</v>
      </c>
      <c r="F78" t="s">
        <v>330</v>
      </c>
      <c r="H78">
        <v>1690386015.5999999</v>
      </c>
      <c r="I78">
        <f t="shared" si="0"/>
        <v>3.4008627117411102E-4</v>
      </c>
      <c r="J78">
        <f t="shared" si="1"/>
        <v>0.340086271174111</v>
      </c>
      <c r="K78">
        <f t="shared" si="2"/>
        <v>3.6354884605500155</v>
      </c>
      <c r="L78">
        <f t="shared" si="3"/>
        <v>758.74199999999996</v>
      </c>
      <c r="M78">
        <f t="shared" si="4"/>
        <v>459.47858269609395</v>
      </c>
      <c r="N78">
        <f t="shared" si="5"/>
        <v>45.372775151194112</v>
      </c>
      <c r="O78">
        <f t="shared" si="6"/>
        <v>74.92455896804519</v>
      </c>
      <c r="P78">
        <f t="shared" si="7"/>
        <v>2.0637885380547852E-2</v>
      </c>
      <c r="Q78">
        <f t="shared" si="8"/>
        <v>2.159336084967312</v>
      </c>
      <c r="R78">
        <f t="shared" si="9"/>
        <v>2.052892841703054E-2</v>
      </c>
      <c r="S78">
        <f t="shared" si="10"/>
        <v>1.2840321556463741E-2</v>
      </c>
      <c r="T78">
        <f t="shared" si="11"/>
        <v>276.11444006999994</v>
      </c>
      <c r="U78">
        <f t="shared" si="12"/>
        <v>28.1489426023834</v>
      </c>
      <c r="V78">
        <f t="shared" si="13"/>
        <v>28.1489426023834</v>
      </c>
      <c r="W78">
        <f t="shared" si="14"/>
        <v>3.8279147434142167</v>
      </c>
      <c r="X78">
        <f t="shared" si="15"/>
        <v>66.029852520322876</v>
      </c>
      <c r="Y78">
        <f t="shared" si="16"/>
        <v>2.2423095569443801</v>
      </c>
      <c r="Z78">
        <f t="shared" si="17"/>
        <v>3.3959027187804716</v>
      </c>
      <c r="AA78">
        <f t="shared" si="18"/>
        <v>1.5856051864698366</v>
      </c>
      <c r="AB78">
        <f t="shared" si="19"/>
        <v>-14.997804558778297</v>
      </c>
      <c r="AC78">
        <f t="shared" si="20"/>
        <v>-237.58290992690812</v>
      </c>
      <c r="AD78">
        <f t="shared" si="21"/>
        <v>-23.775682279833216</v>
      </c>
      <c r="AE78">
        <f t="shared" si="22"/>
        <v>-0.24195669551966148</v>
      </c>
      <c r="AF78">
        <v>0</v>
      </c>
      <c r="AG78">
        <v>0</v>
      </c>
      <c r="AH78">
        <f t="shared" si="23"/>
        <v>1</v>
      </c>
      <c r="AI78">
        <f t="shared" si="24"/>
        <v>0</v>
      </c>
      <c r="AJ78">
        <f t="shared" si="25"/>
        <v>52383.800916574197</v>
      </c>
      <c r="AK78">
        <f t="shared" si="26"/>
        <v>1800</v>
      </c>
      <c r="AL78">
        <f t="shared" si="27"/>
        <v>1499.1115949999999</v>
      </c>
      <c r="AM78">
        <f t="shared" si="28"/>
        <v>0.83283977499999995</v>
      </c>
      <c r="AN78">
        <f t="shared" si="29"/>
        <v>0.15339691114999998</v>
      </c>
      <c r="AO78">
        <v>31.8</v>
      </c>
      <c r="AP78">
        <v>0.5</v>
      </c>
      <c r="AQ78" t="s">
        <v>331</v>
      </c>
      <c r="AR78">
        <v>2</v>
      </c>
      <c r="AS78">
        <v>1690386015.5999999</v>
      </c>
      <c r="AT78">
        <v>758.74199999999996</v>
      </c>
      <c r="AU78">
        <v>800.00099999999998</v>
      </c>
      <c r="AV78">
        <v>22.7073</v>
      </c>
      <c r="AW78">
        <v>19.185300000000002</v>
      </c>
      <c r="AX78">
        <v>759.00199999999995</v>
      </c>
      <c r="AY78">
        <v>22.427600000000002</v>
      </c>
      <c r="AZ78">
        <v>300.08999999999997</v>
      </c>
      <c r="BA78">
        <v>98.648499999999999</v>
      </c>
      <c r="BB78">
        <v>9.9900600000000006E-2</v>
      </c>
      <c r="BC78">
        <v>26.1081</v>
      </c>
      <c r="BD78">
        <v>26.964200000000002</v>
      </c>
      <c r="BE78">
        <v>28.014299999999999</v>
      </c>
      <c r="BF78">
        <v>0</v>
      </c>
      <c r="BG78">
        <v>0</v>
      </c>
      <c r="BH78">
        <v>10013.1</v>
      </c>
      <c r="BI78">
        <v>1070.77</v>
      </c>
      <c r="BJ78">
        <v>1.4577199999999999</v>
      </c>
      <c r="BK78">
        <v>-41.259599999999999</v>
      </c>
      <c r="BL78">
        <v>776.37099999999998</v>
      </c>
      <c r="BM78">
        <v>815.65</v>
      </c>
      <c r="BN78">
        <v>3.5219999999999998</v>
      </c>
      <c r="BO78">
        <v>800.00099999999998</v>
      </c>
      <c r="BP78">
        <v>19.185300000000002</v>
      </c>
      <c r="BQ78">
        <v>2.24004</v>
      </c>
      <c r="BR78">
        <v>1.8926000000000001</v>
      </c>
      <c r="BS78">
        <v>19.2516</v>
      </c>
      <c r="BT78">
        <v>16.573399999999999</v>
      </c>
      <c r="BU78">
        <v>1800</v>
      </c>
      <c r="BV78">
        <v>0.91000899999999996</v>
      </c>
      <c r="BW78">
        <v>3.40033E-2</v>
      </c>
      <c r="BX78">
        <v>2.1994E-2</v>
      </c>
      <c r="BY78">
        <v>3.3993500000000003E-2</v>
      </c>
      <c r="BZ78">
        <v>25</v>
      </c>
      <c r="CA78">
        <v>33528.5</v>
      </c>
      <c r="CB78">
        <v>1690384821</v>
      </c>
      <c r="CC78" t="s">
        <v>332</v>
      </c>
      <c r="CD78">
        <v>1690384820</v>
      </c>
      <c r="CE78">
        <v>1690384821</v>
      </c>
      <c r="CF78">
        <v>5</v>
      </c>
      <c r="CG78">
        <v>-2.5000000000000001E-2</v>
      </c>
      <c r="CH78">
        <v>0.104</v>
      </c>
      <c r="CI78">
        <v>-0.28799999999999998</v>
      </c>
      <c r="CJ78">
        <v>0.28000000000000003</v>
      </c>
      <c r="CK78">
        <v>800</v>
      </c>
      <c r="CL78">
        <v>24</v>
      </c>
      <c r="CM78">
        <v>0.08</v>
      </c>
      <c r="CN78">
        <v>0.11</v>
      </c>
      <c r="CO78">
        <v>-38.807992499999997</v>
      </c>
      <c r="CP78">
        <v>-14.657564352720341</v>
      </c>
      <c r="CQ78">
        <v>1.4102659733872009</v>
      </c>
      <c r="CR78">
        <v>-1</v>
      </c>
      <c r="CS78">
        <v>3.4014375000000001</v>
      </c>
      <c r="CT78">
        <v>0.79512135084427593</v>
      </c>
      <c r="CU78">
        <v>7.6924723163297792E-2</v>
      </c>
      <c r="CV78">
        <v>-1</v>
      </c>
      <c r="CW78">
        <v>0</v>
      </c>
      <c r="CX78">
        <v>0</v>
      </c>
      <c r="CY78" t="s">
        <v>333</v>
      </c>
      <c r="CZ78">
        <v>2.3642099999999999</v>
      </c>
      <c r="DA78">
        <v>2.7136999999999998</v>
      </c>
      <c r="DB78">
        <v>0.14104800000000001</v>
      </c>
      <c r="DC78">
        <v>0.14574000000000001</v>
      </c>
      <c r="DD78">
        <v>0.108747</v>
      </c>
      <c r="DE78">
        <v>9.5414799999999994E-2</v>
      </c>
      <c r="DF78">
        <v>31372.2</v>
      </c>
      <c r="DG78">
        <v>27541.200000000001</v>
      </c>
      <c r="DH78">
        <v>31180</v>
      </c>
      <c r="DI78">
        <v>28091.9</v>
      </c>
      <c r="DJ78">
        <v>37731.4</v>
      </c>
      <c r="DK78">
        <v>36134.1</v>
      </c>
      <c r="DL78">
        <v>44374.2</v>
      </c>
      <c r="DM78">
        <v>42579.5</v>
      </c>
      <c r="DN78">
        <v>1.46245</v>
      </c>
      <c r="DO78">
        <v>2.0579000000000001</v>
      </c>
      <c r="DP78">
        <v>0.113454</v>
      </c>
      <c r="DQ78">
        <v>0.194244</v>
      </c>
      <c r="DR78">
        <v>25.105799999999999</v>
      </c>
      <c r="DS78">
        <v>24.834599999999998</v>
      </c>
      <c r="DT78">
        <v>57.4</v>
      </c>
      <c r="DU78">
        <v>28.8</v>
      </c>
      <c r="DV78">
        <v>23.128900000000002</v>
      </c>
      <c r="DW78">
        <v>60.772199999999998</v>
      </c>
      <c r="DX78">
        <v>35.889400000000002</v>
      </c>
      <c r="DY78">
        <v>1</v>
      </c>
      <c r="DZ78">
        <v>-9.5665600000000003E-2</v>
      </c>
      <c r="EA78">
        <v>0.16033800000000001</v>
      </c>
      <c r="EB78">
        <v>20.190100000000001</v>
      </c>
      <c r="EC78">
        <v>5.2409499999999998</v>
      </c>
      <c r="ED78">
        <v>12.039899999999999</v>
      </c>
      <c r="EE78">
        <v>5.0171999999999999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</v>
      </c>
      <c r="EL78">
        <v>1.8646199999999999</v>
      </c>
      <c r="EM78">
        <v>1.8692</v>
      </c>
      <c r="EN78">
        <v>1.86724</v>
      </c>
      <c r="EO78">
        <v>1.8633999999999999</v>
      </c>
      <c r="EP78">
        <v>1.86446</v>
      </c>
      <c r="EQ78">
        <v>1.87022</v>
      </c>
      <c r="ER78">
        <v>1.86937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-0.26</v>
      </c>
      <c r="FG78">
        <v>0.2797</v>
      </c>
      <c r="FH78">
        <v>0.26269369235785539</v>
      </c>
      <c r="FI78">
        <v>-6.1462078757559423E-4</v>
      </c>
      <c r="FJ78">
        <v>-1.8861989874597051E-7</v>
      </c>
      <c r="FK78">
        <v>1.1980462299894961E-10</v>
      </c>
      <c r="FL78">
        <v>0.27968571428570849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19.899999999999999</v>
      </c>
      <c r="FU78">
        <v>19.899999999999999</v>
      </c>
      <c r="FV78">
        <v>1.79443</v>
      </c>
      <c r="FW78">
        <v>2.5781200000000002</v>
      </c>
      <c r="FX78">
        <v>1.5490699999999999</v>
      </c>
      <c r="FY78">
        <v>2.3315399999999999</v>
      </c>
      <c r="FZ78">
        <v>1.50146</v>
      </c>
      <c r="GA78">
        <v>2.4157700000000002</v>
      </c>
      <c r="GB78">
        <v>33.580399999999997</v>
      </c>
      <c r="GC78">
        <v>23.991199999999999</v>
      </c>
      <c r="GD78">
        <v>19</v>
      </c>
      <c r="GE78">
        <v>276.99</v>
      </c>
      <c r="GF78">
        <v>600.904</v>
      </c>
      <c r="GG78">
        <v>23.967700000000001</v>
      </c>
      <c r="GH78">
        <v>26.203900000000001</v>
      </c>
      <c r="GI78">
        <v>30</v>
      </c>
      <c r="GJ78">
        <v>26.334900000000001</v>
      </c>
      <c r="GK78">
        <v>26.3171</v>
      </c>
      <c r="GL78">
        <v>35.879800000000003</v>
      </c>
      <c r="GM78">
        <v>26.4666</v>
      </c>
      <c r="GN78">
        <v>100</v>
      </c>
      <c r="GO78">
        <v>23.965800000000002</v>
      </c>
      <c r="GP78">
        <v>800</v>
      </c>
      <c r="GQ78">
        <v>19.067399999999999</v>
      </c>
      <c r="GR78">
        <v>99.765500000000003</v>
      </c>
      <c r="GS78">
        <v>99.606399999999994</v>
      </c>
    </row>
    <row r="79" spans="1:201" x14ac:dyDescent="0.25">
      <c r="A79">
        <v>63</v>
      </c>
      <c r="B79">
        <v>1690386025.5999999</v>
      </c>
      <c r="C79">
        <v>691</v>
      </c>
      <c r="D79" t="s">
        <v>459</v>
      </c>
      <c r="E79" t="s">
        <v>460</v>
      </c>
      <c r="F79" t="s">
        <v>330</v>
      </c>
      <c r="H79">
        <v>1690386025.5999999</v>
      </c>
      <c r="I79">
        <f t="shared" si="0"/>
        <v>3.5133634317046692E-4</v>
      </c>
      <c r="J79">
        <f t="shared" si="1"/>
        <v>0.35133634317046691</v>
      </c>
      <c r="K79">
        <f t="shared" si="2"/>
        <v>3.8743239302515495</v>
      </c>
      <c r="L79">
        <f t="shared" si="3"/>
        <v>756.20799999999997</v>
      </c>
      <c r="M79">
        <f t="shared" si="4"/>
        <v>448.18730606733385</v>
      </c>
      <c r="N79">
        <f t="shared" si="5"/>
        <v>44.256313891606133</v>
      </c>
      <c r="O79">
        <f t="shared" si="6"/>
        <v>74.671857418281604</v>
      </c>
      <c r="P79">
        <f t="shared" si="7"/>
        <v>2.1323602770202971E-2</v>
      </c>
      <c r="Q79">
        <f t="shared" si="8"/>
        <v>2.1610167793553865</v>
      </c>
      <c r="R79">
        <f t="shared" si="9"/>
        <v>2.1207397015326701E-2</v>
      </c>
      <c r="S79">
        <f t="shared" si="10"/>
        <v>1.326501086458633E-2</v>
      </c>
      <c r="T79">
        <f t="shared" si="11"/>
        <v>276.11435003399998</v>
      </c>
      <c r="U79">
        <f t="shared" si="12"/>
        <v>28.156598807416923</v>
      </c>
      <c r="V79">
        <f t="shared" si="13"/>
        <v>28.156598807416923</v>
      </c>
      <c r="W79">
        <f t="shared" si="14"/>
        <v>3.8296216996692931</v>
      </c>
      <c r="X79">
        <f t="shared" si="15"/>
        <v>66.030398728909006</v>
      </c>
      <c r="Y79">
        <f t="shared" si="16"/>
        <v>2.24405220538614</v>
      </c>
      <c r="Z79">
        <f t="shared" si="17"/>
        <v>3.3985137884737067</v>
      </c>
      <c r="AA79">
        <f t="shared" si="18"/>
        <v>1.5855694942831531</v>
      </c>
      <c r="AB79">
        <f t="shared" si="19"/>
        <v>-15.493932733817591</v>
      </c>
      <c r="AC79">
        <f t="shared" si="20"/>
        <v>-237.14525242524371</v>
      </c>
      <c r="AD79">
        <f t="shared" si="21"/>
        <v>-23.715874149465915</v>
      </c>
      <c r="AE79">
        <f t="shared" si="22"/>
        <v>-0.24070927452723367</v>
      </c>
      <c r="AF79">
        <v>0</v>
      </c>
      <c r="AG79">
        <v>0</v>
      </c>
      <c r="AH79">
        <f t="shared" si="23"/>
        <v>1</v>
      </c>
      <c r="AI79">
        <f t="shared" si="24"/>
        <v>0</v>
      </c>
      <c r="AJ79">
        <f t="shared" si="25"/>
        <v>52451.982418435618</v>
      </c>
      <c r="AK79">
        <f t="shared" si="26"/>
        <v>1800</v>
      </c>
      <c r="AL79">
        <f t="shared" si="27"/>
        <v>1499.1128604</v>
      </c>
      <c r="AM79">
        <f t="shared" si="28"/>
        <v>0.83284047800000005</v>
      </c>
      <c r="AN79">
        <f t="shared" si="29"/>
        <v>0.15339686113000001</v>
      </c>
      <c r="AO79">
        <v>31.8</v>
      </c>
      <c r="AP79">
        <v>0.5</v>
      </c>
      <c r="AQ79" t="s">
        <v>331</v>
      </c>
      <c r="AR79">
        <v>2</v>
      </c>
      <c r="AS79">
        <v>1690386025.5999999</v>
      </c>
      <c r="AT79">
        <v>756.20799999999997</v>
      </c>
      <c r="AU79">
        <v>800.07</v>
      </c>
      <c r="AV79">
        <v>22.7257</v>
      </c>
      <c r="AW79">
        <v>19.088000000000001</v>
      </c>
      <c r="AX79">
        <v>756.46600000000001</v>
      </c>
      <c r="AY79">
        <v>22.446000000000002</v>
      </c>
      <c r="AZ79">
        <v>300.15100000000001</v>
      </c>
      <c r="BA79">
        <v>98.645200000000003</v>
      </c>
      <c r="BB79">
        <v>9.9930199999999997E-2</v>
      </c>
      <c r="BC79">
        <v>26.121099999999998</v>
      </c>
      <c r="BD79">
        <v>26.985700000000001</v>
      </c>
      <c r="BE79">
        <v>28.039300000000001</v>
      </c>
      <c r="BF79">
        <v>0</v>
      </c>
      <c r="BG79">
        <v>0</v>
      </c>
      <c r="BH79">
        <v>10027.5</v>
      </c>
      <c r="BI79">
        <v>1070.82</v>
      </c>
      <c r="BJ79">
        <v>1.4577199999999999</v>
      </c>
      <c r="BK79">
        <v>-43.862000000000002</v>
      </c>
      <c r="BL79">
        <v>773.79300000000001</v>
      </c>
      <c r="BM79">
        <v>815.63900000000001</v>
      </c>
      <c r="BN79">
        <v>3.6377000000000002</v>
      </c>
      <c r="BO79">
        <v>800.07</v>
      </c>
      <c r="BP79">
        <v>19.088000000000001</v>
      </c>
      <c r="BQ79">
        <v>2.2417799999999999</v>
      </c>
      <c r="BR79">
        <v>1.8829400000000001</v>
      </c>
      <c r="BS79">
        <v>19.263999999999999</v>
      </c>
      <c r="BT79">
        <v>16.492899999999999</v>
      </c>
      <c r="BU79">
        <v>1800</v>
      </c>
      <c r="BV79">
        <v>0.91001399999999999</v>
      </c>
      <c r="BW79">
        <v>3.40016E-2</v>
      </c>
      <c r="BX79">
        <v>2.1992899999999999E-2</v>
      </c>
      <c r="BY79">
        <v>3.39917E-2</v>
      </c>
      <c r="BZ79">
        <v>25</v>
      </c>
      <c r="CA79">
        <v>33528.400000000001</v>
      </c>
      <c r="CB79">
        <v>1690384821</v>
      </c>
      <c r="CC79" t="s">
        <v>332</v>
      </c>
      <c r="CD79">
        <v>1690384820</v>
      </c>
      <c r="CE79">
        <v>1690384821</v>
      </c>
      <c r="CF79">
        <v>5</v>
      </c>
      <c r="CG79">
        <v>-2.5000000000000001E-2</v>
      </c>
      <c r="CH79">
        <v>0.104</v>
      </c>
      <c r="CI79">
        <v>-0.28799999999999998</v>
      </c>
      <c r="CJ79">
        <v>0.28000000000000003</v>
      </c>
      <c r="CK79">
        <v>800</v>
      </c>
      <c r="CL79">
        <v>24</v>
      </c>
      <c r="CM79">
        <v>0.08</v>
      </c>
      <c r="CN79">
        <v>0.11</v>
      </c>
      <c r="CO79">
        <v>-41.265385000000002</v>
      </c>
      <c r="CP79">
        <v>-14.953774108817999</v>
      </c>
      <c r="CQ79">
        <v>1.439105355516058</v>
      </c>
      <c r="CR79">
        <v>-1</v>
      </c>
      <c r="CS79">
        <v>3.5294935000000001</v>
      </c>
      <c r="CT79">
        <v>0.7000338461538399</v>
      </c>
      <c r="CU79">
        <v>6.7776071572126381E-2</v>
      </c>
      <c r="CV79">
        <v>-1</v>
      </c>
      <c r="CW79">
        <v>0</v>
      </c>
      <c r="CX79">
        <v>0</v>
      </c>
      <c r="CY79" t="s">
        <v>333</v>
      </c>
      <c r="CZ79">
        <v>2.3644400000000001</v>
      </c>
      <c r="DA79">
        <v>2.7137500000000001</v>
      </c>
      <c r="DB79">
        <v>0.14072799999999999</v>
      </c>
      <c r="DC79">
        <v>0.14574400000000001</v>
      </c>
      <c r="DD79">
        <v>0.108809</v>
      </c>
      <c r="DE79">
        <v>9.5067399999999996E-2</v>
      </c>
      <c r="DF79">
        <v>31384.3</v>
      </c>
      <c r="DG79">
        <v>27541.3</v>
      </c>
      <c r="DH79">
        <v>31180.400000000001</v>
      </c>
      <c r="DI79">
        <v>28092.1</v>
      </c>
      <c r="DJ79">
        <v>37729.4</v>
      </c>
      <c r="DK79">
        <v>36148.300000000003</v>
      </c>
      <c r="DL79">
        <v>44374.9</v>
      </c>
      <c r="DM79">
        <v>42579.8</v>
      </c>
      <c r="DN79">
        <v>1.4629799999999999</v>
      </c>
      <c r="DO79">
        <v>2.0575299999999999</v>
      </c>
      <c r="DP79">
        <v>0.114772</v>
      </c>
      <c r="DQ79">
        <v>0.19568199999999999</v>
      </c>
      <c r="DR79">
        <v>25.105799999999999</v>
      </c>
      <c r="DS79">
        <v>24.836099999999998</v>
      </c>
      <c r="DT79">
        <v>57.4</v>
      </c>
      <c r="DU79">
        <v>28.8</v>
      </c>
      <c r="DV79">
        <v>23.130099999999999</v>
      </c>
      <c r="DW79">
        <v>60.972200000000001</v>
      </c>
      <c r="DX79">
        <v>36.6907</v>
      </c>
      <c r="DY79">
        <v>1</v>
      </c>
      <c r="DZ79">
        <v>-9.5551300000000006E-2</v>
      </c>
      <c r="EA79">
        <v>0.15648400000000001</v>
      </c>
      <c r="EB79">
        <v>20.190000000000001</v>
      </c>
      <c r="EC79">
        <v>5.2403500000000003</v>
      </c>
      <c r="ED79">
        <v>12.039899999999999</v>
      </c>
      <c r="EE79">
        <v>5.0168999999999997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1.8689100000000001</v>
      </c>
      <c r="EL79">
        <v>1.8646199999999999</v>
      </c>
      <c r="EM79">
        <v>1.8692</v>
      </c>
      <c r="EN79">
        <v>1.8672500000000001</v>
      </c>
      <c r="EO79">
        <v>1.8633900000000001</v>
      </c>
      <c r="EP79">
        <v>1.86446</v>
      </c>
      <c r="EQ79">
        <v>1.8702099999999999</v>
      </c>
      <c r="ER79">
        <v>1.86938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-0.25800000000000001</v>
      </c>
      <c r="FG79">
        <v>0.2797</v>
      </c>
      <c r="FH79">
        <v>0.26269369235785539</v>
      </c>
      <c r="FI79">
        <v>-6.1462078757559423E-4</v>
      </c>
      <c r="FJ79">
        <v>-1.8861989874597051E-7</v>
      </c>
      <c r="FK79">
        <v>1.1980462299894961E-10</v>
      </c>
      <c r="FL79">
        <v>0.27968571428570849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20.100000000000001</v>
      </c>
      <c r="FU79">
        <v>20.100000000000001</v>
      </c>
      <c r="FV79">
        <v>1.79443</v>
      </c>
      <c r="FW79">
        <v>2.5769000000000002</v>
      </c>
      <c r="FX79">
        <v>1.5490699999999999</v>
      </c>
      <c r="FY79">
        <v>2.3327599999999999</v>
      </c>
      <c r="FZ79">
        <v>1.50146</v>
      </c>
      <c r="GA79">
        <v>2.3950200000000001</v>
      </c>
      <c r="GB79">
        <v>33.580399999999997</v>
      </c>
      <c r="GC79">
        <v>23.991199999999999</v>
      </c>
      <c r="GD79">
        <v>19</v>
      </c>
      <c r="GE79">
        <v>277.19200000000001</v>
      </c>
      <c r="GF79">
        <v>600.55899999999997</v>
      </c>
      <c r="GG79">
        <v>23.999600000000001</v>
      </c>
      <c r="GH79">
        <v>26.197800000000001</v>
      </c>
      <c r="GI79">
        <v>30.000299999999999</v>
      </c>
      <c r="GJ79">
        <v>26.330500000000001</v>
      </c>
      <c r="GK79">
        <v>26.314800000000002</v>
      </c>
      <c r="GL79">
        <v>35.875100000000003</v>
      </c>
      <c r="GM79">
        <v>26.738900000000001</v>
      </c>
      <c r="GN79">
        <v>100</v>
      </c>
      <c r="GO79">
        <v>23.999600000000001</v>
      </c>
      <c r="GP79">
        <v>800</v>
      </c>
      <c r="GQ79">
        <v>19.0623</v>
      </c>
      <c r="GR79">
        <v>99.766999999999996</v>
      </c>
      <c r="GS79">
        <v>99.607200000000006</v>
      </c>
    </row>
    <row r="80" spans="1:201" x14ac:dyDescent="0.25">
      <c r="A80">
        <v>64</v>
      </c>
      <c r="B80">
        <v>1690386035.5999999</v>
      </c>
      <c r="C80">
        <v>701</v>
      </c>
      <c r="D80" t="s">
        <v>461</v>
      </c>
      <c r="E80" t="s">
        <v>462</v>
      </c>
      <c r="F80" t="s">
        <v>330</v>
      </c>
      <c r="H80">
        <v>1690386035.5999999</v>
      </c>
      <c r="I80">
        <f t="shared" si="0"/>
        <v>3.5714714610851194E-4</v>
      </c>
      <c r="J80">
        <f t="shared" si="1"/>
        <v>0.35714714610851195</v>
      </c>
      <c r="K80">
        <f t="shared" si="2"/>
        <v>4.1149007394613388</v>
      </c>
      <c r="L80">
        <f t="shared" si="3"/>
        <v>753.55399999999997</v>
      </c>
      <c r="M80">
        <f t="shared" si="4"/>
        <v>432.49944443222068</v>
      </c>
      <c r="N80">
        <f t="shared" si="5"/>
        <v>42.70813595420293</v>
      </c>
      <c r="O80">
        <f t="shared" si="6"/>
        <v>74.411394269147991</v>
      </c>
      <c r="P80">
        <f t="shared" si="7"/>
        <v>2.1665661108517996E-2</v>
      </c>
      <c r="Q80">
        <f t="shared" si="8"/>
        <v>2.1519801597910728</v>
      </c>
      <c r="R80">
        <f t="shared" si="9"/>
        <v>2.1545207903195106E-2</v>
      </c>
      <c r="S80">
        <f t="shared" si="10"/>
        <v>1.3476521251085253E-2</v>
      </c>
      <c r="T80">
        <f t="shared" si="11"/>
        <v>276.11260861654119</v>
      </c>
      <c r="U80">
        <f t="shared" si="12"/>
        <v>28.168040184949838</v>
      </c>
      <c r="V80">
        <f t="shared" si="13"/>
        <v>28.168040184949838</v>
      </c>
      <c r="W80">
        <f t="shared" si="14"/>
        <v>3.8321738003853061</v>
      </c>
      <c r="X80">
        <f t="shared" si="15"/>
        <v>66.055179513372863</v>
      </c>
      <c r="Y80">
        <f t="shared" si="16"/>
        <v>2.2456509840468</v>
      </c>
      <c r="Z80">
        <f t="shared" si="17"/>
        <v>3.3996591949192538</v>
      </c>
      <c r="AA80">
        <f t="shared" si="18"/>
        <v>1.5865228163385061</v>
      </c>
      <c r="AB80">
        <f t="shared" si="19"/>
        <v>-15.750189143385377</v>
      </c>
      <c r="AC80">
        <f t="shared" si="20"/>
        <v>-236.81969414915145</v>
      </c>
      <c r="AD80">
        <f t="shared" si="21"/>
        <v>-23.784806713417947</v>
      </c>
      <c r="AE80">
        <f t="shared" si="22"/>
        <v>-0.24208138941355628</v>
      </c>
      <c r="AF80">
        <v>0</v>
      </c>
      <c r="AG80">
        <v>0</v>
      </c>
      <c r="AH80">
        <f t="shared" si="23"/>
        <v>1</v>
      </c>
      <c r="AI80">
        <f t="shared" si="24"/>
        <v>0</v>
      </c>
      <c r="AJ80">
        <f t="shared" si="25"/>
        <v>52072.501874343019</v>
      </c>
      <c r="AK80">
        <f t="shared" si="26"/>
        <v>1799.99</v>
      </c>
      <c r="AL80">
        <f t="shared" si="27"/>
        <v>1499.1049729927699</v>
      </c>
      <c r="AM80">
        <f t="shared" si="28"/>
        <v>0.832840723</v>
      </c>
      <c r="AN80">
        <f t="shared" si="29"/>
        <v>0.15339674587999999</v>
      </c>
      <c r="AO80">
        <v>31.8</v>
      </c>
      <c r="AP80">
        <v>0.5</v>
      </c>
      <c r="AQ80" t="s">
        <v>331</v>
      </c>
      <c r="AR80">
        <v>2</v>
      </c>
      <c r="AS80">
        <v>1690386035.5999999</v>
      </c>
      <c r="AT80">
        <v>753.55399999999997</v>
      </c>
      <c r="AU80">
        <v>799.995</v>
      </c>
      <c r="AV80">
        <v>22.741399999999999</v>
      </c>
      <c r="AW80">
        <v>19.0441</v>
      </c>
      <c r="AX80">
        <v>753.81</v>
      </c>
      <c r="AY80">
        <v>22.4617</v>
      </c>
      <c r="AZ80">
        <v>300.19200000000001</v>
      </c>
      <c r="BA80">
        <v>98.647199999999998</v>
      </c>
      <c r="BB80">
        <v>0.100062</v>
      </c>
      <c r="BC80">
        <v>26.126799999999999</v>
      </c>
      <c r="BD80">
        <v>26.978300000000001</v>
      </c>
      <c r="BE80">
        <v>28.0486</v>
      </c>
      <c r="BF80">
        <v>0</v>
      </c>
      <c r="BG80">
        <v>0</v>
      </c>
      <c r="BH80">
        <v>9951.8799999999992</v>
      </c>
      <c r="BI80">
        <v>1070.93</v>
      </c>
      <c r="BJ80">
        <v>1.4577199999999999</v>
      </c>
      <c r="BK80">
        <v>-46.441200000000002</v>
      </c>
      <c r="BL80">
        <v>771.08900000000006</v>
      </c>
      <c r="BM80">
        <v>815.52599999999995</v>
      </c>
      <c r="BN80">
        <v>3.6972999999999998</v>
      </c>
      <c r="BO80">
        <v>799.995</v>
      </c>
      <c r="BP80">
        <v>19.0441</v>
      </c>
      <c r="BQ80">
        <v>2.2433800000000002</v>
      </c>
      <c r="BR80">
        <v>1.8786499999999999</v>
      </c>
      <c r="BS80">
        <v>19.275500000000001</v>
      </c>
      <c r="BT80">
        <v>16.457000000000001</v>
      </c>
      <c r="BU80">
        <v>1799.99</v>
      </c>
      <c r="BV80">
        <v>0.91001799999999999</v>
      </c>
      <c r="BW80">
        <v>3.4000000000000002E-2</v>
      </c>
      <c r="BX80">
        <v>2.1991900000000002E-2</v>
      </c>
      <c r="BY80">
        <v>3.3990199999999998E-2</v>
      </c>
      <c r="BZ80">
        <v>25</v>
      </c>
      <c r="CA80">
        <v>33528.400000000001</v>
      </c>
      <c r="CB80">
        <v>1690384821</v>
      </c>
      <c r="CC80" t="s">
        <v>332</v>
      </c>
      <c r="CD80">
        <v>1690384820</v>
      </c>
      <c r="CE80">
        <v>1690384821</v>
      </c>
      <c r="CF80">
        <v>5</v>
      </c>
      <c r="CG80">
        <v>-2.5000000000000001E-2</v>
      </c>
      <c r="CH80">
        <v>0.104</v>
      </c>
      <c r="CI80">
        <v>-0.28799999999999998</v>
      </c>
      <c r="CJ80">
        <v>0.28000000000000003</v>
      </c>
      <c r="CK80">
        <v>800</v>
      </c>
      <c r="CL80">
        <v>24</v>
      </c>
      <c r="CM80">
        <v>0.08</v>
      </c>
      <c r="CN80">
        <v>0.11</v>
      </c>
      <c r="CO80">
        <v>-43.494272500000001</v>
      </c>
      <c r="CP80">
        <v>-15.10657148217625</v>
      </c>
      <c r="CQ80">
        <v>1.453715565540161</v>
      </c>
      <c r="CR80">
        <v>-1</v>
      </c>
      <c r="CS80">
        <v>3.622543250000001</v>
      </c>
      <c r="CT80">
        <v>0.55534165103189104</v>
      </c>
      <c r="CU80">
        <v>5.4618187327459877E-2</v>
      </c>
      <c r="CV80">
        <v>-1</v>
      </c>
      <c r="CW80">
        <v>0</v>
      </c>
      <c r="CX80">
        <v>0</v>
      </c>
      <c r="CY80" t="s">
        <v>333</v>
      </c>
      <c r="CZ80">
        <v>2.3645499999999999</v>
      </c>
      <c r="DA80">
        <v>2.7138100000000001</v>
      </c>
      <c r="DB80">
        <v>0.140398</v>
      </c>
      <c r="DC80">
        <v>0.14573700000000001</v>
      </c>
      <c r="DD80">
        <v>0.108865</v>
      </c>
      <c r="DE80">
        <v>9.4913899999999995E-2</v>
      </c>
      <c r="DF80">
        <v>31396</v>
      </c>
      <c r="DG80">
        <v>27542.1</v>
      </c>
      <c r="DH80">
        <v>31180</v>
      </c>
      <c r="DI80">
        <v>28092.7</v>
      </c>
      <c r="DJ80">
        <v>37726.699999999997</v>
      </c>
      <c r="DK80">
        <v>36155.199999999997</v>
      </c>
      <c r="DL80">
        <v>44374.6</v>
      </c>
      <c r="DM80">
        <v>42580.800000000003</v>
      </c>
      <c r="DN80">
        <v>1.46272</v>
      </c>
      <c r="DO80">
        <v>2.0576500000000002</v>
      </c>
      <c r="DP80">
        <v>0.114191</v>
      </c>
      <c r="DQ80">
        <v>0.19606199999999999</v>
      </c>
      <c r="DR80">
        <v>25.107900000000001</v>
      </c>
      <c r="DS80">
        <v>24.839200000000002</v>
      </c>
      <c r="DT80">
        <v>57.4</v>
      </c>
      <c r="DU80">
        <v>28.8</v>
      </c>
      <c r="DV80">
        <v>23.1355</v>
      </c>
      <c r="DW80">
        <v>61.202199999999998</v>
      </c>
      <c r="DX80">
        <v>36.718800000000002</v>
      </c>
      <c r="DY80">
        <v>1</v>
      </c>
      <c r="DZ80">
        <v>-9.6285599999999999E-2</v>
      </c>
      <c r="EA80">
        <v>0.11204500000000001</v>
      </c>
      <c r="EB80">
        <v>20.190100000000001</v>
      </c>
      <c r="EC80">
        <v>5.2408000000000001</v>
      </c>
      <c r="ED80">
        <v>12.039899999999999</v>
      </c>
      <c r="EE80">
        <v>5.0166000000000004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1.8689100000000001</v>
      </c>
      <c r="EL80">
        <v>1.8646199999999999</v>
      </c>
      <c r="EM80">
        <v>1.8692</v>
      </c>
      <c r="EN80">
        <v>1.8672299999999999</v>
      </c>
      <c r="EO80">
        <v>1.86337</v>
      </c>
      <c r="EP80">
        <v>1.86446</v>
      </c>
      <c r="EQ80">
        <v>1.8702000000000001</v>
      </c>
      <c r="ER80">
        <v>1.86937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-0.25600000000000001</v>
      </c>
      <c r="FG80">
        <v>0.2797</v>
      </c>
      <c r="FH80">
        <v>0.26269369235785539</v>
      </c>
      <c r="FI80">
        <v>-6.1462078757559423E-4</v>
      </c>
      <c r="FJ80">
        <v>-1.8861989874597051E-7</v>
      </c>
      <c r="FK80">
        <v>1.1980462299894961E-10</v>
      </c>
      <c r="FL80">
        <v>0.27968571428570849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20.3</v>
      </c>
      <c r="FU80">
        <v>20.2</v>
      </c>
      <c r="FV80">
        <v>1.79443</v>
      </c>
      <c r="FW80">
        <v>2.5756800000000002</v>
      </c>
      <c r="FX80">
        <v>1.5490699999999999</v>
      </c>
      <c r="FY80">
        <v>2.3315399999999999</v>
      </c>
      <c r="FZ80">
        <v>1.50146</v>
      </c>
      <c r="GA80">
        <v>2.34863</v>
      </c>
      <c r="GB80">
        <v>33.558</v>
      </c>
      <c r="GC80">
        <v>23.982399999999998</v>
      </c>
      <c r="GD80">
        <v>19</v>
      </c>
      <c r="GE80">
        <v>277.06700000000001</v>
      </c>
      <c r="GF80">
        <v>600.62099999999998</v>
      </c>
      <c r="GG80">
        <v>24.0199</v>
      </c>
      <c r="GH80">
        <v>26.191700000000001</v>
      </c>
      <c r="GI80">
        <v>29.9998</v>
      </c>
      <c r="GJ80">
        <v>26.3261</v>
      </c>
      <c r="GK80">
        <v>26.311</v>
      </c>
      <c r="GL80">
        <v>35.877099999999999</v>
      </c>
      <c r="GM80">
        <v>26.738900000000001</v>
      </c>
      <c r="GN80">
        <v>100</v>
      </c>
      <c r="GO80">
        <v>24.032</v>
      </c>
      <c r="GP80">
        <v>800</v>
      </c>
      <c r="GQ80">
        <v>18.988700000000001</v>
      </c>
      <c r="GR80">
        <v>99.766000000000005</v>
      </c>
      <c r="GS80">
        <v>99.609399999999994</v>
      </c>
    </row>
    <row r="81" spans="1:201" x14ac:dyDescent="0.25">
      <c r="A81">
        <v>65</v>
      </c>
      <c r="B81">
        <v>1690386045.5999999</v>
      </c>
      <c r="C81">
        <v>711</v>
      </c>
      <c r="D81" t="s">
        <v>463</v>
      </c>
      <c r="E81" t="s">
        <v>464</v>
      </c>
      <c r="F81" t="s">
        <v>330</v>
      </c>
      <c r="H81">
        <v>1690386045.5999999</v>
      </c>
      <c r="I81">
        <f t="shared" ref="I81:I144" si="30">(J81)/1000</f>
        <v>3.6372705006934791E-4</v>
      </c>
      <c r="J81">
        <f t="shared" ref="J81:J144" si="31">1000*AZ81*AH81*(AV81-AW81)/(100*AO81*(1000-AH81*AV81))</f>
        <v>0.36372705006934791</v>
      </c>
      <c r="K81">
        <f t="shared" ref="K81:K144" si="32">AZ81*AH81*(AU81-AT81*(1000-AH81*AW81)/(1000-AH81*AV81))/(100*AO81)</f>
        <v>4.3691231319768935</v>
      </c>
      <c r="L81">
        <f t="shared" ref="L81:L144" si="33">AT81 - IF(AH81&gt;1, K81*AO81*100/(AJ81*BH81), 0)</f>
        <v>750.94</v>
      </c>
      <c r="M81">
        <f t="shared" ref="M81:M144" si="34">((S81-I81/2)*L81-K81)/(S81+I81/2)</f>
        <v>417.92400151058467</v>
      </c>
      <c r="N81">
        <f t="shared" ref="N81:N144" si="35">M81*(BA81+BB81)/1000</f>
        <v>41.268874276998183</v>
      </c>
      <c r="O81">
        <f t="shared" ref="O81:O144" si="36">(AT81 - IF(AH81&gt;1, K81*AO81*100/(AJ81*BH81), 0))*(BA81+BB81)/1000</f>
        <v>74.15331097891999</v>
      </c>
      <c r="P81">
        <f t="shared" ref="P81:P144" si="37">2/((1/R81-1/Q81)+SIGN(R81)*SQRT((1/R81-1/Q81)*(1/R81-1/Q81) + 4*AP81/((AP81+1)*(AP81+1))*(2*1/R81*1/Q81-1/Q81*1/Q81)))</f>
        <v>2.2120420704528469E-2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2.1575279123805879</v>
      </c>
      <c r="R81">
        <f t="shared" ref="R81:R144" si="39">I81*(1000-(1000*0.61365*EXP(17.502*V81/(240.97+V81))/(BA81+BB81)+AV81)/2)/(1000*0.61365*EXP(17.502*V81/(240.97+V81))/(BA81+BB81)-AV81)</f>
        <v>2.1995194500133593E-2</v>
      </c>
      <c r="S81">
        <f t="shared" ref="S81:S144" si="40">1/((AP81+1)/(P81/1.6)+1/(Q81/1.37)) + AP81/((AP81+1)/(P81/1.6) + AP81/(Q81/1.37))</f>
        <v>1.3758188436473475E-2</v>
      </c>
      <c r="T81">
        <f t="shared" ref="T81:T144" si="41">(AK81*AN81)</f>
        <v>276.11275047375312</v>
      </c>
      <c r="U81">
        <f t="shared" ref="U81:U144" si="42">(BC81+(T81+2*0.95*0.0000000567*(((BC81+$B$7)+273)^4-(BC81+273)^4)-44100*I81)/(1.84*29.3*Q81+8*0.95*0.0000000567*(BC81+273)^3))</f>
        <v>28.165188684805599</v>
      </c>
      <c r="V81">
        <f t="shared" ref="V81:V144" si="43">($C$7*BD81+$D$7*BE81+$E$7*U81)</f>
        <v>28.165188684805599</v>
      </c>
      <c r="W81">
        <f t="shared" ref="W81:W144" si="44">0.61365*EXP(17.502*V81/(240.97+V81))</f>
        <v>3.8315376092245272</v>
      </c>
      <c r="X81">
        <f t="shared" ref="X81:X144" si="45">(Y81/Z81*100)</f>
        <v>66.133195136532891</v>
      </c>
      <c r="Y81">
        <f t="shared" ref="Y81:Y144" si="46">AV81*(BA81+BB81)/1000</f>
        <v>2.2488615454002003</v>
      </c>
      <c r="Z81">
        <f t="shared" ref="Z81:Z144" si="47">0.61365*EXP(17.502*BC81/(240.97+BC81))</f>
        <v>3.4005033943353182</v>
      </c>
      <c r="AA81">
        <f t="shared" ref="AA81:AA144" si="48">(W81-AV81*(BA81+BB81)/1000)</f>
        <v>1.5826760638243269</v>
      </c>
      <c r="AB81">
        <f t="shared" ref="AB81:AB144" si="49">(-I81*44100)</f>
        <v>-16.040362908058242</v>
      </c>
      <c r="AC81">
        <f t="shared" ref="AC81:AC144" si="50">2*29.3*Q81*0.92*(BC81-V81)</f>
        <v>-236.61000273165581</v>
      </c>
      <c r="AD81">
        <f t="shared" ref="AD81:AD144" si="51">2*0.95*0.0000000567*(((BC81+$B$7)+273)^4-(V81+273)^4)</f>
        <v>-23.702799525450708</v>
      </c>
      <c r="AE81">
        <f t="shared" ref="AE81:AE144" si="52">T81+AD81+AB81+AC81</f>
        <v>-0.24041469141161542</v>
      </c>
      <c r="AF81">
        <v>0</v>
      </c>
      <c r="AG81">
        <v>0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52303.950270749556</v>
      </c>
      <c r="AK81">
        <f t="shared" ref="AK81:AK144" si="56">$B$11*BI81+$C$11*BJ81+$D$11*BU81</f>
        <v>1799.99</v>
      </c>
      <c r="AL81">
        <f t="shared" ref="AL81:AL144" si="57">AK81*AM81</f>
        <v>1499.1060637867099</v>
      </c>
      <c r="AM81">
        <f t="shared" ref="AM81:AM144" si="58">($B$11*$D$9+$C$11*$D$9+$D$11*(BV81*$E$9+BW81*$F$9+BX81*$G$9+BY81*$H$9))/($B$11+$C$11+$D$11)</f>
        <v>0.83284132899999996</v>
      </c>
      <c r="AN81">
        <f t="shared" ref="AN81:AN144" si="59">($B$11*$K$9+$C$11*$K$9+$D$11*(BV81*$L$9+BW81*$M$9+BX81*$N$9+BY81*$O$9))/($B$11+$C$11+$D$11)</f>
        <v>0.15339682469000002</v>
      </c>
      <c r="AO81">
        <v>31.8</v>
      </c>
      <c r="AP81">
        <v>0.5</v>
      </c>
      <c r="AQ81" t="s">
        <v>331</v>
      </c>
      <c r="AR81">
        <v>2</v>
      </c>
      <c r="AS81">
        <v>1690386045.5999999</v>
      </c>
      <c r="AT81">
        <v>750.94</v>
      </c>
      <c r="AU81">
        <v>800.09699999999998</v>
      </c>
      <c r="AV81">
        <v>22.773900000000001</v>
      </c>
      <c r="AW81">
        <v>19.010100000000001</v>
      </c>
      <c r="AX81">
        <v>751.19500000000005</v>
      </c>
      <c r="AY81">
        <v>22.494199999999999</v>
      </c>
      <c r="AZ81">
        <v>300.31099999999998</v>
      </c>
      <c r="BA81">
        <v>98.647199999999998</v>
      </c>
      <c r="BB81">
        <v>0.100118</v>
      </c>
      <c r="BC81">
        <v>26.131</v>
      </c>
      <c r="BD81">
        <v>26.971499999999999</v>
      </c>
      <c r="BE81">
        <v>28.0412</v>
      </c>
      <c r="BF81">
        <v>0</v>
      </c>
      <c r="BG81">
        <v>0</v>
      </c>
      <c r="BH81">
        <v>9998.1200000000008</v>
      </c>
      <c r="BI81">
        <v>1071.05</v>
      </c>
      <c r="BJ81">
        <v>1.4577199999999999</v>
      </c>
      <c r="BK81">
        <v>-49.157200000000003</v>
      </c>
      <c r="BL81">
        <v>768.44</v>
      </c>
      <c r="BM81">
        <v>815.60199999999998</v>
      </c>
      <c r="BN81">
        <v>3.7637499999999999</v>
      </c>
      <c r="BO81">
        <v>800.09699999999998</v>
      </c>
      <c r="BP81">
        <v>19.010100000000001</v>
      </c>
      <c r="BQ81">
        <v>2.2465799999999998</v>
      </c>
      <c r="BR81">
        <v>1.8752899999999999</v>
      </c>
      <c r="BS81">
        <v>19.298400000000001</v>
      </c>
      <c r="BT81">
        <v>16.428899999999999</v>
      </c>
      <c r="BU81">
        <v>1799.99</v>
      </c>
      <c r="BV81">
        <v>0.91002099999999997</v>
      </c>
      <c r="BW81">
        <v>3.3997899999999998E-2</v>
      </c>
      <c r="BX81">
        <v>2.1993200000000001E-2</v>
      </c>
      <c r="BY81">
        <v>3.39881E-2</v>
      </c>
      <c r="BZ81">
        <v>25</v>
      </c>
      <c r="CA81">
        <v>33528.400000000001</v>
      </c>
      <c r="CB81">
        <v>1690384821</v>
      </c>
      <c r="CC81" t="s">
        <v>332</v>
      </c>
      <c r="CD81">
        <v>1690384820</v>
      </c>
      <c r="CE81">
        <v>1690384821</v>
      </c>
      <c r="CF81">
        <v>5</v>
      </c>
      <c r="CG81">
        <v>-2.5000000000000001E-2</v>
      </c>
      <c r="CH81">
        <v>0.104</v>
      </c>
      <c r="CI81">
        <v>-0.28799999999999998</v>
      </c>
      <c r="CJ81">
        <v>0.28000000000000003</v>
      </c>
      <c r="CK81">
        <v>800</v>
      </c>
      <c r="CL81">
        <v>24</v>
      </c>
      <c r="CM81">
        <v>0.08</v>
      </c>
      <c r="CN81">
        <v>0.11</v>
      </c>
      <c r="CO81">
        <v>-46.354072499999987</v>
      </c>
      <c r="CP81">
        <v>-16.146242026266311</v>
      </c>
      <c r="CQ81">
        <v>1.5537727612150209</v>
      </c>
      <c r="CR81">
        <v>-1</v>
      </c>
      <c r="CS81">
        <v>3.6960082500000002</v>
      </c>
      <c r="CT81">
        <v>0.27919260787992262</v>
      </c>
      <c r="CU81">
        <v>2.7282857244751681E-2</v>
      </c>
      <c r="CV81">
        <v>-1</v>
      </c>
      <c r="CW81">
        <v>0</v>
      </c>
      <c r="CX81">
        <v>0</v>
      </c>
      <c r="CY81" t="s">
        <v>333</v>
      </c>
      <c r="CZ81">
        <v>2.3649499999999999</v>
      </c>
      <c r="DA81">
        <v>2.7139099999999998</v>
      </c>
      <c r="DB81">
        <v>0.140071</v>
      </c>
      <c r="DC81">
        <v>0.14574999999999999</v>
      </c>
      <c r="DD81">
        <v>0.108977</v>
      </c>
      <c r="DE81">
        <v>9.4793500000000003E-2</v>
      </c>
      <c r="DF81">
        <v>31409.1</v>
      </c>
      <c r="DG81">
        <v>27541.9</v>
      </c>
      <c r="DH81">
        <v>31181.1</v>
      </c>
      <c r="DI81">
        <v>28092.9</v>
      </c>
      <c r="DJ81">
        <v>37722.9</v>
      </c>
      <c r="DK81">
        <v>36160.5</v>
      </c>
      <c r="DL81">
        <v>44375.8</v>
      </c>
      <c r="DM81">
        <v>42581.3</v>
      </c>
      <c r="DN81">
        <v>1.4632799999999999</v>
      </c>
      <c r="DO81">
        <v>2.0577000000000001</v>
      </c>
      <c r="DP81">
        <v>0.113744</v>
      </c>
      <c r="DQ81">
        <v>0.19548099999999999</v>
      </c>
      <c r="DR81">
        <v>25.1084</v>
      </c>
      <c r="DS81">
        <v>24.8413</v>
      </c>
      <c r="DT81">
        <v>57.4</v>
      </c>
      <c r="DU81">
        <v>28.8</v>
      </c>
      <c r="DV81">
        <v>23.133199999999999</v>
      </c>
      <c r="DW81">
        <v>61.072200000000002</v>
      </c>
      <c r="DX81">
        <v>36.061700000000002</v>
      </c>
      <c r="DY81">
        <v>1</v>
      </c>
      <c r="DZ81">
        <v>-9.7515199999999996E-2</v>
      </c>
      <c r="EA81">
        <v>2.81754E-2</v>
      </c>
      <c r="EB81">
        <v>20.190000000000001</v>
      </c>
      <c r="EC81">
        <v>5.2409499999999998</v>
      </c>
      <c r="ED81">
        <v>12.039899999999999</v>
      </c>
      <c r="EE81">
        <v>5.0162000000000004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1.8689100000000001</v>
      </c>
      <c r="EL81">
        <v>1.8646199999999999</v>
      </c>
      <c r="EM81">
        <v>1.8692</v>
      </c>
      <c r="EN81">
        <v>1.86724</v>
      </c>
      <c r="EO81">
        <v>1.86338</v>
      </c>
      <c r="EP81">
        <v>1.8644700000000001</v>
      </c>
      <c r="EQ81">
        <v>1.87018</v>
      </c>
      <c r="ER81">
        <v>1.8693900000000001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-0.255</v>
      </c>
      <c r="FG81">
        <v>0.2797</v>
      </c>
      <c r="FH81">
        <v>0.26269369235785539</v>
      </c>
      <c r="FI81">
        <v>-6.1462078757559423E-4</v>
      </c>
      <c r="FJ81">
        <v>-1.8861989874597051E-7</v>
      </c>
      <c r="FK81">
        <v>1.1980462299894961E-10</v>
      </c>
      <c r="FL81">
        <v>0.27968571428570849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20.399999999999999</v>
      </c>
      <c r="FU81">
        <v>20.399999999999999</v>
      </c>
      <c r="FV81">
        <v>1.79443</v>
      </c>
      <c r="FW81">
        <v>2.5878899999999998</v>
      </c>
      <c r="FX81">
        <v>1.5490699999999999</v>
      </c>
      <c r="FY81">
        <v>2.3315399999999999</v>
      </c>
      <c r="FZ81">
        <v>1.50146</v>
      </c>
      <c r="GA81">
        <v>2.3132299999999999</v>
      </c>
      <c r="GB81">
        <v>33.580399999999997</v>
      </c>
      <c r="GC81">
        <v>23.982399999999998</v>
      </c>
      <c r="GD81">
        <v>19</v>
      </c>
      <c r="GE81">
        <v>277.28399999999999</v>
      </c>
      <c r="GF81">
        <v>600.63</v>
      </c>
      <c r="GG81">
        <v>24.0684</v>
      </c>
      <c r="GH81">
        <v>26.186199999999999</v>
      </c>
      <c r="GI81">
        <v>29.999700000000001</v>
      </c>
      <c r="GJ81">
        <v>26.322700000000001</v>
      </c>
      <c r="GK81">
        <v>26.308199999999999</v>
      </c>
      <c r="GL81">
        <v>35.871699999999997</v>
      </c>
      <c r="GM81">
        <v>27.0107</v>
      </c>
      <c r="GN81">
        <v>100</v>
      </c>
      <c r="GO81">
        <v>24.084900000000001</v>
      </c>
      <c r="GP81">
        <v>800</v>
      </c>
      <c r="GQ81">
        <v>18.898199999999999</v>
      </c>
      <c r="GR81">
        <v>99.769099999999995</v>
      </c>
      <c r="GS81">
        <v>99.610399999999998</v>
      </c>
    </row>
    <row r="82" spans="1:201" x14ac:dyDescent="0.25">
      <c r="A82">
        <v>66</v>
      </c>
      <c r="B82">
        <v>1690386055.5999999</v>
      </c>
      <c r="C82">
        <v>721</v>
      </c>
      <c r="D82" t="s">
        <v>465</v>
      </c>
      <c r="E82" t="s">
        <v>466</v>
      </c>
      <c r="F82" t="s">
        <v>330</v>
      </c>
      <c r="H82">
        <v>1690386055.5999999</v>
      </c>
      <c r="I82">
        <f t="shared" si="30"/>
        <v>3.7648357810375957E-4</v>
      </c>
      <c r="J82">
        <f t="shared" si="31"/>
        <v>0.3764835781037596</v>
      </c>
      <c r="K82">
        <f t="shared" si="32"/>
        <v>4.6178406770179068</v>
      </c>
      <c r="L82">
        <f t="shared" si="33"/>
        <v>748.20600000000002</v>
      </c>
      <c r="M82">
        <f t="shared" si="34"/>
        <v>408.74005861019344</v>
      </c>
      <c r="N82">
        <f t="shared" si="35"/>
        <v>40.361452776103157</v>
      </c>
      <c r="O82">
        <f t="shared" si="36"/>
        <v>73.882362395502</v>
      </c>
      <c r="P82">
        <f t="shared" si="37"/>
        <v>2.2906800872224881E-2</v>
      </c>
      <c r="Q82">
        <f t="shared" si="38"/>
        <v>2.1566150630594314</v>
      </c>
      <c r="R82">
        <f t="shared" si="39"/>
        <v>2.2772485527051974E-2</v>
      </c>
      <c r="S82">
        <f t="shared" si="40"/>
        <v>1.4244805393818555E-2</v>
      </c>
      <c r="T82">
        <f t="shared" si="41"/>
        <v>276.11412829409858</v>
      </c>
      <c r="U82">
        <f t="shared" si="42"/>
        <v>28.180945279554745</v>
      </c>
      <c r="V82">
        <f t="shared" si="43"/>
        <v>28.180945279554745</v>
      </c>
      <c r="W82">
        <f t="shared" si="44"/>
        <v>3.8350541765959107</v>
      </c>
      <c r="X82">
        <f t="shared" si="45"/>
        <v>66.175161812741152</v>
      </c>
      <c r="Y82">
        <f t="shared" si="46"/>
        <v>2.2528706286515998</v>
      </c>
      <c r="Z82">
        <f t="shared" si="47"/>
        <v>3.404405167949041</v>
      </c>
      <c r="AA82">
        <f t="shared" si="48"/>
        <v>1.5821835479443109</v>
      </c>
      <c r="AB82">
        <f t="shared" si="49"/>
        <v>-16.602925794375796</v>
      </c>
      <c r="AC82">
        <f t="shared" si="50"/>
        <v>-236.08628375086934</v>
      </c>
      <c r="AD82">
        <f t="shared" si="51"/>
        <v>-23.664502065040409</v>
      </c>
      <c r="AE82">
        <f t="shared" si="52"/>
        <v>-0.23958331618698026</v>
      </c>
      <c r="AF82">
        <v>0</v>
      </c>
      <c r="AG82">
        <v>0</v>
      </c>
      <c r="AH82">
        <f t="shared" si="53"/>
        <v>1</v>
      </c>
      <c r="AI82">
        <f t="shared" si="54"/>
        <v>0</v>
      </c>
      <c r="AJ82">
        <f t="shared" si="55"/>
        <v>52262.287447506023</v>
      </c>
      <c r="AK82">
        <f t="shared" si="56"/>
        <v>1799.99</v>
      </c>
      <c r="AL82">
        <f t="shared" si="57"/>
        <v>1499.1066235835999</v>
      </c>
      <c r="AM82">
        <f t="shared" si="58"/>
        <v>0.83284163999999994</v>
      </c>
      <c r="AN82">
        <f t="shared" si="59"/>
        <v>0.15339759015000004</v>
      </c>
      <c r="AO82">
        <v>31.8</v>
      </c>
      <c r="AP82">
        <v>0.5</v>
      </c>
      <c r="AQ82" t="s">
        <v>331</v>
      </c>
      <c r="AR82">
        <v>2</v>
      </c>
      <c r="AS82">
        <v>1690386055.5999999</v>
      </c>
      <c r="AT82">
        <v>748.20600000000002</v>
      </c>
      <c r="AU82">
        <v>800.1</v>
      </c>
      <c r="AV82">
        <v>22.814800000000002</v>
      </c>
      <c r="AW82">
        <v>18.918199999999999</v>
      </c>
      <c r="AX82">
        <v>748.45899999999995</v>
      </c>
      <c r="AY82">
        <v>22.5352</v>
      </c>
      <c r="AZ82">
        <v>300.23700000000002</v>
      </c>
      <c r="BA82">
        <v>98.646000000000001</v>
      </c>
      <c r="BB82">
        <v>0.10001699999999999</v>
      </c>
      <c r="BC82">
        <v>26.150400000000001</v>
      </c>
      <c r="BD82">
        <v>26.982099999999999</v>
      </c>
      <c r="BE82">
        <v>28.061699999999998</v>
      </c>
      <c r="BF82">
        <v>0</v>
      </c>
      <c r="BG82">
        <v>0</v>
      </c>
      <c r="BH82">
        <v>9990.6200000000008</v>
      </c>
      <c r="BI82">
        <v>1071.2</v>
      </c>
      <c r="BJ82">
        <v>1.4577199999999999</v>
      </c>
      <c r="BK82">
        <v>-51.893999999999998</v>
      </c>
      <c r="BL82">
        <v>765.67499999999995</v>
      </c>
      <c r="BM82">
        <v>815.52800000000002</v>
      </c>
      <c r="BN82">
        <v>3.8966400000000001</v>
      </c>
      <c r="BO82">
        <v>800.1</v>
      </c>
      <c r="BP82">
        <v>18.918199999999999</v>
      </c>
      <c r="BQ82">
        <v>2.2505899999999999</v>
      </c>
      <c r="BR82">
        <v>1.8662099999999999</v>
      </c>
      <c r="BS82">
        <v>19.327100000000002</v>
      </c>
      <c r="BT82">
        <v>16.352599999999999</v>
      </c>
      <c r="BU82">
        <v>1799.99</v>
      </c>
      <c r="BV82">
        <v>0.91001200000000004</v>
      </c>
      <c r="BW82">
        <v>3.3996600000000002E-2</v>
      </c>
      <c r="BX82">
        <v>2.20045E-2</v>
      </c>
      <c r="BY82">
        <v>3.3986700000000002E-2</v>
      </c>
      <c r="BZ82">
        <v>25</v>
      </c>
      <c r="CA82">
        <v>33528.199999999997</v>
      </c>
      <c r="CB82">
        <v>1690384821</v>
      </c>
      <c r="CC82" t="s">
        <v>332</v>
      </c>
      <c r="CD82">
        <v>1690384820</v>
      </c>
      <c r="CE82">
        <v>1690384821</v>
      </c>
      <c r="CF82">
        <v>5</v>
      </c>
      <c r="CG82">
        <v>-2.5000000000000001E-2</v>
      </c>
      <c r="CH82">
        <v>0.104</v>
      </c>
      <c r="CI82">
        <v>-0.28799999999999998</v>
      </c>
      <c r="CJ82">
        <v>0.28000000000000003</v>
      </c>
      <c r="CK82">
        <v>800</v>
      </c>
      <c r="CL82">
        <v>24</v>
      </c>
      <c r="CM82">
        <v>0.08</v>
      </c>
      <c r="CN82">
        <v>0.11</v>
      </c>
      <c r="CO82">
        <v>-48.78443</v>
      </c>
      <c r="CP82">
        <v>-16.191536960600239</v>
      </c>
      <c r="CQ82">
        <v>1.5578884166075559</v>
      </c>
      <c r="CR82">
        <v>-1</v>
      </c>
      <c r="CS82">
        <v>3.7675537499999998</v>
      </c>
      <c r="CT82">
        <v>0.62139253283301799</v>
      </c>
      <c r="CU82">
        <v>6.1782150848262787E-2</v>
      </c>
      <c r="CV82">
        <v>-1</v>
      </c>
      <c r="CW82">
        <v>0</v>
      </c>
      <c r="CX82">
        <v>0</v>
      </c>
      <c r="CY82" t="s">
        <v>333</v>
      </c>
      <c r="CZ82">
        <v>2.3647200000000002</v>
      </c>
      <c r="DA82">
        <v>2.7138</v>
      </c>
      <c r="DB82">
        <v>0.13972599999999999</v>
      </c>
      <c r="DC82">
        <v>0.14574699999999999</v>
      </c>
      <c r="DD82">
        <v>0.109116</v>
      </c>
      <c r="DE82">
        <v>9.4465900000000005E-2</v>
      </c>
      <c r="DF82">
        <v>31421.8</v>
      </c>
      <c r="DG82">
        <v>27542.5</v>
      </c>
      <c r="DH82">
        <v>31181.200000000001</v>
      </c>
      <c r="DI82">
        <v>28093.3</v>
      </c>
      <c r="DJ82">
        <v>37717.199999999997</v>
      </c>
      <c r="DK82">
        <v>36174</v>
      </c>
      <c r="DL82">
        <v>44376.2</v>
      </c>
      <c r="DM82">
        <v>42581.8</v>
      </c>
      <c r="DN82">
        <v>1.46312</v>
      </c>
      <c r="DO82">
        <v>2.0579999999999998</v>
      </c>
      <c r="DP82">
        <v>0.114292</v>
      </c>
      <c r="DQ82">
        <v>0.19642000000000001</v>
      </c>
      <c r="DR82">
        <v>25.110099999999999</v>
      </c>
      <c r="DS82">
        <v>24.846599999999999</v>
      </c>
      <c r="DT82">
        <v>57.4</v>
      </c>
      <c r="DU82">
        <v>28.8</v>
      </c>
      <c r="DV82">
        <v>23.13</v>
      </c>
      <c r="DW82">
        <v>61.062199999999997</v>
      </c>
      <c r="DX82">
        <v>35.609000000000002</v>
      </c>
      <c r="DY82">
        <v>1</v>
      </c>
      <c r="DZ82">
        <v>-9.8277400000000001E-2</v>
      </c>
      <c r="EA82">
        <v>5.2791400000000002E-2</v>
      </c>
      <c r="EB82">
        <v>20.190000000000001</v>
      </c>
      <c r="EC82">
        <v>5.2406499999999996</v>
      </c>
      <c r="ED82">
        <v>12.039899999999999</v>
      </c>
      <c r="EE82">
        <v>5.0170500000000002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</v>
      </c>
      <c r="EL82">
        <v>1.8646199999999999</v>
      </c>
      <c r="EM82">
        <v>1.86921</v>
      </c>
      <c r="EN82">
        <v>1.8672299999999999</v>
      </c>
      <c r="EO82">
        <v>1.8633900000000001</v>
      </c>
      <c r="EP82">
        <v>1.8644700000000001</v>
      </c>
      <c r="EQ82">
        <v>1.8701700000000001</v>
      </c>
      <c r="ER82">
        <v>1.8693900000000001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-0.253</v>
      </c>
      <c r="FG82">
        <v>0.27960000000000002</v>
      </c>
      <c r="FH82">
        <v>0.26269369235785539</v>
      </c>
      <c r="FI82">
        <v>-6.1462078757559423E-4</v>
      </c>
      <c r="FJ82">
        <v>-1.8861989874597051E-7</v>
      </c>
      <c r="FK82">
        <v>1.1980462299894961E-10</v>
      </c>
      <c r="FL82">
        <v>0.27968571428570849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20.6</v>
      </c>
      <c r="FU82">
        <v>20.6</v>
      </c>
      <c r="FV82">
        <v>1.79443</v>
      </c>
      <c r="FW82">
        <v>2.5878899999999998</v>
      </c>
      <c r="FX82">
        <v>1.5490699999999999</v>
      </c>
      <c r="FY82">
        <v>2.3315399999999999</v>
      </c>
      <c r="FZ82">
        <v>1.50024</v>
      </c>
      <c r="GA82">
        <v>2.33643</v>
      </c>
      <c r="GB82">
        <v>33.558</v>
      </c>
      <c r="GC82">
        <v>23.973700000000001</v>
      </c>
      <c r="GD82">
        <v>19</v>
      </c>
      <c r="GE82">
        <v>277.20499999999998</v>
      </c>
      <c r="GF82">
        <v>600.84699999999998</v>
      </c>
      <c r="GG82">
        <v>24.119900000000001</v>
      </c>
      <c r="GH82">
        <v>26.180700000000002</v>
      </c>
      <c r="GI82">
        <v>29.9998</v>
      </c>
      <c r="GJ82">
        <v>26.318899999999999</v>
      </c>
      <c r="GK82">
        <v>26.305</v>
      </c>
      <c r="GL82">
        <v>35.869199999999999</v>
      </c>
      <c r="GM82">
        <v>27.300899999999999</v>
      </c>
      <c r="GN82">
        <v>100</v>
      </c>
      <c r="GO82">
        <v>24.121600000000001</v>
      </c>
      <c r="GP82">
        <v>800</v>
      </c>
      <c r="GQ82">
        <v>18.798100000000002</v>
      </c>
      <c r="GR82">
        <v>99.7697</v>
      </c>
      <c r="GS82">
        <v>99.611800000000002</v>
      </c>
    </row>
    <row r="83" spans="1:201" x14ac:dyDescent="0.25">
      <c r="A83">
        <v>67</v>
      </c>
      <c r="B83">
        <v>1690386065.5999999</v>
      </c>
      <c r="C83">
        <v>731</v>
      </c>
      <c r="D83" t="s">
        <v>467</v>
      </c>
      <c r="E83" t="s">
        <v>468</v>
      </c>
      <c r="F83" t="s">
        <v>330</v>
      </c>
      <c r="H83">
        <v>1690386065.5999999</v>
      </c>
      <c r="I83">
        <f t="shared" si="30"/>
        <v>3.9018244123047749E-4</v>
      </c>
      <c r="J83">
        <f t="shared" si="31"/>
        <v>0.39018244123047746</v>
      </c>
      <c r="K83">
        <f t="shared" si="32"/>
        <v>4.8595675660411057</v>
      </c>
      <c r="L83">
        <f t="shared" si="33"/>
        <v>745.43</v>
      </c>
      <c r="M83">
        <f t="shared" si="34"/>
        <v>401.69733759304825</v>
      </c>
      <c r="N83">
        <f t="shared" si="35"/>
        <v>39.666918195332563</v>
      </c>
      <c r="O83">
        <f t="shared" si="36"/>
        <v>73.609924844218</v>
      </c>
      <c r="P83">
        <f t="shared" si="37"/>
        <v>2.3785825326529522E-2</v>
      </c>
      <c r="Q83">
        <f t="shared" si="38"/>
        <v>2.1600867578239522</v>
      </c>
      <c r="R83">
        <f t="shared" si="39"/>
        <v>2.3641270109442496E-2</v>
      </c>
      <c r="S83">
        <f t="shared" si="40"/>
        <v>1.4788708186581793E-2</v>
      </c>
      <c r="T83">
        <f t="shared" si="41"/>
        <v>276.11472626877634</v>
      </c>
      <c r="U83">
        <f t="shared" si="42"/>
        <v>28.184140652586148</v>
      </c>
      <c r="V83">
        <f t="shared" si="43"/>
        <v>28.184140652586148</v>
      </c>
      <c r="W83">
        <f t="shared" si="44"/>
        <v>3.835767665374481</v>
      </c>
      <c r="X83">
        <f t="shared" si="45"/>
        <v>66.232320825305749</v>
      </c>
      <c r="Y83">
        <f t="shared" si="46"/>
        <v>2.2562696561556206</v>
      </c>
      <c r="Z83">
        <f t="shared" si="47"/>
        <v>3.4065991166257841</v>
      </c>
      <c r="AA83">
        <f t="shared" si="48"/>
        <v>1.5794980092188604</v>
      </c>
      <c r="AB83">
        <f t="shared" si="49"/>
        <v>-17.207045658264057</v>
      </c>
      <c r="AC83">
        <f t="shared" si="50"/>
        <v>-235.56909357432028</v>
      </c>
      <c r="AD83">
        <f t="shared" si="51"/>
        <v>-23.576368879403251</v>
      </c>
      <c r="AE83">
        <f t="shared" si="52"/>
        <v>-0.23778184321125195</v>
      </c>
      <c r="AF83">
        <v>0</v>
      </c>
      <c r="AG83">
        <v>0</v>
      </c>
      <c r="AH83">
        <f t="shared" si="53"/>
        <v>1</v>
      </c>
      <c r="AI83">
        <f t="shared" si="54"/>
        <v>0</v>
      </c>
      <c r="AJ83">
        <f t="shared" si="55"/>
        <v>52405.971830385286</v>
      </c>
      <c r="AK83">
        <f t="shared" si="56"/>
        <v>1799.99</v>
      </c>
      <c r="AL83">
        <f t="shared" si="57"/>
        <v>1499.10597738719</v>
      </c>
      <c r="AM83">
        <f t="shared" si="58"/>
        <v>0.83284128099999999</v>
      </c>
      <c r="AN83">
        <f t="shared" si="59"/>
        <v>0.15339792235999997</v>
      </c>
      <c r="AO83">
        <v>31.8</v>
      </c>
      <c r="AP83">
        <v>0.5</v>
      </c>
      <c r="AQ83" t="s">
        <v>331</v>
      </c>
      <c r="AR83">
        <v>2</v>
      </c>
      <c r="AS83">
        <v>1690386065.5999999</v>
      </c>
      <c r="AT83">
        <v>745.43</v>
      </c>
      <c r="AU83">
        <v>799.99699999999996</v>
      </c>
      <c r="AV83">
        <v>22.848700000000001</v>
      </c>
      <c r="AW83">
        <v>18.8093</v>
      </c>
      <c r="AX83">
        <v>745.68100000000004</v>
      </c>
      <c r="AY83">
        <v>22.568999999999999</v>
      </c>
      <c r="AZ83">
        <v>300.15100000000001</v>
      </c>
      <c r="BA83">
        <v>98.648300000000006</v>
      </c>
      <c r="BB83">
        <v>9.9972599999999995E-2</v>
      </c>
      <c r="BC83">
        <v>26.161300000000001</v>
      </c>
      <c r="BD83">
        <v>27.004000000000001</v>
      </c>
      <c r="BE83">
        <v>28.057700000000001</v>
      </c>
      <c r="BF83">
        <v>0</v>
      </c>
      <c r="BG83">
        <v>0</v>
      </c>
      <c r="BH83">
        <v>10019.4</v>
      </c>
      <c r="BI83">
        <v>1071.26</v>
      </c>
      <c r="BJ83">
        <v>1.4577199999999999</v>
      </c>
      <c r="BK83">
        <v>-54.5672</v>
      </c>
      <c r="BL83">
        <v>762.86</v>
      </c>
      <c r="BM83">
        <v>815.33299999999997</v>
      </c>
      <c r="BN83">
        <v>4.0393600000000003</v>
      </c>
      <c r="BO83">
        <v>799.99699999999996</v>
      </c>
      <c r="BP83">
        <v>18.8093</v>
      </c>
      <c r="BQ83">
        <v>2.2539799999999999</v>
      </c>
      <c r="BR83">
        <v>1.85551</v>
      </c>
      <c r="BS83">
        <v>19.351199999999999</v>
      </c>
      <c r="BT83">
        <v>16.2624</v>
      </c>
      <c r="BU83">
        <v>1799.99</v>
      </c>
      <c r="BV83">
        <v>0.91000300000000001</v>
      </c>
      <c r="BW83">
        <v>3.39946E-2</v>
      </c>
      <c r="BX83">
        <v>2.2009299999999999E-2</v>
      </c>
      <c r="BY83">
        <v>3.3992599999999998E-2</v>
      </c>
      <c r="BZ83">
        <v>25</v>
      </c>
      <c r="CA83">
        <v>33528.1</v>
      </c>
      <c r="CB83">
        <v>1690384821</v>
      </c>
      <c r="CC83" t="s">
        <v>332</v>
      </c>
      <c r="CD83">
        <v>1690384820</v>
      </c>
      <c r="CE83">
        <v>1690384821</v>
      </c>
      <c r="CF83">
        <v>5</v>
      </c>
      <c r="CG83">
        <v>-2.5000000000000001E-2</v>
      </c>
      <c r="CH83">
        <v>0.104</v>
      </c>
      <c r="CI83">
        <v>-0.28799999999999998</v>
      </c>
      <c r="CJ83">
        <v>0.28000000000000003</v>
      </c>
      <c r="CK83">
        <v>800</v>
      </c>
      <c r="CL83">
        <v>24</v>
      </c>
      <c r="CM83">
        <v>0.08</v>
      </c>
      <c r="CN83">
        <v>0.11</v>
      </c>
      <c r="CO83">
        <v>-51.787525000000002</v>
      </c>
      <c r="CP83">
        <v>-16.47151969981218</v>
      </c>
      <c r="CQ83">
        <v>1.584932577706383</v>
      </c>
      <c r="CR83">
        <v>-1</v>
      </c>
      <c r="CS83">
        <v>3.90262025</v>
      </c>
      <c r="CT83">
        <v>0.80722007504689852</v>
      </c>
      <c r="CU83">
        <v>7.8342388286530479E-2</v>
      </c>
      <c r="CV83">
        <v>-1</v>
      </c>
      <c r="CW83">
        <v>0</v>
      </c>
      <c r="CX83">
        <v>0</v>
      </c>
      <c r="CY83" t="s">
        <v>333</v>
      </c>
      <c r="CZ83">
        <v>2.3644699999999998</v>
      </c>
      <c r="DA83">
        <v>2.7137799999999999</v>
      </c>
      <c r="DB83">
        <v>0.13938</v>
      </c>
      <c r="DC83">
        <v>0.14573700000000001</v>
      </c>
      <c r="DD83">
        <v>0.109235</v>
      </c>
      <c r="DE83">
        <v>9.40801E-2</v>
      </c>
      <c r="DF83">
        <v>31434.5</v>
      </c>
      <c r="DG83">
        <v>27542.799999999999</v>
      </c>
      <c r="DH83">
        <v>31181.3</v>
      </c>
      <c r="DI83">
        <v>28093.4</v>
      </c>
      <c r="DJ83">
        <v>37712.199999999997</v>
      </c>
      <c r="DK83">
        <v>36189.5</v>
      </c>
      <c r="DL83">
        <v>44376.3</v>
      </c>
      <c r="DM83">
        <v>42581.8</v>
      </c>
      <c r="DN83">
        <v>1.4631000000000001</v>
      </c>
      <c r="DO83">
        <v>2.0578500000000002</v>
      </c>
      <c r="DP83">
        <v>0.115439</v>
      </c>
      <c r="DQ83">
        <v>0.19592000000000001</v>
      </c>
      <c r="DR83">
        <v>25.113199999999999</v>
      </c>
      <c r="DS83">
        <v>24.8508</v>
      </c>
      <c r="DT83">
        <v>57.4</v>
      </c>
      <c r="DU83">
        <v>28.8</v>
      </c>
      <c r="DV83">
        <v>23.1325</v>
      </c>
      <c r="DW83">
        <v>61.322200000000002</v>
      </c>
      <c r="DX83">
        <v>35.789299999999997</v>
      </c>
      <c r="DY83">
        <v>1</v>
      </c>
      <c r="DZ83">
        <v>-9.7583799999999998E-2</v>
      </c>
      <c r="EA83">
        <v>1.3472500000000001</v>
      </c>
      <c r="EB83">
        <v>20.1816</v>
      </c>
      <c r="EC83">
        <v>5.2411000000000003</v>
      </c>
      <c r="ED83">
        <v>12.039899999999999</v>
      </c>
      <c r="EE83">
        <v>5.0172499999999998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</v>
      </c>
      <c r="EL83">
        <v>1.8646199999999999</v>
      </c>
      <c r="EM83">
        <v>1.8692</v>
      </c>
      <c r="EN83">
        <v>1.8672299999999999</v>
      </c>
      <c r="EO83">
        <v>1.8633900000000001</v>
      </c>
      <c r="EP83">
        <v>1.8644700000000001</v>
      </c>
      <c r="EQ83">
        <v>1.8702099999999999</v>
      </c>
      <c r="ER83">
        <v>1.86937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-0.251</v>
      </c>
      <c r="FG83">
        <v>0.2797</v>
      </c>
      <c r="FH83">
        <v>0.26269369235785539</v>
      </c>
      <c r="FI83">
        <v>-6.1462078757559423E-4</v>
      </c>
      <c r="FJ83">
        <v>-1.8861989874597051E-7</v>
      </c>
      <c r="FK83">
        <v>1.1980462299894961E-10</v>
      </c>
      <c r="FL83">
        <v>0.27968571428570849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20.8</v>
      </c>
      <c r="FU83">
        <v>20.7</v>
      </c>
      <c r="FV83">
        <v>1.79443</v>
      </c>
      <c r="FW83">
        <v>2.5805699999999998</v>
      </c>
      <c r="FX83">
        <v>1.5490699999999999</v>
      </c>
      <c r="FY83">
        <v>2.3315399999999999</v>
      </c>
      <c r="FZ83">
        <v>1.50146</v>
      </c>
      <c r="GA83">
        <v>2.3889200000000002</v>
      </c>
      <c r="GB83">
        <v>33.558</v>
      </c>
      <c r="GC83">
        <v>23.982399999999998</v>
      </c>
      <c r="GD83">
        <v>19</v>
      </c>
      <c r="GE83">
        <v>277.178</v>
      </c>
      <c r="GF83">
        <v>600.67999999999995</v>
      </c>
      <c r="GG83">
        <v>24.052900000000001</v>
      </c>
      <c r="GH83">
        <v>26.1752</v>
      </c>
      <c r="GI83">
        <v>30.000699999999998</v>
      </c>
      <c r="GJ83">
        <v>26.315000000000001</v>
      </c>
      <c r="GK83">
        <v>26.301600000000001</v>
      </c>
      <c r="GL83">
        <v>35.866799999999998</v>
      </c>
      <c r="GM83">
        <v>27.855</v>
      </c>
      <c r="GN83">
        <v>100</v>
      </c>
      <c r="GO83">
        <v>23.823399999999999</v>
      </c>
      <c r="GP83">
        <v>800</v>
      </c>
      <c r="GQ83">
        <v>18.695799999999998</v>
      </c>
      <c r="GR83">
        <v>99.77</v>
      </c>
      <c r="GS83">
        <v>99.611800000000002</v>
      </c>
    </row>
    <row r="84" spans="1:201" x14ac:dyDescent="0.25">
      <c r="A84">
        <v>68</v>
      </c>
      <c r="B84">
        <v>1690386075.5999999</v>
      </c>
      <c r="C84">
        <v>741</v>
      </c>
      <c r="D84" t="s">
        <v>469</v>
      </c>
      <c r="E84" t="s">
        <v>470</v>
      </c>
      <c r="F84" t="s">
        <v>330</v>
      </c>
      <c r="H84">
        <v>1690386075.5999999</v>
      </c>
      <c r="I84">
        <f t="shared" si="30"/>
        <v>3.9670963241758621E-4</v>
      </c>
      <c r="J84">
        <f t="shared" si="31"/>
        <v>0.39670963241758622</v>
      </c>
      <c r="K84">
        <f t="shared" si="32"/>
        <v>5.134329784077317</v>
      </c>
      <c r="L84">
        <f t="shared" si="33"/>
        <v>742.55600000000004</v>
      </c>
      <c r="M84">
        <f t="shared" si="34"/>
        <v>387.11628089756732</v>
      </c>
      <c r="N84">
        <f t="shared" si="35"/>
        <v>38.227968298891696</v>
      </c>
      <c r="O84">
        <f t="shared" si="36"/>
        <v>73.327856845326011</v>
      </c>
      <c r="P84">
        <f t="shared" si="37"/>
        <v>2.4249428486642619E-2</v>
      </c>
      <c r="Q84">
        <f t="shared" si="38"/>
        <v>2.1602592887187546</v>
      </c>
      <c r="R84">
        <f t="shared" si="39"/>
        <v>2.4099214503820066E-2</v>
      </c>
      <c r="S84">
        <f t="shared" si="40"/>
        <v>1.5075427516266705E-2</v>
      </c>
      <c r="T84">
        <f t="shared" si="41"/>
        <v>276.11644575600002</v>
      </c>
      <c r="U84">
        <f t="shared" si="42"/>
        <v>28.159998106322124</v>
      </c>
      <c r="V84">
        <f t="shared" si="43"/>
        <v>28.159998106322124</v>
      </c>
      <c r="W84">
        <f t="shared" si="44"/>
        <v>3.8303797885685449</v>
      </c>
      <c r="X84">
        <f t="shared" si="45"/>
        <v>66.276909524770701</v>
      </c>
      <c r="Y84">
        <f t="shared" si="46"/>
        <v>2.2548812695498501</v>
      </c>
      <c r="Z84">
        <f t="shared" si="47"/>
        <v>3.4022124533539064</v>
      </c>
      <c r="AA84">
        <f t="shared" si="48"/>
        <v>1.5754985190186948</v>
      </c>
      <c r="AB84">
        <f t="shared" si="49"/>
        <v>-17.49489478961555</v>
      </c>
      <c r="AC84">
        <f t="shared" si="50"/>
        <v>-235.3150869265572</v>
      </c>
      <c r="AD84">
        <f t="shared" si="51"/>
        <v>-23.543659744300271</v>
      </c>
      <c r="AE84">
        <f t="shared" si="52"/>
        <v>-0.23719570447300953</v>
      </c>
      <c r="AF84">
        <v>0</v>
      </c>
      <c r="AG84">
        <v>0</v>
      </c>
      <c r="AH84">
        <f t="shared" si="53"/>
        <v>1</v>
      </c>
      <c r="AI84">
        <f t="shared" si="54"/>
        <v>0</v>
      </c>
      <c r="AJ84">
        <f t="shared" si="55"/>
        <v>52417.083574310549</v>
      </c>
      <c r="AK84">
        <f t="shared" si="56"/>
        <v>1800</v>
      </c>
      <c r="AL84">
        <f t="shared" si="57"/>
        <v>1499.1119766000002</v>
      </c>
      <c r="AM84">
        <f t="shared" si="58"/>
        <v>0.83283998700000006</v>
      </c>
      <c r="AN84">
        <f t="shared" si="59"/>
        <v>0.15339802542</v>
      </c>
      <c r="AO84">
        <v>31.8</v>
      </c>
      <c r="AP84">
        <v>0.5</v>
      </c>
      <c r="AQ84" t="s">
        <v>331</v>
      </c>
      <c r="AR84">
        <v>2</v>
      </c>
      <c r="AS84">
        <v>1690386075.5999999</v>
      </c>
      <c r="AT84">
        <v>742.55600000000004</v>
      </c>
      <c r="AU84">
        <v>800.08</v>
      </c>
      <c r="AV84">
        <v>22.834099999999999</v>
      </c>
      <c r="AW84">
        <v>18.726600000000001</v>
      </c>
      <c r="AX84">
        <v>742.80499999999995</v>
      </c>
      <c r="AY84">
        <v>22.554400000000001</v>
      </c>
      <c r="AZ84">
        <v>300.11700000000002</v>
      </c>
      <c r="BA84">
        <v>98.650700000000001</v>
      </c>
      <c r="BB84">
        <v>9.9908499999999997E-2</v>
      </c>
      <c r="BC84">
        <v>26.139500000000002</v>
      </c>
      <c r="BD84">
        <v>26.996400000000001</v>
      </c>
      <c r="BE84">
        <v>28.042100000000001</v>
      </c>
      <c r="BF84">
        <v>0</v>
      </c>
      <c r="BG84">
        <v>0</v>
      </c>
      <c r="BH84">
        <v>10020.6</v>
      </c>
      <c r="BI84">
        <v>1071.3499999999999</v>
      </c>
      <c r="BJ84">
        <v>1.4577199999999999</v>
      </c>
      <c r="BK84">
        <v>-57.5244</v>
      </c>
      <c r="BL84">
        <v>759.90800000000002</v>
      </c>
      <c r="BM84">
        <v>815.34900000000005</v>
      </c>
      <c r="BN84">
        <v>4.1074799999999998</v>
      </c>
      <c r="BO84">
        <v>800.08</v>
      </c>
      <c r="BP84">
        <v>18.726600000000001</v>
      </c>
      <c r="BQ84">
        <v>2.2526000000000002</v>
      </c>
      <c r="BR84">
        <v>1.8473900000000001</v>
      </c>
      <c r="BS84">
        <v>19.3414</v>
      </c>
      <c r="BT84">
        <v>16.1937</v>
      </c>
      <c r="BU84">
        <v>1800</v>
      </c>
      <c r="BV84">
        <v>0.90998500000000004</v>
      </c>
      <c r="BW84">
        <v>3.3992700000000001E-2</v>
      </c>
      <c r="BX84">
        <v>2.2008099999999999E-2</v>
      </c>
      <c r="BY84">
        <v>3.4014200000000001E-2</v>
      </c>
      <c r="BZ84">
        <v>25</v>
      </c>
      <c r="CA84">
        <v>33528.199999999997</v>
      </c>
      <c r="CB84">
        <v>1690384821</v>
      </c>
      <c r="CC84" t="s">
        <v>332</v>
      </c>
      <c r="CD84">
        <v>1690384820</v>
      </c>
      <c r="CE84">
        <v>1690384821</v>
      </c>
      <c r="CF84">
        <v>5</v>
      </c>
      <c r="CG84">
        <v>-2.5000000000000001E-2</v>
      </c>
      <c r="CH84">
        <v>0.104</v>
      </c>
      <c r="CI84">
        <v>-0.28799999999999998</v>
      </c>
      <c r="CJ84">
        <v>0.28000000000000003</v>
      </c>
      <c r="CK84">
        <v>800</v>
      </c>
      <c r="CL84">
        <v>24</v>
      </c>
      <c r="CM84">
        <v>0.08</v>
      </c>
      <c r="CN84">
        <v>0.11</v>
      </c>
      <c r="CO84">
        <v>-54.560645000000001</v>
      </c>
      <c r="CP84">
        <v>-16.808913320825429</v>
      </c>
      <c r="CQ84">
        <v>1.617563184075046</v>
      </c>
      <c r="CR84">
        <v>-1</v>
      </c>
      <c r="CS84">
        <v>4.0194342499999998</v>
      </c>
      <c r="CT84">
        <v>0.62192228893057466</v>
      </c>
      <c r="CU84">
        <v>6.2014760012738118E-2</v>
      </c>
      <c r="CV84">
        <v>-1</v>
      </c>
      <c r="CW84">
        <v>0</v>
      </c>
      <c r="CX84">
        <v>0</v>
      </c>
      <c r="CY84" t="s">
        <v>333</v>
      </c>
      <c r="CZ84">
        <v>2.3643700000000001</v>
      </c>
      <c r="DA84">
        <v>2.7137199999999999</v>
      </c>
      <c r="DB84">
        <v>0.13902100000000001</v>
      </c>
      <c r="DC84">
        <v>0.14574999999999999</v>
      </c>
      <c r="DD84">
        <v>0.10918899999999999</v>
      </c>
      <c r="DE84">
        <v>9.3787800000000004E-2</v>
      </c>
      <c r="DF84">
        <v>31446.9</v>
      </c>
      <c r="DG84">
        <v>27542.1</v>
      </c>
      <c r="DH84">
        <v>31180.6</v>
      </c>
      <c r="DI84">
        <v>28093.1</v>
      </c>
      <c r="DJ84">
        <v>37713.4</v>
      </c>
      <c r="DK84">
        <v>36200.800000000003</v>
      </c>
      <c r="DL84">
        <v>44375.6</v>
      </c>
      <c r="DM84">
        <v>42581.4</v>
      </c>
      <c r="DN84">
        <v>1.46285</v>
      </c>
      <c r="DO84">
        <v>2.0577999999999999</v>
      </c>
      <c r="DP84">
        <v>0.114776</v>
      </c>
      <c r="DQ84">
        <v>0.194799</v>
      </c>
      <c r="DR84">
        <v>25.116399999999999</v>
      </c>
      <c r="DS84">
        <v>24.853400000000001</v>
      </c>
      <c r="DT84">
        <v>57.4</v>
      </c>
      <c r="DU84">
        <v>28.8</v>
      </c>
      <c r="DV84">
        <v>23.13</v>
      </c>
      <c r="DW84">
        <v>61.222200000000001</v>
      </c>
      <c r="DX84">
        <v>36.310099999999998</v>
      </c>
      <c r="DY84">
        <v>1</v>
      </c>
      <c r="DZ84">
        <v>-9.7438999999999998E-2</v>
      </c>
      <c r="EA84">
        <v>0.57008999999999999</v>
      </c>
      <c r="EB84">
        <v>20.188099999999999</v>
      </c>
      <c r="EC84">
        <v>5.2408000000000001</v>
      </c>
      <c r="ED84">
        <v>12.039899999999999</v>
      </c>
      <c r="EE84">
        <v>5.0172999999999996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</v>
      </c>
      <c r="EL84">
        <v>1.8646199999999999</v>
      </c>
      <c r="EM84">
        <v>1.8692</v>
      </c>
      <c r="EN84">
        <v>1.8672200000000001</v>
      </c>
      <c r="EO84">
        <v>1.86338</v>
      </c>
      <c r="EP84">
        <v>1.86446</v>
      </c>
      <c r="EQ84">
        <v>1.8702099999999999</v>
      </c>
      <c r="ER84">
        <v>1.8693900000000001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-0.249</v>
      </c>
      <c r="FG84">
        <v>0.2797</v>
      </c>
      <c r="FH84">
        <v>0.26269369235785539</v>
      </c>
      <c r="FI84">
        <v>-6.1462078757559423E-4</v>
      </c>
      <c r="FJ84">
        <v>-1.8861989874597051E-7</v>
      </c>
      <c r="FK84">
        <v>1.1980462299894961E-10</v>
      </c>
      <c r="FL84">
        <v>0.27968571428570849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20.9</v>
      </c>
      <c r="FU84">
        <v>20.9</v>
      </c>
      <c r="FV84">
        <v>1.79321</v>
      </c>
      <c r="FW84">
        <v>2.5756800000000002</v>
      </c>
      <c r="FX84">
        <v>1.5490699999999999</v>
      </c>
      <c r="FY84">
        <v>2.3315399999999999</v>
      </c>
      <c r="FZ84">
        <v>1.50146</v>
      </c>
      <c r="GA84">
        <v>2.3986800000000001</v>
      </c>
      <c r="GB84">
        <v>33.558</v>
      </c>
      <c r="GC84">
        <v>23.982399999999998</v>
      </c>
      <c r="GD84">
        <v>19</v>
      </c>
      <c r="GE84">
        <v>277.05099999999999</v>
      </c>
      <c r="GF84">
        <v>600.58799999999997</v>
      </c>
      <c r="GG84">
        <v>23.7713</v>
      </c>
      <c r="GH84">
        <v>26.169699999999999</v>
      </c>
      <c r="GI84">
        <v>30</v>
      </c>
      <c r="GJ84">
        <v>26.31</v>
      </c>
      <c r="GK84">
        <v>26.2973</v>
      </c>
      <c r="GL84">
        <v>35.861199999999997</v>
      </c>
      <c r="GM84">
        <v>28.1434</v>
      </c>
      <c r="GN84">
        <v>100</v>
      </c>
      <c r="GO84">
        <v>23.8095</v>
      </c>
      <c r="GP84">
        <v>800</v>
      </c>
      <c r="GQ84">
        <v>18.631599999999999</v>
      </c>
      <c r="GR84">
        <v>99.768100000000004</v>
      </c>
      <c r="GS84">
        <v>99.610799999999998</v>
      </c>
    </row>
    <row r="85" spans="1:201" x14ac:dyDescent="0.25">
      <c r="A85">
        <v>69</v>
      </c>
      <c r="B85">
        <v>1690386085.5999999</v>
      </c>
      <c r="C85">
        <v>751</v>
      </c>
      <c r="D85" t="s">
        <v>471</v>
      </c>
      <c r="E85" t="s">
        <v>472</v>
      </c>
      <c r="F85" t="s">
        <v>330</v>
      </c>
      <c r="H85">
        <v>1690386085.5999999</v>
      </c>
      <c r="I85">
        <f t="shared" si="30"/>
        <v>4.0803446873596198E-4</v>
      </c>
      <c r="J85">
        <f t="shared" si="31"/>
        <v>0.408034468735962</v>
      </c>
      <c r="K85">
        <f t="shared" si="32"/>
        <v>5.3933565923424585</v>
      </c>
      <c r="L85">
        <f t="shared" si="33"/>
        <v>739.68799999999999</v>
      </c>
      <c r="M85">
        <f t="shared" si="34"/>
        <v>378.72777477129119</v>
      </c>
      <c r="N85">
        <f t="shared" si="35"/>
        <v>37.39783167668331</v>
      </c>
      <c r="O85">
        <f t="shared" si="36"/>
        <v>73.041189899440795</v>
      </c>
      <c r="P85">
        <f t="shared" si="37"/>
        <v>2.5055721768718547E-2</v>
      </c>
      <c r="Q85">
        <f t="shared" si="38"/>
        <v>2.1575133501686476</v>
      </c>
      <c r="R85">
        <f t="shared" si="39"/>
        <v>2.4895185478599584E-2</v>
      </c>
      <c r="S85">
        <f t="shared" si="40"/>
        <v>1.5573828617884276E-2</v>
      </c>
      <c r="T85">
        <f t="shared" si="41"/>
        <v>276.11630476199997</v>
      </c>
      <c r="U85">
        <f t="shared" si="42"/>
        <v>28.1372689607105</v>
      </c>
      <c r="V85">
        <f t="shared" si="43"/>
        <v>28.1372689607105</v>
      </c>
      <c r="W85">
        <f t="shared" si="44"/>
        <v>3.8253133743875822</v>
      </c>
      <c r="X85">
        <f t="shared" si="45"/>
        <v>66.413557405021294</v>
      </c>
      <c r="Y85">
        <f t="shared" si="46"/>
        <v>2.2567003080837598</v>
      </c>
      <c r="Z85">
        <f t="shared" si="47"/>
        <v>3.3979512561288256</v>
      </c>
      <c r="AA85">
        <f t="shared" si="48"/>
        <v>1.5686130663038225</v>
      </c>
      <c r="AB85">
        <f t="shared" si="49"/>
        <v>-17.994320071255924</v>
      </c>
      <c r="AC85">
        <f t="shared" si="50"/>
        <v>-234.83811044189196</v>
      </c>
      <c r="AD85">
        <f t="shared" si="51"/>
        <v>-23.520676763414265</v>
      </c>
      <c r="AE85">
        <f t="shared" si="52"/>
        <v>-0.23680251456215728</v>
      </c>
      <c r="AF85">
        <v>0</v>
      </c>
      <c r="AG85">
        <v>0</v>
      </c>
      <c r="AH85">
        <f t="shared" si="53"/>
        <v>1</v>
      </c>
      <c r="AI85">
        <f t="shared" si="54"/>
        <v>0</v>
      </c>
      <c r="AJ85">
        <f t="shared" si="55"/>
        <v>52305.534716358074</v>
      </c>
      <c r="AK85">
        <f t="shared" si="56"/>
        <v>1800</v>
      </c>
      <c r="AL85">
        <f t="shared" si="57"/>
        <v>1499.1133751999996</v>
      </c>
      <c r="AM85">
        <f t="shared" si="58"/>
        <v>0.83284076399999984</v>
      </c>
      <c r="AN85">
        <f t="shared" si="59"/>
        <v>0.15339794708999999</v>
      </c>
      <c r="AO85">
        <v>31.8</v>
      </c>
      <c r="AP85">
        <v>0.5</v>
      </c>
      <c r="AQ85" t="s">
        <v>331</v>
      </c>
      <c r="AR85">
        <v>2</v>
      </c>
      <c r="AS85">
        <v>1690386085.5999999</v>
      </c>
      <c r="AT85">
        <v>739.68799999999999</v>
      </c>
      <c r="AU85">
        <v>800.048</v>
      </c>
      <c r="AV85">
        <v>22.8536</v>
      </c>
      <c r="AW85">
        <v>18.6279</v>
      </c>
      <c r="AX85">
        <v>739.93499999999995</v>
      </c>
      <c r="AY85">
        <v>22.573899999999998</v>
      </c>
      <c r="AZ85">
        <v>300.04399999999998</v>
      </c>
      <c r="BA85">
        <v>98.646000000000001</v>
      </c>
      <c r="BB85">
        <v>9.9944099999999994E-2</v>
      </c>
      <c r="BC85">
        <v>26.118300000000001</v>
      </c>
      <c r="BD85">
        <v>26.963799999999999</v>
      </c>
      <c r="BE85">
        <v>28.0337</v>
      </c>
      <c r="BF85">
        <v>0</v>
      </c>
      <c r="BG85">
        <v>0</v>
      </c>
      <c r="BH85">
        <v>9998.1200000000008</v>
      </c>
      <c r="BI85">
        <v>1071.43</v>
      </c>
      <c r="BJ85">
        <v>1.4577199999999999</v>
      </c>
      <c r="BK85">
        <v>-60.359699999999997</v>
      </c>
      <c r="BL85">
        <v>756.98800000000006</v>
      </c>
      <c r="BM85">
        <v>815.23400000000004</v>
      </c>
      <c r="BN85">
        <v>4.2257300000000004</v>
      </c>
      <c r="BO85">
        <v>800.048</v>
      </c>
      <c r="BP85">
        <v>18.6279</v>
      </c>
      <c r="BQ85">
        <v>2.2544200000000001</v>
      </c>
      <c r="BR85">
        <v>1.8375699999999999</v>
      </c>
      <c r="BS85">
        <v>19.354399999999998</v>
      </c>
      <c r="BT85">
        <v>16.110099999999999</v>
      </c>
      <c r="BU85">
        <v>1800</v>
      </c>
      <c r="BV85">
        <v>0.90999099999999999</v>
      </c>
      <c r="BW85">
        <v>3.3990600000000003E-2</v>
      </c>
      <c r="BX85">
        <v>2.2006700000000001E-2</v>
      </c>
      <c r="BY85">
        <v>3.4012100000000003E-2</v>
      </c>
      <c r="BZ85">
        <v>25</v>
      </c>
      <c r="CA85">
        <v>33528.300000000003</v>
      </c>
      <c r="CB85">
        <v>1690384821</v>
      </c>
      <c r="CC85" t="s">
        <v>332</v>
      </c>
      <c r="CD85">
        <v>1690384820</v>
      </c>
      <c r="CE85">
        <v>1690384821</v>
      </c>
      <c r="CF85">
        <v>5</v>
      </c>
      <c r="CG85">
        <v>-2.5000000000000001E-2</v>
      </c>
      <c r="CH85">
        <v>0.104</v>
      </c>
      <c r="CI85">
        <v>-0.28799999999999998</v>
      </c>
      <c r="CJ85">
        <v>0.28000000000000003</v>
      </c>
      <c r="CK85">
        <v>800</v>
      </c>
      <c r="CL85">
        <v>24</v>
      </c>
      <c r="CM85">
        <v>0.08</v>
      </c>
      <c r="CN85">
        <v>0.11</v>
      </c>
      <c r="CO85">
        <v>-57.111310000000003</v>
      </c>
      <c r="CP85">
        <v>-17.424794746716671</v>
      </c>
      <c r="CQ85">
        <v>1.6766472297117241</v>
      </c>
      <c r="CR85">
        <v>-1</v>
      </c>
      <c r="CS85">
        <v>4.1010689999999999</v>
      </c>
      <c r="CT85">
        <v>0.46491377110693388</v>
      </c>
      <c r="CU85">
        <v>4.5982483284398593E-2</v>
      </c>
      <c r="CV85">
        <v>-1</v>
      </c>
      <c r="CW85">
        <v>0</v>
      </c>
      <c r="CX85">
        <v>0</v>
      </c>
      <c r="CY85" t="s">
        <v>333</v>
      </c>
      <c r="CZ85">
        <v>2.3641399999999999</v>
      </c>
      <c r="DA85">
        <v>2.71373</v>
      </c>
      <c r="DB85">
        <v>0.138653</v>
      </c>
      <c r="DC85">
        <v>0.14573900000000001</v>
      </c>
      <c r="DD85">
        <v>0.109252</v>
      </c>
      <c r="DE85">
        <v>9.3431100000000003E-2</v>
      </c>
      <c r="DF85">
        <v>31461</v>
      </c>
      <c r="DG85">
        <v>27543</v>
      </c>
      <c r="DH85">
        <v>31181.200000000001</v>
      </c>
      <c r="DI85">
        <v>28093.599999999999</v>
      </c>
      <c r="DJ85">
        <v>37711.199999999997</v>
      </c>
      <c r="DK85">
        <v>36215.699999999997</v>
      </c>
      <c r="DL85">
        <v>44376.1</v>
      </c>
      <c r="DM85">
        <v>42582.1</v>
      </c>
      <c r="DN85">
        <v>1.4630700000000001</v>
      </c>
      <c r="DO85">
        <v>2.0575999999999999</v>
      </c>
      <c r="DP85">
        <v>0.11265600000000001</v>
      </c>
      <c r="DQ85">
        <v>0.19434799999999999</v>
      </c>
      <c r="DR85">
        <v>25.118600000000001</v>
      </c>
      <c r="DS85">
        <v>24.852399999999999</v>
      </c>
      <c r="DT85">
        <v>57.4</v>
      </c>
      <c r="DU85">
        <v>28.8</v>
      </c>
      <c r="DV85">
        <v>23.134499999999999</v>
      </c>
      <c r="DW85">
        <v>60.912199999999999</v>
      </c>
      <c r="DX85">
        <v>36.866999999999997</v>
      </c>
      <c r="DY85">
        <v>1</v>
      </c>
      <c r="DZ85">
        <v>-9.7924300000000006E-2</v>
      </c>
      <c r="EA85">
        <v>0.22706200000000001</v>
      </c>
      <c r="EB85">
        <v>20.189699999999998</v>
      </c>
      <c r="EC85">
        <v>5.2406499999999996</v>
      </c>
      <c r="ED85">
        <v>12.039899999999999</v>
      </c>
      <c r="EE85">
        <v>5.0170500000000002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1.8689100000000001</v>
      </c>
      <c r="EL85">
        <v>1.8646199999999999</v>
      </c>
      <c r="EM85">
        <v>1.8692</v>
      </c>
      <c r="EN85">
        <v>1.8672500000000001</v>
      </c>
      <c r="EO85">
        <v>1.8633900000000001</v>
      </c>
      <c r="EP85">
        <v>1.8644700000000001</v>
      </c>
      <c r="EQ85">
        <v>1.8702099999999999</v>
      </c>
      <c r="ER85">
        <v>1.8694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-0.247</v>
      </c>
      <c r="FG85">
        <v>0.2797</v>
      </c>
      <c r="FH85">
        <v>0.26269369235785539</v>
      </c>
      <c r="FI85">
        <v>-6.1462078757559423E-4</v>
      </c>
      <c r="FJ85">
        <v>-1.8861989874597051E-7</v>
      </c>
      <c r="FK85">
        <v>1.1980462299894961E-10</v>
      </c>
      <c r="FL85">
        <v>0.27968571428570849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21.1</v>
      </c>
      <c r="FU85">
        <v>21.1</v>
      </c>
      <c r="FV85">
        <v>1.79321</v>
      </c>
      <c r="FW85">
        <v>2.5769000000000002</v>
      </c>
      <c r="FX85">
        <v>1.5490699999999999</v>
      </c>
      <c r="FY85">
        <v>2.3315399999999999</v>
      </c>
      <c r="FZ85">
        <v>1.50146</v>
      </c>
      <c r="GA85">
        <v>2.36572</v>
      </c>
      <c r="GB85">
        <v>33.558</v>
      </c>
      <c r="GC85">
        <v>23.982399999999998</v>
      </c>
      <c r="GD85">
        <v>19</v>
      </c>
      <c r="GE85">
        <v>277.12900000000002</v>
      </c>
      <c r="GF85">
        <v>600.375</v>
      </c>
      <c r="GG85">
        <v>23.801100000000002</v>
      </c>
      <c r="GH85">
        <v>26.163599999999999</v>
      </c>
      <c r="GI85">
        <v>29.999700000000001</v>
      </c>
      <c r="GJ85">
        <v>26.3062</v>
      </c>
      <c r="GK85">
        <v>26.293500000000002</v>
      </c>
      <c r="GL85">
        <v>35.859000000000002</v>
      </c>
      <c r="GM85">
        <v>28.4221</v>
      </c>
      <c r="GN85">
        <v>100</v>
      </c>
      <c r="GO85">
        <v>23.839300000000001</v>
      </c>
      <c r="GP85">
        <v>800</v>
      </c>
      <c r="GQ85">
        <v>18.533000000000001</v>
      </c>
      <c r="GR85">
        <v>99.769599999999997</v>
      </c>
      <c r="GS85">
        <v>99.6126</v>
      </c>
    </row>
    <row r="86" spans="1:201" x14ac:dyDescent="0.25">
      <c r="A86">
        <v>70</v>
      </c>
      <c r="B86">
        <v>1690386095.5999999</v>
      </c>
      <c r="C86">
        <v>761</v>
      </c>
      <c r="D86" t="s">
        <v>473</v>
      </c>
      <c r="E86" t="s">
        <v>474</v>
      </c>
      <c r="F86" t="s">
        <v>330</v>
      </c>
      <c r="H86">
        <v>1690386095.5999999</v>
      </c>
      <c r="I86">
        <f t="shared" si="30"/>
        <v>4.200403254955429E-4</v>
      </c>
      <c r="J86">
        <f t="shared" si="31"/>
        <v>0.42004032549554288</v>
      </c>
      <c r="K86">
        <f t="shared" si="32"/>
        <v>5.6656754755200494</v>
      </c>
      <c r="L86">
        <f t="shared" si="33"/>
        <v>736.67399999999998</v>
      </c>
      <c r="M86">
        <f t="shared" si="34"/>
        <v>369.61570976802329</v>
      </c>
      <c r="N86">
        <f t="shared" si="35"/>
        <v>36.499450804119242</v>
      </c>
      <c r="O86">
        <f t="shared" si="36"/>
        <v>72.746357124671988</v>
      </c>
      <c r="P86">
        <f t="shared" si="37"/>
        <v>2.5855832414837954E-2</v>
      </c>
      <c r="Q86">
        <f t="shared" si="38"/>
        <v>2.1577091041278216</v>
      </c>
      <c r="R86">
        <f t="shared" si="39"/>
        <v>2.5684932665651458E-2</v>
      </c>
      <c r="S86">
        <f t="shared" si="40"/>
        <v>1.6068343305048999E-2</v>
      </c>
      <c r="T86">
        <f t="shared" si="41"/>
        <v>276.11479029442074</v>
      </c>
      <c r="U86">
        <f t="shared" si="42"/>
        <v>28.139238032680506</v>
      </c>
      <c r="V86">
        <f t="shared" si="43"/>
        <v>28.139238032680506</v>
      </c>
      <c r="W86">
        <f t="shared" si="44"/>
        <v>3.8257520567076302</v>
      </c>
      <c r="X86">
        <f t="shared" si="45"/>
        <v>66.503796400401271</v>
      </c>
      <c r="Y86">
        <f t="shared" si="46"/>
        <v>2.2606083982943996</v>
      </c>
      <c r="Z86">
        <f t="shared" si="47"/>
        <v>3.3992170682766609</v>
      </c>
      <c r="AA86">
        <f t="shared" si="48"/>
        <v>1.5651436584132306</v>
      </c>
      <c r="AB86">
        <f t="shared" si="49"/>
        <v>-18.523778354353443</v>
      </c>
      <c r="AC86">
        <f t="shared" si="50"/>
        <v>-234.35561628182401</v>
      </c>
      <c r="AD86">
        <f t="shared" si="51"/>
        <v>-23.471190960070469</v>
      </c>
      <c r="AE86">
        <f t="shared" si="52"/>
        <v>-0.23579530182718145</v>
      </c>
      <c r="AF86">
        <v>0</v>
      </c>
      <c r="AG86">
        <v>0</v>
      </c>
      <c r="AH86">
        <f t="shared" si="53"/>
        <v>1</v>
      </c>
      <c r="AI86">
        <f t="shared" si="54"/>
        <v>0</v>
      </c>
      <c r="AJ86">
        <f t="shared" si="55"/>
        <v>52312.717513278149</v>
      </c>
      <c r="AK86">
        <f t="shared" si="56"/>
        <v>1799.99</v>
      </c>
      <c r="AL86">
        <f t="shared" si="57"/>
        <v>1499.1031820027201</v>
      </c>
      <c r="AM86">
        <f t="shared" si="58"/>
        <v>0.83283972800000006</v>
      </c>
      <c r="AN86">
        <f t="shared" si="59"/>
        <v>0.15339795793000002</v>
      </c>
      <c r="AO86">
        <v>31.8</v>
      </c>
      <c r="AP86">
        <v>0.5</v>
      </c>
      <c r="AQ86" t="s">
        <v>331</v>
      </c>
      <c r="AR86">
        <v>2</v>
      </c>
      <c r="AS86">
        <v>1690386095.5999999</v>
      </c>
      <c r="AT86">
        <v>736.67399999999998</v>
      </c>
      <c r="AU86">
        <v>799.96500000000003</v>
      </c>
      <c r="AV86">
        <v>22.892299999999999</v>
      </c>
      <c r="AW86">
        <v>18.544899999999998</v>
      </c>
      <c r="AX86">
        <v>736.91899999999998</v>
      </c>
      <c r="AY86">
        <v>22.6126</v>
      </c>
      <c r="AZ86">
        <v>300.214</v>
      </c>
      <c r="BA86">
        <v>98.649699999999996</v>
      </c>
      <c r="BB86">
        <v>0.10002800000000001</v>
      </c>
      <c r="BC86">
        <v>26.124600000000001</v>
      </c>
      <c r="BD86">
        <v>26.9954</v>
      </c>
      <c r="BE86">
        <v>28.030999999999999</v>
      </c>
      <c r="BF86">
        <v>0</v>
      </c>
      <c r="BG86">
        <v>0</v>
      </c>
      <c r="BH86">
        <v>9999.3799999999992</v>
      </c>
      <c r="BI86">
        <v>1071.3699999999999</v>
      </c>
      <c r="BJ86">
        <v>1.4451000000000001</v>
      </c>
      <c r="BK86">
        <v>-63.2913</v>
      </c>
      <c r="BL86">
        <v>753.93299999999999</v>
      </c>
      <c r="BM86">
        <v>815.08100000000002</v>
      </c>
      <c r="BN86">
        <v>4.3474000000000004</v>
      </c>
      <c r="BO86">
        <v>799.96500000000003</v>
      </c>
      <c r="BP86">
        <v>18.544899999999998</v>
      </c>
      <c r="BQ86">
        <v>2.2583199999999999</v>
      </c>
      <c r="BR86">
        <v>1.82945</v>
      </c>
      <c r="BS86">
        <v>19.382100000000001</v>
      </c>
      <c r="BT86">
        <v>16.040700000000001</v>
      </c>
      <c r="BU86">
        <v>1799.99</v>
      </c>
      <c r="BV86">
        <v>0.90998500000000004</v>
      </c>
      <c r="BW86">
        <v>3.3998599999999997E-2</v>
      </c>
      <c r="BX86">
        <v>2.2005899999999998E-2</v>
      </c>
      <c r="BY86">
        <v>3.4010899999999997E-2</v>
      </c>
      <c r="BZ86">
        <v>25</v>
      </c>
      <c r="CA86">
        <v>33528.199999999997</v>
      </c>
      <c r="CB86">
        <v>1690384821</v>
      </c>
      <c r="CC86" t="s">
        <v>332</v>
      </c>
      <c r="CD86">
        <v>1690384820</v>
      </c>
      <c r="CE86">
        <v>1690384821</v>
      </c>
      <c r="CF86">
        <v>5</v>
      </c>
      <c r="CG86">
        <v>-2.5000000000000001E-2</v>
      </c>
      <c r="CH86">
        <v>0.104</v>
      </c>
      <c r="CI86">
        <v>-0.28799999999999998</v>
      </c>
      <c r="CJ86">
        <v>0.28000000000000003</v>
      </c>
      <c r="CK86">
        <v>800</v>
      </c>
      <c r="CL86">
        <v>24</v>
      </c>
      <c r="CM86">
        <v>0.08</v>
      </c>
      <c r="CN86">
        <v>0.11</v>
      </c>
      <c r="CO86">
        <v>-60.088170731707322</v>
      </c>
      <c r="CP86">
        <v>-17.45034773519161</v>
      </c>
      <c r="CQ86">
        <v>1.7211027572735409</v>
      </c>
      <c r="CR86">
        <v>-1</v>
      </c>
      <c r="CS86">
        <v>4.2024258536585357</v>
      </c>
      <c r="CT86">
        <v>0.7068984668989543</v>
      </c>
      <c r="CU86">
        <v>7.0257647200322071E-2</v>
      </c>
      <c r="CV86">
        <v>-1</v>
      </c>
      <c r="CW86">
        <v>0</v>
      </c>
      <c r="CX86">
        <v>0</v>
      </c>
      <c r="CY86" t="s">
        <v>333</v>
      </c>
      <c r="CZ86">
        <v>2.36469</v>
      </c>
      <c r="DA86">
        <v>2.7138200000000001</v>
      </c>
      <c r="DB86">
        <v>0.13827700000000001</v>
      </c>
      <c r="DC86">
        <v>0.145734</v>
      </c>
      <c r="DD86">
        <v>0.109389</v>
      </c>
      <c r="DE86">
        <v>9.3137200000000003E-2</v>
      </c>
      <c r="DF86">
        <v>31475.3</v>
      </c>
      <c r="DG86">
        <v>27544</v>
      </c>
      <c r="DH86">
        <v>31181.8</v>
      </c>
      <c r="DI86">
        <v>28094.5</v>
      </c>
      <c r="DJ86">
        <v>37706.1</v>
      </c>
      <c r="DK86">
        <v>36228.400000000001</v>
      </c>
      <c r="DL86">
        <v>44377.1</v>
      </c>
      <c r="DM86">
        <v>42583.199999999997</v>
      </c>
      <c r="DN86">
        <v>1.4634499999999999</v>
      </c>
      <c r="DO86">
        <v>2.0573700000000001</v>
      </c>
      <c r="DP86">
        <v>0.11459</v>
      </c>
      <c r="DQ86">
        <v>0.19434100000000001</v>
      </c>
      <c r="DR86">
        <v>25.118600000000001</v>
      </c>
      <c r="DS86">
        <v>24.849799999999998</v>
      </c>
      <c r="DT86">
        <v>57.4</v>
      </c>
      <c r="DU86">
        <v>28.8</v>
      </c>
      <c r="DV86">
        <v>23.131699999999999</v>
      </c>
      <c r="DW86">
        <v>61.382199999999997</v>
      </c>
      <c r="DX86">
        <v>36.5304</v>
      </c>
      <c r="DY86">
        <v>1</v>
      </c>
      <c r="DZ86">
        <v>-9.8785600000000001E-2</v>
      </c>
      <c r="EA86">
        <v>0.148725</v>
      </c>
      <c r="EB86">
        <v>20.190100000000001</v>
      </c>
      <c r="EC86">
        <v>5.2413999999999996</v>
      </c>
      <c r="ED86">
        <v>12.039899999999999</v>
      </c>
      <c r="EE86">
        <v>5.0172499999999998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</v>
      </c>
      <c r="EL86">
        <v>1.8646199999999999</v>
      </c>
      <c r="EM86">
        <v>1.8692</v>
      </c>
      <c r="EN86">
        <v>1.8672299999999999</v>
      </c>
      <c r="EO86">
        <v>1.8633900000000001</v>
      </c>
      <c r="EP86">
        <v>1.8644700000000001</v>
      </c>
      <c r="EQ86">
        <v>1.8702000000000001</v>
      </c>
      <c r="ER86">
        <v>1.86938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-0.245</v>
      </c>
      <c r="FG86">
        <v>0.2797</v>
      </c>
      <c r="FH86">
        <v>0.26269369235785539</v>
      </c>
      <c r="FI86">
        <v>-6.1462078757559423E-4</v>
      </c>
      <c r="FJ86">
        <v>-1.8861989874597051E-7</v>
      </c>
      <c r="FK86">
        <v>1.1980462299894961E-10</v>
      </c>
      <c r="FL86">
        <v>0.27968571428570849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21.3</v>
      </c>
      <c r="FU86">
        <v>21.2</v>
      </c>
      <c r="FV86">
        <v>1.79321</v>
      </c>
      <c r="FW86">
        <v>2.5854499999999998</v>
      </c>
      <c r="FX86">
        <v>1.5490699999999999</v>
      </c>
      <c r="FY86">
        <v>2.3315399999999999</v>
      </c>
      <c r="FZ86">
        <v>1.50146</v>
      </c>
      <c r="GA86">
        <v>2.2875999999999999</v>
      </c>
      <c r="GB86">
        <v>33.580399999999997</v>
      </c>
      <c r="GC86">
        <v>23.973700000000001</v>
      </c>
      <c r="GD86">
        <v>19</v>
      </c>
      <c r="GE86">
        <v>277.26799999999997</v>
      </c>
      <c r="GF86">
        <v>600.14599999999996</v>
      </c>
      <c r="GG86">
        <v>23.879899999999999</v>
      </c>
      <c r="GH86">
        <v>26.158100000000001</v>
      </c>
      <c r="GI86">
        <v>29.9998</v>
      </c>
      <c r="GJ86">
        <v>26.3018</v>
      </c>
      <c r="GK86">
        <v>26.290199999999999</v>
      </c>
      <c r="GL86">
        <v>35.861499999999999</v>
      </c>
      <c r="GM86">
        <v>28.998799999999999</v>
      </c>
      <c r="GN86">
        <v>99.628500000000003</v>
      </c>
      <c r="GO86">
        <v>23.892299999999999</v>
      </c>
      <c r="GP86">
        <v>800</v>
      </c>
      <c r="GQ86">
        <v>18.4175</v>
      </c>
      <c r="GR86">
        <v>99.771699999999996</v>
      </c>
      <c r="GS86">
        <v>99.615300000000005</v>
      </c>
    </row>
    <row r="87" spans="1:201" x14ac:dyDescent="0.25">
      <c r="A87">
        <v>71</v>
      </c>
      <c r="B87">
        <v>1690386105.5999999</v>
      </c>
      <c r="C87">
        <v>771</v>
      </c>
      <c r="D87" t="s">
        <v>475</v>
      </c>
      <c r="E87" t="s">
        <v>476</v>
      </c>
      <c r="F87" t="s">
        <v>330</v>
      </c>
      <c r="H87">
        <v>1690386105.5999999</v>
      </c>
      <c r="I87">
        <f t="shared" si="30"/>
        <v>4.359452949823083E-4</v>
      </c>
      <c r="J87">
        <f t="shared" si="31"/>
        <v>0.43594529498230833</v>
      </c>
      <c r="K87">
        <f t="shared" si="32"/>
        <v>5.9410566547507155</v>
      </c>
      <c r="L87">
        <f t="shared" si="33"/>
        <v>733.64700000000005</v>
      </c>
      <c r="M87">
        <f t="shared" si="34"/>
        <v>363.80045706660064</v>
      </c>
      <c r="N87">
        <f t="shared" si="35"/>
        <v>35.923987454583887</v>
      </c>
      <c r="O87">
        <f t="shared" si="36"/>
        <v>72.445004155858513</v>
      </c>
      <c r="P87">
        <f t="shared" si="37"/>
        <v>2.6895245256689793E-2</v>
      </c>
      <c r="Q87">
        <f t="shared" si="38"/>
        <v>2.154898343440435</v>
      </c>
      <c r="R87">
        <f t="shared" si="39"/>
        <v>2.6710142546486057E-2</v>
      </c>
      <c r="S87">
        <f t="shared" si="40"/>
        <v>1.6710363529240498E-2</v>
      </c>
      <c r="T87">
        <f t="shared" si="41"/>
        <v>276.116155488</v>
      </c>
      <c r="U87">
        <f t="shared" si="42"/>
        <v>28.143633270744594</v>
      </c>
      <c r="V87">
        <f t="shared" si="43"/>
        <v>28.143633270744594</v>
      </c>
      <c r="W87">
        <f t="shared" si="44"/>
        <v>3.8267314139884432</v>
      </c>
      <c r="X87">
        <f t="shared" si="45"/>
        <v>66.596648542146056</v>
      </c>
      <c r="Y87">
        <f t="shared" si="46"/>
        <v>2.2647685594236</v>
      </c>
      <c r="Z87">
        <f t="shared" si="47"/>
        <v>3.4007245244335813</v>
      </c>
      <c r="AA87">
        <f t="shared" si="48"/>
        <v>1.5619628545648432</v>
      </c>
      <c r="AB87">
        <f t="shared" si="49"/>
        <v>-19.225187508719795</v>
      </c>
      <c r="AC87">
        <f t="shared" si="50"/>
        <v>-233.68963532201812</v>
      </c>
      <c r="AD87">
        <f t="shared" si="51"/>
        <v>-23.436411886817883</v>
      </c>
      <c r="AE87">
        <f t="shared" si="52"/>
        <v>-0.23507922955579375</v>
      </c>
      <c r="AF87">
        <v>0</v>
      </c>
      <c r="AG87">
        <v>0</v>
      </c>
      <c r="AH87">
        <f t="shared" si="53"/>
        <v>1</v>
      </c>
      <c r="AI87">
        <f t="shared" si="54"/>
        <v>0</v>
      </c>
      <c r="AJ87">
        <f t="shared" si="55"/>
        <v>52193.613757041501</v>
      </c>
      <c r="AK87">
        <f t="shared" si="56"/>
        <v>1800</v>
      </c>
      <c r="AL87">
        <f t="shared" si="57"/>
        <v>1499.1085007999998</v>
      </c>
      <c r="AM87">
        <f t="shared" si="58"/>
        <v>0.83283805599999983</v>
      </c>
      <c r="AN87">
        <f t="shared" si="59"/>
        <v>0.15339786416000001</v>
      </c>
      <c r="AO87">
        <v>31.8</v>
      </c>
      <c r="AP87">
        <v>0.5</v>
      </c>
      <c r="AQ87" t="s">
        <v>331</v>
      </c>
      <c r="AR87">
        <v>2</v>
      </c>
      <c r="AS87">
        <v>1690386105.5999999</v>
      </c>
      <c r="AT87">
        <v>733.64700000000005</v>
      </c>
      <c r="AU87">
        <v>799.98099999999999</v>
      </c>
      <c r="AV87">
        <v>22.935199999999998</v>
      </c>
      <c r="AW87">
        <v>18.4223</v>
      </c>
      <c r="AX87">
        <v>733.88900000000001</v>
      </c>
      <c r="AY87">
        <v>22.6555</v>
      </c>
      <c r="AZ87">
        <v>300.142</v>
      </c>
      <c r="BA87">
        <v>98.646500000000003</v>
      </c>
      <c r="BB87">
        <v>9.9905499999999994E-2</v>
      </c>
      <c r="BC87">
        <v>26.132100000000001</v>
      </c>
      <c r="BD87">
        <v>26.957799999999999</v>
      </c>
      <c r="BE87">
        <v>28.026299999999999</v>
      </c>
      <c r="BF87">
        <v>0</v>
      </c>
      <c r="BG87">
        <v>0</v>
      </c>
      <c r="BH87">
        <v>9976.25</v>
      </c>
      <c r="BI87">
        <v>1071.43</v>
      </c>
      <c r="BJ87">
        <v>1.17879</v>
      </c>
      <c r="BK87">
        <v>-66.334800000000001</v>
      </c>
      <c r="BL87">
        <v>750.86800000000005</v>
      </c>
      <c r="BM87">
        <v>814.995</v>
      </c>
      <c r="BN87">
        <v>4.5129700000000001</v>
      </c>
      <c r="BO87">
        <v>799.98099999999999</v>
      </c>
      <c r="BP87">
        <v>18.4223</v>
      </c>
      <c r="BQ87">
        <v>2.26248</v>
      </c>
      <c r="BR87">
        <v>1.8172900000000001</v>
      </c>
      <c r="BS87">
        <v>19.4117</v>
      </c>
      <c r="BT87">
        <v>15.936299999999999</v>
      </c>
      <c r="BU87">
        <v>1800</v>
      </c>
      <c r="BV87">
        <v>0.90997799999999995</v>
      </c>
      <c r="BW87">
        <v>3.4007799999999998E-2</v>
      </c>
      <c r="BX87">
        <v>2.2004800000000001E-2</v>
      </c>
      <c r="BY87">
        <v>3.4009200000000003E-2</v>
      </c>
      <c r="BZ87">
        <v>25</v>
      </c>
      <c r="CA87">
        <v>33528.300000000003</v>
      </c>
      <c r="CB87">
        <v>1690384821</v>
      </c>
      <c r="CC87" t="s">
        <v>332</v>
      </c>
      <c r="CD87">
        <v>1690384820</v>
      </c>
      <c r="CE87">
        <v>1690384821</v>
      </c>
      <c r="CF87">
        <v>5</v>
      </c>
      <c r="CG87">
        <v>-2.5000000000000001E-2</v>
      </c>
      <c r="CH87">
        <v>0.104</v>
      </c>
      <c r="CI87">
        <v>-0.28799999999999998</v>
      </c>
      <c r="CJ87">
        <v>0.28000000000000003</v>
      </c>
      <c r="CK87">
        <v>800</v>
      </c>
      <c r="CL87">
        <v>24</v>
      </c>
      <c r="CM87">
        <v>0.08</v>
      </c>
      <c r="CN87">
        <v>0.11</v>
      </c>
      <c r="CO87">
        <v>-62.971652499999998</v>
      </c>
      <c r="CP87">
        <v>-17.98162964352705</v>
      </c>
      <c r="CQ87">
        <v>1.7301006548735101</v>
      </c>
      <c r="CR87">
        <v>-1</v>
      </c>
      <c r="CS87">
        <v>4.3387669999999998</v>
      </c>
      <c r="CT87">
        <v>0.91429125703564573</v>
      </c>
      <c r="CU87">
        <v>8.8789237022287845E-2</v>
      </c>
      <c r="CV87">
        <v>-1</v>
      </c>
      <c r="CW87">
        <v>0</v>
      </c>
      <c r="CX87">
        <v>0</v>
      </c>
      <c r="CY87" t="s">
        <v>333</v>
      </c>
      <c r="CZ87">
        <v>2.3644699999999998</v>
      </c>
      <c r="DA87">
        <v>2.7136800000000001</v>
      </c>
      <c r="DB87">
        <v>0.13788900000000001</v>
      </c>
      <c r="DC87">
        <v>0.14573</v>
      </c>
      <c r="DD87">
        <v>0.10953300000000001</v>
      </c>
      <c r="DE87">
        <v>9.2693800000000007E-2</v>
      </c>
      <c r="DF87">
        <v>31489.599999999999</v>
      </c>
      <c r="DG87">
        <v>27544.6</v>
      </c>
      <c r="DH87">
        <v>31181.9</v>
      </c>
      <c r="DI87">
        <v>28094.799999999999</v>
      </c>
      <c r="DJ87">
        <v>37700</v>
      </c>
      <c r="DK87">
        <v>36246.6</v>
      </c>
      <c r="DL87">
        <v>44377.2</v>
      </c>
      <c r="DM87">
        <v>42583.7</v>
      </c>
      <c r="DN87">
        <v>1.46315</v>
      </c>
      <c r="DO87">
        <v>2.05775</v>
      </c>
      <c r="DP87">
        <v>0.112291</v>
      </c>
      <c r="DQ87">
        <v>0.19396099999999999</v>
      </c>
      <c r="DR87">
        <v>25.118600000000001</v>
      </c>
      <c r="DS87">
        <v>24.851299999999998</v>
      </c>
      <c r="DT87">
        <v>57.4</v>
      </c>
      <c r="DU87">
        <v>28.8</v>
      </c>
      <c r="DV87">
        <v>23.134399999999999</v>
      </c>
      <c r="DW87">
        <v>61.312199999999997</v>
      </c>
      <c r="DX87">
        <v>35.829300000000003</v>
      </c>
      <c r="DY87">
        <v>1</v>
      </c>
      <c r="DZ87">
        <v>-9.9474099999999996E-2</v>
      </c>
      <c r="EA87">
        <v>0.16383400000000001</v>
      </c>
      <c r="EB87">
        <v>20.190300000000001</v>
      </c>
      <c r="EC87">
        <v>5.2411000000000003</v>
      </c>
      <c r="ED87">
        <v>12.039899999999999</v>
      </c>
      <c r="EE87">
        <v>5.0172499999999998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1.8689100000000001</v>
      </c>
      <c r="EL87">
        <v>1.8646199999999999</v>
      </c>
      <c r="EM87">
        <v>1.8692</v>
      </c>
      <c r="EN87">
        <v>1.8672599999999999</v>
      </c>
      <c r="EO87">
        <v>1.8633900000000001</v>
      </c>
      <c r="EP87">
        <v>1.86446</v>
      </c>
      <c r="EQ87">
        <v>1.87019</v>
      </c>
      <c r="ER87">
        <v>1.8693900000000001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-0.24199999999999999</v>
      </c>
      <c r="FG87">
        <v>0.2797</v>
      </c>
      <c r="FH87">
        <v>0.26269369235785539</v>
      </c>
      <c r="FI87">
        <v>-6.1462078757559423E-4</v>
      </c>
      <c r="FJ87">
        <v>-1.8861989874597051E-7</v>
      </c>
      <c r="FK87">
        <v>1.1980462299894961E-10</v>
      </c>
      <c r="FL87">
        <v>0.27968571428570849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21.4</v>
      </c>
      <c r="FU87">
        <v>21.4</v>
      </c>
      <c r="FV87">
        <v>1.79321</v>
      </c>
      <c r="FW87">
        <v>2.5830099999999998</v>
      </c>
      <c r="FX87">
        <v>1.5490699999999999</v>
      </c>
      <c r="FY87">
        <v>2.3327599999999999</v>
      </c>
      <c r="FZ87">
        <v>1.50146</v>
      </c>
      <c r="GA87">
        <v>2.3535200000000001</v>
      </c>
      <c r="GB87">
        <v>33.558</v>
      </c>
      <c r="GC87">
        <v>23.982399999999998</v>
      </c>
      <c r="GD87">
        <v>19</v>
      </c>
      <c r="GE87">
        <v>277.125</v>
      </c>
      <c r="GF87">
        <v>600.41700000000003</v>
      </c>
      <c r="GG87">
        <v>23.915900000000001</v>
      </c>
      <c r="GH87">
        <v>26.153099999999998</v>
      </c>
      <c r="GI87">
        <v>29.9999</v>
      </c>
      <c r="GJ87">
        <v>26.297899999999998</v>
      </c>
      <c r="GK87">
        <v>26.286300000000001</v>
      </c>
      <c r="GL87">
        <v>35.8568</v>
      </c>
      <c r="GM87">
        <v>29.5427</v>
      </c>
      <c r="GN87">
        <v>99.628500000000003</v>
      </c>
      <c r="GO87">
        <v>23.9267</v>
      </c>
      <c r="GP87">
        <v>800</v>
      </c>
      <c r="GQ87">
        <v>18.2956</v>
      </c>
      <c r="GR87">
        <v>99.772000000000006</v>
      </c>
      <c r="GS87">
        <v>99.616600000000005</v>
      </c>
    </row>
    <row r="88" spans="1:201" x14ac:dyDescent="0.25">
      <c r="A88">
        <v>72</v>
      </c>
      <c r="B88">
        <v>1690386115.5999999</v>
      </c>
      <c r="C88">
        <v>781</v>
      </c>
      <c r="D88" t="s">
        <v>477</v>
      </c>
      <c r="E88" t="s">
        <v>478</v>
      </c>
      <c r="F88" t="s">
        <v>330</v>
      </c>
      <c r="H88">
        <v>1690386115.5999999</v>
      </c>
      <c r="I88">
        <f t="shared" si="30"/>
        <v>4.5011516434570513E-4</v>
      </c>
      <c r="J88">
        <f t="shared" si="31"/>
        <v>0.45011516434570514</v>
      </c>
      <c r="K88">
        <f t="shared" si="32"/>
        <v>6.2153266436286767</v>
      </c>
      <c r="L88">
        <f t="shared" si="33"/>
        <v>730.64099999999996</v>
      </c>
      <c r="M88">
        <f t="shared" si="34"/>
        <v>357.12687458177766</v>
      </c>
      <c r="N88">
        <f t="shared" si="35"/>
        <v>35.266149799298063</v>
      </c>
      <c r="O88">
        <f t="shared" si="36"/>
        <v>72.150534696342604</v>
      </c>
      <c r="P88">
        <f t="shared" si="37"/>
        <v>2.7842639621999562E-2</v>
      </c>
      <c r="Q88">
        <f t="shared" si="38"/>
        <v>2.1582381582435999</v>
      </c>
      <c r="R88">
        <f t="shared" si="39"/>
        <v>2.7644623045380491E-2</v>
      </c>
      <c r="S88">
        <f t="shared" si="40"/>
        <v>1.7295562903314469E-2</v>
      </c>
      <c r="T88">
        <f t="shared" si="41"/>
        <v>276.11454108580517</v>
      </c>
      <c r="U88">
        <f t="shared" si="42"/>
        <v>28.140294421596547</v>
      </c>
      <c r="V88">
        <f t="shared" si="43"/>
        <v>28.140294421596547</v>
      </c>
      <c r="W88">
        <f t="shared" si="44"/>
        <v>3.8259874238065503</v>
      </c>
      <c r="X88">
        <f t="shared" si="45"/>
        <v>66.666567557283486</v>
      </c>
      <c r="Y88">
        <f t="shared" si="46"/>
        <v>2.2677360756297</v>
      </c>
      <c r="Z88">
        <f t="shared" si="47"/>
        <v>3.4016091704153508</v>
      </c>
      <c r="AA88">
        <f t="shared" si="48"/>
        <v>1.5582513481768503</v>
      </c>
      <c r="AB88">
        <f t="shared" si="49"/>
        <v>-19.850078747645597</v>
      </c>
      <c r="AC88">
        <f t="shared" si="50"/>
        <v>-233.15137085491475</v>
      </c>
      <c r="AD88">
        <f t="shared" si="51"/>
        <v>-23.346368208701136</v>
      </c>
      <c r="AE88">
        <f t="shared" si="52"/>
        <v>-0.23327672545630662</v>
      </c>
      <c r="AF88">
        <v>0</v>
      </c>
      <c r="AG88">
        <v>0</v>
      </c>
      <c r="AH88">
        <f t="shared" si="53"/>
        <v>1</v>
      </c>
      <c r="AI88">
        <f t="shared" si="54"/>
        <v>0</v>
      </c>
      <c r="AJ88">
        <f t="shared" si="55"/>
        <v>52332.813012562117</v>
      </c>
      <c r="AK88">
        <f t="shared" si="56"/>
        <v>1799.99</v>
      </c>
      <c r="AL88">
        <f t="shared" si="57"/>
        <v>1499.1011570139699</v>
      </c>
      <c r="AM88">
        <f t="shared" si="58"/>
        <v>0.8328386029999999</v>
      </c>
      <c r="AN88">
        <f t="shared" si="59"/>
        <v>0.15339781947999998</v>
      </c>
      <c r="AO88">
        <v>31.8</v>
      </c>
      <c r="AP88">
        <v>0.5</v>
      </c>
      <c r="AQ88" t="s">
        <v>331</v>
      </c>
      <c r="AR88">
        <v>2</v>
      </c>
      <c r="AS88">
        <v>1690386115.5999999</v>
      </c>
      <c r="AT88">
        <v>730.64099999999996</v>
      </c>
      <c r="AU88">
        <v>799.976</v>
      </c>
      <c r="AV88">
        <v>22.964500000000001</v>
      </c>
      <c r="AW88">
        <v>18.305099999999999</v>
      </c>
      <c r="AX88">
        <v>730.88099999999997</v>
      </c>
      <c r="AY88">
        <v>22.684799999999999</v>
      </c>
      <c r="AZ88">
        <v>300.14499999999998</v>
      </c>
      <c r="BA88">
        <v>98.649699999999996</v>
      </c>
      <c r="BB88">
        <v>9.9938600000000002E-2</v>
      </c>
      <c r="BC88">
        <v>26.136500000000002</v>
      </c>
      <c r="BD88">
        <v>26.948</v>
      </c>
      <c r="BE88">
        <v>28.0334</v>
      </c>
      <c r="BF88">
        <v>0</v>
      </c>
      <c r="BG88">
        <v>0</v>
      </c>
      <c r="BH88">
        <v>10003.799999999999</v>
      </c>
      <c r="BI88">
        <v>1071.3499999999999</v>
      </c>
      <c r="BJ88">
        <v>1.4409000000000001</v>
      </c>
      <c r="BK88">
        <v>-69.335899999999995</v>
      </c>
      <c r="BL88">
        <v>747.81399999999996</v>
      </c>
      <c r="BM88">
        <v>814.89300000000003</v>
      </c>
      <c r="BN88">
        <v>4.6593900000000001</v>
      </c>
      <c r="BO88">
        <v>799.976</v>
      </c>
      <c r="BP88">
        <v>18.305099999999999</v>
      </c>
      <c r="BQ88">
        <v>2.2654399999999999</v>
      </c>
      <c r="BR88">
        <v>1.80579</v>
      </c>
      <c r="BS88">
        <v>19.432700000000001</v>
      </c>
      <c r="BT88">
        <v>15.837</v>
      </c>
      <c r="BU88">
        <v>1799.99</v>
      </c>
      <c r="BV88">
        <v>0.90998199999999996</v>
      </c>
      <c r="BW88">
        <v>3.4006399999999999E-2</v>
      </c>
      <c r="BX88">
        <v>2.20039E-2</v>
      </c>
      <c r="BY88">
        <v>3.4007799999999998E-2</v>
      </c>
      <c r="BZ88">
        <v>25</v>
      </c>
      <c r="CA88">
        <v>33528.1</v>
      </c>
      <c r="CB88">
        <v>1690384821</v>
      </c>
      <c r="CC88" t="s">
        <v>332</v>
      </c>
      <c r="CD88">
        <v>1690384820</v>
      </c>
      <c r="CE88">
        <v>1690384821</v>
      </c>
      <c r="CF88">
        <v>5</v>
      </c>
      <c r="CG88">
        <v>-2.5000000000000001E-2</v>
      </c>
      <c r="CH88">
        <v>0.104</v>
      </c>
      <c r="CI88">
        <v>-0.28799999999999998</v>
      </c>
      <c r="CJ88">
        <v>0.28000000000000003</v>
      </c>
      <c r="CK88">
        <v>800</v>
      </c>
      <c r="CL88">
        <v>24</v>
      </c>
      <c r="CM88">
        <v>0.08</v>
      </c>
      <c r="CN88">
        <v>0.11</v>
      </c>
      <c r="CO88">
        <v>-65.984105</v>
      </c>
      <c r="CP88">
        <v>-18.107684803001739</v>
      </c>
      <c r="CQ88">
        <v>1.7421212628502649</v>
      </c>
      <c r="CR88">
        <v>-1</v>
      </c>
      <c r="CS88">
        <v>4.4997552499999998</v>
      </c>
      <c r="CT88">
        <v>0.98457804878048238</v>
      </c>
      <c r="CU88">
        <v>9.5113634300963909E-2</v>
      </c>
      <c r="CV88">
        <v>-1</v>
      </c>
      <c r="CW88">
        <v>0</v>
      </c>
      <c r="CX88">
        <v>0</v>
      </c>
      <c r="CY88" t="s">
        <v>333</v>
      </c>
      <c r="CZ88">
        <v>2.36449</v>
      </c>
      <c r="DA88">
        <v>2.71373</v>
      </c>
      <c r="DB88">
        <v>0.13751099999999999</v>
      </c>
      <c r="DC88">
        <v>0.145733</v>
      </c>
      <c r="DD88">
        <v>0.109637</v>
      </c>
      <c r="DE88">
        <v>9.2274800000000004E-2</v>
      </c>
      <c r="DF88">
        <v>31503.599999999999</v>
      </c>
      <c r="DG88">
        <v>27545.3</v>
      </c>
      <c r="DH88">
        <v>31182</v>
      </c>
      <c r="DI88">
        <v>28095.7</v>
      </c>
      <c r="DJ88">
        <v>37695.699999999997</v>
      </c>
      <c r="DK88">
        <v>36264.6</v>
      </c>
      <c r="DL88">
        <v>44377.4</v>
      </c>
      <c r="DM88">
        <v>42585.2</v>
      </c>
      <c r="DN88">
        <v>1.4635</v>
      </c>
      <c r="DO88">
        <v>2.0575700000000001</v>
      </c>
      <c r="DP88">
        <v>0.111688</v>
      </c>
      <c r="DQ88">
        <v>0.19436300000000001</v>
      </c>
      <c r="DR88">
        <v>25.118600000000001</v>
      </c>
      <c r="DS88">
        <v>24.851800000000001</v>
      </c>
      <c r="DT88">
        <v>57.4</v>
      </c>
      <c r="DU88">
        <v>28.8</v>
      </c>
      <c r="DV88">
        <v>23.132400000000001</v>
      </c>
      <c r="DW88">
        <v>61.242199999999997</v>
      </c>
      <c r="DX88">
        <v>35.628999999999998</v>
      </c>
      <c r="DY88">
        <v>1</v>
      </c>
      <c r="DZ88">
        <v>-9.9862800000000002E-2</v>
      </c>
      <c r="EA88">
        <v>0.13000300000000001</v>
      </c>
      <c r="EB88">
        <v>20.190000000000001</v>
      </c>
      <c r="EC88">
        <v>5.2408000000000001</v>
      </c>
      <c r="ED88">
        <v>12.039899999999999</v>
      </c>
      <c r="EE88">
        <v>5.0170500000000002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1.8689100000000001</v>
      </c>
      <c r="EL88">
        <v>1.8646199999999999</v>
      </c>
      <c r="EM88">
        <v>1.8692200000000001</v>
      </c>
      <c r="EN88">
        <v>1.8672299999999999</v>
      </c>
      <c r="EO88">
        <v>1.8633999999999999</v>
      </c>
      <c r="EP88">
        <v>1.8644700000000001</v>
      </c>
      <c r="EQ88">
        <v>1.87018</v>
      </c>
      <c r="ER88">
        <v>1.86941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-0.24</v>
      </c>
      <c r="FG88">
        <v>0.2797</v>
      </c>
      <c r="FH88">
        <v>0.26269369235785539</v>
      </c>
      <c r="FI88">
        <v>-6.1462078757559423E-4</v>
      </c>
      <c r="FJ88">
        <v>-1.8861989874597051E-7</v>
      </c>
      <c r="FK88">
        <v>1.1980462299894961E-10</v>
      </c>
      <c r="FL88">
        <v>0.27968571428570849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21.6</v>
      </c>
      <c r="FU88">
        <v>21.6</v>
      </c>
      <c r="FV88">
        <v>1.79321</v>
      </c>
      <c r="FW88">
        <v>2.5817899999999998</v>
      </c>
      <c r="FX88">
        <v>1.5490699999999999</v>
      </c>
      <c r="FY88">
        <v>2.3315399999999999</v>
      </c>
      <c r="FZ88">
        <v>1.50146</v>
      </c>
      <c r="GA88">
        <v>2.36084</v>
      </c>
      <c r="GB88">
        <v>33.580399999999997</v>
      </c>
      <c r="GC88">
        <v>23.982399999999998</v>
      </c>
      <c r="GD88">
        <v>19</v>
      </c>
      <c r="GE88">
        <v>277.25599999999997</v>
      </c>
      <c r="GF88">
        <v>600.22500000000002</v>
      </c>
      <c r="GG88">
        <v>23.9681</v>
      </c>
      <c r="GH88">
        <v>26.148099999999999</v>
      </c>
      <c r="GI88">
        <v>30</v>
      </c>
      <c r="GJ88">
        <v>26.294</v>
      </c>
      <c r="GK88">
        <v>26.282499999999999</v>
      </c>
      <c r="GL88">
        <v>35.855800000000002</v>
      </c>
      <c r="GM88">
        <v>29.8386</v>
      </c>
      <c r="GN88">
        <v>99.628500000000003</v>
      </c>
      <c r="GO88">
        <v>23.975999999999999</v>
      </c>
      <c r="GP88">
        <v>800</v>
      </c>
      <c r="GQ88">
        <v>18.177499999999998</v>
      </c>
      <c r="GR88">
        <v>99.772400000000005</v>
      </c>
      <c r="GS88">
        <v>99.619799999999998</v>
      </c>
    </row>
    <row r="89" spans="1:201" x14ac:dyDescent="0.25">
      <c r="A89">
        <v>73</v>
      </c>
      <c r="B89">
        <v>1690386125.5999999</v>
      </c>
      <c r="C89">
        <v>791</v>
      </c>
      <c r="D89" t="s">
        <v>479</v>
      </c>
      <c r="E89" t="s">
        <v>480</v>
      </c>
      <c r="F89" t="s">
        <v>330</v>
      </c>
      <c r="H89">
        <v>1690386125.5999999</v>
      </c>
      <c r="I89">
        <f t="shared" si="30"/>
        <v>4.6559138072414726E-4</v>
      </c>
      <c r="J89">
        <f t="shared" si="31"/>
        <v>0.46559138072414724</v>
      </c>
      <c r="K89">
        <f t="shared" si="32"/>
        <v>6.4964857166007217</v>
      </c>
      <c r="L89">
        <f t="shared" si="33"/>
        <v>727.69200000000001</v>
      </c>
      <c r="M89">
        <f t="shared" si="34"/>
        <v>351.15298858080513</v>
      </c>
      <c r="N89">
        <f t="shared" si="35"/>
        <v>34.673722816135289</v>
      </c>
      <c r="O89">
        <f t="shared" si="36"/>
        <v>71.854124908616399</v>
      </c>
      <c r="P89">
        <f t="shared" si="37"/>
        <v>2.88544378738868E-2</v>
      </c>
      <c r="Q89">
        <f t="shared" si="38"/>
        <v>2.1589642968237133</v>
      </c>
      <c r="R89">
        <f t="shared" si="39"/>
        <v>2.8641898240228555E-2</v>
      </c>
      <c r="S89">
        <f t="shared" si="40"/>
        <v>1.7920151633369588E-2</v>
      </c>
      <c r="T89">
        <f t="shared" si="41"/>
        <v>276.11422597955584</v>
      </c>
      <c r="U89">
        <f t="shared" si="42"/>
        <v>28.139234913378655</v>
      </c>
      <c r="V89">
        <f t="shared" si="43"/>
        <v>28.139234913378655</v>
      </c>
      <c r="W89">
        <f t="shared" si="44"/>
        <v>3.8257513617351084</v>
      </c>
      <c r="X89">
        <f t="shared" si="45"/>
        <v>66.719052576503813</v>
      </c>
      <c r="Y89">
        <f t="shared" si="46"/>
        <v>2.2701788673800301</v>
      </c>
      <c r="Z89">
        <f t="shared" si="47"/>
        <v>3.4025945808761531</v>
      </c>
      <c r="AA89">
        <f t="shared" si="48"/>
        <v>1.5555724943550784</v>
      </c>
      <c r="AB89">
        <f t="shared" si="49"/>
        <v>-20.532579889934894</v>
      </c>
      <c r="AC89">
        <f t="shared" si="50"/>
        <v>-232.53616306844404</v>
      </c>
      <c r="AD89">
        <f t="shared" si="51"/>
        <v>-23.277378731644944</v>
      </c>
      <c r="AE89">
        <f t="shared" si="52"/>
        <v>-0.23189571046802371</v>
      </c>
      <c r="AF89">
        <v>0</v>
      </c>
      <c r="AG89">
        <v>0</v>
      </c>
      <c r="AH89">
        <f t="shared" si="53"/>
        <v>1</v>
      </c>
      <c r="AI89">
        <f t="shared" si="54"/>
        <v>0</v>
      </c>
      <c r="AJ89">
        <f t="shared" si="55"/>
        <v>52362.245465172506</v>
      </c>
      <c r="AK89">
        <f t="shared" si="56"/>
        <v>1799.99</v>
      </c>
      <c r="AL89">
        <f t="shared" si="57"/>
        <v>1499.1014612122799</v>
      </c>
      <c r="AM89">
        <f t="shared" si="58"/>
        <v>0.83283877199999989</v>
      </c>
      <c r="AN89">
        <f t="shared" si="59"/>
        <v>0.15339764442000001</v>
      </c>
      <c r="AO89">
        <v>31.8</v>
      </c>
      <c r="AP89">
        <v>0.5</v>
      </c>
      <c r="AQ89" t="s">
        <v>331</v>
      </c>
      <c r="AR89">
        <v>2</v>
      </c>
      <c r="AS89">
        <v>1690386125.5999999</v>
      </c>
      <c r="AT89">
        <v>727.69200000000001</v>
      </c>
      <c r="AU89">
        <v>800.10699999999997</v>
      </c>
      <c r="AV89">
        <v>22.9909</v>
      </c>
      <c r="AW89">
        <v>18.171700000000001</v>
      </c>
      <c r="AX89">
        <v>727.93</v>
      </c>
      <c r="AY89">
        <v>22.711200000000002</v>
      </c>
      <c r="AZ89">
        <v>300.16199999999998</v>
      </c>
      <c r="BA89">
        <v>98.642499999999998</v>
      </c>
      <c r="BB89">
        <v>9.9996699999999994E-2</v>
      </c>
      <c r="BC89">
        <v>26.141400000000001</v>
      </c>
      <c r="BD89">
        <v>26.947099999999999</v>
      </c>
      <c r="BE89">
        <v>28.034300000000002</v>
      </c>
      <c r="BF89">
        <v>0</v>
      </c>
      <c r="BG89">
        <v>0</v>
      </c>
      <c r="BH89">
        <v>10010.6</v>
      </c>
      <c r="BI89">
        <v>1071.19</v>
      </c>
      <c r="BJ89">
        <v>1.4577199999999999</v>
      </c>
      <c r="BK89">
        <v>-72.415000000000006</v>
      </c>
      <c r="BL89">
        <v>744.81500000000005</v>
      </c>
      <c r="BM89">
        <v>814.91499999999996</v>
      </c>
      <c r="BN89">
        <v>4.8192199999999996</v>
      </c>
      <c r="BO89">
        <v>800.10699999999997</v>
      </c>
      <c r="BP89">
        <v>18.171700000000001</v>
      </c>
      <c r="BQ89">
        <v>2.2678799999999999</v>
      </c>
      <c r="BR89">
        <v>1.7925</v>
      </c>
      <c r="BS89">
        <v>19.45</v>
      </c>
      <c r="BT89">
        <v>15.721500000000001</v>
      </c>
      <c r="BU89">
        <v>1799.99</v>
      </c>
      <c r="BV89">
        <v>0.90998699999999999</v>
      </c>
      <c r="BW89">
        <v>3.4004399999999997E-2</v>
      </c>
      <c r="BX89">
        <v>2.2002600000000001E-2</v>
      </c>
      <c r="BY89">
        <v>3.4005800000000003E-2</v>
      </c>
      <c r="BZ89">
        <v>25</v>
      </c>
      <c r="CA89">
        <v>33528.199999999997</v>
      </c>
      <c r="CB89">
        <v>1690384821</v>
      </c>
      <c r="CC89" t="s">
        <v>332</v>
      </c>
      <c r="CD89">
        <v>1690384820</v>
      </c>
      <c r="CE89">
        <v>1690384821</v>
      </c>
      <c r="CF89">
        <v>5</v>
      </c>
      <c r="CG89">
        <v>-2.5000000000000001E-2</v>
      </c>
      <c r="CH89">
        <v>0.104</v>
      </c>
      <c r="CI89">
        <v>-0.28799999999999998</v>
      </c>
      <c r="CJ89">
        <v>0.28000000000000003</v>
      </c>
      <c r="CK89">
        <v>800</v>
      </c>
      <c r="CL89">
        <v>24</v>
      </c>
      <c r="CM89">
        <v>0.08</v>
      </c>
      <c r="CN89">
        <v>0.11</v>
      </c>
      <c r="CO89">
        <v>-69.076458536585363</v>
      </c>
      <c r="CP89">
        <v>-18.254184668989449</v>
      </c>
      <c r="CQ89">
        <v>1.8006566601640011</v>
      </c>
      <c r="CR89">
        <v>-1</v>
      </c>
      <c r="CS89">
        <v>4.6562965853658529</v>
      </c>
      <c r="CT89">
        <v>0.89522801393728246</v>
      </c>
      <c r="CU89">
        <v>8.911321644087275E-2</v>
      </c>
      <c r="CV89">
        <v>-1</v>
      </c>
      <c r="CW89">
        <v>0</v>
      </c>
      <c r="CX89">
        <v>0</v>
      </c>
      <c r="CY89" t="s">
        <v>333</v>
      </c>
      <c r="CZ89">
        <v>2.3645499999999999</v>
      </c>
      <c r="DA89">
        <v>2.7138</v>
      </c>
      <c r="DB89">
        <v>0.137126</v>
      </c>
      <c r="DC89">
        <v>0.145736</v>
      </c>
      <c r="DD89">
        <v>0.10972</v>
      </c>
      <c r="DE89">
        <v>9.1786400000000004E-2</v>
      </c>
      <c r="DF89">
        <v>31518.400000000001</v>
      </c>
      <c r="DG89">
        <v>27545.7</v>
      </c>
      <c r="DH89">
        <v>31182.7</v>
      </c>
      <c r="DI89">
        <v>28096.2</v>
      </c>
      <c r="DJ89">
        <v>37693.1</v>
      </c>
      <c r="DK89">
        <v>36284.699999999997</v>
      </c>
      <c r="DL89">
        <v>44378.6</v>
      </c>
      <c r="DM89">
        <v>42585.8</v>
      </c>
      <c r="DN89">
        <v>1.4638500000000001</v>
      </c>
      <c r="DO89">
        <v>2.0571799999999998</v>
      </c>
      <c r="DP89">
        <v>0.111509</v>
      </c>
      <c r="DQ89">
        <v>0.194296</v>
      </c>
      <c r="DR89">
        <v>25.1206</v>
      </c>
      <c r="DS89">
        <v>24.853899999999999</v>
      </c>
      <c r="DT89">
        <v>57.4</v>
      </c>
      <c r="DU89">
        <v>28.8</v>
      </c>
      <c r="DV89">
        <v>23.1371</v>
      </c>
      <c r="DW89">
        <v>60.812199999999997</v>
      </c>
      <c r="DX89">
        <v>35.9054</v>
      </c>
      <c r="DY89">
        <v>1</v>
      </c>
      <c r="DZ89">
        <v>-0.100706</v>
      </c>
      <c r="EA89">
        <v>5.4183000000000002E-2</v>
      </c>
      <c r="EB89">
        <v>20.190200000000001</v>
      </c>
      <c r="EC89">
        <v>5.2411000000000003</v>
      </c>
      <c r="ED89">
        <v>12.039899999999999</v>
      </c>
      <c r="EE89">
        <v>5.0171000000000001</v>
      </c>
      <c r="EF89">
        <v>3.2879700000000001</v>
      </c>
      <c r="EG89">
        <v>9999</v>
      </c>
      <c r="EH89">
        <v>9999</v>
      </c>
      <c r="EI89">
        <v>9999</v>
      </c>
      <c r="EJ89">
        <v>999.9</v>
      </c>
      <c r="EK89">
        <v>1.8689</v>
      </c>
      <c r="EL89">
        <v>1.8646199999999999</v>
      </c>
      <c r="EM89">
        <v>1.8692</v>
      </c>
      <c r="EN89">
        <v>1.86724</v>
      </c>
      <c r="EO89">
        <v>1.86338</v>
      </c>
      <c r="EP89">
        <v>1.8644700000000001</v>
      </c>
      <c r="EQ89">
        <v>1.87019</v>
      </c>
      <c r="ER89">
        <v>1.86941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-0.23799999999999999</v>
      </c>
      <c r="FG89">
        <v>0.2797</v>
      </c>
      <c r="FH89">
        <v>0.26269369235785539</v>
      </c>
      <c r="FI89">
        <v>-6.1462078757559423E-4</v>
      </c>
      <c r="FJ89">
        <v>-1.8861989874597051E-7</v>
      </c>
      <c r="FK89">
        <v>1.1980462299894961E-10</v>
      </c>
      <c r="FL89">
        <v>0.27968571428570849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21.8</v>
      </c>
      <c r="FU89">
        <v>21.7</v>
      </c>
      <c r="FV89">
        <v>1.79321</v>
      </c>
      <c r="FW89">
        <v>2.5781200000000002</v>
      </c>
      <c r="FX89">
        <v>1.5490699999999999</v>
      </c>
      <c r="FY89">
        <v>2.3315399999999999</v>
      </c>
      <c r="FZ89">
        <v>1.50146</v>
      </c>
      <c r="GA89">
        <v>2.4023400000000001</v>
      </c>
      <c r="GB89">
        <v>33.558</v>
      </c>
      <c r="GC89">
        <v>23.991199999999999</v>
      </c>
      <c r="GD89">
        <v>19</v>
      </c>
      <c r="GE89">
        <v>277.38600000000002</v>
      </c>
      <c r="GF89">
        <v>599.84900000000005</v>
      </c>
      <c r="GG89">
        <v>24.025300000000001</v>
      </c>
      <c r="GH89">
        <v>26.1432</v>
      </c>
      <c r="GI89">
        <v>29.9998</v>
      </c>
      <c r="GJ89">
        <v>26.290199999999999</v>
      </c>
      <c r="GK89">
        <v>26.279199999999999</v>
      </c>
      <c r="GL89">
        <v>35.847999999999999</v>
      </c>
      <c r="GM89">
        <v>30.408200000000001</v>
      </c>
      <c r="GN89">
        <v>99.255200000000002</v>
      </c>
      <c r="GO89">
        <v>24.0381</v>
      </c>
      <c r="GP89">
        <v>800</v>
      </c>
      <c r="GQ89">
        <v>18.0532</v>
      </c>
      <c r="GR89">
        <v>99.774900000000002</v>
      </c>
      <c r="GS89">
        <v>99.621399999999994</v>
      </c>
    </row>
    <row r="90" spans="1:201" x14ac:dyDescent="0.25">
      <c r="A90">
        <v>74</v>
      </c>
      <c r="B90">
        <v>1690386135.5999999</v>
      </c>
      <c r="C90">
        <v>801</v>
      </c>
      <c r="D90" t="s">
        <v>481</v>
      </c>
      <c r="E90" t="s">
        <v>482</v>
      </c>
      <c r="F90" t="s">
        <v>330</v>
      </c>
      <c r="H90">
        <v>1690386135.5999999</v>
      </c>
      <c r="I90">
        <f t="shared" si="30"/>
        <v>4.810775030281576E-4</v>
      </c>
      <c r="J90">
        <f t="shared" si="31"/>
        <v>0.4810775030281576</v>
      </c>
      <c r="K90">
        <f t="shared" si="32"/>
        <v>6.7683711622528575</v>
      </c>
      <c r="L90">
        <f t="shared" si="33"/>
        <v>724.59199999999998</v>
      </c>
      <c r="M90">
        <f t="shared" si="34"/>
        <v>345.47079380258532</v>
      </c>
      <c r="N90">
        <f t="shared" si="35"/>
        <v>34.114697462446642</v>
      </c>
      <c r="O90">
        <f t="shared" si="36"/>
        <v>71.552320216783997</v>
      </c>
      <c r="P90">
        <f t="shared" si="37"/>
        <v>2.9845361022851517E-2</v>
      </c>
      <c r="Q90">
        <f t="shared" si="38"/>
        <v>2.1617242120462246</v>
      </c>
      <c r="R90">
        <f t="shared" si="39"/>
        <v>2.9618322496955899E-2</v>
      </c>
      <c r="S90">
        <f t="shared" si="40"/>
        <v>1.8531705997625908E-2</v>
      </c>
      <c r="T90">
        <f t="shared" si="41"/>
        <v>276.115581486</v>
      </c>
      <c r="U90">
        <f t="shared" si="42"/>
        <v>28.145567179688054</v>
      </c>
      <c r="V90">
        <f t="shared" si="43"/>
        <v>28.145567179688054</v>
      </c>
      <c r="W90">
        <f t="shared" si="44"/>
        <v>3.8271624014101193</v>
      </c>
      <c r="X90">
        <f t="shared" si="45"/>
        <v>66.740072501953549</v>
      </c>
      <c r="Y90">
        <f t="shared" si="46"/>
        <v>2.2727740461465995</v>
      </c>
      <c r="Z90">
        <f t="shared" si="47"/>
        <v>3.405411413180699</v>
      </c>
      <c r="AA90">
        <f t="shared" si="48"/>
        <v>1.5543883552635198</v>
      </c>
      <c r="AB90">
        <f t="shared" si="49"/>
        <v>-21.21551788354175</v>
      </c>
      <c r="AC90">
        <f t="shared" si="50"/>
        <v>-231.93980628408158</v>
      </c>
      <c r="AD90">
        <f t="shared" si="51"/>
        <v>-23.190393967152882</v>
      </c>
      <c r="AE90">
        <f t="shared" si="52"/>
        <v>-0.23013664877620954</v>
      </c>
      <c r="AF90">
        <v>0</v>
      </c>
      <c r="AG90">
        <v>0</v>
      </c>
      <c r="AH90">
        <f t="shared" si="53"/>
        <v>1</v>
      </c>
      <c r="AI90">
        <f t="shared" si="54"/>
        <v>0</v>
      </c>
      <c r="AJ90">
        <f t="shared" si="55"/>
        <v>52475.741121554529</v>
      </c>
      <c r="AK90">
        <f t="shared" si="56"/>
        <v>1800</v>
      </c>
      <c r="AL90">
        <f t="shared" si="57"/>
        <v>1499.1103565999999</v>
      </c>
      <c r="AM90">
        <f t="shared" si="58"/>
        <v>0.83283908699999998</v>
      </c>
      <c r="AN90">
        <f t="shared" si="59"/>
        <v>0.15339754526999999</v>
      </c>
      <c r="AO90">
        <v>31.8</v>
      </c>
      <c r="AP90">
        <v>0.5</v>
      </c>
      <c r="AQ90" t="s">
        <v>331</v>
      </c>
      <c r="AR90">
        <v>2</v>
      </c>
      <c r="AS90">
        <v>1690386135.5999999</v>
      </c>
      <c r="AT90">
        <v>724.59199999999998</v>
      </c>
      <c r="AU90">
        <v>799.98699999999997</v>
      </c>
      <c r="AV90">
        <v>23.015799999999999</v>
      </c>
      <c r="AW90">
        <v>18.0367</v>
      </c>
      <c r="AX90">
        <v>724.82799999999997</v>
      </c>
      <c r="AY90">
        <v>22.7361</v>
      </c>
      <c r="AZ90">
        <v>300.178</v>
      </c>
      <c r="BA90">
        <v>98.648399999999995</v>
      </c>
      <c r="BB90">
        <v>0.100027</v>
      </c>
      <c r="BC90">
        <v>26.1554</v>
      </c>
      <c r="BD90">
        <v>26.964700000000001</v>
      </c>
      <c r="BE90">
        <v>28.027899999999999</v>
      </c>
      <c r="BF90">
        <v>0</v>
      </c>
      <c r="BG90">
        <v>0</v>
      </c>
      <c r="BH90">
        <v>10033.1</v>
      </c>
      <c r="BI90">
        <v>1071.29</v>
      </c>
      <c r="BJ90">
        <v>1.4577199999999999</v>
      </c>
      <c r="BK90">
        <v>-75.3947</v>
      </c>
      <c r="BL90">
        <v>741.66200000000003</v>
      </c>
      <c r="BM90">
        <v>814.68100000000004</v>
      </c>
      <c r="BN90">
        <v>4.97905</v>
      </c>
      <c r="BO90">
        <v>799.98699999999997</v>
      </c>
      <c r="BP90">
        <v>18.0367</v>
      </c>
      <c r="BQ90">
        <v>2.27047</v>
      </c>
      <c r="BR90">
        <v>1.77929</v>
      </c>
      <c r="BS90">
        <v>19.468399999999999</v>
      </c>
      <c r="BT90">
        <v>15.606</v>
      </c>
      <c r="BU90">
        <v>1800</v>
      </c>
      <c r="BV90">
        <v>0.90999099999999999</v>
      </c>
      <c r="BW90">
        <v>3.4002900000000003E-2</v>
      </c>
      <c r="BX90">
        <v>2.20016E-2</v>
      </c>
      <c r="BY90">
        <v>3.4004300000000001E-2</v>
      </c>
      <c r="BZ90">
        <v>25</v>
      </c>
      <c r="CA90">
        <v>33528.199999999997</v>
      </c>
      <c r="CB90">
        <v>1690384821</v>
      </c>
      <c r="CC90" t="s">
        <v>332</v>
      </c>
      <c r="CD90">
        <v>1690384820</v>
      </c>
      <c r="CE90">
        <v>1690384821</v>
      </c>
      <c r="CF90">
        <v>5</v>
      </c>
      <c r="CG90">
        <v>-2.5000000000000001E-2</v>
      </c>
      <c r="CH90">
        <v>0.104</v>
      </c>
      <c r="CI90">
        <v>-0.28799999999999998</v>
      </c>
      <c r="CJ90">
        <v>0.28000000000000003</v>
      </c>
      <c r="CK90">
        <v>800</v>
      </c>
      <c r="CL90">
        <v>24</v>
      </c>
      <c r="CM90">
        <v>0.08</v>
      </c>
      <c r="CN90">
        <v>0.11</v>
      </c>
      <c r="CO90">
        <v>-72.333739999999992</v>
      </c>
      <c r="CP90">
        <v>-18.303206003752269</v>
      </c>
      <c r="CQ90">
        <v>1.761270108728358</v>
      </c>
      <c r="CR90">
        <v>-1</v>
      </c>
      <c r="CS90">
        <v>4.8112027500000014</v>
      </c>
      <c r="CT90">
        <v>0.90414225140712456</v>
      </c>
      <c r="CU90">
        <v>8.7649886422844256E-2</v>
      </c>
      <c r="CV90">
        <v>-1</v>
      </c>
      <c r="CW90">
        <v>0</v>
      </c>
      <c r="CX90">
        <v>0</v>
      </c>
      <c r="CY90" t="s">
        <v>333</v>
      </c>
      <c r="CZ90">
        <v>2.36463</v>
      </c>
      <c r="DA90">
        <v>2.7138499999999999</v>
      </c>
      <c r="DB90">
        <v>0.136738</v>
      </c>
      <c r="DC90">
        <v>0.145729</v>
      </c>
      <c r="DD90">
        <v>0.10981200000000001</v>
      </c>
      <c r="DE90">
        <v>9.1303200000000001E-2</v>
      </c>
      <c r="DF90">
        <v>31532.6</v>
      </c>
      <c r="DG90">
        <v>27546</v>
      </c>
      <c r="DH90">
        <v>31182.799999999999</v>
      </c>
      <c r="DI90">
        <v>28096.3</v>
      </c>
      <c r="DJ90">
        <v>37689</v>
      </c>
      <c r="DK90">
        <v>36304.199999999997</v>
      </c>
      <c r="DL90">
        <v>44378.5</v>
      </c>
      <c r="DM90">
        <v>42586</v>
      </c>
      <c r="DN90">
        <v>1.4643299999999999</v>
      </c>
      <c r="DO90">
        <v>2.0568</v>
      </c>
      <c r="DP90">
        <v>0.112582</v>
      </c>
      <c r="DQ90">
        <v>0.19380500000000001</v>
      </c>
      <c r="DR90">
        <v>25.1206</v>
      </c>
      <c r="DS90">
        <v>24.855499999999999</v>
      </c>
      <c r="DT90">
        <v>57.4</v>
      </c>
      <c r="DU90">
        <v>28.8</v>
      </c>
      <c r="DV90">
        <v>23.1311</v>
      </c>
      <c r="DW90">
        <v>60.862200000000001</v>
      </c>
      <c r="DX90">
        <v>36.6066</v>
      </c>
      <c r="DY90">
        <v>1</v>
      </c>
      <c r="DZ90">
        <v>-0.101075</v>
      </c>
      <c r="EA90">
        <v>1.42211E-2</v>
      </c>
      <c r="EB90">
        <v>20.190100000000001</v>
      </c>
      <c r="EC90">
        <v>5.2411000000000003</v>
      </c>
      <c r="ED90">
        <v>12.039899999999999</v>
      </c>
      <c r="EE90">
        <v>5.0172999999999996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</v>
      </c>
      <c r="EL90">
        <v>1.8646199999999999</v>
      </c>
      <c r="EM90">
        <v>1.8692</v>
      </c>
      <c r="EN90">
        <v>1.8672299999999999</v>
      </c>
      <c r="EO90">
        <v>1.86338</v>
      </c>
      <c r="EP90">
        <v>1.8644700000000001</v>
      </c>
      <c r="EQ90">
        <v>1.8701700000000001</v>
      </c>
      <c r="ER90">
        <v>1.8693900000000001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-0.23599999999999999</v>
      </c>
      <c r="FG90">
        <v>0.2797</v>
      </c>
      <c r="FH90">
        <v>0.26269369235785539</v>
      </c>
      <c r="FI90">
        <v>-6.1462078757559423E-4</v>
      </c>
      <c r="FJ90">
        <v>-1.8861989874597051E-7</v>
      </c>
      <c r="FK90">
        <v>1.1980462299894961E-10</v>
      </c>
      <c r="FL90">
        <v>0.27968571428570849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21.9</v>
      </c>
      <c r="FU90">
        <v>21.9</v>
      </c>
      <c r="FV90">
        <v>1.79321</v>
      </c>
      <c r="FW90">
        <v>2.5793499999999998</v>
      </c>
      <c r="FX90">
        <v>1.5490699999999999</v>
      </c>
      <c r="FY90">
        <v>2.3327599999999999</v>
      </c>
      <c r="FZ90">
        <v>1.50146</v>
      </c>
      <c r="GA90">
        <v>2.4047900000000002</v>
      </c>
      <c r="GB90">
        <v>33.558</v>
      </c>
      <c r="GC90">
        <v>23.991199999999999</v>
      </c>
      <c r="GD90">
        <v>19</v>
      </c>
      <c r="GE90">
        <v>277.56900000000002</v>
      </c>
      <c r="GF90">
        <v>599.48699999999997</v>
      </c>
      <c r="GG90">
        <v>24.092199999999998</v>
      </c>
      <c r="GH90">
        <v>26.138200000000001</v>
      </c>
      <c r="GI90">
        <v>30</v>
      </c>
      <c r="GJ90">
        <v>26.286300000000001</v>
      </c>
      <c r="GK90">
        <v>26.275300000000001</v>
      </c>
      <c r="GL90">
        <v>35.845700000000001</v>
      </c>
      <c r="GM90">
        <v>30.962599999999998</v>
      </c>
      <c r="GN90">
        <v>99.255200000000002</v>
      </c>
      <c r="GO90">
        <v>24.101099999999999</v>
      </c>
      <c r="GP90">
        <v>800</v>
      </c>
      <c r="GQ90">
        <v>17.9255</v>
      </c>
      <c r="GR90">
        <v>99.774900000000002</v>
      </c>
      <c r="GS90">
        <v>99.621700000000004</v>
      </c>
    </row>
    <row r="91" spans="1:201" x14ac:dyDescent="0.25">
      <c r="A91">
        <v>75</v>
      </c>
      <c r="B91">
        <v>1690386145.5999999</v>
      </c>
      <c r="C91">
        <v>811</v>
      </c>
      <c r="D91" t="s">
        <v>483</v>
      </c>
      <c r="E91" t="s">
        <v>484</v>
      </c>
      <c r="F91" t="s">
        <v>330</v>
      </c>
      <c r="H91">
        <v>1690386145.5999999</v>
      </c>
      <c r="I91">
        <f t="shared" si="30"/>
        <v>4.932880969398531E-4</v>
      </c>
      <c r="J91">
        <f t="shared" si="31"/>
        <v>0.49328809693985309</v>
      </c>
      <c r="K91">
        <f t="shared" si="32"/>
        <v>7.0555581059526498</v>
      </c>
      <c r="L91">
        <f t="shared" si="33"/>
        <v>721.49099999999999</v>
      </c>
      <c r="M91">
        <f t="shared" si="34"/>
        <v>336.35232459149228</v>
      </c>
      <c r="N91">
        <f t="shared" si="35"/>
        <v>33.213443280588251</v>
      </c>
      <c r="O91">
        <f t="shared" si="36"/>
        <v>71.24434307109</v>
      </c>
      <c r="P91">
        <f t="shared" si="37"/>
        <v>3.0599816054615796E-2</v>
      </c>
      <c r="Q91">
        <f t="shared" si="38"/>
        <v>2.1606562376839777</v>
      </c>
      <c r="R91">
        <f t="shared" si="39"/>
        <v>3.0361086488449526E-2</v>
      </c>
      <c r="S91">
        <f t="shared" si="40"/>
        <v>1.8996972605818858E-2</v>
      </c>
      <c r="T91">
        <f t="shared" si="41"/>
        <v>276.11406513244947</v>
      </c>
      <c r="U91">
        <f t="shared" si="42"/>
        <v>28.157217255104324</v>
      </c>
      <c r="V91">
        <f t="shared" si="43"/>
        <v>28.157217255104324</v>
      </c>
      <c r="W91">
        <f t="shared" si="44"/>
        <v>3.8297596119937571</v>
      </c>
      <c r="X91">
        <f t="shared" si="45"/>
        <v>66.74592040115661</v>
      </c>
      <c r="Y91">
        <f t="shared" si="46"/>
        <v>2.274989114412</v>
      </c>
      <c r="Z91">
        <f t="shared" si="47"/>
        <v>3.4084317074944068</v>
      </c>
      <c r="AA91">
        <f t="shared" si="48"/>
        <v>1.5547704975817571</v>
      </c>
      <c r="AB91">
        <f t="shared" si="49"/>
        <v>-21.754005075047523</v>
      </c>
      <c r="AC91">
        <f t="shared" si="50"/>
        <v>-231.4350021900897</v>
      </c>
      <c r="AD91">
        <f t="shared" si="51"/>
        <v>-23.154441658928491</v>
      </c>
      <c r="AE91">
        <f t="shared" si="52"/>
        <v>-0.22938379161624312</v>
      </c>
      <c r="AF91">
        <v>0</v>
      </c>
      <c r="AG91">
        <v>0</v>
      </c>
      <c r="AH91">
        <f t="shared" si="53"/>
        <v>1</v>
      </c>
      <c r="AI91">
        <f t="shared" si="54"/>
        <v>0</v>
      </c>
      <c r="AJ91">
        <f t="shared" si="55"/>
        <v>52428.223917854244</v>
      </c>
      <c r="AK91">
        <f t="shared" si="56"/>
        <v>1799.99</v>
      </c>
      <c r="AL91">
        <f t="shared" si="57"/>
        <v>1499.1034304013399</v>
      </c>
      <c r="AM91">
        <f t="shared" si="58"/>
        <v>0.83283986599999993</v>
      </c>
      <c r="AN91">
        <f t="shared" si="59"/>
        <v>0.15339755506000002</v>
      </c>
      <c r="AO91">
        <v>31.8</v>
      </c>
      <c r="AP91">
        <v>0.5</v>
      </c>
      <c r="AQ91" t="s">
        <v>331</v>
      </c>
      <c r="AR91">
        <v>2</v>
      </c>
      <c r="AS91">
        <v>1690386145.5999999</v>
      </c>
      <c r="AT91">
        <v>721.49099999999999</v>
      </c>
      <c r="AU91">
        <v>800.02499999999998</v>
      </c>
      <c r="AV91">
        <v>23.038799999999998</v>
      </c>
      <c r="AW91">
        <v>17.932200000000002</v>
      </c>
      <c r="AX91">
        <v>721.72500000000002</v>
      </c>
      <c r="AY91">
        <v>22.7591</v>
      </c>
      <c r="AZ91">
        <v>300.10500000000002</v>
      </c>
      <c r="BA91">
        <v>98.646000000000001</v>
      </c>
      <c r="BB91">
        <v>9.9989999999999996E-2</v>
      </c>
      <c r="BC91">
        <v>26.170400000000001</v>
      </c>
      <c r="BD91">
        <v>26.993200000000002</v>
      </c>
      <c r="BE91">
        <v>28.050799999999999</v>
      </c>
      <c r="BF91">
        <v>0</v>
      </c>
      <c r="BG91">
        <v>0</v>
      </c>
      <c r="BH91">
        <v>10024.4</v>
      </c>
      <c r="BI91">
        <v>1071.3399999999999</v>
      </c>
      <c r="BJ91">
        <v>1.4577199999999999</v>
      </c>
      <c r="BK91">
        <v>-78.534300000000002</v>
      </c>
      <c r="BL91">
        <v>738.505</v>
      </c>
      <c r="BM91">
        <v>814.63300000000004</v>
      </c>
      <c r="BN91">
        <v>5.1066000000000003</v>
      </c>
      <c r="BO91">
        <v>800.02499999999998</v>
      </c>
      <c r="BP91">
        <v>17.932200000000002</v>
      </c>
      <c r="BQ91">
        <v>2.2726899999999999</v>
      </c>
      <c r="BR91">
        <v>1.76894</v>
      </c>
      <c r="BS91">
        <v>19.484100000000002</v>
      </c>
      <c r="BT91">
        <v>15.515000000000001</v>
      </c>
      <c r="BU91">
        <v>1799.99</v>
      </c>
      <c r="BV91">
        <v>0.909995</v>
      </c>
      <c r="BW91">
        <v>3.40016E-2</v>
      </c>
      <c r="BX91">
        <v>2.2000800000000001E-2</v>
      </c>
      <c r="BY91">
        <v>3.4002999999999999E-2</v>
      </c>
      <c r="BZ91">
        <v>25</v>
      </c>
      <c r="CA91">
        <v>33528.199999999997</v>
      </c>
      <c r="CB91">
        <v>1690384821</v>
      </c>
      <c r="CC91" t="s">
        <v>332</v>
      </c>
      <c r="CD91">
        <v>1690384820</v>
      </c>
      <c r="CE91">
        <v>1690384821</v>
      </c>
      <c r="CF91">
        <v>5</v>
      </c>
      <c r="CG91">
        <v>-2.5000000000000001E-2</v>
      </c>
      <c r="CH91">
        <v>0.104</v>
      </c>
      <c r="CI91">
        <v>-0.28799999999999998</v>
      </c>
      <c r="CJ91">
        <v>0.28000000000000003</v>
      </c>
      <c r="CK91">
        <v>800</v>
      </c>
      <c r="CL91">
        <v>24</v>
      </c>
      <c r="CM91">
        <v>0.08</v>
      </c>
      <c r="CN91">
        <v>0.11</v>
      </c>
      <c r="CO91">
        <v>-75.070975000000004</v>
      </c>
      <c r="CP91">
        <v>-18.3530409005627</v>
      </c>
      <c r="CQ91">
        <v>1.7658030607559261</v>
      </c>
      <c r="CR91">
        <v>-1</v>
      </c>
      <c r="CS91">
        <v>4.9448530000000002</v>
      </c>
      <c r="CT91">
        <v>0.89087257035648149</v>
      </c>
      <c r="CU91">
        <v>8.6033550351011359E-2</v>
      </c>
      <c r="CV91">
        <v>-1</v>
      </c>
      <c r="CW91">
        <v>0</v>
      </c>
      <c r="CX91">
        <v>0</v>
      </c>
      <c r="CY91" t="s">
        <v>333</v>
      </c>
      <c r="CZ91">
        <v>2.36436</v>
      </c>
      <c r="DA91">
        <v>2.7138</v>
      </c>
      <c r="DB91">
        <v>0.13633899999999999</v>
      </c>
      <c r="DC91">
        <v>0.14573</v>
      </c>
      <c r="DD91">
        <v>0.109889</v>
      </c>
      <c r="DE91">
        <v>9.0922100000000006E-2</v>
      </c>
      <c r="DF91">
        <v>31547.7</v>
      </c>
      <c r="DG91">
        <v>27546.6</v>
      </c>
      <c r="DH91">
        <v>31183.200000000001</v>
      </c>
      <c r="DI91">
        <v>28096.9</v>
      </c>
      <c r="DJ91">
        <v>37686.300000000003</v>
      </c>
      <c r="DK91">
        <v>36320.199999999997</v>
      </c>
      <c r="DL91">
        <v>44379.3</v>
      </c>
      <c r="DM91">
        <v>42586.9</v>
      </c>
      <c r="DN91">
        <v>1.4640500000000001</v>
      </c>
      <c r="DO91">
        <v>2.0573000000000001</v>
      </c>
      <c r="DP91">
        <v>0.114325</v>
      </c>
      <c r="DQ91">
        <v>0.195079</v>
      </c>
      <c r="DR91">
        <v>25.1206</v>
      </c>
      <c r="DS91">
        <v>24.857600000000001</v>
      </c>
      <c r="DT91">
        <v>57.4</v>
      </c>
      <c r="DU91">
        <v>28.8</v>
      </c>
      <c r="DV91">
        <v>23.130700000000001</v>
      </c>
      <c r="DW91">
        <v>61.002200000000002</v>
      </c>
      <c r="DX91">
        <v>36.999200000000002</v>
      </c>
      <c r="DY91">
        <v>1</v>
      </c>
      <c r="DZ91">
        <v>-0.10175099999999999</v>
      </c>
      <c r="EA91">
        <v>2.3142699999999999E-2</v>
      </c>
      <c r="EB91">
        <v>20.189900000000002</v>
      </c>
      <c r="EC91">
        <v>5.2411000000000003</v>
      </c>
      <c r="ED91">
        <v>12.039899999999999</v>
      </c>
      <c r="EE91">
        <v>5.0170500000000002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1.8689100000000001</v>
      </c>
      <c r="EL91">
        <v>1.8646199999999999</v>
      </c>
      <c r="EM91">
        <v>1.86921</v>
      </c>
      <c r="EN91">
        <v>1.8672299999999999</v>
      </c>
      <c r="EO91">
        <v>1.86338</v>
      </c>
      <c r="EP91">
        <v>1.8644700000000001</v>
      </c>
      <c r="EQ91">
        <v>1.87018</v>
      </c>
      <c r="ER91">
        <v>1.86937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-0.23400000000000001</v>
      </c>
      <c r="FG91">
        <v>0.2797</v>
      </c>
      <c r="FH91">
        <v>0.26269369235785539</v>
      </c>
      <c r="FI91">
        <v>-6.1462078757559423E-4</v>
      </c>
      <c r="FJ91">
        <v>-1.8861989874597051E-7</v>
      </c>
      <c r="FK91">
        <v>1.1980462299894961E-10</v>
      </c>
      <c r="FL91">
        <v>0.27968571428570849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22.1</v>
      </c>
      <c r="FU91">
        <v>22.1</v>
      </c>
      <c r="FV91">
        <v>1.79321</v>
      </c>
      <c r="FW91">
        <v>2.5781200000000002</v>
      </c>
      <c r="FX91">
        <v>1.5490699999999999</v>
      </c>
      <c r="FY91">
        <v>2.3327599999999999</v>
      </c>
      <c r="FZ91">
        <v>1.50146</v>
      </c>
      <c r="GA91">
        <v>2.36816</v>
      </c>
      <c r="GB91">
        <v>33.558</v>
      </c>
      <c r="GC91">
        <v>23.991199999999999</v>
      </c>
      <c r="GD91">
        <v>19</v>
      </c>
      <c r="GE91">
        <v>277.43400000000003</v>
      </c>
      <c r="GF91">
        <v>599.85900000000004</v>
      </c>
      <c r="GG91">
        <v>24.1433</v>
      </c>
      <c r="GH91">
        <v>26.133800000000001</v>
      </c>
      <c r="GI91">
        <v>29.9998</v>
      </c>
      <c r="GJ91">
        <v>26.2819</v>
      </c>
      <c r="GK91">
        <v>26.271000000000001</v>
      </c>
      <c r="GL91">
        <v>35.844099999999997</v>
      </c>
      <c r="GM91">
        <v>31.543199999999999</v>
      </c>
      <c r="GN91">
        <v>99.255200000000002</v>
      </c>
      <c r="GO91">
        <v>24.147600000000001</v>
      </c>
      <c r="GP91">
        <v>800</v>
      </c>
      <c r="GQ91">
        <v>17.794699999999999</v>
      </c>
      <c r="GR91">
        <v>99.776499999999999</v>
      </c>
      <c r="GS91">
        <v>99.623900000000006</v>
      </c>
    </row>
    <row r="92" spans="1:201" x14ac:dyDescent="0.25">
      <c r="A92">
        <v>76</v>
      </c>
      <c r="B92">
        <v>1690386155.5999999</v>
      </c>
      <c r="C92">
        <v>821</v>
      </c>
      <c r="D92" t="s">
        <v>485</v>
      </c>
      <c r="E92" t="s">
        <v>486</v>
      </c>
      <c r="F92" t="s">
        <v>330</v>
      </c>
      <c r="H92">
        <v>1690386155.5999999</v>
      </c>
      <c r="I92">
        <f t="shared" si="30"/>
        <v>5.0933367118574365E-4</v>
      </c>
      <c r="J92">
        <f t="shared" si="31"/>
        <v>0.50933367118574369</v>
      </c>
      <c r="K92">
        <f t="shared" si="32"/>
        <v>7.3469583186891425</v>
      </c>
      <c r="L92">
        <f t="shared" si="33"/>
        <v>718.38199999999995</v>
      </c>
      <c r="M92">
        <f t="shared" si="34"/>
        <v>330.38871028175384</v>
      </c>
      <c r="N92">
        <f t="shared" si="35"/>
        <v>32.626544265800206</v>
      </c>
      <c r="O92">
        <f t="shared" si="36"/>
        <v>70.941655672089993</v>
      </c>
      <c r="P92">
        <f t="shared" si="37"/>
        <v>3.1617353542242849E-2</v>
      </c>
      <c r="Q92">
        <f t="shared" si="38"/>
        <v>2.1582660698795952</v>
      </c>
      <c r="R92">
        <f t="shared" si="39"/>
        <v>3.1362274630170814E-2</v>
      </c>
      <c r="S92">
        <f t="shared" si="40"/>
        <v>1.9624167836171272E-2</v>
      </c>
      <c r="T92">
        <f t="shared" si="41"/>
        <v>276.11382933375944</v>
      </c>
      <c r="U92">
        <f t="shared" si="42"/>
        <v>28.164365261138709</v>
      </c>
      <c r="V92">
        <f t="shared" si="43"/>
        <v>28.164365261138709</v>
      </c>
      <c r="W92">
        <f t="shared" si="44"/>
        <v>3.8313539143475084</v>
      </c>
      <c r="X92">
        <f t="shared" si="45"/>
        <v>66.768300281701059</v>
      </c>
      <c r="Y92">
        <f t="shared" si="46"/>
        <v>2.2771913791014997</v>
      </c>
      <c r="Z92">
        <f t="shared" si="47"/>
        <v>3.4105876134240929</v>
      </c>
      <c r="AA92">
        <f t="shared" si="48"/>
        <v>1.5541625352460087</v>
      </c>
      <c r="AB92">
        <f t="shared" si="49"/>
        <v>-22.461614899291295</v>
      </c>
      <c r="AC92">
        <f t="shared" si="50"/>
        <v>-230.76568607445435</v>
      </c>
      <c r="AD92">
        <f t="shared" si="51"/>
        <v>-23.115107215268228</v>
      </c>
      <c r="AE92">
        <f t="shared" si="52"/>
        <v>-0.22857885525445454</v>
      </c>
      <c r="AF92">
        <v>0</v>
      </c>
      <c r="AG92">
        <v>0</v>
      </c>
      <c r="AH92">
        <f t="shared" si="53"/>
        <v>1</v>
      </c>
      <c r="AI92">
        <f t="shared" si="54"/>
        <v>0</v>
      </c>
      <c r="AJ92">
        <f t="shared" si="55"/>
        <v>52326.23152059006</v>
      </c>
      <c r="AK92">
        <f t="shared" si="56"/>
        <v>1799.99</v>
      </c>
      <c r="AL92">
        <f t="shared" si="57"/>
        <v>1499.10373639964</v>
      </c>
      <c r="AM92">
        <f t="shared" si="58"/>
        <v>0.83284003600000001</v>
      </c>
      <c r="AN92">
        <f t="shared" si="59"/>
        <v>0.15339742406000001</v>
      </c>
      <c r="AO92">
        <v>31.8</v>
      </c>
      <c r="AP92">
        <v>0.5</v>
      </c>
      <c r="AQ92" t="s">
        <v>331</v>
      </c>
      <c r="AR92">
        <v>2</v>
      </c>
      <c r="AS92">
        <v>1690386155.5999999</v>
      </c>
      <c r="AT92">
        <v>718.38199999999995</v>
      </c>
      <c r="AU92">
        <v>800.07100000000003</v>
      </c>
      <c r="AV92">
        <v>23.059699999999999</v>
      </c>
      <c r="AW92">
        <v>17.7896</v>
      </c>
      <c r="AX92">
        <v>718.61300000000006</v>
      </c>
      <c r="AY92">
        <v>22.78</v>
      </c>
      <c r="AZ92">
        <v>300.24700000000001</v>
      </c>
      <c r="BA92">
        <v>98.652000000000001</v>
      </c>
      <c r="BB92">
        <v>9.9995000000000001E-2</v>
      </c>
      <c r="BC92">
        <v>26.181100000000001</v>
      </c>
      <c r="BD92">
        <v>27.001000000000001</v>
      </c>
      <c r="BE92">
        <v>28.075500000000002</v>
      </c>
      <c r="BF92">
        <v>0</v>
      </c>
      <c r="BG92">
        <v>0</v>
      </c>
      <c r="BH92">
        <v>10003.799999999999</v>
      </c>
      <c r="BI92">
        <v>1071.44</v>
      </c>
      <c r="BJ92">
        <v>1.4577199999999999</v>
      </c>
      <c r="BK92">
        <v>-81.689899999999994</v>
      </c>
      <c r="BL92">
        <v>735.33799999999997</v>
      </c>
      <c r="BM92">
        <v>814.56200000000001</v>
      </c>
      <c r="BN92">
        <v>5.2700899999999997</v>
      </c>
      <c r="BO92">
        <v>800.07100000000003</v>
      </c>
      <c r="BP92">
        <v>17.7896</v>
      </c>
      <c r="BQ92">
        <v>2.2748900000000001</v>
      </c>
      <c r="BR92">
        <v>1.75498</v>
      </c>
      <c r="BS92">
        <v>19.499700000000001</v>
      </c>
      <c r="BT92">
        <v>15.391500000000001</v>
      </c>
      <c r="BU92">
        <v>1799.99</v>
      </c>
      <c r="BV92">
        <v>0.909999</v>
      </c>
      <c r="BW92">
        <v>3.4000000000000002E-2</v>
      </c>
      <c r="BX92">
        <v>2.19998E-2</v>
      </c>
      <c r="BY92">
        <v>3.4001400000000001E-2</v>
      </c>
      <c r="BZ92">
        <v>25</v>
      </c>
      <c r="CA92">
        <v>33528.300000000003</v>
      </c>
      <c r="CB92">
        <v>1690384821</v>
      </c>
      <c r="CC92" t="s">
        <v>332</v>
      </c>
      <c r="CD92">
        <v>1690384820</v>
      </c>
      <c r="CE92">
        <v>1690384821</v>
      </c>
      <c r="CF92">
        <v>5</v>
      </c>
      <c r="CG92">
        <v>-2.5000000000000001E-2</v>
      </c>
      <c r="CH92">
        <v>0.104</v>
      </c>
      <c r="CI92">
        <v>-0.28799999999999998</v>
      </c>
      <c r="CJ92">
        <v>0.28000000000000003</v>
      </c>
      <c r="CK92">
        <v>800</v>
      </c>
      <c r="CL92">
        <v>24</v>
      </c>
      <c r="CM92">
        <v>0.08</v>
      </c>
      <c r="CN92">
        <v>0.11</v>
      </c>
      <c r="CO92">
        <v>-78.225073170731704</v>
      </c>
      <c r="CP92">
        <v>-18.75528292682927</v>
      </c>
      <c r="CQ92">
        <v>1.849480656572621</v>
      </c>
      <c r="CR92">
        <v>-1</v>
      </c>
      <c r="CS92">
        <v>5.1009341463414639</v>
      </c>
      <c r="CT92">
        <v>0.90516668989546667</v>
      </c>
      <c r="CU92">
        <v>8.9665956423519128E-2</v>
      </c>
      <c r="CV92">
        <v>-1</v>
      </c>
      <c r="CW92">
        <v>0</v>
      </c>
      <c r="CX92">
        <v>0</v>
      </c>
      <c r="CY92" t="s">
        <v>333</v>
      </c>
      <c r="CZ92">
        <v>2.3648400000000001</v>
      </c>
      <c r="DA92">
        <v>2.7137899999999999</v>
      </c>
      <c r="DB92">
        <v>0.13594800000000001</v>
      </c>
      <c r="DC92">
        <v>0.14574200000000001</v>
      </c>
      <c r="DD92">
        <v>0.109968</v>
      </c>
      <c r="DE92">
        <v>9.0408100000000005E-2</v>
      </c>
      <c r="DF92">
        <v>31562.3</v>
      </c>
      <c r="DG92">
        <v>27545.9</v>
      </c>
      <c r="DH92">
        <v>31183.5</v>
      </c>
      <c r="DI92">
        <v>28096.5</v>
      </c>
      <c r="DJ92">
        <v>37683.300000000003</v>
      </c>
      <c r="DK92">
        <v>36340.400000000001</v>
      </c>
      <c r="DL92">
        <v>44379.7</v>
      </c>
      <c r="DM92">
        <v>42586.400000000001</v>
      </c>
      <c r="DN92">
        <v>1.4640500000000001</v>
      </c>
      <c r="DO92">
        <v>2.0568499999999998</v>
      </c>
      <c r="DP92">
        <v>0.11480600000000001</v>
      </c>
      <c r="DQ92">
        <v>0.196468</v>
      </c>
      <c r="DR92">
        <v>25.1206</v>
      </c>
      <c r="DS92">
        <v>24.8597</v>
      </c>
      <c r="DT92">
        <v>57.4</v>
      </c>
      <c r="DU92">
        <v>28.8</v>
      </c>
      <c r="DV92">
        <v>23.129000000000001</v>
      </c>
      <c r="DW92">
        <v>60.932200000000002</v>
      </c>
      <c r="DX92">
        <v>36.414299999999997</v>
      </c>
      <c r="DY92">
        <v>1</v>
      </c>
      <c r="DZ92">
        <v>-0.10126</v>
      </c>
      <c r="EA92">
        <v>0.78256000000000003</v>
      </c>
      <c r="EB92">
        <v>20.1873</v>
      </c>
      <c r="EC92">
        <v>5.2411000000000003</v>
      </c>
      <c r="ED92">
        <v>12.039899999999999</v>
      </c>
      <c r="EE92">
        <v>5.0171999999999999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</v>
      </c>
      <c r="EL92">
        <v>1.8646199999999999</v>
      </c>
      <c r="EM92">
        <v>1.8692</v>
      </c>
      <c r="EN92">
        <v>1.8672299999999999</v>
      </c>
      <c r="EO92">
        <v>1.8633900000000001</v>
      </c>
      <c r="EP92">
        <v>1.8644700000000001</v>
      </c>
      <c r="EQ92">
        <v>1.87015</v>
      </c>
      <c r="ER92">
        <v>1.86937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-0.23100000000000001</v>
      </c>
      <c r="FG92">
        <v>0.2797</v>
      </c>
      <c r="FH92">
        <v>0.26269369235785539</v>
      </c>
      <c r="FI92">
        <v>-6.1462078757559423E-4</v>
      </c>
      <c r="FJ92">
        <v>-1.8861989874597051E-7</v>
      </c>
      <c r="FK92">
        <v>1.1980462299894961E-10</v>
      </c>
      <c r="FL92">
        <v>0.27968571428570849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22.3</v>
      </c>
      <c r="FU92">
        <v>22.2</v>
      </c>
      <c r="FV92">
        <v>1.79199</v>
      </c>
      <c r="FW92">
        <v>2.5854499999999998</v>
      </c>
      <c r="FX92">
        <v>1.5490699999999999</v>
      </c>
      <c r="FY92">
        <v>2.3327599999999999</v>
      </c>
      <c r="FZ92">
        <v>1.50146</v>
      </c>
      <c r="GA92">
        <v>2.2790499999999998</v>
      </c>
      <c r="GB92">
        <v>33.558</v>
      </c>
      <c r="GC92">
        <v>23.982399999999998</v>
      </c>
      <c r="GD92">
        <v>19</v>
      </c>
      <c r="GE92">
        <v>277.41500000000002</v>
      </c>
      <c r="GF92">
        <v>599.44000000000005</v>
      </c>
      <c r="GG92">
        <v>24.111799999999999</v>
      </c>
      <c r="GH92">
        <v>26.1294</v>
      </c>
      <c r="GI92">
        <v>30.000399999999999</v>
      </c>
      <c r="GJ92">
        <v>26.2776</v>
      </c>
      <c r="GK92">
        <v>26.267600000000002</v>
      </c>
      <c r="GL92">
        <v>35.838200000000001</v>
      </c>
      <c r="GM92">
        <v>31.821200000000001</v>
      </c>
      <c r="GN92">
        <v>98.879099999999994</v>
      </c>
      <c r="GO92">
        <v>23.9849</v>
      </c>
      <c r="GP92">
        <v>800</v>
      </c>
      <c r="GQ92">
        <v>17.662800000000001</v>
      </c>
      <c r="GR92">
        <v>99.7774</v>
      </c>
      <c r="GS92">
        <v>99.622699999999995</v>
      </c>
    </row>
    <row r="93" spans="1:201" x14ac:dyDescent="0.25">
      <c r="A93">
        <v>77</v>
      </c>
      <c r="B93">
        <v>1690386165.5999999</v>
      </c>
      <c r="C93">
        <v>831</v>
      </c>
      <c r="D93" t="s">
        <v>487</v>
      </c>
      <c r="E93" t="s">
        <v>488</v>
      </c>
      <c r="F93" t="s">
        <v>330</v>
      </c>
      <c r="H93">
        <v>1690386165.5999999</v>
      </c>
      <c r="I93">
        <f t="shared" si="30"/>
        <v>5.2154238328204353E-4</v>
      </c>
      <c r="J93">
        <f t="shared" si="31"/>
        <v>0.5215423832820435</v>
      </c>
      <c r="K93">
        <f t="shared" si="32"/>
        <v>7.6379296292615111</v>
      </c>
      <c r="L93">
        <f t="shared" si="33"/>
        <v>715.226</v>
      </c>
      <c r="M93">
        <f t="shared" si="34"/>
        <v>322.32935088373188</v>
      </c>
      <c r="N93">
        <f t="shared" si="35"/>
        <v>31.830404747623554</v>
      </c>
      <c r="O93">
        <f t="shared" si="36"/>
        <v>70.6294136838806</v>
      </c>
      <c r="P93">
        <f t="shared" si="37"/>
        <v>3.2436231806107087E-2</v>
      </c>
      <c r="Q93">
        <f t="shared" si="38"/>
        <v>2.1562299878039184</v>
      </c>
      <c r="R93">
        <f t="shared" si="39"/>
        <v>3.216757821718709E-2</v>
      </c>
      <c r="S93">
        <f t="shared" si="40"/>
        <v>2.0128688275385765E-2</v>
      </c>
      <c r="T93">
        <f t="shared" si="41"/>
        <v>276.11526414600002</v>
      </c>
      <c r="U93">
        <f t="shared" si="42"/>
        <v>28.147093358569162</v>
      </c>
      <c r="V93">
        <f t="shared" si="43"/>
        <v>28.147093358569162</v>
      </c>
      <c r="W93">
        <f t="shared" si="44"/>
        <v>3.8275025527477053</v>
      </c>
      <c r="X93">
        <f t="shared" si="45"/>
        <v>66.788789979223509</v>
      </c>
      <c r="Y93">
        <f t="shared" si="46"/>
        <v>2.27589876666908</v>
      </c>
      <c r="Z93">
        <f t="shared" si="47"/>
        <v>3.4076059281461171</v>
      </c>
      <c r="AA93">
        <f t="shared" si="48"/>
        <v>1.5516037860786254</v>
      </c>
      <c r="AB93">
        <f t="shared" si="49"/>
        <v>-23.000019102738118</v>
      </c>
      <c r="AC93">
        <f t="shared" si="50"/>
        <v>-230.26063407557575</v>
      </c>
      <c r="AD93">
        <f t="shared" si="51"/>
        <v>-23.08259662309252</v>
      </c>
      <c r="AE93">
        <f t="shared" si="52"/>
        <v>-0.22798565540637128</v>
      </c>
      <c r="AF93">
        <v>0</v>
      </c>
      <c r="AG93">
        <v>0</v>
      </c>
      <c r="AH93">
        <f t="shared" si="53"/>
        <v>1</v>
      </c>
      <c r="AI93">
        <f t="shared" si="54"/>
        <v>0</v>
      </c>
      <c r="AJ93">
        <f t="shared" si="55"/>
        <v>52243.494389140571</v>
      </c>
      <c r="AK93">
        <f t="shared" si="56"/>
        <v>1800</v>
      </c>
      <c r="AL93">
        <f t="shared" si="57"/>
        <v>1499.1126336</v>
      </c>
      <c r="AM93">
        <f t="shared" si="58"/>
        <v>0.83284035199999995</v>
      </c>
      <c r="AN93">
        <f t="shared" si="59"/>
        <v>0.15339736897</v>
      </c>
      <c r="AO93">
        <v>31.8</v>
      </c>
      <c r="AP93">
        <v>0.5</v>
      </c>
      <c r="AQ93" t="s">
        <v>331</v>
      </c>
      <c r="AR93">
        <v>2</v>
      </c>
      <c r="AS93">
        <v>1690386165.5999999</v>
      </c>
      <c r="AT93">
        <v>715.226</v>
      </c>
      <c r="AU93">
        <v>800.06600000000003</v>
      </c>
      <c r="AV93">
        <v>23.046800000000001</v>
      </c>
      <c r="AW93">
        <v>17.650700000000001</v>
      </c>
      <c r="AX93">
        <v>715.45600000000002</v>
      </c>
      <c r="AY93">
        <v>22.767099999999999</v>
      </c>
      <c r="AZ93">
        <v>300.26900000000001</v>
      </c>
      <c r="BA93">
        <v>98.651200000000003</v>
      </c>
      <c r="BB93">
        <v>9.9983100000000005E-2</v>
      </c>
      <c r="BC93">
        <v>26.1663</v>
      </c>
      <c r="BD93">
        <v>27.0229</v>
      </c>
      <c r="BE93">
        <v>28.047699999999999</v>
      </c>
      <c r="BF93">
        <v>0</v>
      </c>
      <c r="BG93">
        <v>0</v>
      </c>
      <c r="BH93">
        <v>9986.8799999999992</v>
      </c>
      <c r="BI93">
        <v>1071.6099999999999</v>
      </c>
      <c r="BJ93">
        <v>1.4577199999999999</v>
      </c>
      <c r="BK93">
        <v>-84.839500000000001</v>
      </c>
      <c r="BL93">
        <v>732.09900000000005</v>
      </c>
      <c r="BM93">
        <v>814.44100000000003</v>
      </c>
      <c r="BN93">
        <v>5.3960400000000002</v>
      </c>
      <c r="BO93">
        <v>800.06600000000003</v>
      </c>
      <c r="BP93">
        <v>17.650700000000001</v>
      </c>
      <c r="BQ93">
        <v>2.27359</v>
      </c>
      <c r="BR93">
        <v>1.7412700000000001</v>
      </c>
      <c r="BS93">
        <v>19.490500000000001</v>
      </c>
      <c r="BT93">
        <v>15.269299999999999</v>
      </c>
      <c r="BU93">
        <v>1800</v>
      </c>
      <c r="BV93">
        <v>0.91000199999999998</v>
      </c>
      <c r="BW93">
        <v>3.3998899999999999E-2</v>
      </c>
      <c r="BX93">
        <v>2.1999100000000001E-2</v>
      </c>
      <c r="BY93">
        <v>3.4000299999999997E-2</v>
      </c>
      <c r="BZ93">
        <v>25</v>
      </c>
      <c r="CA93">
        <v>33528.300000000003</v>
      </c>
      <c r="CB93">
        <v>1690384821</v>
      </c>
      <c r="CC93" t="s">
        <v>332</v>
      </c>
      <c r="CD93">
        <v>1690384820</v>
      </c>
      <c r="CE93">
        <v>1690384821</v>
      </c>
      <c r="CF93">
        <v>5</v>
      </c>
      <c r="CG93">
        <v>-2.5000000000000001E-2</v>
      </c>
      <c r="CH93">
        <v>0.104</v>
      </c>
      <c r="CI93">
        <v>-0.28799999999999998</v>
      </c>
      <c r="CJ93">
        <v>0.28000000000000003</v>
      </c>
      <c r="CK93">
        <v>800</v>
      </c>
      <c r="CL93">
        <v>24</v>
      </c>
      <c r="CM93">
        <v>0.08</v>
      </c>
      <c r="CN93">
        <v>0.11</v>
      </c>
      <c r="CO93">
        <v>-81.276597500000008</v>
      </c>
      <c r="CP93">
        <v>-18.87710881801101</v>
      </c>
      <c r="CQ93">
        <v>1.815979674512836</v>
      </c>
      <c r="CR93">
        <v>-1</v>
      </c>
      <c r="CS93">
        <v>5.2466507500000006</v>
      </c>
      <c r="CT93">
        <v>0.91052251407128981</v>
      </c>
      <c r="CU93">
        <v>8.7935169596342247E-2</v>
      </c>
      <c r="CV93">
        <v>-1</v>
      </c>
      <c r="CW93">
        <v>0</v>
      </c>
      <c r="CX93">
        <v>0</v>
      </c>
      <c r="CY93" t="s">
        <v>333</v>
      </c>
      <c r="CZ93">
        <v>2.3649200000000001</v>
      </c>
      <c r="DA93">
        <v>2.7137600000000002</v>
      </c>
      <c r="DB93">
        <v>0.135542</v>
      </c>
      <c r="DC93">
        <v>0.14574000000000001</v>
      </c>
      <c r="DD93">
        <v>0.10992499999999999</v>
      </c>
      <c r="DE93">
        <v>8.99007E-2</v>
      </c>
      <c r="DF93">
        <v>31577.1</v>
      </c>
      <c r="DG93">
        <v>27546.3</v>
      </c>
      <c r="DH93">
        <v>31183.5</v>
      </c>
      <c r="DI93">
        <v>28096.799999999999</v>
      </c>
      <c r="DJ93">
        <v>37684.9</v>
      </c>
      <c r="DK93">
        <v>36361.1</v>
      </c>
      <c r="DL93">
        <v>44379.5</v>
      </c>
      <c r="DM93">
        <v>42586.8</v>
      </c>
      <c r="DN93">
        <v>1.4641500000000001</v>
      </c>
      <c r="DO93">
        <v>2.0569500000000001</v>
      </c>
      <c r="DP93">
        <v>0.116143</v>
      </c>
      <c r="DQ93">
        <v>0.19475799999999999</v>
      </c>
      <c r="DR93">
        <v>25.1206</v>
      </c>
      <c r="DS93">
        <v>24.8597</v>
      </c>
      <c r="DT93">
        <v>57.4</v>
      </c>
      <c r="DU93">
        <v>28.8</v>
      </c>
      <c r="DV93">
        <v>23.132300000000001</v>
      </c>
      <c r="DW93">
        <v>61.252200000000002</v>
      </c>
      <c r="DX93">
        <v>35.805300000000003</v>
      </c>
      <c r="DY93">
        <v>1</v>
      </c>
      <c r="DZ93">
        <v>-0.101047</v>
      </c>
      <c r="EA93">
        <v>0.37099900000000002</v>
      </c>
      <c r="EB93">
        <v>20.1892</v>
      </c>
      <c r="EC93">
        <v>5.2413999999999996</v>
      </c>
      <c r="ED93">
        <v>12.039899999999999</v>
      </c>
      <c r="EE93">
        <v>5.0171999999999999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1.8689100000000001</v>
      </c>
      <c r="EL93">
        <v>1.8646199999999999</v>
      </c>
      <c r="EM93">
        <v>1.8692</v>
      </c>
      <c r="EN93">
        <v>1.86724</v>
      </c>
      <c r="EO93">
        <v>1.8633900000000001</v>
      </c>
      <c r="EP93">
        <v>1.8644700000000001</v>
      </c>
      <c r="EQ93">
        <v>1.87016</v>
      </c>
      <c r="ER93">
        <v>1.8694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-0.23</v>
      </c>
      <c r="FG93">
        <v>0.2797</v>
      </c>
      <c r="FH93">
        <v>0.26269369235785539</v>
      </c>
      <c r="FI93">
        <v>-6.1462078757559423E-4</v>
      </c>
      <c r="FJ93">
        <v>-1.8861989874597051E-7</v>
      </c>
      <c r="FK93">
        <v>1.1980462299894961E-10</v>
      </c>
      <c r="FL93">
        <v>0.27968571428570849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22.4</v>
      </c>
      <c r="FU93">
        <v>22.4</v>
      </c>
      <c r="FV93">
        <v>1.79199</v>
      </c>
      <c r="FW93">
        <v>2.5756800000000002</v>
      </c>
      <c r="FX93">
        <v>1.5490699999999999</v>
      </c>
      <c r="FY93">
        <v>2.3327599999999999</v>
      </c>
      <c r="FZ93">
        <v>1.50146</v>
      </c>
      <c r="GA93">
        <v>2.3596200000000001</v>
      </c>
      <c r="GB93">
        <v>33.558</v>
      </c>
      <c r="GC93">
        <v>23.982399999999998</v>
      </c>
      <c r="GD93">
        <v>19</v>
      </c>
      <c r="GE93">
        <v>277.43799999999999</v>
      </c>
      <c r="GF93">
        <v>599.48599999999999</v>
      </c>
      <c r="GG93">
        <v>23.957599999999999</v>
      </c>
      <c r="GH93">
        <v>26.124400000000001</v>
      </c>
      <c r="GI93">
        <v>30.0001</v>
      </c>
      <c r="GJ93">
        <v>26.273099999999999</v>
      </c>
      <c r="GK93">
        <v>26.264299999999999</v>
      </c>
      <c r="GL93">
        <v>35.835099999999997</v>
      </c>
      <c r="GM93">
        <v>32.104100000000003</v>
      </c>
      <c r="GN93">
        <v>98.879099999999994</v>
      </c>
      <c r="GO93">
        <v>23.977599999999999</v>
      </c>
      <c r="GP93">
        <v>800</v>
      </c>
      <c r="GQ93">
        <v>17.5563</v>
      </c>
      <c r="GR93">
        <v>99.777199999999993</v>
      </c>
      <c r="GS93">
        <v>99.623699999999999</v>
      </c>
    </row>
    <row r="94" spans="1:201" x14ac:dyDescent="0.25">
      <c r="A94">
        <v>78</v>
      </c>
      <c r="B94">
        <v>1690386175.5999999</v>
      </c>
      <c r="C94">
        <v>841</v>
      </c>
      <c r="D94" t="s">
        <v>489</v>
      </c>
      <c r="E94" t="s">
        <v>490</v>
      </c>
      <c r="F94" t="s">
        <v>330</v>
      </c>
      <c r="H94">
        <v>1690386175.5999999</v>
      </c>
      <c r="I94">
        <f t="shared" si="30"/>
        <v>5.3135710591573103E-4</v>
      </c>
      <c r="J94">
        <f t="shared" si="31"/>
        <v>0.53135710591573104</v>
      </c>
      <c r="K94">
        <f t="shared" si="32"/>
        <v>7.9314219523847722</v>
      </c>
      <c r="L94">
        <f t="shared" si="33"/>
        <v>712.04399999999998</v>
      </c>
      <c r="M94">
        <f t="shared" si="34"/>
        <v>313.40814168695249</v>
      </c>
      <c r="N94">
        <f t="shared" si="35"/>
        <v>30.94858597920858</v>
      </c>
      <c r="O94">
        <f t="shared" si="36"/>
        <v>70.313281704694802</v>
      </c>
      <c r="P94">
        <f t="shared" si="37"/>
        <v>3.3167918652034355E-2</v>
      </c>
      <c r="Q94">
        <f t="shared" si="38"/>
        <v>2.1618818002288074</v>
      </c>
      <c r="R94">
        <f t="shared" si="39"/>
        <v>3.2887792110377859E-2</v>
      </c>
      <c r="S94">
        <f t="shared" si="40"/>
        <v>2.0579841031443884E-2</v>
      </c>
      <c r="T94">
        <f t="shared" si="41"/>
        <v>276.11506693800004</v>
      </c>
      <c r="U94">
        <f t="shared" si="42"/>
        <v>28.125724470842613</v>
      </c>
      <c r="V94">
        <f t="shared" si="43"/>
        <v>28.125724470842613</v>
      </c>
      <c r="W94">
        <f t="shared" si="44"/>
        <v>3.8227423025778919</v>
      </c>
      <c r="X94">
        <f t="shared" si="45"/>
        <v>66.860960556187848</v>
      </c>
      <c r="Y94">
        <f t="shared" si="46"/>
        <v>2.2765678231631403</v>
      </c>
      <c r="Z94">
        <f t="shared" si="47"/>
        <v>3.404928383058428</v>
      </c>
      <c r="AA94">
        <f t="shared" si="48"/>
        <v>1.5461744794147516</v>
      </c>
      <c r="AB94">
        <f t="shared" si="49"/>
        <v>-23.43284837088374</v>
      </c>
      <c r="AC94">
        <f t="shared" si="50"/>
        <v>-229.92374289308171</v>
      </c>
      <c r="AD94">
        <f t="shared" si="51"/>
        <v>-22.984583561667872</v>
      </c>
      <c r="AE94">
        <f t="shared" si="52"/>
        <v>-0.22610788763327605</v>
      </c>
      <c r="AF94">
        <v>0</v>
      </c>
      <c r="AG94">
        <v>0</v>
      </c>
      <c r="AH94">
        <f t="shared" si="53"/>
        <v>1</v>
      </c>
      <c r="AI94">
        <f t="shared" si="54"/>
        <v>0</v>
      </c>
      <c r="AJ94">
        <f t="shared" si="55"/>
        <v>52482.784473249427</v>
      </c>
      <c r="AK94">
        <f t="shared" si="56"/>
        <v>1800</v>
      </c>
      <c r="AL94">
        <f t="shared" si="57"/>
        <v>1499.1127847999999</v>
      </c>
      <c r="AM94">
        <f t="shared" si="58"/>
        <v>0.83284043599999991</v>
      </c>
      <c r="AN94">
        <f t="shared" si="59"/>
        <v>0.15339725941000001</v>
      </c>
      <c r="AO94">
        <v>31.8</v>
      </c>
      <c r="AP94">
        <v>0.5</v>
      </c>
      <c r="AQ94" t="s">
        <v>331</v>
      </c>
      <c r="AR94">
        <v>2</v>
      </c>
      <c r="AS94">
        <v>1690386175.5999999</v>
      </c>
      <c r="AT94">
        <v>712.04399999999998</v>
      </c>
      <c r="AU94">
        <v>800.09500000000003</v>
      </c>
      <c r="AV94">
        <v>23.054200000000002</v>
      </c>
      <c r="AW94">
        <v>17.553699999999999</v>
      </c>
      <c r="AX94">
        <v>712.27099999999996</v>
      </c>
      <c r="AY94">
        <v>22.7745</v>
      </c>
      <c r="AZ94">
        <v>300.11099999999999</v>
      </c>
      <c r="BA94">
        <v>98.648600000000002</v>
      </c>
      <c r="BB94">
        <v>9.9906700000000001E-2</v>
      </c>
      <c r="BC94">
        <v>26.152999999999999</v>
      </c>
      <c r="BD94">
        <v>26.986599999999999</v>
      </c>
      <c r="BE94">
        <v>28.026</v>
      </c>
      <c r="BF94">
        <v>0</v>
      </c>
      <c r="BG94">
        <v>0</v>
      </c>
      <c r="BH94">
        <v>10034.4</v>
      </c>
      <c r="BI94">
        <v>1071.6600000000001</v>
      </c>
      <c r="BJ94">
        <v>1.4577199999999999</v>
      </c>
      <c r="BK94">
        <v>-88.050799999999995</v>
      </c>
      <c r="BL94">
        <v>728.84699999999998</v>
      </c>
      <c r="BM94">
        <v>814.39</v>
      </c>
      <c r="BN94">
        <v>5.5004900000000001</v>
      </c>
      <c r="BO94">
        <v>800.09500000000003</v>
      </c>
      <c r="BP94">
        <v>17.553699999999999</v>
      </c>
      <c r="BQ94">
        <v>2.2742599999999999</v>
      </c>
      <c r="BR94">
        <v>1.7316400000000001</v>
      </c>
      <c r="BS94">
        <v>19.495200000000001</v>
      </c>
      <c r="BT94">
        <v>15.183</v>
      </c>
      <c r="BU94">
        <v>1800</v>
      </c>
      <c r="BV94">
        <v>0.91000499999999995</v>
      </c>
      <c r="BW94">
        <v>3.3997699999999999E-2</v>
      </c>
      <c r="BX94">
        <v>2.1998299999999998E-2</v>
      </c>
      <c r="BY94">
        <v>3.3999099999999997E-2</v>
      </c>
      <c r="BZ94">
        <v>25</v>
      </c>
      <c r="CA94">
        <v>33528.400000000001</v>
      </c>
      <c r="CB94">
        <v>1690384821</v>
      </c>
      <c r="CC94" t="s">
        <v>332</v>
      </c>
      <c r="CD94">
        <v>1690384820</v>
      </c>
      <c r="CE94">
        <v>1690384821</v>
      </c>
      <c r="CF94">
        <v>5</v>
      </c>
      <c r="CG94">
        <v>-2.5000000000000001E-2</v>
      </c>
      <c r="CH94">
        <v>0.104</v>
      </c>
      <c r="CI94">
        <v>-0.28799999999999998</v>
      </c>
      <c r="CJ94">
        <v>0.28000000000000003</v>
      </c>
      <c r="CK94">
        <v>800</v>
      </c>
      <c r="CL94">
        <v>24</v>
      </c>
      <c r="CM94">
        <v>0.08</v>
      </c>
      <c r="CN94">
        <v>0.11</v>
      </c>
      <c r="CO94">
        <v>-84.505799999999994</v>
      </c>
      <c r="CP94">
        <v>-18.849374216028171</v>
      </c>
      <c r="CQ94">
        <v>1.8587261025740851</v>
      </c>
      <c r="CR94">
        <v>-1</v>
      </c>
      <c r="CS94">
        <v>5.3747397560975596</v>
      </c>
      <c r="CT94">
        <v>0.6355036933797793</v>
      </c>
      <c r="CU94">
        <v>6.3535127080310852E-2</v>
      </c>
      <c r="CV94">
        <v>-1</v>
      </c>
      <c r="CW94">
        <v>0</v>
      </c>
      <c r="CX94">
        <v>0</v>
      </c>
      <c r="CY94" t="s">
        <v>333</v>
      </c>
      <c r="CZ94">
        <v>2.36442</v>
      </c>
      <c r="DA94">
        <v>2.71373</v>
      </c>
      <c r="DB94">
        <v>0.135127</v>
      </c>
      <c r="DC94">
        <v>0.14573800000000001</v>
      </c>
      <c r="DD94">
        <v>0.109947</v>
      </c>
      <c r="DE94">
        <v>8.95426E-2</v>
      </c>
      <c r="DF94">
        <v>31592.3</v>
      </c>
      <c r="DG94">
        <v>27546.5</v>
      </c>
      <c r="DH94">
        <v>31183.599999999999</v>
      </c>
      <c r="DI94">
        <v>28097</v>
      </c>
      <c r="DJ94">
        <v>37684.300000000003</v>
      </c>
      <c r="DK94">
        <v>36375.699999999997</v>
      </c>
      <c r="DL94">
        <v>44380</v>
      </c>
      <c r="DM94">
        <v>42587.199999999997</v>
      </c>
      <c r="DN94">
        <v>1.464</v>
      </c>
      <c r="DO94">
        <v>2.05667</v>
      </c>
      <c r="DP94">
        <v>0.113923</v>
      </c>
      <c r="DQ94">
        <v>0.19343199999999999</v>
      </c>
      <c r="DR94">
        <v>25.1206</v>
      </c>
      <c r="DS94">
        <v>24.8597</v>
      </c>
      <c r="DT94">
        <v>57.4</v>
      </c>
      <c r="DU94">
        <v>28.8</v>
      </c>
      <c r="DV94">
        <v>23.132899999999999</v>
      </c>
      <c r="DW94">
        <v>60.9422</v>
      </c>
      <c r="DX94">
        <v>35.6571</v>
      </c>
      <c r="DY94">
        <v>1</v>
      </c>
      <c r="DZ94">
        <v>-0.101692</v>
      </c>
      <c r="EA94">
        <v>0.25477699999999998</v>
      </c>
      <c r="EB94">
        <v>20.189499999999999</v>
      </c>
      <c r="EC94">
        <v>5.2408000000000001</v>
      </c>
      <c r="ED94">
        <v>12.039899999999999</v>
      </c>
      <c r="EE94">
        <v>5.0170000000000003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</v>
      </c>
      <c r="EL94">
        <v>1.8646199999999999</v>
      </c>
      <c r="EM94">
        <v>1.86921</v>
      </c>
      <c r="EN94">
        <v>1.8672299999999999</v>
      </c>
      <c r="EO94">
        <v>1.8633599999999999</v>
      </c>
      <c r="EP94">
        <v>1.86446</v>
      </c>
      <c r="EQ94">
        <v>1.87016</v>
      </c>
      <c r="ER94">
        <v>1.8694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-0.22700000000000001</v>
      </c>
      <c r="FG94">
        <v>0.2797</v>
      </c>
      <c r="FH94">
        <v>0.26269369235785539</v>
      </c>
      <c r="FI94">
        <v>-6.1462078757559423E-4</v>
      </c>
      <c r="FJ94">
        <v>-1.8861989874597051E-7</v>
      </c>
      <c r="FK94">
        <v>1.1980462299894961E-10</v>
      </c>
      <c r="FL94">
        <v>0.27968571428570849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22.6</v>
      </c>
      <c r="FU94">
        <v>22.6</v>
      </c>
      <c r="FV94">
        <v>1.79199</v>
      </c>
      <c r="FW94">
        <v>2.5830099999999998</v>
      </c>
      <c r="FX94">
        <v>1.5490699999999999</v>
      </c>
      <c r="FY94">
        <v>2.3315399999999999</v>
      </c>
      <c r="FZ94">
        <v>1.50146</v>
      </c>
      <c r="GA94">
        <v>2.36084</v>
      </c>
      <c r="GB94">
        <v>33.558</v>
      </c>
      <c r="GC94">
        <v>23.982399999999998</v>
      </c>
      <c r="GD94">
        <v>19</v>
      </c>
      <c r="GE94">
        <v>277.36099999999999</v>
      </c>
      <c r="GF94">
        <v>599.20399999999995</v>
      </c>
      <c r="GG94">
        <v>23.951499999999999</v>
      </c>
      <c r="GH94">
        <v>26.12</v>
      </c>
      <c r="GI94">
        <v>29.9998</v>
      </c>
      <c r="GJ94">
        <v>26.2698</v>
      </c>
      <c r="GK94">
        <v>26.26</v>
      </c>
      <c r="GL94">
        <v>35.832700000000003</v>
      </c>
      <c r="GM94">
        <v>32.652099999999997</v>
      </c>
      <c r="GN94">
        <v>98.508300000000006</v>
      </c>
      <c r="GO94">
        <v>23.967600000000001</v>
      </c>
      <c r="GP94">
        <v>800</v>
      </c>
      <c r="GQ94">
        <v>17.433499999999999</v>
      </c>
      <c r="GR94">
        <v>99.777900000000002</v>
      </c>
      <c r="GS94">
        <v>99.624499999999998</v>
      </c>
    </row>
    <row r="95" spans="1:201" x14ac:dyDescent="0.25">
      <c r="A95">
        <v>79</v>
      </c>
      <c r="B95">
        <v>1690386185.5999999</v>
      </c>
      <c r="C95">
        <v>851</v>
      </c>
      <c r="D95" t="s">
        <v>491</v>
      </c>
      <c r="E95" t="s">
        <v>492</v>
      </c>
      <c r="F95" t="s">
        <v>330</v>
      </c>
      <c r="H95">
        <v>1690386185.5999999</v>
      </c>
      <c r="I95">
        <f t="shared" si="30"/>
        <v>5.4481213510971615E-4</v>
      </c>
      <c r="J95">
        <f t="shared" si="31"/>
        <v>0.54481213510971616</v>
      </c>
      <c r="K95">
        <f t="shared" si="32"/>
        <v>8.2090351854387844</v>
      </c>
      <c r="L95">
        <f t="shared" si="33"/>
        <v>708.90099999999995</v>
      </c>
      <c r="M95">
        <f t="shared" si="34"/>
        <v>307.26832925842712</v>
      </c>
      <c r="N95">
        <f t="shared" si="35"/>
        <v>30.340927656135982</v>
      </c>
      <c r="O95">
        <f t="shared" si="36"/>
        <v>69.999775142047298</v>
      </c>
      <c r="P95">
        <f t="shared" si="37"/>
        <v>3.4059093870965028E-2</v>
      </c>
      <c r="Q95">
        <f t="shared" si="38"/>
        <v>2.1576411463482308</v>
      </c>
      <c r="R95">
        <f t="shared" si="39"/>
        <v>3.3763209232698072E-2</v>
      </c>
      <c r="S95">
        <f t="shared" si="40"/>
        <v>2.1128375489781994E-2</v>
      </c>
      <c r="T95">
        <f t="shared" si="41"/>
        <v>276.11498651400001</v>
      </c>
      <c r="U95">
        <f t="shared" si="42"/>
        <v>28.124111335822928</v>
      </c>
      <c r="V95">
        <f t="shared" si="43"/>
        <v>28.124111335822928</v>
      </c>
      <c r="W95">
        <f t="shared" si="44"/>
        <v>3.8223831615626378</v>
      </c>
      <c r="X95">
        <f t="shared" si="45"/>
        <v>66.912139506865174</v>
      </c>
      <c r="Y95">
        <f t="shared" si="46"/>
        <v>2.2782431002810601</v>
      </c>
      <c r="Z95">
        <f t="shared" si="47"/>
        <v>3.404827759314605</v>
      </c>
      <c r="AA95">
        <f t="shared" si="48"/>
        <v>1.5441400612815777</v>
      </c>
      <c r="AB95">
        <f t="shared" si="49"/>
        <v>-24.026215158338481</v>
      </c>
      <c r="AC95">
        <f t="shared" si="50"/>
        <v>-229.34325149265558</v>
      </c>
      <c r="AD95">
        <f t="shared" si="51"/>
        <v>-22.971371341138585</v>
      </c>
      <c r="AE95">
        <f t="shared" si="52"/>
        <v>-0.22585147813265394</v>
      </c>
      <c r="AF95">
        <v>0</v>
      </c>
      <c r="AG95">
        <v>0</v>
      </c>
      <c r="AH95">
        <f t="shared" si="53"/>
        <v>1</v>
      </c>
      <c r="AI95">
        <f t="shared" si="54"/>
        <v>0</v>
      </c>
      <c r="AJ95">
        <f t="shared" si="55"/>
        <v>52304.869313874653</v>
      </c>
      <c r="AK95">
        <f t="shared" si="56"/>
        <v>1800</v>
      </c>
      <c r="AL95">
        <f t="shared" si="57"/>
        <v>1499.1137693999999</v>
      </c>
      <c r="AM95">
        <f t="shared" si="58"/>
        <v>0.83284098299999998</v>
      </c>
      <c r="AN95">
        <f t="shared" si="59"/>
        <v>0.15339721473000001</v>
      </c>
      <c r="AO95">
        <v>31.8</v>
      </c>
      <c r="AP95">
        <v>0.5</v>
      </c>
      <c r="AQ95" t="s">
        <v>331</v>
      </c>
      <c r="AR95">
        <v>2</v>
      </c>
      <c r="AS95">
        <v>1690386185.5999999</v>
      </c>
      <c r="AT95">
        <v>708.90099999999995</v>
      </c>
      <c r="AU95">
        <v>799.98699999999997</v>
      </c>
      <c r="AV95">
        <v>23.072199999999999</v>
      </c>
      <c r="AW95">
        <v>17.431899999999999</v>
      </c>
      <c r="AX95">
        <v>709.12599999999998</v>
      </c>
      <c r="AY95">
        <v>22.7925</v>
      </c>
      <c r="AZ95">
        <v>300.07799999999997</v>
      </c>
      <c r="BA95">
        <v>98.644099999999995</v>
      </c>
      <c r="BB95">
        <v>9.9977300000000005E-2</v>
      </c>
      <c r="BC95">
        <v>26.1525</v>
      </c>
      <c r="BD95">
        <v>26.957899999999999</v>
      </c>
      <c r="BE95">
        <v>28.036000000000001</v>
      </c>
      <c r="BF95">
        <v>0</v>
      </c>
      <c r="BG95">
        <v>0</v>
      </c>
      <c r="BH95">
        <v>9999.3799999999992</v>
      </c>
      <c r="BI95">
        <v>1071.6600000000001</v>
      </c>
      <c r="BJ95">
        <v>1.4577199999999999</v>
      </c>
      <c r="BK95">
        <v>-91.085999999999999</v>
      </c>
      <c r="BL95">
        <v>725.64300000000003</v>
      </c>
      <c r="BM95">
        <v>814.17899999999997</v>
      </c>
      <c r="BN95">
        <v>5.6403800000000004</v>
      </c>
      <c r="BO95">
        <v>799.98699999999997</v>
      </c>
      <c r="BP95">
        <v>17.431899999999999</v>
      </c>
      <c r="BQ95">
        <v>2.2759399999999999</v>
      </c>
      <c r="BR95">
        <v>1.7195499999999999</v>
      </c>
      <c r="BS95">
        <v>19.507100000000001</v>
      </c>
      <c r="BT95">
        <v>15.074</v>
      </c>
      <c r="BU95">
        <v>1800</v>
      </c>
      <c r="BV95">
        <v>0.91000899999999996</v>
      </c>
      <c r="BW95">
        <v>3.39963E-2</v>
      </c>
      <c r="BX95">
        <v>2.19974E-2</v>
      </c>
      <c r="BY95">
        <v>3.3997699999999999E-2</v>
      </c>
      <c r="BZ95">
        <v>25</v>
      </c>
      <c r="CA95">
        <v>33528.5</v>
      </c>
      <c r="CB95">
        <v>1690384821</v>
      </c>
      <c r="CC95" t="s">
        <v>332</v>
      </c>
      <c r="CD95">
        <v>1690384820</v>
      </c>
      <c r="CE95">
        <v>1690384821</v>
      </c>
      <c r="CF95">
        <v>5</v>
      </c>
      <c r="CG95">
        <v>-2.5000000000000001E-2</v>
      </c>
      <c r="CH95">
        <v>0.104</v>
      </c>
      <c r="CI95">
        <v>-0.28799999999999998</v>
      </c>
      <c r="CJ95">
        <v>0.28000000000000003</v>
      </c>
      <c r="CK95">
        <v>800</v>
      </c>
      <c r="CL95">
        <v>24</v>
      </c>
      <c r="CM95">
        <v>0.08</v>
      </c>
      <c r="CN95">
        <v>0.11</v>
      </c>
      <c r="CO95">
        <v>-87.673463414634142</v>
      </c>
      <c r="CP95">
        <v>-18.936855052264931</v>
      </c>
      <c r="CQ95">
        <v>1.8676050786065881</v>
      </c>
      <c r="CR95">
        <v>-1</v>
      </c>
      <c r="CS95">
        <v>5.4952424390243904</v>
      </c>
      <c r="CT95">
        <v>0.78544996515678844</v>
      </c>
      <c r="CU95">
        <v>7.8406376476023609E-2</v>
      </c>
      <c r="CV95">
        <v>-1</v>
      </c>
      <c r="CW95">
        <v>0</v>
      </c>
      <c r="CX95">
        <v>0</v>
      </c>
      <c r="CY95" t="s">
        <v>333</v>
      </c>
      <c r="CZ95">
        <v>2.3643200000000002</v>
      </c>
      <c r="DA95">
        <v>2.7137699999999998</v>
      </c>
      <c r="DB95">
        <v>0.134715</v>
      </c>
      <c r="DC95">
        <v>0.14571700000000001</v>
      </c>
      <c r="DD95">
        <v>0.110004</v>
      </c>
      <c r="DE95">
        <v>8.9091299999999998E-2</v>
      </c>
      <c r="DF95">
        <v>31607.4</v>
      </c>
      <c r="DG95">
        <v>27547.5</v>
      </c>
      <c r="DH95">
        <v>31183.599999999999</v>
      </c>
      <c r="DI95">
        <v>28097.3</v>
      </c>
      <c r="DJ95">
        <v>37681.800000000003</v>
      </c>
      <c r="DK95">
        <v>36394.300000000003</v>
      </c>
      <c r="DL95">
        <v>44380</v>
      </c>
      <c r="DM95">
        <v>42587.8</v>
      </c>
      <c r="DN95">
        <v>1.46445</v>
      </c>
      <c r="DO95">
        <v>2.0566</v>
      </c>
      <c r="DP95">
        <v>0.112355</v>
      </c>
      <c r="DQ95">
        <v>0.19404299999999999</v>
      </c>
      <c r="DR95">
        <v>25.1175</v>
      </c>
      <c r="DS95">
        <v>24.8597</v>
      </c>
      <c r="DT95">
        <v>57.4</v>
      </c>
      <c r="DU95">
        <v>28.8</v>
      </c>
      <c r="DV95">
        <v>23.130700000000001</v>
      </c>
      <c r="DW95">
        <v>61.0822</v>
      </c>
      <c r="DX95">
        <v>36.177900000000001</v>
      </c>
      <c r="DY95">
        <v>1</v>
      </c>
      <c r="DZ95">
        <v>-0.102497</v>
      </c>
      <c r="EA95">
        <v>0.14133399999999999</v>
      </c>
      <c r="EB95">
        <v>20.189900000000002</v>
      </c>
      <c r="EC95">
        <v>5.2413999999999996</v>
      </c>
      <c r="ED95">
        <v>12.039899999999999</v>
      </c>
      <c r="EE95">
        <v>5.0173500000000004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</v>
      </c>
      <c r="EL95">
        <v>1.8646199999999999</v>
      </c>
      <c r="EM95">
        <v>1.8692</v>
      </c>
      <c r="EN95">
        <v>1.8672200000000001</v>
      </c>
      <c r="EO95">
        <v>1.8633599999999999</v>
      </c>
      <c r="EP95">
        <v>1.86446</v>
      </c>
      <c r="EQ95">
        <v>1.8701399999999999</v>
      </c>
      <c r="ER95">
        <v>1.8693900000000001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-0.22500000000000001</v>
      </c>
      <c r="FG95">
        <v>0.2797</v>
      </c>
      <c r="FH95">
        <v>0.26269369235785539</v>
      </c>
      <c r="FI95">
        <v>-6.1462078757559423E-4</v>
      </c>
      <c r="FJ95">
        <v>-1.8861989874597051E-7</v>
      </c>
      <c r="FK95">
        <v>1.1980462299894961E-10</v>
      </c>
      <c r="FL95">
        <v>0.27968571428570849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22.8</v>
      </c>
      <c r="FU95">
        <v>22.7</v>
      </c>
      <c r="FV95">
        <v>1.79199</v>
      </c>
      <c r="FW95">
        <v>2.5842299999999998</v>
      </c>
      <c r="FX95">
        <v>1.5490699999999999</v>
      </c>
      <c r="FY95">
        <v>2.3315399999999999</v>
      </c>
      <c r="FZ95">
        <v>1.50146</v>
      </c>
      <c r="GA95">
        <v>2.3327599999999999</v>
      </c>
      <c r="GB95">
        <v>33.558</v>
      </c>
      <c r="GC95">
        <v>23.982399999999998</v>
      </c>
      <c r="GD95">
        <v>19</v>
      </c>
      <c r="GE95">
        <v>277.53300000000002</v>
      </c>
      <c r="GF95">
        <v>599.096</v>
      </c>
      <c r="GG95">
        <v>23.991199999999999</v>
      </c>
      <c r="GH95">
        <v>26.115600000000001</v>
      </c>
      <c r="GI95">
        <v>29.999700000000001</v>
      </c>
      <c r="GJ95">
        <v>26.265899999999998</v>
      </c>
      <c r="GK95">
        <v>26.2562</v>
      </c>
      <c r="GL95">
        <v>35.831299999999999</v>
      </c>
      <c r="GM95">
        <v>33.202599999999997</v>
      </c>
      <c r="GN95">
        <v>98.508300000000006</v>
      </c>
      <c r="GO95">
        <v>24.0045</v>
      </c>
      <c r="GP95">
        <v>800</v>
      </c>
      <c r="GQ95">
        <v>17.301200000000001</v>
      </c>
      <c r="GR95">
        <v>99.778000000000006</v>
      </c>
      <c r="GS95">
        <v>99.625799999999998</v>
      </c>
    </row>
    <row r="96" spans="1:201" x14ac:dyDescent="0.25">
      <c r="A96">
        <v>80</v>
      </c>
      <c r="B96">
        <v>1690386195.5999999</v>
      </c>
      <c r="C96">
        <v>861</v>
      </c>
      <c r="D96" t="s">
        <v>493</v>
      </c>
      <c r="E96" t="s">
        <v>494</v>
      </c>
      <c r="F96" t="s">
        <v>330</v>
      </c>
      <c r="H96">
        <v>1690386195.5999999</v>
      </c>
      <c r="I96">
        <f t="shared" si="30"/>
        <v>5.6234507243909011E-4</v>
      </c>
      <c r="J96">
        <f t="shared" si="31"/>
        <v>0.56234507243909015</v>
      </c>
      <c r="K96">
        <f t="shared" si="32"/>
        <v>8.507575536453464</v>
      </c>
      <c r="L96">
        <f t="shared" si="33"/>
        <v>705.63800000000003</v>
      </c>
      <c r="M96">
        <f t="shared" si="34"/>
        <v>303.32330707644621</v>
      </c>
      <c r="N96">
        <f t="shared" si="35"/>
        <v>29.952165202896278</v>
      </c>
      <c r="O96">
        <f t="shared" si="36"/>
        <v>69.679399691216602</v>
      </c>
      <c r="P96">
        <f t="shared" si="37"/>
        <v>3.523446668926896E-2</v>
      </c>
      <c r="Q96">
        <f t="shared" si="38"/>
        <v>2.1553505602836331</v>
      </c>
      <c r="R96">
        <f t="shared" si="39"/>
        <v>3.4917577074872676E-2</v>
      </c>
      <c r="S96">
        <f t="shared" si="40"/>
        <v>2.1851719315113392E-2</v>
      </c>
      <c r="T96">
        <f t="shared" si="41"/>
        <v>276.11333464250771</v>
      </c>
      <c r="U96">
        <f t="shared" si="42"/>
        <v>28.121847956678437</v>
      </c>
      <c r="V96">
        <f t="shared" si="43"/>
        <v>28.121847956678437</v>
      </c>
      <c r="W96">
        <f t="shared" si="44"/>
        <v>3.8218793027887172</v>
      </c>
      <c r="X96">
        <f t="shared" si="45"/>
        <v>66.977136299664167</v>
      </c>
      <c r="Y96">
        <f t="shared" si="46"/>
        <v>2.2807122390066197</v>
      </c>
      <c r="Z96">
        <f t="shared" si="47"/>
        <v>3.4052101433576154</v>
      </c>
      <c r="AA96">
        <f t="shared" si="48"/>
        <v>1.5411670637820976</v>
      </c>
      <c r="AB96">
        <f t="shared" si="49"/>
        <v>-24.799417694563875</v>
      </c>
      <c r="AC96">
        <f t="shared" si="50"/>
        <v>-228.61599548590453</v>
      </c>
      <c r="AD96">
        <f t="shared" si="51"/>
        <v>-22.922820868921903</v>
      </c>
      <c r="AE96">
        <f t="shared" si="52"/>
        <v>-0.22489940688262777</v>
      </c>
      <c r="AF96">
        <v>0</v>
      </c>
      <c r="AG96">
        <v>0</v>
      </c>
      <c r="AH96">
        <f t="shared" si="53"/>
        <v>1</v>
      </c>
      <c r="AI96">
        <f t="shared" si="54"/>
        <v>0</v>
      </c>
      <c r="AJ96">
        <f t="shared" si="55"/>
        <v>52208.655026818291</v>
      </c>
      <c r="AK96">
        <f t="shared" si="56"/>
        <v>1799.99</v>
      </c>
      <c r="AL96">
        <f t="shared" si="57"/>
        <v>1499.1055939893201</v>
      </c>
      <c r="AM96">
        <f t="shared" si="58"/>
        <v>0.83284106800000002</v>
      </c>
      <c r="AN96">
        <f t="shared" si="59"/>
        <v>0.15339714923</v>
      </c>
      <c r="AO96">
        <v>31.8</v>
      </c>
      <c r="AP96">
        <v>0.5</v>
      </c>
      <c r="AQ96" t="s">
        <v>331</v>
      </c>
      <c r="AR96">
        <v>2</v>
      </c>
      <c r="AS96">
        <v>1690386195.5999999</v>
      </c>
      <c r="AT96">
        <v>705.63800000000003</v>
      </c>
      <c r="AU96">
        <v>799.99400000000003</v>
      </c>
      <c r="AV96">
        <v>23.096599999999999</v>
      </c>
      <c r="AW96">
        <v>17.275300000000001</v>
      </c>
      <c r="AX96">
        <v>705.86099999999999</v>
      </c>
      <c r="AY96">
        <v>22.8169</v>
      </c>
      <c r="AZ96">
        <v>300.09699999999998</v>
      </c>
      <c r="BA96">
        <v>98.646699999999996</v>
      </c>
      <c r="BB96">
        <v>9.9965700000000005E-2</v>
      </c>
      <c r="BC96">
        <v>26.154399999999999</v>
      </c>
      <c r="BD96">
        <v>26.977499999999999</v>
      </c>
      <c r="BE96">
        <v>28.031700000000001</v>
      </c>
      <c r="BF96">
        <v>0</v>
      </c>
      <c r="BG96">
        <v>0</v>
      </c>
      <c r="BH96">
        <v>9980</v>
      </c>
      <c r="BI96">
        <v>1071.74</v>
      </c>
      <c r="BJ96">
        <v>1.4577199999999999</v>
      </c>
      <c r="BK96">
        <v>-94.355999999999995</v>
      </c>
      <c r="BL96">
        <v>722.32100000000003</v>
      </c>
      <c r="BM96">
        <v>814.05700000000002</v>
      </c>
      <c r="BN96">
        <v>5.8212599999999997</v>
      </c>
      <c r="BO96">
        <v>799.99400000000003</v>
      </c>
      <c r="BP96">
        <v>17.275300000000001</v>
      </c>
      <c r="BQ96">
        <v>2.2784</v>
      </c>
      <c r="BR96">
        <v>1.7041500000000001</v>
      </c>
      <c r="BS96">
        <v>19.5245</v>
      </c>
      <c r="BT96">
        <v>14.9343</v>
      </c>
      <c r="BU96">
        <v>1799.99</v>
      </c>
      <c r="BV96">
        <v>0.91001100000000001</v>
      </c>
      <c r="BW96">
        <v>3.3995499999999998E-2</v>
      </c>
      <c r="BX96">
        <v>2.19969E-2</v>
      </c>
      <c r="BY96">
        <v>3.3996899999999997E-2</v>
      </c>
      <c r="BZ96">
        <v>25</v>
      </c>
      <c r="CA96">
        <v>33528.300000000003</v>
      </c>
      <c r="CB96">
        <v>1690384821</v>
      </c>
      <c r="CC96" t="s">
        <v>332</v>
      </c>
      <c r="CD96">
        <v>1690384820</v>
      </c>
      <c r="CE96">
        <v>1690384821</v>
      </c>
      <c r="CF96">
        <v>5</v>
      </c>
      <c r="CG96">
        <v>-2.5000000000000001E-2</v>
      </c>
      <c r="CH96">
        <v>0.104</v>
      </c>
      <c r="CI96">
        <v>-0.28799999999999998</v>
      </c>
      <c r="CJ96">
        <v>0.28000000000000003</v>
      </c>
      <c r="CK96">
        <v>800</v>
      </c>
      <c r="CL96">
        <v>24</v>
      </c>
      <c r="CM96">
        <v>0.08</v>
      </c>
      <c r="CN96">
        <v>0.11</v>
      </c>
      <c r="CO96">
        <v>-90.765805</v>
      </c>
      <c r="CP96">
        <v>-18.95316697936196</v>
      </c>
      <c r="CQ96">
        <v>1.8237673937415919</v>
      </c>
      <c r="CR96">
        <v>-1</v>
      </c>
      <c r="CS96">
        <v>5.6281635000000003</v>
      </c>
      <c r="CT96">
        <v>0.83164818011257124</v>
      </c>
      <c r="CU96">
        <v>8.0661788616109911E-2</v>
      </c>
      <c r="CV96">
        <v>-1</v>
      </c>
      <c r="CW96">
        <v>0</v>
      </c>
      <c r="CX96">
        <v>0</v>
      </c>
      <c r="CY96" t="s">
        <v>333</v>
      </c>
      <c r="CZ96">
        <v>2.3643999999999998</v>
      </c>
      <c r="DA96">
        <v>2.71374</v>
      </c>
      <c r="DB96">
        <v>0.134296</v>
      </c>
      <c r="DC96">
        <v>0.14571999999999999</v>
      </c>
      <c r="DD96">
        <v>0.11009099999999999</v>
      </c>
      <c r="DE96">
        <v>8.8517299999999993E-2</v>
      </c>
      <c r="DF96">
        <v>31623.1</v>
      </c>
      <c r="DG96">
        <v>27547.8</v>
      </c>
      <c r="DH96">
        <v>31184</v>
      </c>
      <c r="DI96">
        <v>28097.7</v>
      </c>
      <c r="DJ96">
        <v>37678.6</v>
      </c>
      <c r="DK96">
        <v>36417.599999999999</v>
      </c>
      <c r="DL96">
        <v>44380.7</v>
      </c>
      <c r="DM96">
        <v>42588.2</v>
      </c>
      <c r="DN96">
        <v>1.4645999999999999</v>
      </c>
      <c r="DO96">
        <v>2.0563199999999999</v>
      </c>
      <c r="DP96">
        <v>0.113811</v>
      </c>
      <c r="DQ96">
        <v>0.19377800000000001</v>
      </c>
      <c r="DR96">
        <v>25.113299999999999</v>
      </c>
      <c r="DS96">
        <v>24.8597</v>
      </c>
      <c r="DT96">
        <v>57.4</v>
      </c>
      <c r="DU96">
        <v>28.8</v>
      </c>
      <c r="DV96">
        <v>23.133800000000001</v>
      </c>
      <c r="DW96">
        <v>61.042200000000001</v>
      </c>
      <c r="DX96">
        <v>36.730800000000002</v>
      </c>
      <c r="DY96">
        <v>1</v>
      </c>
      <c r="DZ96">
        <v>-0.103176</v>
      </c>
      <c r="EA96">
        <v>9.2802300000000004E-2</v>
      </c>
      <c r="EB96">
        <v>20.190200000000001</v>
      </c>
      <c r="EC96">
        <v>5.2413999999999996</v>
      </c>
      <c r="ED96">
        <v>12.039899999999999</v>
      </c>
      <c r="EE96">
        <v>5.0171999999999999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1.8689100000000001</v>
      </c>
      <c r="EL96">
        <v>1.8646199999999999</v>
      </c>
      <c r="EM96">
        <v>1.8692</v>
      </c>
      <c r="EN96">
        <v>1.8672299999999999</v>
      </c>
      <c r="EO96">
        <v>1.86338</v>
      </c>
      <c r="EP96">
        <v>1.8644700000000001</v>
      </c>
      <c r="EQ96">
        <v>1.8701399999999999</v>
      </c>
      <c r="ER96">
        <v>1.86938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-0.223</v>
      </c>
      <c r="FG96">
        <v>0.2797</v>
      </c>
      <c r="FH96">
        <v>0.26269369235785539</v>
      </c>
      <c r="FI96">
        <v>-6.1462078757559423E-4</v>
      </c>
      <c r="FJ96">
        <v>-1.8861989874597051E-7</v>
      </c>
      <c r="FK96">
        <v>1.1980462299894961E-10</v>
      </c>
      <c r="FL96">
        <v>0.27968571428570849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22.9</v>
      </c>
      <c r="FU96">
        <v>22.9</v>
      </c>
      <c r="FV96">
        <v>1.79199</v>
      </c>
      <c r="FW96">
        <v>2.5842299999999998</v>
      </c>
      <c r="FX96">
        <v>1.5490699999999999</v>
      </c>
      <c r="FY96">
        <v>2.3327599999999999</v>
      </c>
      <c r="FZ96">
        <v>1.50146</v>
      </c>
      <c r="GA96">
        <v>2.3596200000000001</v>
      </c>
      <c r="GB96">
        <v>33.558</v>
      </c>
      <c r="GC96">
        <v>23.982399999999998</v>
      </c>
      <c r="GD96">
        <v>19</v>
      </c>
      <c r="GE96">
        <v>277.58</v>
      </c>
      <c r="GF96">
        <v>598.81899999999996</v>
      </c>
      <c r="GG96">
        <v>24.044499999999999</v>
      </c>
      <c r="GH96">
        <v>26.111799999999999</v>
      </c>
      <c r="GI96">
        <v>29.9998</v>
      </c>
      <c r="GJ96">
        <v>26.262</v>
      </c>
      <c r="GK96">
        <v>26.252300000000002</v>
      </c>
      <c r="GL96">
        <v>35.826700000000002</v>
      </c>
      <c r="GM96">
        <v>33.771099999999997</v>
      </c>
      <c r="GN96">
        <v>98.137900000000002</v>
      </c>
      <c r="GO96">
        <v>24.052</v>
      </c>
      <c r="GP96">
        <v>800</v>
      </c>
      <c r="GQ96">
        <v>17.158200000000001</v>
      </c>
      <c r="GR96">
        <v>99.779300000000006</v>
      </c>
      <c r="GS96">
        <v>99.626900000000006</v>
      </c>
    </row>
    <row r="97" spans="1:201" x14ac:dyDescent="0.25">
      <c r="A97">
        <v>81</v>
      </c>
      <c r="B97">
        <v>1690386205.5999999</v>
      </c>
      <c r="C97">
        <v>871</v>
      </c>
      <c r="D97" t="s">
        <v>495</v>
      </c>
      <c r="E97" t="s">
        <v>496</v>
      </c>
      <c r="F97" t="s">
        <v>330</v>
      </c>
      <c r="H97">
        <v>1690386205.5999999</v>
      </c>
      <c r="I97">
        <f t="shared" si="30"/>
        <v>5.7746920464398432E-4</v>
      </c>
      <c r="J97">
        <f t="shared" si="31"/>
        <v>0.57746920464398432</v>
      </c>
      <c r="K97">
        <f t="shared" si="32"/>
        <v>8.79941835147606</v>
      </c>
      <c r="L97">
        <f t="shared" si="33"/>
        <v>702.49599999999998</v>
      </c>
      <c r="M97">
        <f t="shared" si="34"/>
        <v>297.676328417013</v>
      </c>
      <c r="N97">
        <f t="shared" si="35"/>
        <v>29.395551898249597</v>
      </c>
      <c r="O97">
        <f t="shared" si="36"/>
        <v>69.371514141305596</v>
      </c>
      <c r="P97">
        <f t="shared" si="37"/>
        <v>3.6206662325529111E-2</v>
      </c>
      <c r="Q97">
        <f t="shared" si="38"/>
        <v>2.1568157670388288</v>
      </c>
      <c r="R97">
        <f t="shared" si="39"/>
        <v>3.5872358669243189E-2</v>
      </c>
      <c r="S97">
        <f t="shared" si="40"/>
        <v>2.2450002677579739E-2</v>
      </c>
      <c r="T97">
        <f t="shared" si="41"/>
        <v>276.11459209799995</v>
      </c>
      <c r="U97">
        <f t="shared" si="42"/>
        <v>28.127901404823586</v>
      </c>
      <c r="V97">
        <f t="shared" si="43"/>
        <v>28.127901404823586</v>
      </c>
      <c r="W97">
        <f t="shared" si="44"/>
        <v>3.8232270118882759</v>
      </c>
      <c r="X97">
        <f t="shared" si="45"/>
        <v>66.986184110456534</v>
      </c>
      <c r="Y97">
        <f t="shared" si="46"/>
        <v>2.2827061234376003</v>
      </c>
      <c r="Z97">
        <f t="shared" si="47"/>
        <v>3.4077267629897285</v>
      </c>
      <c r="AA97">
        <f t="shared" si="48"/>
        <v>1.5405208884506756</v>
      </c>
      <c r="AB97">
        <f t="shared" si="49"/>
        <v>-25.466391924799709</v>
      </c>
      <c r="AC97">
        <f t="shared" si="50"/>
        <v>-228.02181480195401</v>
      </c>
      <c r="AD97">
        <f t="shared" si="51"/>
        <v>-22.849828803909844</v>
      </c>
      <c r="AE97">
        <f t="shared" si="52"/>
        <v>-0.22344343266360056</v>
      </c>
      <c r="AF97">
        <v>0</v>
      </c>
      <c r="AG97">
        <v>0</v>
      </c>
      <c r="AH97">
        <f t="shared" si="53"/>
        <v>1</v>
      </c>
      <c r="AI97">
        <f t="shared" si="54"/>
        <v>0</v>
      </c>
      <c r="AJ97">
        <f t="shared" si="55"/>
        <v>52267.900178786847</v>
      </c>
      <c r="AK97">
        <f t="shared" si="56"/>
        <v>1800</v>
      </c>
      <c r="AL97">
        <f t="shared" si="57"/>
        <v>1499.1140717999999</v>
      </c>
      <c r="AM97">
        <f t="shared" si="58"/>
        <v>0.832841151</v>
      </c>
      <c r="AN97">
        <f t="shared" si="59"/>
        <v>0.15339699560999998</v>
      </c>
      <c r="AO97">
        <v>31.8</v>
      </c>
      <c r="AP97">
        <v>0.5</v>
      </c>
      <c r="AQ97" t="s">
        <v>331</v>
      </c>
      <c r="AR97">
        <v>2</v>
      </c>
      <c r="AS97">
        <v>1690386205.5999999</v>
      </c>
      <c r="AT97">
        <v>702.49599999999998</v>
      </c>
      <c r="AU97">
        <v>800.05399999999997</v>
      </c>
      <c r="AV97">
        <v>23.116</v>
      </c>
      <c r="AW97">
        <v>17.1373</v>
      </c>
      <c r="AX97">
        <v>702.71699999999998</v>
      </c>
      <c r="AY97">
        <v>22.836300000000001</v>
      </c>
      <c r="AZ97">
        <v>300.04899999999998</v>
      </c>
      <c r="BA97">
        <v>98.650099999999995</v>
      </c>
      <c r="BB97">
        <v>9.9948599999999999E-2</v>
      </c>
      <c r="BC97">
        <v>26.166899999999998</v>
      </c>
      <c r="BD97">
        <v>26.960799999999999</v>
      </c>
      <c r="BE97">
        <v>28.0579</v>
      </c>
      <c r="BF97">
        <v>0</v>
      </c>
      <c r="BG97">
        <v>0</v>
      </c>
      <c r="BH97">
        <v>9991.8799999999992</v>
      </c>
      <c r="BI97">
        <v>1071.76</v>
      </c>
      <c r="BJ97">
        <v>1.4577199999999999</v>
      </c>
      <c r="BK97">
        <v>-97.557400000000001</v>
      </c>
      <c r="BL97">
        <v>719.11900000000003</v>
      </c>
      <c r="BM97">
        <v>814.00300000000004</v>
      </c>
      <c r="BN97">
        <v>5.9786999999999999</v>
      </c>
      <c r="BO97">
        <v>800.05399999999997</v>
      </c>
      <c r="BP97">
        <v>17.1373</v>
      </c>
      <c r="BQ97">
        <v>2.2804000000000002</v>
      </c>
      <c r="BR97">
        <v>1.6906000000000001</v>
      </c>
      <c r="BS97">
        <v>19.538599999999999</v>
      </c>
      <c r="BT97">
        <v>14.8104</v>
      </c>
      <c r="BU97">
        <v>1800</v>
      </c>
      <c r="BV97">
        <v>0.91001500000000002</v>
      </c>
      <c r="BW97">
        <v>3.3993900000000001E-2</v>
      </c>
      <c r="BX97">
        <v>2.1995799999999999E-2</v>
      </c>
      <c r="BY97">
        <v>3.3995299999999999E-2</v>
      </c>
      <c r="BZ97">
        <v>25</v>
      </c>
      <c r="CA97">
        <v>33528.5</v>
      </c>
      <c r="CB97">
        <v>1690384821</v>
      </c>
      <c r="CC97" t="s">
        <v>332</v>
      </c>
      <c r="CD97">
        <v>1690384820</v>
      </c>
      <c r="CE97">
        <v>1690384821</v>
      </c>
      <c r="CF97">
        <v>5</v>
      </c>
      <c r="CG97">
        <v>-2.5000000000000001E-2</v>
      </c>
      <c r="CH97">
        <v>0.104</v>
      </c>
      <c r="CI97">
        <v>-0.28799999999999998</v>
      </c>
      <c r="CJ97">
        <v>0.28000000000000003</v>
      </c>
      <c r="CK97">
        <v>800</v>
      </c>
      <c r="CL97">
        <v>24</v>
      </c>
      <c r="CM97">
        <v>0.08</v>
      </c>
      <c r="CN97">
        <v>0.11</v>
      </c>
      <c r="CO97">
        <v>-94.273769999999985</v>
      </c>
      <c r="CP97">
        <v>-19.29727204502786</v>
      </c>
      <c r="CQ97">
        <v>1.856696454485762</v>
      </c>
      <c r="CR97">
        <v>-1</v>
      </c>
      <c r="CS97">
        <v>5.7972544999999993</v>
      </c>
      <c r="CT97">
        <v>0.99940840525328878</v>
      </c>
      <c r="CU97">
        <v>9.6577866847171526E-2</v>
      </c>
      <c r="CV97">
        <v>-1</v>
      </c>
      <c r="CW97">
        <v>0</v>
      </c>
      <c r="CX97">
        <v>0</v>
      </c>
      <c r="CY97" t="s">
        <v>333</v>
      </c>
      <c r="CZ97">
        <v>2.3642500000000002</v>
      </c>
      <c r="DA97">
        <v>2.71373</v>
      </c>
      <c r="DB97">
        <v>0.13389400000000001</v>
      </c>
      <c r="DC97">
        <v>0.14573</v>
      </c>
      <c r="DD97">
        <v>0.110162</v>
      </c>
      <c r="DE97">
        <v>8.8010400000000003E-2</v>
      </c>
      <c r="DF97">
        <v>31638.1</v>
      </c>
      <c r="DG97">
        <v>27547.3</v>
      </c>
      <c r="DH97">
        <v>31184.2</v>
      </c>
      <c r="DI97">
        <v>28097.599999999999</v>
      </c>
      <c r="DJ97">
        <v>37675.9</v>
      </c>
      <c r="DK97">
        <v>36437.699999999997</v>
      </c>
      <c r="DL97">
        <v>44381.1</v>
      </c>
      <c r="DM97">
        <v>42587.9</v>
      </c>
      <c r="DN97">
        <v>1.46445</v>
      </c>
      <c r="DO97">
        <v>2.0563199999999999</v>
      </c>
      <c r="DP97">
        <v>0.112828</v>
      </c>
      <c r="DQ97">
        <v>0.195384</v>
      </c>
      <c r="DR97">
        <v>25.1127</v>
      </c>
      <c r="DS97">
        <v>24.8597</v>
      </c>
      <c r="DT97">
        <v>57.4</v>
      </c>
      <c r="DU97">
        <v>28.8</v>
      </c>
      <c r="DV97">
        <v>23.133299999999998</v>
      </c>
      <c r="DW97">
        <v>61.452199999999998</v>
      </c>
      <c r="DX97">
        <v>36.971200000000003</v>
      </c>
      <c r="DY97">
        <v>1</v>
      </c>
      <c r="DZ97">
        <v>-0.10370699999999999</v>
      </c>
      <c r="EA97">
        <v>7.5419399999999998E-2</v>
      </c>
      <c r="EB97">
        <v>20.190200000000001</v>
      </c>
      <c r="EC97">
        <v>5.24125</v>
      </c>
      <c r="ED97">
        <v>12.039899999999999</v>
      </c>
      <c r="EE97">
        <v>5.0173500000000004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1.8689100000000001</v>
      </c>
      <c r="EL97">
        <v>1.8646199999999999</v>
      </c>
      <c r="EM97">
        <v>1.86921</v>
      </c>
      <c r="EN97">
        <v>1.86724</v>
      </c>
      <c r="EO97">
        <v>1.8633900000000001</v>
      </c>
      <c r="EP97">
        <v>1.8644700000000001</v>
      </c>
      <c r="EQ97">
        <v>1.87016</v>
      </c>
      <c r="ER97">
        <v>1.8693900000000001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-0.221</v>
      </c>
      <c r="FG97">
        <v>0.2797</v>
      </c>
      <c r="FH97">
        <v>0.26269369235785539</v>
      </c>
      <c r="FI97">
        <v>-6.1462078757559423E-4</v>
      </c>
      <c r="FJ97">
        <v>-1.8861989874597051E-7</v>
      </c>
      <c r="FK97">
        <v>1.1980462299894961E-10</v>
      </c>
      <c r="FL97">
        <v>0.27968571428570849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23.1</v>
      </c>
      <c r="FU97">
        <v>23.1</v>
      </c>
      <c r="FV97">
        <v>1.79199</v>
      </c>
      <c r="FW97">
        <v>2.5769000000000002</v>
      </c>
      <c r="FX97">
        <v>1.5490699999999999</v>
      </c>
      <c r="FY97">
        <v>2.3327599999999999</v>
      </c>
      <c r="FZ97">
        <v>1.50146</v>
      </c>
      <c r="GA97">
        <v>2.3584000000000001</v>
      </c>
      <c r="GB97">
        <v>33.558</v>
      </c>
      <c r="GC97">
        <v>23.982399999999998</v>
      </c>
      <c r="GD97">
        <v>19</v>
      </c>
      <c r="GE97">
        <v>277.49799999999999</v>
      </c>
      <c r="GF97">
        <v>598.78</v>
      </c>
      <c r="GG97">
        <v>24.0837</v>
      </c>
      <c r="GH97">
        <v>26.107399999999998</v>
      </c>
      <c r="GI97">
        <v>29.9998</v>
      </c>
      <c r="GJ97">
        <v>26.2577</v>
      </c>
      <c r="GK97">
        <v>26.248999999999999</v>
      </c>
      <c r="GL97">
        <v>35.822200000000002</v>
      </c>
      <c r="GM97">
        <v>34.085500000000003</v>
      </c>
      <c r="GN97">
        <v>98.137900000000002</v>
      </c>
      <c r="GO97">
        <v>24.092199999999998</v>
      </c>
      <c r="GP97">
        <v>800</v>
      </c>
      <c r="GQ97">
        <v>17.015799999999999</v>
      </c>
      <c r="GR97">
        <v>99.780199999999994</v>
      </c>
      <c r="GS97">
        <v>99.626300000000001</v>
      </c>
    </row>
    <row r="98" spans="1:201" x14ac:dyDescent="0.25">
      <c r="A98">
        <v>82</v>
      </c>
      <c r="B98">
        <v>1690386215.5999999</v>
      </c>
      <c r="C98">
        <v>881</v>
      </c>
      <c r="D98" t="s">
        <v>497</v>
      </c>
      <c r="E98" t="s">
        <v>498</v>
      </c>
      <c r="F98" t="s">
        <v>330</v>
      </c>
      <c r="H98">
        <v>1690386215.5999999</v>
      </c>
      <c r="I98">
        <f t="shared" si="30"/>
        <v>5.9325940894430014E-4</v>
      </c>
      <c r="J98">
        <f t="shared" si="31"/>
        <v>0.59325940894430018</v>
      </c>
      <c r="K98">
        <f t="shared" si="32"/>
        <v>9.0946348778763699</v>
      </c>
      <c r="L98">
        <f t="shared" si="33"/>
        <v>699.26900000000001</v>
      </c>
      <c r="M98">
        <f t="shared" si="34"/>
        <v>292.55452231006171</v>
      </c>
      <c r="N98">
        <f t="shared" si="35"/>
        <v>28.889517340316807</v>
      </c>
      <c r="O98">
        <f t="shared" si="36"/>
        <v>69.052235944025313</v>
      </c>
      <c r="P98">
        <f t="shared" si="37"/>
        <v>3.723835221977316E-2</v>
      </c>
      <c r="Q98">
        <f t="shared" si="38"/>
        <v>2.157920907405928</v>
      </c>
      <c r="R98">
        <f t="shared" si="39"/>
        <v>3.6885005065497849E-2</v>
      </c>
      <c r="S98">
        <f t="shared" si="40"/>
        <v>2.3084595487022175E-2</v>
      </c>
      <c r="T98">
        <f t="shared" si="41"/>
        <v>276.11429896800001</v>
      </c>
      <c r="U98">
        <f t="shared" si="42"/>
        <v>28.130524026418826</v>
      </c>
      <c r="V98">
        <f t="shared" si="43"/>
        <v>28.130524026418826</v>
      </c>
      <c r="W98">
        <f t="shared" si="44"/>
        <v>3.8238110278135071</v>
      </c>
      <c r="X98">
        <f t="shared" si="45"/>
        <v>67.007607640612704</v>
      </c>
      <c r="Y98">
        <f t="shared" si="46"/>
        <v>2.28465100780583</v>
      </c>
      <c r="Z98">
        <f t="shared" si="47"/>
        <v>3.4095397347406919</v>
      </c>
      <c r="AA98">
        <f t="shared" si="48"/>
        <v>1.5391600200076772</v>
      </c>
      <c r="AB98">
        <f t="shared" si="49"/>
        <v>-26.162739934443636</v>
      </c>
      <c r="AC98">
        <f t="shared" si="50"/>
        <v>-227.3967215306258</v>
      </c>
      <c r="AD98">
        <f t="shared" si="51"/>
        <v>-22.77684015292493</v>
      </c>
      <c r="AE98">
        <f t="shared" si="52"/>
        <v>-0.22200264999435149</v>
      </c>
      <c r="AF98">
        <v>0</v>
      </c>
      <c r="AG98">
        <v>0</v>
      </c>
      <c r="AH98">
        <f t="shared" si="53"/>
        <v>1</v>
      </c>
      <c r="AI98">
        <f t="shared" si="54"/>
        <v>0</v>
      </c>
      <c r="AJ98">
        <f t="shared" si="55"/>
        <v>52312.612921807522</v>
      </c>
      <c r="AK98">
        <f t="shared" si="56"/>
        <v>1800</v>
      </c>
      <c r="AL98">
        <f t="shared" si="57"/>
        <v>1499.1141168000001</v>
      </c>
      <c r="AM98">
        <f t="shared" si="58"/>
        <v>0.83284117600000007</v>
      </c>
      <c r="AN98">
        <f t="shared" si="59"/>
        <v>0.15339683276000002</v>
      </c>
      <c r="AO98">
        <v>31.8</v>
      </c>
      <c r="AP98">
        <v>0.5</v>
      </c>
      <c r="AQ98" t="s">
        <v>331</v>
      </c>
      <c r="AR98">
        <v>2</v>
      </c>
      <c r="AS98">
        <v>1690386215.5999999</v>
      </c>
      <c r="AT98">
        <v>699.26900000000001</v>
      </c>
      <c r="AU98">
        <v>799.99800000000005</v>
      </c>
      <c r="AV98">
        <v>23.135899999999999</v>
      </c>
      <c r="AW98">
        <v>16.997199999999999</v>
      </c>
      <c r="AX98">
        <v>699.48699999999997</v>
      </c>
      <c r="AY98">
        <v>22.856200000000001</v>
      </c>
      <c r="AZ98">
        <v>300.21300000000002</v>
      </c>
      <c r="BA98">
        <v>98.649199999999993</v>
      </c>
      <c r="BB98">
        <v>9.9973699999999999E-2</v>
      </c>
      <c r="BC98">
        <v>26.175899999999999</v>
      </c>
      <c r="BD98">
        <v>26.974399999999999</v>
      </c>
      <c r="BE98">
        <v>28.072099999999999</v>
      </c>
      <c r="BF98">
        <v>0</v>
      </c>
      <c r="BG98">
        <v>0</v>
      </c>
      <c r="BH98">
        <v>10001.200000000001</v>
      </c>
      <c r="BI98">
        <v>1071.7</v>
      </c>
      <c r="BJ98">
        <v>1.4577199999999999</v>
      </c>
      <c r="BK98">
        <v>-100.729</v>
      </c>
      <c r="BL98">
        <v>715.83</v>
      </c>
      <c r="BM98">
        <v>813.83100000000002</v>
      </c>
      <c r="BN98">
        <v>6.1387799999999997</v>
      </c>
      <c r="BO98">
        <v>799.99800000000005</v>
      </c>
      <c r="BP98">
        <v>16.997199999999999</v>
      </c>
      <c r="BQ98">
        <v>2.28234</v>
      </c>
      <c r="BR98">
        <v>1.67676</v>
      </c>
      <c r="BS98">
        <v>19.552299999999999</v>
      </c>
      <c r="BT98">
        <v>14.6829</v>
      </c>
      <c r="BU98">
        <v>1800</v>
      </c>
      <c r="BV98">
        <v>0.91001900000000002</v>
      </c>
      <c r="BW98">
        <v>3.39922E-2</v>
      </c>
      <c r="BX98">
        <v>2.1994799999999998E-2</v>
      </c>
      <c r="BY98">
        <v>3.3993599999999999E-2</v>
      </c>
      <c r="BZ98">
        <v>25</v>
      </c>
      <c r="CA98">
        <v>33528.5</v>
      </c>
      <c r="CB98">
        <v>1690384821</v>
      </c>
      <c r="CC98" t="s">
        <v>332</v>
      </c>
      <c r="CD98">
        <v>1690384820</v>
      </c>
      <c r="CE98">
        <v>1690384821</v>
      </c>
      <c r="CF98">
        <v>5</v>
      </c>
      <c r="CG98">
        <v>-2.5000000000000001E-2</v>
      </c>
      <c r="CH98">
        <v>0.104</v>
      </c>
      <c r="CI98">
        <v>-0.28799999999999998</v>
      </c>
      <c r="CJ98">
        <v>0.28000000000000003</v>
      </c>
      <c r="CK98">
        <v>800</v>
      </c>
      <c r="CL98">
        <v>24</v>
      </c>
      <c r="CM98">
        <v>0.08</v>
      </c>
      <c r="CN98">
        <v>0.11</v>
      </c>
      <c r="CO98">
        <v>-97.496049999999997</v>
      </c>
      <c r="CP98">
        <v>-19.226762476547851</v>
      </c>
      <c r="CQ98">
        <v>1.850023098504449</v>
      </c>
      <c r="CR98">
        <v>-1</v>
      </c>
      <c r="CS98">
        <v>5.9634520000000002</v>
      </c>
      <c r="CT98">
        <v>0.95997771106939944</v>
      </c>
      <c r="CU98">
        <v>9.2637903101268404E-2</v>
      </c>
      <c r="CV98">
        <v>-1</v>
      </c>
      <c r="CW98">
        <v>0</v>
      </c>
      <c r="CX98">
        <v>0</v>
      </c>
      <c r="CY98" t="s">
        <v>333</v>
      </c>
      <c r="CZ98">
        <v>2.3647900000000002</v>
      </c>
      <c r="DA98">
        <v>2.7137699999999998</v>
      </c>
      <c r="DB98">
        <v>0.13347300000000001</v>
      </c>
      <c r="DC98">
        <v>0.14572099999999999</v>
      </c>
      <c r="DD98">
        <v>0.11022999999999999</v>
      </c>
      <c r="DE98">
        <v>8.7489999999999998E-2</v>
      </c>
      <c r="DF98">
        <v>31653.8</v>
      </c>
      <c r="DG98">
        <v>27547.8</v>
      </c>
      <c r="DH98">
        <v>31184.6</v>
      </c>
      <c r="DI98">
        <v>28097.7</v>
      </c>
      <c r="DJ98">
        <v>37673.4</v>
      </c>
      <c r="DK98">
        <v>36458.9</v>
      </c>
      <c r="DL98">
        <v>44381.599999999999</v>
      </c>
      <c r="DM98">
        <v>42588.4</v>
      </c>
      <c r="DN98">
        <v>1.4650000000000001</v>
      </c>
      <c r="DO98">
        <v>2.0562</v>
      </c>
      <c r="DP98">
        <v>0.113562</v>
      </c>
      <c r="DQ98">
        <v>0.19612499999999999</v>
      </c>
      <c r="DR98">
        <v>25.1143</v>
      </c>
      <c r="DS98">
        <v>24.861799999999999</v>
      </c>
      <c r="DT98">
        <v>57.4</v>
      </c>
      <c r="DU98">
        <v>28.8</v>
      </c>
      <c r="DV98">
        <v>23.1341</v>
      </c>
      <c r="DW98">
        <v>60.932200000000002</v>
      </c>
      <c r="DX98">
        <v>36.462299999999999</v>
      </c>
      <c r="DY98">
        <v>1</v>
      </c>
      <c r="DZ98">
        <v>-0.103592</v>
      </c>
      <c r="EA98">
        <v>1.4825700000000001E-2</v>
      </c>
      <c r="EB98">
        <v>20.190200000000001</v>
      </c>
      <c r="EC98">
        <v>5.2415500000000002</v>
      </c>
      <c r="ED98">
        <v>12.039899999999999</v>
      </c>
      <c r="EE98">
        <v>5.0174500000000002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</v>
      </c>
      <c r="EL98">
        <v>1.8646199999999999</v>
      </c>
      <c r="EM98">
        <v>1.8692</v>
      </c>
      <c r="EN98">
        <v>1.8672200000000001</v>
      </c>
      <c r="EO98">
        <v>1.8633999999999999</v>
      </c>
      <c r="EP98">
        <v>1.8644700000000001</v>
      </c>
      <c r="EQ98">
        <v>1.8701399999999999</v>
      </c>
      <c r="ER98">
        <v>1.86941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-0.218</v>
      </c>
      <c r="FG98">
        <v>0.2797</v>
      </c>
      <c r="FH98">
        <v>0.26269369235785539</v>
      </c>
      <c r="FI98">
        <v>-6.1462078757559423E-4</v>
      </c>
      <c r="FJ98">
        <v>-1.8861989874597051E-7</v>
      </c>
      <c r="FK98">
        <v>1.1980462299894961E-10</v>
      </c>
      <c r="FL98">
        <v>0.27968571428570849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23.3</v>
      </c>
      <c r="FU98">
        <v>23.2</v>
      </c>
      <c r="FV98">
        <v>1.79199</v>
      </c>
      <c r="FW98">
        <v>2.5842299999999998</v>
      </c>
      <c r="FX98">
        <v>1.5490699999999999</v>
      </c>
      <c r="FY98">
        <v>2.3327599999999999</v>
      </c>
      <c r="FZ98">
        <v>1.50146</v>
      </c>
      <c r="GA98">
        <v>2.2924799999999999</v>
      </c>
      <c r="GB98">
        <v>33.558</v>
      </c>
      <c r="GC98">
        <v>23.982399999999998</v>
      </c>
      <c r="GD98">
        <v>19</v>
      </c>
      <c r="GE98">
        <v>277.714</v>
      </c>
      <c r="GF98">
        <v>598.63099999999997</v>
      </c>
      <c r="GG98">
        <v>24.134399999999999</v>
      </c>
      <c r="GH98">
        <v>26.1035</v>
      </c>
      <c r="GI98">
        <v>30.0001</v>
      </c>
      <c r="GJ98">
        <v>26.254300000000001</v>
      </c>
      <c r="GK98">
        <v>26.245200000000001</v>
      </c>
      <c r="GL98">
        <v>35.819699999999997</v>
      </c>
      <c r="GM98">
        <v>34.672600000000003</v>
      </c>
      <c r="GN98">
        <v>97.766499999999994</v>
      </c>
      <c r="GO98">
        <v>24.146000000000001</v>
      </c>
      <c r="GP98">
        <v>800</v>
      </c>
      <c r="GQ98">
        <v>16.8733</v>
      </c>
      <c r="GR98">
        <v>99.781400000000005</v>
      </c>
      <c r="GS98">
        <v>99.627200000000002</v>
      </c>
    </row>
    <row r="99" spans="1:201" x14ac:dyDescent="0.25">
      <c r="A99">
        <v>83</v>
      </c>
      <c r="B99">
        <v>1690386225.5999999</v>
      </c>
      <c r="C99">
        <v>891</v>
      </c>
      <c r="D99" t="s">
        <v>499</v>
      </c>
      <c r="E99" t="s">
        <v>500</v>
      </c>
      <c r="F99" t="s">
        <v>330</v>
      </c>
      <c r="H99">
        <v>1690386225.5999999</v>
      </c>
      <c r="I99">
        <f t="shared" si="30"/>
        <v>6.0693678105974886E-4</v>
      </c>
      <c r="J99">
        <f t="shared" si="31"/>
        <v>0.60693678105974891</v>
      </c>
      <c r="K99">
        <f t="shared" si="32"/>
        <v>9.3880784745175845</v>
      </c>
      <c r="L99">
        <f t="shared" si="33"/>
        <v>696.10599999999999</v>
      </c>
      <c r="M99">
        <f t="shared" si="34"/>
        <v>286.07624681912881</v>
      </c>
      <c r="N99">
        <f t="shared" si="35"/>
        <v>28.248896511451569</v>
      </c>
      <c r="O99">
        <f t="shared" si="36"/>
        <v>68.737710920240005</v>
      </c>
      <c r="P99">
        <f t="shared" si="37"/>
        <v>3.8114786803511679E-2</v>
      </c>
      <c r="Q99">
        <f t="shared" si="38"/>
        <v>2.1538421868909441</v>
      </c>
      <c r="R99">
        <f t="shared" si="39"/>
        <v>3.7744006994428238E-2</v>
      </c>
      <c r="S99">
        <f t="shared" si="40"/>
        <v>2.3623016781160459E-2</v>
      </c>
      <c r="T99">
        <f t="shared" si="41"/>
        <v>276.114393054</v>
      </c>
      <c r="U99">
        <f t="shared" si="42"/>
        <v>28.134257674901747</v>
      </c>
      <c r="V99">
        <f t="shared" si="43"/>
        <v>28.134257674901747</v>
      </c>
      <c r="W99">
        <f t="shared" si="44"/>
        <v>3.8246425859393467</v>
      </c>
      <c r="X99">
        <f t="shared" si="45"/>
        <v>67.024087078714572</v>
      </c>
      <c r="Y99">
        <f t="shared" si="46"/>
        <v>2.2859017037720002</v>
      </c>
      <c r="Z99">
        <f t="shared" si="47"/>
        <v>3.4105674592589179</v>
      </c>
      <c r="AA99">
        <f t="shared" si="48"/>
        <v>1.5387408821673465</v>
      </c>
      <c r="AB99">
        <f t="shared" si="49"/>
        <v>-26.765912044734925</v>
      </c>
      <c r="AC99">
        <f t="shared" si="50"/>
        <v>-226.80825745906012</v>
      </c>
      <c r="AD99">
        <f t="shared" si="51"/>
        <v>-22.761922800893995</v>
      </c>
      <c r="AE99">
        <f t="shared" si="52"/>
        <v>-0.22169925068902785</v>
      </c>
      <c r="AF99">
        <v>0</v>
      </c>
      <c r="AG99">
        <v>0</v>
      </c>
      <c r="AH99">
        <f t="shared" si="53"/>
        <v>1</v>
      </c>
      <c r="AI99">
        <f t="shared" si="54"/>
        <v>0</v>
      </c>
      <c r="AJ99">
        <f t="shared" si="55"/>
        <v>52140.886919741759</v>
      </c>
      <c r="AK99">
        <f t="shared" si="56"/>
        <v>1800</v>
      </c>
      <c r="AL99">
        <f t="shared" si="57"/>
        <v>1499.1142284</v>
      </c>
      <c r="AM99">
        <f t="shared" si="58"/>
        <v>0.83284123799999998</v>
      </c>
      <c r="AN99">
        <f t="shared" si="59"/>
        <v>0.15339688503000001</v>
      </c>
      <c r="AO99">
        <v>31.8</v>
      </c>
      <c r="AP99">
        <v>0.5</v>
      </c>
      <c r="AQ99" t="s">
        <v>331</v>
      </c>
      <c r="AR99">
        <v>2</v>
      </c>
      <c r="AS99">
        <v>1690386225.5999999</v>
      </c>
      <c r="AT99">
        <v>696.10599999999999</v>
      </c>
      <c r="AU99">
        <v>800.01700000000005</v>
      </c>
      <c r="AV99">
        <v>23.1493</v>
      </c>
      <c r="AW99">
        <v>16.869599999999998</v>
      </c>
      <c r="AX99">
        <v>696.322</v>
      </c>
      <c r="AY99">
        <v>22.869599999999998</v>
      </c>
      <c r="AZ99">
        <v>300.23399999999998</v>
      </c>
      <c r="BA99">
        <v>98.646000000000001</v>
      </c>
      <c r="BB99">
        <v>0.10004</v>
      </c>
      <c r="BC99">
        <v>26.181000000000001</v>
      </c>
      <c r="BD99">
        <v>26.9834</v>
      </c>
      <c r="BE99">
        <v>28.062899999999999</v>
      </c>
      <c r="BF99">
        <v>0</v>
      </c>
      <c r="BG99">
        <v>0</v>
      </c>
      <c r="BH99">
        <v>9967.5</v>
      </c>
      <c r="BI99">
        <v>1071.74</v>
      </c>
      <c r="BJ99">
        <v>1.4577199999999999</v>
      </c>
      <c r="BK99">
        <v>-103.91200000000001</v>
      </c>
      <c r="BL99">
        <v>712.60199999999998</v>
      </c>
      <c r="BM99">
        <v>813.745</v>
      </c>
      <c r="BN99">
        <v>6.2796399999999997</v>
      </c>
      <c r="BO99">
        <v>800.01700000000005</v>
      </c>
      <c r="BP99">
        <v>16.869599999999998</v>
      </c>
      <c r="BQ99">
        <v>2.2835800000000002</v>
      </c>
      <c r="BR99">
        <v>1.66412</v>
      </c>
      <c r="BS99">
        <v>19.5611</v>
      </c>
      <c r="BT99">
        <v>14.5657</v>
      </c>
      <c r="BU99">
        <v>1800</v>
      </c>
      <c r="BV99">
        <v>0.91001799999999999</v>
      </c>
      <c r="BW99">
        <v>3.3995999999999998E-2</v>
      </c>
      <c r="BX99">
        <v>2.19939E-2</v>
      </c>
      <c r="BY99">
        <v>3.3992300000000003E-2</v>
      </c>
      <c r="BZ99">
        <v>25</v>
      </c>
      <c r="CA99">
        <v>33528.5</v>
      </c>
      <c r="CB99">
        <v>1690384821</v>
      </c>
      <c r="CC99" t="s">
        <v>332</v>
      </c>
      <c r="CD99">
        <v>1690384820</v>
      </c>
      <c r="CE99">
        <v>1690384821</v>
      </c>
      <c r="CF99">
        <v>5</v>
      </c>
      <c r="CG99">
        <v>-2.5000000000000001E-2</v>
      </c>
      <c r="CH99">
        <v>0.104</v>
      </c>
      <c r="CI99">
        <v>-0.28799999999999998</v>
      </c>
      <c r="CJ99">
        <v>0.28000000000000003</v>
      </c>
      <c r="CK99">
        <v>800</v>
      </c>
      <c r="CL99">
        <v>24</v>
      </c>
      <c r="CM99">
        <v>0.08</v>
      </c>
      <c r="CN99">
        <v>0.11</v>
      </c>
      <c r="CO99">
        <v>-100.69289000000001</v>
      </c>
      <c r="CP99">
        <v>-18.964345215759678</v>
      </c>
      <c r="CQ99">
        <v>1.824519469175377</v>
      </c>
      <c r="CR99">
        <v>-1</v>
      </c>
      <c r="CS99">
        <v>6.1259897499999996</v>
      </c>
      <c r="CT99">
        <v>0.91998900562850749</v>
      </c>
      <c r="CU99">
        <v>8.8930185468363315E-2</v>
      </c>
      <c r="CV99">
        <v>-1</v>
      </c>
      <c r="CW99">
        <v>0</v>
      </c>
      <c r="CX99">
        <v>0</v>
      </c>
      <c r="CY99" t="s">
        <v>333</v>
      </c>
      <c r="CZ99">
        <v>2.3648500000000001</v>
      </c>
      <c r="DA99">
        <v>2.7138</v>
      </c>
      <c r="DB99">
        <v>0.13305600000000001</v>
      </c>
      <c r="DC99">
        <v>0.14571700000000001</v>
      </c>
      <c r="DD99">
        <v>0.110272</v>
      </c>
      <c r="DE99">
        <v>8.7012699999999998E-2</v>
      </c>
      <c r="DF99">
        <v>31669.5</v>
      </c>
      <c r="DG99">
        <v>27548.6</v>
      </c>
      <c r="DH99">
        <v>31185.1</v>
      </c>
      <c r="DI99">
        <v>28098.400000000001</v>
      </c>
      <c r="DJ99">
        <v>37672</v>
      </c>
      <c r="DK99">
        <v>36478.699999999997</v>
      </c>
      <c r="DL99">
        <v>44382.2</v>
      </c>
      <c r="DM99">
        <v>42589.2</v>
      </c>
      <c r="DN99">
        <v>1.4646300000000001</v>
      </c>
      <c r="DO99">
        <v>2.0559699999999999</v>
      </c>
      <c r="DP99">
        <v>0.114117</v>
      </c>
      <c r="DQ99">
        <v>0.195436</v>
      </c>
      <c r="DR99">
        <v>25.1143</v>
      </c>
      <c r="DS99">
        <v>24.863900000000001</v>
      </c>
      <c r="DT99">
        <v>57.4</v>
      </c>
      <c r="DU99">
        <v>28.8</v>
      </c>
      <c r="DV99">
        <v>23.133500000000002</v>
      </c>
      <c r="DW99">
        <v>60.922199999999997</v>
      </c>
      <c r="DX99">
        <v>36.1218</v>
      </c>
      <c r="DY99">
        <v>1</v>
      </c>
      <c r="DZ99">
        <v>-0.104738</v>
      </c>
      <c r="EA99">
        <v>4.9133999999999997E-2</v>
      </c>
      <c r="EB99">
        <v>20.190200000000001</v>
      </c>
      <c r="EC99">
        <v>5.2416999999999998</v>
      </c>
      <c r="ED99">
        <v>12.039899999999999</v>
      </c>
      <c r="EE99">
        <v>5.0173500000000004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</v>
      </c>
      <c r="EL99">
        <v>1.8646199999999999</v>
      </c>
      <c r="EM99">
        <v>1.8692</v>
      </c>
      <c r="EN99">
        <v>1.8672200000000001</v>
      </c>
      <c r="EO99">
        <v>1.8633999999999999</v>
      </c>
      <c r="EP99">
        <v>1.8644700000000001</v>
      </c>
      <c r="EQ99">
        <v>1.87016</v>
      </c>
      <c r="ER99">
        <v>1.86941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-0.216</v>
      </c>
      <c r="FG99">
        <v>0.2797</v>
      </c>
      <c r="FH99">
        <v>0.26269369235785539</v>
      </c>
      <c r="FI99">
        <v>-6.1462078757559423E-4</v>
      </c>
      <c r="FJ99">
        <v>-1.8861989874597051E-7</v>
      </c>
      <c r="FK99">
        <v>1.1980462299894961E-10</v>
      </c>
      <c r="FL99">
        <v>0.27968571428570849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23.4</v>
      </c>
      <c r="FU99">
        <v>23.4</v>
      </c>
      <c r="FV99">
        <v>1.79077</v>
      </c>
      <c r="FW99">
        <v>2.5878899999999998</v>
      </c>
      <c r="FX99">
        <v>1.5490699999999999</v>
      </c>
      <c r="FY99">
        <v>2.3327599999999999</v>
      </c>
      <c r="FZ99">
        <v>1.50146</v>
      </c>
      <c r="GA99">
        <v>2.2839399999999999</v>
      </c>
      <c r="GB99">
        <v>33.558</v>
      </c>
      <c r="GC99">
        <v>23.982399999999998</v>
      </c>
      <c r="GD99">
        <v>19</v>
      </c>
      <c r="GE99">
        <v>277.54199999999997</v>
      </c>
      <c r="GF99">
        <v>598.40300000000002</v>
      </c>
      <c r="GG99">
        <v>24.180700000000002</v>
      </c>
      <c r="GH99">
        <v>26.100200000000001</v>
      </c>
      <c r="GI99">
        <v>29.9999</v>
      </c>
      <c r="GJ99">
        <v>26.251000000000001</v>
      </c>
      <c r="GK99">
        <v>26.241900000000001</v>
      </c>
      <c r="GL99">
        <v>35.815100000000001</v>
      </c>
      <c r="GM99">
        <v>35.255400000000002</v>
      </c>
      <c r="GN99">
        <v>97.3947</v>
      </c>
      <c r="GO99">
        <v>24.1799</v>
      </c>
      <c r="GP99">
        <v>800</v>
      </c>
      <c r="GQ99">
        <v>16.728999999999999</v>
      </c>
      <c r="GR99">
        <v>99.782700000000006</v>
      </c>
      <c r="GS99">
        <v>99.629300000000001</v>
      </c>
    </row>
    <row r="100" spans="1:201" x14ac:dyDescent="0.25">
      <c r="A100">
        <v>84</v>
      </c>
      <c r="B100">
        <v>1690386235.5999999</v>
      </c>
      <c r="C100">
        <v>901</v>
      </c>
      <c r="D100" t="s">
        <v>501</v>
      </c>
      <c r="E100" t="s">
        <v>502</v>
      </c>
      <c r="F100" t="s">
        <v>330</v>
      </c>
      <c r="H100">
        <v>1690386235.5999999</v>
      </c>
      <c r="I100">
        <f t="shared" si="30"/>
        <v>6.2339342395851378E-4</v>
      </c>
      <c r="J100">
        <f t="shared" si="31"/>
        <v>0.62339342395851383</v>
      </c>
      <c r="K100">
        <f t="shared" si="32"/>
        <v>9.6908257725525822</v>
      </c>
      <c r="L100">
        <f t="shared" si="33"/>
        <v>692.82399999999996</v>
      </c>
      <c r="M100">
        <f t="shared" si="34"/>
        <v>281.26447183439933</v>
      </c>
      <c r="N100">
        <f t="shared" si="35"/>
        <v>27.773605403755226</v>
      </c>
      <c r="O100">
        <f t="shared" si="36"/>
        <v>68.413263377183995</v>
      </c>
      <c r="P100">
        <f t="shared" si="37"/>
        <v>3.9191243693338845E-2</v>
      </c>
      <c r="Q100">
        <f t="shared" si="38"/>
        <v>2.1523345836212862</v>
      </c>
      <c r="R100">
        <f t="shared" si="39"/>
        <v>3.8799069256730288E-2</v>
      </c>
      <c r="S100">
        <f t="shared" si="40"/>
        <v>2.4284326476287442E-2</v>
      </c>
      <c r="T100">
        <f t="shared" si="41"/>
        <v>276.11446044600001</v>
      </c>
      <c r="U100">
        <f t="shared" si="42"/>
        <v>28.135903174374572</v>
      </c>
      <c r="V100">
        <f t="shared" si="43"/>
        <v>28.135903174374572</v>
      </c>
      <c r="W100">
        <f t="shared" si="44"/>
        <v>3.8250091216361786</v>
      </c>
      <c r="X100">
        <f t="shared" si="45"/>
        <v>67.048199591327219</v>
      </c>
      <c r="Y100">
        <f t="shared" si="46"/>
        <v>2.2875484982076002</v>
      </c>
      <c r="Z100">
        <f t="shared" si="47"/>
        <v>3.4117970536877742</v>
      </c>
      <c r="AA100">
        <f t="shared" si="48"/>
        <v>1.5374606234285784</v>
      </c>
      <c r="AB100">
        <f t="shared" si="49"/>
        <v>-27.491649996570459</v>
      </c>
      <c r="AC100">
        <f t="shared" si="50"/>
        <v>-226.13261539011486</v>
      </c>
      <c r="AD100">
        <f t="shared" si="51"/>
        <v>-22.71089106245989</v>
      </c>
      <c r="AE100">
        <f t="shared" si="52"/>
        <v>-0.22069600314520699</v>
      </c>
      <c r="AF100">
        <v>0</v>
      </c>
      <c r="AG100">
        <v>0</v>
      </c>
      <c r="AH100">
        <f t="shared" si="53"/>
        <v>1</v>
      </c>
      <c r="AI100">
        <f t="shared" si="54"/>
        <v>0</v>
      </c>
      <c r="AJ100">
        <f t="shared" si="55"/>
        <v>52076.782421641044</v>
      </c>
      <c r="AK100">
        <f t="shared" si="56"/>
        <v>1800</v>
      </c>
      <c r="AL100">
        <f t="shared" si="57"/>
        <v>1499.1105995999999</v>
      </c>
      <c r="AM100">
        <f t="shared" si="58"/>
        <v>0.83283922199999993</v>
      </c>
      <c r="AN100">
        <f t="shared" si="59"/>
        <v>0.15339692247</v>
      </c>
      <c r="AO100">
        <v>31.8</v>
      </c>
      <c r="AP100">
        <v>0.5</v>
      </c>
      <c r="AQ100" t="s">
        <v>331</v>
      </c>
      <c r="AR100">
        <v>2</v>
      </c>
      <c r="AS100">
        <v>1690386235.5999999</v>
      </c>
      <c r="AT100">
        <v>692.82399999999996</v>
      </c>
      <c r="AU100">
        <v>800.03200000000004</v>
      </c>
      <c r="AV100">
        <v>23.1661</v>
      </c>
      <c r="AW100">
        <v>16.716799999999999</v>
      </c>
      <c r="AX100">
        <v>693.03800000000001</v>
      </c>
      <c r="AY100">
        <v>22.886399999999998</v>
      </c>
      <c r="AZ100">
        <v>300.26</v>
      </c>
      <c r="BA100">
        <v>98.645499999999998</v>
      </c>
      <c r="BB100">
        <v>0.10001599999999999</v>
      </c>
      <c r="BC100">
        <v>26.187100000000001</v>
      </c>
      <c r="BD100">
        <v>26.973600000000001</v>
      </c>
      <c r="BE100">
        <v>28.057099999999998</v>
      </c>
      <c r="BF100">
        <v>0</v>
      </c>
      <c r="BG100">
        <v>0</v>
      </c>
      <c r="BH100">
        <v>9955</v>
      </c>
      <c r="BI100">
        <v>1071.82</v>
      </c>
      <c r="BJ100">
        <v>1.4577199999999999</v>
      </c>
      <c r="BK100">
        <v>-107.209</v>
      </c>
      <c r="BL100">
        <v>709.25400000000002</v>
      </c>
      <c r="BM100">
        <v>813.63400000000001</v>
      </c>
      <c r="BN100">
        <v>6.4493499999999999</v>
      </c>
      <c r="BO100">
        <v>800.03200000000004</v>
      </c>
      <c r="BP100">
        <v>16.716799999999999</v>
      </c>
      <c r="BQ100">
        <v>2.2852299999999999</v>
      </c>
      <c r="BR100">
        <v>1.64903</v>
      </c>
      <c r="BS100">
        <v>19.572700000000001</v>
      </c>
      <c r="BT100">
        <v>14.424799999999999</v>
      </c>
      <c r="BU100">
        <v>1800</v>
      </c>
      <c r="BV100">
        <v>0.91000599999999998</v>
      </c>
      <c r="BW100">
        <v>3.40098E-2</v>
      </c>
      <c r="BX100">
        <v>2.1993100000000002E-2</v>
      </c>
      <c r="BY100">
        <v>3.3991100000000003E-2</v>
      </c>
      <c r="BZ100">
        <v>25</v>
      </c>
      <c r="CA100">
        <v>33528.400000000001</v>
      </c>
      <c r="CB100">
        <v>1690384821</v>
      </c>
      <c r="CC100" t="s">
        <v>332</v>
      </c>
      <c r="CD100">
        <v>1690384820</v>
      </c>
      <c r="CE100">
        <v>1690384821</v>
      </c>
      <c r="CF100">
        <v>5</v>
      </c>
      <c r="CG100">
        <v>-2.5000000000000001E-2</v>
      </c>
      <c r="CH100">
        <v>0.104</v>
      </c>
      <c r="CI100">
        <v>-0.28799999999999998</v>
      </c>
      <c r="CJ100">
        <v>0.28000000000000003</v>
      </c>
      <c r="CK100">
        <v>800</v>
      </c>
      <c r="CL100">
        <v>24</v>
      </c>
      <c r="CM100">
        <v>0.08</v>
      </c>
      <c r="CN100">
        <v>0.11</v>
      </c>
      <c r="CO100">
        <v>-103.557625</v>
      </c>
      <c r="CP100">
        <v>-19.31555347091907</v>
      </c>
      <c r="CQ100">
        <v>1.858313801373439</v>
      </c>
      <c r="CR100">
        <v>-1</v>
      </c>
      <c r="CS100">
        <v>6.2692647499999996</v>
      </c>
      <c r="CT100">
        <v>0.91700926829267992</v>
      </c>
      <c r="CU100">
        <v>8.8600859448074804E-2</v>
      </c>
      <c r="CV100">
        <v>-1</v>
      </c>
      <c r="CW100">
        <v>0</v>
      </c>
      <c r="CX100">
        <v>0</v>
      </c>
      <c r="CY100" t="s">
        <v>333</v>
      </c>
      <c r="CZ100">
        <v>2.36497</v>
      </c>
      <c r="DA100">
        <v>2.7137699999999998</v>
      </c>
      <c r="DB100">
        <v>0.13262599999999999</v>
      </c>
      <c r="DC100">
        <v>0.14571600000000001</v>
      </c>
      <c r="DD100">
        <v>0.110329</v>
      </c>
      <c r="DE100">
        <v>8.6441699999999996E-2</v>
      </c>
      <c r="DF100">
        <v>31685</v>
      </c>
      <c r="DG100">
        <v>27548.400000000001</v>
      </c>
      <c r="DH100">
        <v>31184.9</v>
      </c>
      <c r="DI100">
        <v>28098.2</v>
      </c>
      <c r="DJ100">
        <v>37669.199999999997</v>
      </c>
      <c r="DK100">
        <v>36501.5</v>
      </c>
      <c r="DL100">
        <v>44381.9</v>
      </c>
      <c r="DM100">
        <v>42589</v>
      </c>
      <c r="DN100">
        <v>1.46465</v>
      </c>
      <c r="DO100">
        <v>2.0555300000000001</v>
      </c>
      <c r="DP100">
        <v>0.113387</v>
      </c>
      <c r="DQ100">
        <v>0.19508200000000001</v>
      </c>
      <c r="DR100">
        <v>25.116399999999999</v>
      </c>
      <c r="DS100">
        <v>24.863900000000001</v>
      </c>
      <c r="DT100">
        <v>57.4</v>
      </c>
      <c r="DU100">
        <v>28.8</v>
      </c>
      <c r="DV100">
        <v>23.133099999999999</v>
      </c>
      <c r="DW100">
        <v>61.482199999999999</v>
      </c>
      <c r="DX100">
        <v>35.817300000000003</v>
      </c>
      <c r="DY100">
        <v>1</v>
      </c>
      <c r="DZ100">
        <v>-0.10478700000000001</v>
      </c>
      <c r="EA100">
        <v>4.1081199999999998E-2</v>
      </c>
      <c r="EB100">
        <v>20.190100000000001</v>
      </c>
      <c r="EC100">
        <v>5.2413999999999996</v>
      </c>
      <c r="ED100">
        <v>12.039899999999999</v>
      </c>
      <c r="EE100">
        <v>5.0171000000000001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</v>
      </c>
      <c r="EL100">
        <v>1.8646199999999999</v>
      </c>
      <c r="EM100">
        <v>1.8692</v>
      </c>
      <c r="EN100">
        <v>1.8672299999999999</v>
      </c>
      <c r="EO100">
        <v>1.8633900000000001</v>
      </c>
      <c r="EP100">
        <v>1.8644700000000001</v>
      </c>
      <c r="EQ100">
        <v>1.8701399999999999</v>
      </c>
      <c r="ER100">
        <v>1.8694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-0.214</v>
      </c>
      <c r="FG100">
        <v>0.2797</v>
      </c>
      <c r="FH100">
        <v>0.26269369235785539</v>
      </c>
      <c r="FI100">
        <v>-6.1462078757559423E-4</v>
      </c>
      <c r="FJ100">
        <v>-1.8861989874597051E-7</v>
      </c>
      <c r="FK100">
        <v>1.1980462299894961E-10</v>
      </c>
      <c r="FL100">
        <v>0.27968571428570849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23.6</v>
      </c>
      <c r="FU100">
        <v>23.6</v>
      </c>
      <c r="FV100">
        <v>1.79077</v>
      </c>
      <c r="FW100">
        <v>2.5854499999999998</v>
      </c>
      <c r="FX100">
        <v>1.5490699999999999</v>
      </c>
      <c r="FY100">
        <v>2.3327599999999999</v>
      </c>
      <c r="FZ100">
        <v>1.50146</v>
      </c>
      <c r="GA100">
        <v>2.3303199999999999</v>
      </c>
      <c r="GB100">
        <v>33.558</v>
      </c>
      <c r="GC100">
        <v>23.982399999999998</v>
      </c>
      <c r="GD100">
        <v>19</v>
      </c>
      <c r="GE100">
        <v>277.536</v>
      </c>
      <c r="GF100">
        <v>597.97799999999995</v>
      </c>
      <c r="GG100">
        <v>24.204499999999999</v>
      </c>
      <c r="GH100">
        <v>26.096299999999999</v>
      </c>
      <c r="GI100">
        <v>30</v>
      </c>
      <c r="GJ100">
        <v>26.2471</v>
      </c>
      <c r="GK100">
        <v>26.238</v>
      </c>
      <c r="GL100">
        <v>35.8127</v>
      </c>
      <c r="GM100">
        <v>35.823500000000003</v>
      </c>
      <c r="GN100">
        <v>97.0184</v>
      </c>
      <c r="GO100">
        <v>24.209</v>
      </c>
      <c r="GP100">
        <v>800</v>
      </c>
      <c r="GQ100">
        <v>16.579499999999999</v>
      </c>
      <c r="GR100">
        <v>99.7821</v>
      </c>
      <c r="GS100">
        <v>99.628799999999998</v>
      </c>
    </row>
    <row r="101" spans="1:201" x14ac:dyDescent="0.25">
      <c r="A101">
        <v>85</v>
      </c>
      <c r="B101">
        <v>1690386245.5999999</v>
      </c>
      <c r="C101">
        <v>911</v>
      </c>
      <c r="D101" t="s">
        <v>503</v>
      </c>
      <c r="E101" t="s">
        <v>504</v>
      </c>
      <c r="F101" t="s">
        <v>330</v>
      </c>
      <c r="H101">
        <v>1690386245.5999999</v>
      </c>
      <c r="I101">
        <f t="shared" si="30"/>
        <v>6.3839532410549726E-4</v>
      </c>
      <c r="J101">
        <f t="shared" si="31"/>
        <v>0.63839532410549726</v>
      </c>
      <c r="K101">
        <f t="shared" si="32"/>
        <v>9.9817498153505557</v>
      </c>
      <c r="L101">
        <f t="shared" si="33"/>
        <v>689.64</v>
      </c>
      <c r="M101">
        <f t="shared" si="34"/>
        <v>275.9925927293026</v>
      </c>
      <c r="N101">
        <f t="shared" si="35"/>
        <v>27.25332082865372</v>
      </c>
      <c r="O101">
        <f t="shared" si="36"/>
        <v>68.099581914167999</v>
      </c>
      <c r="P101">
        <f t="shared" si="37"/>
        <v>4.015414171749624E-2</v>
      </c>
      <c r="Q101">
        <f t="shared" si="38"/>
        <v>2.1569973015538637</v>
      </c>
      <c r="R101">
        <f t="shared" si="39"/>
        <v>3.9743448744411138E-2</v>
      </c>
      <c r="S101">
        <f t="shared" si="40"/>
        <v>2.4876204469034085E-2</v>
      </c>
      <c r="T101">
        <f t="shared" si="41"/>
        <v>276.11292536078145</v>
      </c>
      <c r="U101">
        <f t="shared" si="42"/>
        <v>28.139261488759274</v>
      </c>
      <c r="V101">
        <f t="shared" si="43"/>
        <v>28.139261488759274</v>
      </c>
      <c r="W101">
        <f t="shared" si="44"/>
        <v>3.8257572826658639</v>
      </c>
      <c r="X101">
        <f t="shared" si="45"/>
        <v>67.033064483193854</v>
      </c>
      <c r="Y101">
        <f t="shared" si="46"/>
        <v>2.2887084127571202</v>
      </c>
      <c r="Z101">
        <f t="shared" si="47"/>
        <v>3.4142977505241943</v>
      </c>
      <c r="AA101">
        <f t="shared" si="48"/>
        <v>1.5370488699087437</v>
      </c>
      <c r="AB101">
        <f t="shared" si="49"/>
        <v>-28.153233793052429</v>
      </c>
      <c r="AC101">
        <f t="shared" si="50"/>
        <v>-225.57105872711213</v>
      </c>
      <c r="AD101">
        <f t="shared" si="51"/>
        <v>-22.607299392811573</v>
      </c>
      <c r="AE101">
        <f t="shared" si="52"/>
        <v>-0.21866655219469067</v>
      </c>
      <c r="AF101">
        <v>0</v>
      </c>
      <c r="AG101">
        <v>0</v>
      </c>
      <c r="AH101">
        <f t="shared" si="53"/>
        <v>1</v>
      </c>
      <c r="AI101">
        <f t="shared" si="54"/>
        <v>0</v>
      </c>
      <c r="AJ101">
        <f t="shared" si="55"/>
        <v>52269.733520821195</v>
      </c>
      <c r="AK101">
        <f t="shared" si="56"/>
        <v>1799.99</v>
      </c>
      <c r="AL101">
        <f t="shared" si="57"/>
        <v>1499.1032576022999</v>
      </c>
      <c r="AM101">
        <f t="shared" si="58"/>
        <v>0.83283976999999998</v>
      </c>
      <c r="AN101">
        <f t="shared" si="59"/>
        <v>0.15339692184999998</v>
      </c>
      <c r="AO101">
        <v>31.8</v>
      </c>
      <c r="AP101">
        <v>0.5</v>
      </c>
      <c r="AQ101" t="s">
        <v>331</v>
      </c>
      <c r="AR101">
        <v>2</v>
      </c>
      <c r="AS101">
        <v>1690386245.5999999</v>
      </c>
      <c r="AT101">
        <v>689.64</v>
      </c>
      <c r="AU101">
        <v>800.03899999999999</v>
      </c>
      <c r="AV101">
        <v>23.177600000000002</v>
      </c>
      <c r="AW101">
        <v>16.571899999999999</v>
      </c>
      <c r="AX101">
        <v>689.851</v>
      </c>
      <c r="AY101">
        <v>22.8979</v>
      </c>
      <c r="AZ101">
        <v>300.202</v>
      </c>
      <c r="BA101">
        <v>98.646600000000007</v>
      </c>
      <c r="BB101">
        <v>9.9966200000000005E-2</v>
      </c>
      <c r="BC101">
        <v>26.1995</v>
      </c>
      <c r="BD101">
        <v>26.976400000000002</v>
      </c>
      <c r="BE101">
        <v>28.0871</v>
      </c>
      <c r="BF101">
        <v>0</v>
      </c>
      <c r="BG101">
        <v>0</v>
      </c>
      <c r="BH101">
        <v>9993.75</v>
      </c>
      <c r="BI101">
        <v>1071.92</v>
      </c>
      <c r="BJ101">
        <v>1.4577199999999999</v>
      </c>
      <c r="BK101">
        <v>-110.399</v>
      </c>
      <c r="BL101">
        <v>706.00300000000004</v>
      </c>
      <c r="BM101">
        <v>813.52099999999996</v>
      </c>
      <c r="BN101">
        <v>6.6057499999999996</v>
      </c>
      <c r="BO101">
        <v>800.03899999999999</v>
      </c>
      <c r="BP101">
        <v>16.571899999999999</v>
      </c>
      <c r="BQ101">
        <v>2.2863899999999999</v>
      </c>
      <c r="BR101">
        <v>1.63476</v>
      </c>
      <c r="BS101">
        <v>19.5809</v>
      </c>
      <c r="BT101">
        <v>14.2904</v>
      </c>
      <c r="BU101">
        <v>1799.99</v>
      </c>
      <c r="BV101">
        <v>0.91000899999999996</v>
      </c>
      <c r="BW101">
        <v>3.4008799999999999E-2</v>
      </c>
      <c r="BX101">
        <v>2.1992500000000002E-2</v>
      </c>
      <c r="BY101">
        <v>3.3990100000000002E-2</v>
      </c>
      <c r="BZ101">
        <v>25</v>
      </c>
      <c r="CA101">
        <v>33528.300000000003</v>
      </c>
      <c r="CB101">
        <v>1690384821</v>
      </c>
      <c r="CC101" t="s">
        <v>332</v>
      </c>
      <c r="CD101">
        <v>1690384820</v>
      </c>
      <c r="CE101">
        <v>1690384821</v>
      </c>
      <c r="CF101">
        <v>5</v>
      </c>
      <c r="CG101">
        <v>-2.5000000000000001E-2</v>
      </c>
      <c r="CH101">
        <v>0.104</v>
      </c>
      <c r="CI101">
        <v>-0.28799999999999998</v>
      </c>
      <c r="CJ101">
        <v>0.28000000000000003</v>
      </c>
      <c r="CK101">
        <v>800</v>
      </c>
      <c r="CL101">
        <v>24</v>
      </c>
      <c r="CM101">
        <v>0.08</v>
      </c>
      <c r="CN101">
        <v>0.11</v>
      </c>
      <c r="CO101">
        <v>-106.87304878048781</v>
      </c>
      <c r="CP101">
        <v>-19.638606271777039</v>
      </c>
      <c r="CQ101">
        <v>1.936540767441246</v>
      </c>
      <c r="CR101">
        <v>-1</v>
      </c>
      <c r="CS101">
        <v>6.4342004878048789</v>
      </c>
      <c r="CT101">
        <v>0.98568836236936475</v>
      </c>
      <c r="CU101">
        <v>9.7413869422478067E-2</v>
      </c>
      <c r="CV101">
        <v>-1</v>
      </c>
      <c r="CW101">
        <v>0</v>
      </c>
      <c r="CX101">
        <v>0</v>
      </c>
      <c r="CY101" t="s">
        <v>333</v>
      </c>
      <c r="CZ101">
        <v>2.36476</v>
      </c>
      <c r="DA101">
        <v>2.7137500000000001</v>
      </c>
      <c r="DB101">
        <v>0.132211</v>
      </c>
      <c r="DC101">
        <v>0.14571700000000001</v>
      </c>
      <c r="DD101">
        <v>0.110371</v>
      </c>
      <c r="DE101">
        <v>8.5900400000000002E-2</v>
      </c>
      <c r="DF101">
        <v>31699.7</v>
      </c>
      <c r="DG101">
        <v>27548.5</v>
      </c>
      <c r="DH101">
        <v>31184.400000000001</v>
      </c>
      <c r="DI101">
        <v>28098.3</v>
      </c>
      <c r="DJ101">
        <v>37667</v>
      </c>
      <c r="DK101">
        <v>36523.199999999997</v>
      </c>
      <c r="DL101">
        <v>44381.4</v>
      </c>
      <c r="DM101">
        <v>42589.1</v>
      </c>
      <c r="DN101">
        <v>1.4653799999999999</v>
      </c>
      <c r="DO101">
        <v>2.0556199999999998</v>
      </c>
      <c r="DP101">
        <v>0.113554</v>
      </c>
      <c r="DQ101">
        <v>0.19678799999999999</v>
      </c>
      <c r="DR101">
        <v>25.116399999999999</v>
      </c>
      <c r="DS101">
        <v>24.866</v>
      </c>
      <c r="DT101">
        <v>57.4</v>
      </c>
      <c r="DU101">
        <v>28.8</v>
      </c>
      <c r="DV101">
        <v>23.131</v>
      </c>
      <c r="DW101">
        <v>60.962200000000003</v>
      </c>
      <c r="DX101">
        <v>35.833300000000001</v>
      </c>
      <c r="DY101">
        <v>1</v>
      </c>
      <c r="DZ101">
        <v>-0.10455299999999999</v>
      </c>
      <c r="EA101">
        <v>-6.4678599999999998E-3</v>
      </c>
      <c r="EB101">
        <v>20.190100000000001</v>
      </c>
      <c r="EC101">
        <v>5.2416999999999998</v>
      </c>
      <c r="ED101">
        <v>12.039899999999999</v>
      </c>
      <c r="EE101">
        <v>5.0174000000000003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</v>
      </c>
      <c r="EL101">
        <v>1.8646199999999999</v>
      </c>
      <c r="EM101">
        <v>1.8692</v>
      </c>
      <c r="EN101">
        <v>1.8672200000000001</v>
      </c>
      <c r="EO101">
        <v>1.8633900000000001</v>
      </c>
      <c r="EP101">
        <v>1.86446</v>
      </c>
      <c r="EQ101">
        <v>1.8701399999999999</v>
      </c>
      <c r="ER101">
        <v>1.86938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-0.21099999999999999</v>
      </c>
      <c r="FG101">
        <v>0.2797</v>
      </c>
      <c r="FH101">
        <v>0.26269369235785539</v>
      </c>
      <c r="FI101">
        <v>-6.1462078757559423E-4</v>
      </c>
      <c r="FJ101">
        <v>-1.8861989874597051E-7</v>
      </c>
      <c r="FK101">
        <v>1.1980462299894961E-10</v>
      </c>
      <c r="FL101">
        <v>0.27968571428570849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23.8</v>
      </c>
      <c r="FU101">
        <v>23.7</v>
      </c>
      <c r="FV101">
        <v>1.79077</v>
      </c>
      <c r="FW101">
        <v>2.5842299999999998</v>
      </c>
      <c r="FX101">
        <v>1.5490699999999999</v>
      </c>
      <c r="FY101">
        <v>2.3327599999999999</v>
      </c>
      <c r="FZ101">
        <v>1.50146</v>
      </c>
      <c r="GA101">
        <v>2.3779300000000001</v>
      </c>
      <c r="GB101">
        <v>33.558</v>
      </c>
      <c r="GC101">
        <v>23.982399999999998</v>
      </c>
      <c r="GD101">
        <v>19</v>
      </c>
      <c r="GE101">
        <v>277.82499999999999</v>
      </c>
      <c r="GF101">
        <v>598.02599999999995</v>
      </c>
      <c r="GG101">
        <v>24.2395</v>
      </c>
      <c r="GH101">
        <v>26.091999999999999</v>
      </c>
      <c r="GI101">
        <v>30.000299999999999</v>
      </c>
      <c r="GJ101">
        <v>26.243300000000001</v>
      </c>
      <c r="GK101">
        <v>26.2348</v>
      </c>
      <c r="GL101">
        <v>35.809399999999997</v>
      </c>
      <c r="GM101">
        <v>36.3797</v>
      </c>
      <c r="GN101">
        <v>97.0184</v>
      </c>
      <c r="GO101">
        <v>24.2486</v>
      </c>
      <c r="GP101">
        <v>800</v>
      </c>
      <c r="GQ101">
        <v>16.433199999999999</v>
      </c>
      <c r="GR101">
        <v>99.780799999999999</v>
      </c>
      <c r="GS101">
        <v>99.629000000000005</v>
      </c>
    </row>
    <row r="102" spans="1:201" x14ac:dyDescent="0.25">
      <c r="A102">
        <v>86</v>
      </c>
      <c r="B102">
        <v>1690386255.5999999</v>
      </c>
      <c r="C102">
        <v>921</v>
      </c>
      <c r="D102" t="s">
        <v>505</v>
      </c>
      <c r="E102" t="s">
        <v>506</v>
      </c>
      <c r="F102" t="s">
        <v>330</v>
      </c>
      <c r="H102">
        <v>1690386255.5999999</v>
      </c>
      <c r="I102">
        <f t="shared" si="30"/>
        <v>6.5376978494548481E-4</v>
      </c>
      <c r="J102">
        <f t="shared" si="31"/>
        <v>0.65376978494548477</v>
      </c>
      <c r="K102">
        <f t="shared" si="32"/>
        <v>10.287654268457215</v>
      </c>
      <c r="L102">
        <f t="shared" si="33"/>
        <v>686.34400000000005</v>
      </c>
      <c r="M102">
        <f t="shared" si="34"/>
        <v>270.81604353530747</v>
      </c>
      <c r="N102">
        <f t="shared" si="35"/>
        <v>26.741097321800193</v>
      </c>
      <c r="O102">
        <f t="shared" si="36"/>
        <v>67.771434294071994</v>
      </c>
      <c r="P102">
        <f t="shared" si="37"/>
        <v>4.1186963261471074E-2</v>
      </c>
      <c r="Q102">
        <f t="shared" si="38"/>
        <v>2.1636003893160805</v>
      </c>
      <c r="R102">
        <f t="shared" si="39"/>
        <v>4.0756297416315278E-2</v>
      </c>
      <c r="S102">
        <f t="shared" si="40"/>
        <v>2.5511004160963562E-2</v>
      </c>
      <c r="T102">
        <f t="shared" si="41"/>
        <v>276.11410674600006</v>
      </c>
      <c r="U102">
        <f t="shared" si="42"/>
        <v>28.136380905259099</v>
      </c>
      <c r="V102">
        <f t="shared" si="43"/>
        <v>28.136380905259099</v>
      </c>
      <c r="W102">
        <f t="shared" si="44"/>
        <v>3.8251155421305576</v>
      </c>
      <c r="X102">
        <f t="shared" si="45"/>
        <v>67.046938552056062</v>
      </c>
      <c r="Y102">
        <f t="shared" si="46"/>
        <v>2.2902373256219999</v>
      </c>
      <c r="Z102">
        <f t="shared" si="47"/>
        <v>3.4158715894892522</v>
      </c>
      <c r="AA102">
        <f t="shared" si="48"/>
        <v>1.5348782165085577</v>
      </c>
      <c r="AB102">
        <f t="shared" si="49"/>
        <v>-28.831247516095882</v>
      </c>
      <c r="AC102">
        <f t="shared" si="50"/>
        <v>-225.015759775211</v>
      </c>
      <c r="AD102">
        <f t="shared" si="51"/>
        <v>-22.483370732812634</v>
      </c>
      <c r="AE102">
        <f t="shared" si="52"/>
        <v>-0.21627127811945002</v>
      </c>
      <c r="AF102">
        <v>0</v>
      </c>
      <c r="AG102">
        <v>0</v>
      </c>
      <c r="AH102">
        <f t="shared" si="53"/>
        <v>1</v>
      </c>
      <c r="AI102">
        <f t="shared" si="54"/>
        <v>0</v>
      </c>
      <c r="AJ102">
        <f t="shared" si="55"/>
        <v>52545.323079768314</v>
      </c>
      <c r="AK102">
        <f t="shared" si="56"/>
        <v>1800</v>
      </c>
      <c r="AL102">
        <f t="shared" si="57"/>
        <v>1499.1110586</v>
      </c>
      <c r="AM102">
        <f t="shared" si="58"/>
        <v>0.83283947699999994</v>
      </c>
      <c r="AN102">
        <f t="shared" si="59"/>
        <v>0.15339672597000004</v>
      </c>
      <c r="AO102">
        <v>31.8</v>
      </c>
      <c r="AP102">
        <v>0.5</v>
      </c>
      <c r="AQ102" t="s">
        <v>331</v>
      </c>
      <c r="AR102">
        <v>2</v>
      </c>
      <c r="AS102">
        <v>1690386255.5999999</v>
      </c>
      <c r="AT102">
        <v>686.34400000000005</v>
      </c>
      <c r="AU102">
        <v>800.10699999999997</v>
      </c>
      <c r="AV102">
        <v>23.193999999999999</v>
      </c>
      <c r="AW102">
        <v>16.427299999999999</v>
      </c>
      <c r="AX102">
        <v>686.553</v>
      </c>
      <c r="AY102">
        <v>22.914300000000001</v>
      </c>
      <c r="AZ102">
        <v>300.11200000000002</v>
      </c>
      <c r="BA102">
        <v>98.642799999999994</v>
      </c>
      <c r="BB102">
        <v>9.9862999999999993E-2</v>
      </c>
      <c r="BC102">
        <v>26.2073</v>
      </c>
      <c r="BD102">
        <v>26.9801</v>
      </c>
      <c r="BE102">
        <v>28.081499999999998</v>
      </c>
      <c r="BF102">
        <v>0</v>
      </c>
      <c r="BG102">
        <v>0</v>
      </c>
      <c r="BH102">
        <v>10049.4</v>
      </c>
      <c r="BI102">
        <v>1072.07</v>
      </c>
      <c r="BJ102">
        <v>1.4577199999999999</v>
      </c>
      <c r="BK102">
        <v>-113.76300000000001</v>
      </c>
      <c r="BL102">
        <v>702.64099999999996</v>
      </c>
      <c r="BM102">
        <v>813.47</v>
      </c>
      <c r="BN102">
        <v>6.7667099999999998</v>
      </c>
      <c r="BO102">
        <v>800.10699999999997</v>
      </c>
      <c r="BP102">
        <v>16.427299999999999</v>
      </c>
      <c r="BQ102">
        <v>2.2879200000000002</v>
      </c>
      <c r="BR102">
        <v>1.6204400000000001</v>
      </c>
      <c r="BS102">
        <v>19.5916</v>
      </c>
      <c r="BT102">
        <v>14.154500000000001</v>
      </c>
      <c r="BU102">
        <v>1800</v>
      </c>
      <c r="BV102">
        <v>0.91001200000000004</v>
      </c>
      <c r="BW102">
        <v>3.40074E-2</v>
      </c>
      <c r="BX102">
        <v>2.19916E-2</v>
      </c>
      <c r="BY102">
        <v>3.3988699999999997E-2</v>
      </c>
      <c r="BZ102">
        <v>25</v>
      </c>
      <c r="CA102">
        <v>33528.5</v>
      </c>
      <c r="CB102">
        <v>1690384821</v>
      </c>
      <c r="CC102" t="s">
        <v>332</v>
      </c>
      <c r="CD102">
        <v>1690384820</v>
      </c>
      <c r="CE102">
        <v>1690384821</v>
      </c>
      <c r="CF102">
        <v>5</v>
      </c>
      <c r="CG102">
        <v>-2.5000000000000001E-2</v>
      </c>
      <c r="CH102">
        <v>0.104</v>
      </c>
      <c r="CI102">
        <v>-0.28799999999999998</v>
      </c>
      <c r="CJ102">
        <v>0.28000000000000003</v>
      </c>
      <c r="CK102">
        <v>800</v>
      </c>
      <c r="CL102">
        <v>24</v>
      </c>
      <c r="CM102">
        <v>0.08</v>
      </c>
      <c r="CN102">
        <v>0.11</v>
      </c>
      <c r="CO102">
        <v>-110.3561</v>
      </c>
      <c r="CP102">
        <v>-19.489756097560878</v>
      </c>
      <c r="CQ102">
        <v>1.8752590594368539</v>
      </c>
      <c r="CR102">
        <v>-1</v>
      </c>
      <c r="CS102">
        <v>6.6086487500000004</v>
      </c>
      <c r="CT102">
        <v>0.9298130206378854</v>
      </c>
      <c r="CU102">
        <v>8.9621683542195865E-2</v>
      </c>
      <c r="CV102">
        <v>-1</v>
      </c>
      <c r="CW102">
        <v>0</v>
      </c>
      <c r="CX102">
        <v>0</v>
      </c>
      <c r="CY102" t="s">
        <v>333</v>
      </c>
      <c r="CZ102">
        <v>2.3644699999999998</v>
      </c>
      <c r="DA102">
        <v>2.7136999999999998</v>
      </c>
      <c r="DB102">
        <v>0.131773</v>
      </c>
      <c r="DC102">
        <v>0.14571700000000001</v>
      </c>
      <c r="DD102">
        <v>0.11042299999999999</v>
      </c>
      <c r="DE102">
        <v>8.5353899999999996E-2</v>
      </c>
      <c r="DF102">
        <v>31716</v>
      </c>
      <c r="DG102">
        <v>27548.6</v>
      </c>
      <c r="DH102">
        <v>31184.7</v>
      </c>
      <c r="DI102">
        <v>28098.400000000001</v>
      </c>
      <c r="DJ102">
        <v>37665</v>
      </c>
      <c r="DK102">
        <v>36545.199999999997</v>
      </c>
      <c r="DL102">
        <v>44381.8</v>
      </c>
      <c r="DM102">
        <v>42589.3</v>
      </c>
      <c r="DN102">
        <v>1.4648300000000001</v>
      </c>
      <c r="DO102">
        <v>2.0554999999999999</v>
      </c>
      <c r="DP102">
        <v>0.113651</v>
      </c>
      <c r="DQ102">
        <v>0.196323</v>
      </c>
      <c r="DR102">
        <v>25.118600000000001</v>
      </c>
      <c r="DS102">
        <v>24.868099999999998</v>
      </c>
      <c r="DT102">
        <v>57.4</v>
      </c>
      <c r="DU102">
        <v>28.8</v>
      </c>
      <c r="DV102">
        <v>23.136700000000001</v>
      </c>
      <c r="DW102">
        <v>60.862200000000001</v>
      </c>
      <c r="DX102">
        <v>36.113799999999998</v>
      </c>
      <c r="DY102">
        <v>1</v>
      </c>
      <c r="DZ102">
        <v>-0.105447</v>
      </c>
      <c r="EA102">
        <v>-2.8028299999999999E-2</v>
      </c>
      <c r="EB102">
        <v>20.190100000000001</v>
      </c>
      <c r="EC102">
        <v>5.24125</v>
      </c>
      <c r="ED102">
        <v>12.039899999999999</v>
      </c>
      <c r="EE102">
        <v>5.0173500000000004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</v>
      </c>
      <c r="EL102">
        <v>1.8646199999999999</v>
      </c>
      <c r="EM102">
        <v>1.8692</v>
      </c>
      <c r="EN102">
        <v>1.8672200000000001</v>
      </c>
      <c r="EO102">
        <v>1.8633999999999999</v>
      </c>
      <c r="EP102">
        <v>1.8644700000000001</v>
      </c>
      <c r="EQ102">
        <v>1.87016</v>
      </c>
      <c r="ER102">
        <v>1.8693900000000001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-0.20899999999999999</v>
      </c>
      <c r="FG102">
        <v>0.2797</v>
      </c>
      <c r="FH102">
        <v>0.26269369235785539</v>
      </c>
      <c r="FI102">
        <v>-6.1462078757559423E-4</v>
      </c>
      <c r="FJ102">
        <v>-1.8861989874597051E-7</v>
      </c>
      <c r="FK102">
        <v>1.1980462299894961E-10</v>
      </c>
      <c r="FL102">
        <v>0.27968571428570849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23.9</v>
      </c>
      <c r="FU102">
        <v>23.9</v>
      </c>
      <c r="FV102">
        <v>1.79077</v>
      </c>
      <c r="FW102">
        <v>2.5830099999999998</v>
      </c>
      <c r="FX102">
        <v>1.5490699999999999</v>
      </c>
      <c r="FY102">
        <v>2.3327599999999999</v>
      </c>
      <c r="FZ102">
        <v>1.50146</v>
      </c>
      <c r="GA102">
        <v>2.3864700000000001</v>
      </c>
      <c r="GB102">
        <v>33.558</v>
      </c>
      <c r="GC102">
        <v>23.982399999999998</v>
      </c>
      <c r="GD102">
        <v>19</v>
      </c>
      <c r="GE102">
        <v>277.57900000000001</v>
      </c>
      <c r="GF102">
        <v>597.88099999999997</v>
      </c>
      <c r="GG102">
        <v>24.280899999999999</v>
      </c>
      <c r="GH102">
        <v>26.088100000000001</v>
      </c>
      <c r="GI102">
        <v>29.9999</v>
      </c>
      <c r="GJ102">
        <v>26.24</v>
      </c>
      <c r="GK102">
        <v>26.231400000000001</v>
      </c>
      <c r="GL102">
        <v>35.803100000000001</v>
      </c>
      <c r="GM102">
        <v>36.985700000000001</v>
      </c>
      <c r="GN102">
        <v>96.643799999999999</v>
      </c>
      <c r="GO102">
        <v>24.2879</v>
      </c>
      <c r="GP102">
        <v>800</v>
      </c>
      <c r="GQ102">
        <v>16.279499999999999</v>
      </c>
      <c r="GR102">
        <v>99.781599999999997</v>
      </c>
      <c r="GS102">
        <v>99.629400000000004</v>
      </c>
    </row>
    <row r="103" spans="1:201" x14ac:dyDescent="0.25">
      <c r="A103">
        <v>87</v>
      </c>
      <c r="B103">
        <v>1690386265.5999999</v>
      </c>
      <c r="C103">
        <v>931</v>
      </c>
      <c r="D103" t="s">
        <v>507</v>
      </c>
      <c r="E103" t="s">
        <v>508</v>
      </c>
      <c r="F103" t="s">
        <v>330</v>
      </c>
      <c r="H103">
        <v>1690386265.5999999</v>
      </c>
      <c r="I103">
        <f t="shared" si="30"/>
        <v>6.6827189134410704E-4</v>
      </c>
      <c r="J103">
        <f t="shared" si="31"/>
        <v>0.66827189134410703</v>
      </c>
      <c r="K103">
        <f t="shared" si="32"/>
        <v>10.569860827085742</v>
      </c>
      <c r="L103">
        <f t="shared" si="33"/>
        <v>683.12599999999998</v>
      </c>
      <c r="M103">
        <f t="shared" si="34"/>
        <v>265.16501873139543</v>
      </c>
      <c r="N103">
        <f t="shared" si="35"/>
        <v>26.184074300261685</v>
      </c>
      <c r="O103">
        <f t="shared" si="36"/>
        <v>67.456190209462008</v>
      </c>
      <c r="P103">
        <f t="shared" si="37"/>
        <v>4.206271417153773E-2</v>
      </c>
      <c r="Q103">
        <f t="shared" si="38"/>
        <v>2.1521940417709851</v>
      </c>
      <c r="R103">
        <f t="shared" si="39"/>
        <v>4.1611294544464043E-2</v>
      </c>
      <c r="S103">
        <f t="shared" si="40"/>
        <v>2.6047213570889464E-2</v>
      </c>
      <c r="T103">
        <f t="shared" si="41"/>
        <v>276.1124923551871</v>
      </c>
      <c r="U103">
        <f t="shared" si="42"/>
        <v>28.149438430305221</v>
      </c>
      <c r="V103">
        <f t="shared" si="43"/>
        <v>28.149438430305221</v>
      </c>
      <c r="W103">
        <f t="shared" si="44"/>
        <v>3.8280252684915643</v>
      </c>
      <c r="X103">
        <f t="shared" si="45"/>
        <v>67.043476343707638</v>
      </c>
      <c r="Y103">
        <f t="shared" si="46"/>
        <v>2.2913100037479999</v>
      </c>
      <c r="Z103">
        <f t="shared" si="47"/>
        <v>3.4176479632429602</v>
      </c>
      <c r="AA103">
        <f t="shared" si="48"/>
        <v>1.5367152647435645</v>
      </c>
      <c r="AB103">
        <f t="shared" si="49"/>
        <v>-29.470790408275121</v>
      </c>
      <c r="AC103">
        <f t="shared" si="50"/>
        <v>-224.3234894115694</v>
      </c>
      <c r="AD103">
        <f t="shared" si="51"/>
        <v>-22.535454307095453</v>
      </c>
      <c r="AE103">
        <f t="shared" si="52"/>
        <v>-0.21724177175286741</v>
      </c>
      <c r="AF103">
        <v>0</v>
      </c>
      <c r="AG103">
        <v>0</v>
      </c>
      <c r="AH103">
        <f t="shared" si="53"/>
        <v>1</v>
      </c>
      <c r="AI103">
        <f t="shared" si="54"/>
        <v>0</v>
      </c>
      <c r="AJ103">
        <f t="shared" si="55"/>
        <v>52065.879020702509</v>
      </c>
      <c r="AK103">
        <f t="shared" si="56"/>
        <v>1799.99</v>
      </c>
      <c r="AL103">
        <f t="shared" si="57"/>
        <v>1499.1037147997599</v>
      </c>
      <c r="AM103">
        <f t="shared" si="58"/>
        <v>0.83284002400000001</v>
      </c>
      <c r="AN103">
        <f t="shared" si="59"/>
        <v>0.15339668129</v>
      </c>
      <c r="AO103">
        <v>31.8</v>
      </c>
      <c r="AP103">
        <v>0.5</v>
      </c>
      <c r="AQ103" t="s">
        <v>331</v>
      </c>
      <c r="AR103">
        <v>2</v>
      </c>
      <c r="AS103">
        <v>1690386265.5999999</v>
      </c>
      <c r="AT103">
        <v>683.12599999999998</v>
      </c>
      <c r="AU103">
        <v>799.95299999999997</v>
      </c>
      <c r="AV103">
        <v>23.204000000000001</v>
      </c>
      <c r="AW103">
        <v>16.287800000000001</v>
      </c>
      <c r="AX103">
        <v>683.33299999999997</v>
      </c>
      <c r="AY103">
        <v>22.924299999999999</v>
      </c>
      <c r="AZ103">
        <v>300.13499999999999</v>
      </c>
      <c r="BA103">
        <v>98.646299999999997</v>
      </c>
      <c r="BB103">
        <v>0.100037</v>
      </c>
      <c r="BC103">
        <v>26.216100000000001</v>
      </c>
      <c r="BD103">
        <v>26.983499999999999</v>
      </c>
      <c r="BE103">
        <v>28.104900000000001</v>
      </c>
      <c r="BF103">
        <v>0</v>
      </c>
      <c r="BG103">
        <v>0</v>
      </c>
      <c r="BH103">
        <v>9953.75</v>
      </c>
      <c r="BI103">
        <v>1072.17</v>
      </c>
      <c r="BJ103">
        <v>1.4577199999999999</v>
      </c>
      <c r="BK103">
        <v>-116.827</v>
      </c>
      <c r="BL103">
        <v>699.35400000000004</v>
      </c>
      <c r="BM103">
        <v>813.19799999999998</v>
      </c>
      <c r="BN103">
        <v>6.91622</v>
      </c>
      <c r="BO103">
        <v>799.95299999999997</v>
      </c>
      <c r="BP103">
        <v>16.287800000000001</v>
      </c>
      <c r="BQ103">
        <v>2.2889900000000001</v>
      </c>
      <c r="BR103">
        <v>1.60673</v>
      </c>
      <c r="BS103">
        <v>19.5991</v>
      </c>
      <c r="BT103">
        <v>14.0235</v>
      </c>
      <c r="BU103">
        <v>1799.99</v>
      </c>
      <c r="BV103">
        <v>0.91001600000000005</v>
      </c>
      <c r="BW103">
        <v>3.4006000000000002E-2</v>
      </c>
      <c r="BX103">
        <v>2.1990699999999998E-2</v>
      </c>
      <c r="BY103">
        <v>3.3987299999999998E-2</v>
      </c>
      <c r="BZ103">
        <v>25</v>
      </c>
      <c r="CA103">
        <v>33528.400000000001</v>
      </c>
      <c r="CB103">
        <v>1690384821</v>
      </c>
      <c r="CC103" t="s">
        <v>332</v>
      </c>
      <c r="CD103">
        <v>1690384820</v>
      </c>
      <c r="CE103">
        <v>1690384821</v>
      </c>
      <c r="CF103">
        <v>5</v>
      </c>
      <c r="CG103">
        <v>-2.5000000000000001E-2</v>
      </c>
      <c r="CH103">
        <v>0.104</v>
      </c>
      <c r="CI103">
        <v>-0.28799999999999998</v>
      </c>
      <c r="CJ103">
        <v>0.28000000000000003</v>
      </c>
      <c r="CK103">
        <v>800</v>
      </c>
      <c r="CL103">
        <v>24</v>
      </c>
      <c r="CM103">
        <v>0.08</v>
      </c>
      <c r="CN103">
        <v>0.11</v>
      </c>
      <c r="CO103">
        <v>-113.27617499999999</v>
      </c>
      <c r="CP103">
        <v>-19.62863414634101</v>
      </c>
      <c r="CQ103">
        <v>1.8886791268966261</v>
      </c>
      <c r="CR103">
        <v>-1</v>
      </c>
      <c r="CS103">
        <v>6.7533457499999994</v>
      </c>
      <c r="CT103">
        <v>0.97786682926826263</v>
      </c>
      <c r="CU103">
        <v>9.4313112367462065E-2</v>
      </c>
      <c r="CV103">
        <v>-1</v>
      </c>
      <c r="CW103">
        <v>0</v>
      </c>
      <c r="CX103">
        <v>0</v>
      </c>
      <c r="CY103" t="s">
        <v>333</v>
      </c>
      <c r="CZ103">
        <v>2.3645499999999999</v>
      </c>
      <c r="DA103">
        <v>2.7137899999999999</v>
      </c>
      <c r="DB103">
        <v>0.131354</v>
      </c>
      <c r="DC103">
        <v>0.145703</v>
      </c>
      <c r="DD103">
        <v>0.110462</v>
      </c>
      <c r="DE103">
        <v>8.4831199999999995E-2</v>
      </c>
      <c r="DF103">
        <v>31731.200000000001</v>
      </c>
      <c r="DG103">
        <v>27549.3</v>
      </c>
      <c r="DH103">
        <v>31184.6</v>
      </c>
      <c r="DI103">
        <v>28098.6</v>
      </c>
      <c r="DJ103">
        <v>37663</v>
      </c>
      <c r="DK103">
        <v>36566.5</v>
      </c>
      <c r="DL103">
        <v>44381.4</v>
      </c>
      <c r="DM103">
        <v>42589.599999999999</v>
      </c>
      <c r="DN103">
        <v>1.4654700000000001</v>
      </c>
      <c r="DO103">
        <v>2.0552999999999999</v>
      </c>
      <c r="DP103">
        <v>0.113636</v>
      </c>
      <c r="DQ103">
        <v>0.19769400000000001</v>
      </c>
      <c r="DR103">
        <v>25.122199999999999</v>
      </c>
      <c r="DS103">
        <v>24.8691</v>
      </c>
      <c r="DT103">
        <v>57.3</v>
      </c>
      <c r="DU103">
        <v>28.8</v>
      </c>
      <c r="DV103">
        <v>23.095300000000002</v>
      </c>
      <c r="DW103">
        <v>61.422199999999997</v>
      </c>
      <c r="DX103">
        <v>36.502400000000002</v>
      </c>
      <c r="DY103">
        <v>1</v>
      </c>
      <c r="DZ103">
        <v>-0.10552599999999999</v>
      </c>
      <c r="EA103">
        <v>1.8622E-2</v>
      </c>
      <c r="EB103">
        <v>20.190100000000001</v>
      </c>
      <c r="EC103">
        <v>5.2415500000000002</v>
      </c>
      <c r="ED103">
        <v>12.039899999999999</v>
      </c>
      <c r="EE103">
        <v>5.0175000000000001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</v>
      </c>
      <c r="EL103">
        <v>1.8646199999999999</v>
      </c>
      <c r="EM103">
        <v>1.8692</v>
      </c>
      <c r="EN103">
        <v>1.8672299999999999</v>
      </c>
      <c r="EO103">
        <v>1.86337</v>
      </c>
      <c r="EP103">
        <v>1.8644499999999999</v>
      </c>
      <c r="EQ103">
        <v>1.87016</v>
      </c>
      <c r="ER103">
        <v>1.86938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-0.20699999999999999</v>
      </c>
      <c r="FG103">
        <v>0.2797</v>
      </c>
      <c r="FH103">
        <v>0.26269369235785539</v>
      </c>
      <c r="FI103">
        <v>-6.1462078757559423E-4</v>
      </c>
      <c r="FJ103">
        <v>-1.8861989874597051E-7</v>
      </c>
      <c r="FK103">
        <v>1.1980462299894961E-10</v>
      </c>
      <c r="FL103">
        <v>0.27968571428570849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24.1</v>
      </c>
      <c r="FU103">
        <v>24.1</v>
      </c>
      <c r="FV103">
        <v>1.79077</v>
      </c>
      <c r="FW103">
        <v>2.5781200000000002</v>
      </c>
      <c r="FX103">
        <v>1.5490699999999999</v>
      </c>
      <c r="FY103">
        <v>2.3327599999999999</v>
      </c>
      <c r="FZ103">
        <v>1.50146</v>
      </c>
      <c r="GA103">
        <v>2.4060100000000002</v>
      </c>
      <c r="GB103">
        <v>33.558</v>
      </c>
      <c r="GC103">
        <v>23.982399999999998</v>
      </c>
      <c r="GD103">
        <v>19</v>
      </c>
      <c r="GE103">
        <v>277.83800000000002</v>
      </c>
      <c r="GF103">
        <v>597.66300000000001</v>
      </c>
      <c r="GG103">
        <v>24.307600000000001</v>
      </c>
      <c r="GH103">
        <v>26.084800000000001</v>
      </c>
      <c r="GI103">
        <v>29.9999</v>
      </c>
      <c r="GJ103">
        <v>26.236699999999999</v>
      </c>
      <c r="GK103">
        <v>26.2271</v>
      </c>
      <c r="GL103">
        <v>35.807099999999998</v>
      </c>
      <c r="GM103">
        <v>37.273400000000002</v>
      </c>
      <c r="GN103">
        <v>96.267399999999995</v>
      </c>
      <c r="GO103">
        <v>24.305499999999999</v>
      </c>
      <c r="GP103">
        <v>800</v>
      </c>
      <c r="GQ103">
        <v>16.221599999999999</v>
      </c>
      <c r="GR103">
        <v>99.781000000000006</v>
      </c>
      <c r="GS103">
        <v>99.630300000000005</v>
      </c>
    </row>
    <row r="104" spans="1:201" x14ac:dyDescent="0.25">
      <c r="A104">
        <v>88</v>
      </c>
      <c r="B104">
        <v>1690386275.5999999</v>
      </c>
      <c r="C104">
        <v>941</v>
      </c>
      <c r="D104" t="s">
        <v>509</v>
      </c>
      <c r="E104" t="s">
        <v>510</v>
      </c>
      <c r="F104" t="s">
        <v>330</v>
      </c>
      <c r="H104">
        <v>1690386275.5999999</v>
      </c>
      <c r="I104">
        <f t="shared" si="30"/>
        <v>6.7607386491311684E-4</v>
      </c>
      <c r="J104">
        <f t="shared" si="31"/>
        <v>0.67607386491311683</v>
      </c>
      <c r="K104">
        <f t="shared" si="32"/>
        <v>10.885865112110508</v>
      </c>
      <c r="L104">
        <f t="shared" si="33"/>
        <v>679.85900000000004</v>
      </c>
      <c r="M104">
        <f t="shared" si="34"/>
        <v>255.76976258707813</v>
      </c>
      <c r="N104">
        <f t="shared" si="35"/>
        <v>25.255894152625547</v>
      </c>
      <c r="O104">
        <f t="shared" si="36"/>
        <v>67.132434925195994</v>
      </c>
      <c r="P104">
        <f t="shared" si="37"/>
        <v>4.2659589078708766E-2</v>
      </c>
      <c r="Q104">
        <f t="shared" si="38"/>
        <v>2.1627995995176055</v>
      </c>
      <c r="R104">
        <f t="shared" si="39"/>
        <v>4.2197593316460509E-2</v>
      </c>
      <c r="S104">
        <f t="shared" si="40"/>
        <v>2.6414587310138238E-2</v>
      </c>
      <c r="T104">
        <f t="shared" si="41"/>
        <v>276.11371372040168</v>
      </c>
      <c r="U104">
        <f t="shared" si="42"/>
        <v>28.141530740318583</v>
      </c>
      <c r="V104">
        <f t="shared" si="43"/>
        <v>28.141530740318583</v>
      </c>
      <c r="W104">
        <f t="shared" si="44"/>
        <v>3.826262895930495</v>
      </c>
      <c r="X104">
        <f t="shared" si="45"/>
        <v>67.086346702063608</v>
      </c>
      <c r="Y104">
        <f t="shared" si="46"/>
        <v>2.2932357377915999</v>
      </c>
      <c r="Z104">
        <f t="shared" si="47"/>
        <v>3.4183345054934393</v>
      </c>
      <c r="AA104">
        <f t="shared" si="48"/>
        <v>1.533027158138895</v>
      </c>
      <c r="AB104">
        <f t="shared" si="49"/>
        <v>-29.814857442668451</v>
      </c>
      <c r="AC104">
        <f t="shared" si="50"/>
        <v>-224.11042190900702</v>
      </c>
      <c r="AD104">
        <f t="shared" si="51"/>
        <v>-22.403141834527212</v>
      </c>
      <c r="AE104">
        <f t="shared" si="52"/>
        <v>-0.21470746580101263</v>
      </c>
      <c r="AF104">
        <v>0</v>
      </c>
      <c r="AG104">
        <v>0</v>
      </c>
      <c r="AH104">
        <f t="shared" si="53"/>
        <v>1</v>
      </c>
      <c r="AI104">
        <f t="shared" si="54"/>
        <v>0</v>
      </c>
      <c r="AJ104">
        <f t="shared" si="55"/>
        <v>52509.576097939942</v>
      </c>
      <c r="AK104">
        <f t="shared" si="56"/>
        <v>1799.99</v>
      </c>
      <c r="AL104">
        <f t="shared" si="57"/>
        <v>1499.1051349918703</v>
      </c>
      <c r="AM104">
        <f t="shared" si="58"/>
        <v>0.83284081300000012</v>
      </c>
      <c r="AN104">
        <f t="shared" si="59"/>
        <v>0.15339735983</v>
      </c>
      <c r="AO104">
        <v>31.8</v>
      </c>
      <c r="AP104">
        <v>0.5</v>
      </c>
      <c r="AQ104" t="s">
        <v>331</v>
      </c>
      <c r="AR104">
        <v>2</v>
      </c>
      <c r="AS104">
        <v>1690386275.5999999</v>
      </c>
      <c r="AT104">
        <v>679.85900000000004</v>
      </c>
      <c r="AU104">
        <v>800.06200000000001</v>
      </c>
      <c r="AV104">
        <v>23.2239</v>
      </c>
      <c r="AW104">
        <v>16.227399999999999</v>
      </c>
      <c r="AX104">
        <v>680.06399999999996</v>
      </c>
      <c r="AY104">
        <v>22.944199999999999</v>
      </c>
      <c r="AZ104">
        <v>300.14800000000002</v>
      </c>
      <c r="BA104">
        <v>98.644599999999997</v>
      </c>
      <c r="BB104">
        <v>0.10004399999999999</v>
      </c>
      <c r="BC104">
        <v>26.2195</v>
      </c>
      <c r="BD104">
        <v>27.014399999999998</v>
      </c>
      <c r="BE104">
        <v>28.084099999999999</v>
      </c>
      <c r="BF104">
        <v>0</v>
      </c>
      <c r="BG104">
        <v>0</v>
      </c>
      <c r="BH104">
        <v>10042.5</v>
      </c>
      <c r="BI104">
        <v>1072.18</v>
      </c>
      <c r="BJ104">
        <v>1.4577199999999999</v>
      </c>
      <c r="BK104">
        <v>-120.203</v>
      </c>
      <c r="BL104">
        <v>696.02300000000002</v>
      </c>
      <c r="BM104">
        <v>813.25900000000001</v>
      </c>
      <c r="BN104">
        <v>6.9965099999999998</v>
      </c>
      <c r="BO104">
        <v>800.06200000000001</v>
      </c>
      <c r="BP104">
        <v>16.227399999999999</v>
      </c>
      <c r="BQ104">
        <v>2.2909099999999998</v>
      </c>
      <c r="BR104">
        <v>1.6007400000000001</v>
      </c>
      <c r="BS104">
        <v>19.6126</v>
      </c>
      <c r="BT104">
        <v>13.965999999999999</v>
      </c>
      <c r="BU104">
        <v>1799.99</v>
      </c>
      <c r="BV104">
        <v>0.91000999999999999</v>
      </c>
      <c r="BW104">
        <v>3.4004800000000002E-2</v>
      </c>
      <c r="BX104">
        <v>2.1999399999999999E-2</v>
      </c>
      <c r="BY104">
        <v>3.3986099999999998E-2</v>
      </c>
      <c r="BZ104">
        <v>25</v>
      </c>
      <c r="CA104">
        <v>33528.300000000003</v>
      </c>
      <c r="CB104">
        <v>1690384821</v>
      </c>
      <c r="CC104" t="s">
        <v>332</v>
      </c>
      <c r="CD104">
        <v>1690384820</v>
      </c>
      <c r="CE104">
        <v>1690384821</v>
      </c>
      <c r="CF104">
        <v>5</v>
      </c>
      <c r="CG104">
        <v>-2.5000000000000001E-2</v>
      </c>
      <c r="CH104">
        <v>0.104</v>
      </c>
      <c r="CI104">
        <v>-0.28799999999999998</v>
      </c>
      <c r="CJ104">
        <v>0.28000000000000003</v>
      </c>
      <c r="CK104">
        <v>800</v>
      </c>
      <c r="CL104">
        <v>24</v>
      </c>
      <c r="CM104">
        <v>0.08</v>
      </c>
      <c r="CN104">
        <v>0.11</v>
      </c>
      <c r="CO104">
        <v>-116.61070731707321</v>
      </c>
      <c r="CP104">
        <v>-19.486682926829491</v>
      </c>
      <c r="CQ104">
        <v>1.9221997084628739</v>
      </c>
      <c r="CR104">
        <v>-1</v>
      </c>
      <c r="CS104">
        <v>6.8875182926829259</v>
      </c>
      <c r="CT104">
        <v>0.60348668989547793</v>
      </c>
      <c r="CU104">
        <v>6.1858338511687518E-2</v>
      </c>
      <c r="CV104">
        <v>-1</v>
      </c>
      <c r="CW104">
        <v>0</v>
      </c>
      <c r="CX104">
        <v>0</v>
      </c>
      <c r="CY104" t="s">
        <v>333</v>
      </c>
      <c r="CZ104">
        <v>2.3645900000000002</v>
      </c>
      <c r="DA104">
        <v>2.71387</v>
      </c>
      <c r="DB104">
        <v>0.13092100000000001</v>
      </c>
      <c r="DC104">
        <v>0.14571300000000001</v>
      </c>
      <c r="DD104">
        <v>0.110528</v>
      </c>
      <c r="DE104">
        <v>8.4601800000000005E-2</v>
      </c>
      <c r="DF104">
        <v>31747.7</v>
      </c>
      <c r="DG104">
        <v>27549.4</v>
      </c>
      <c r="DH104">
        <v>31185.200000000001</v>
      </c>
      <c r="DI104">
        <v>28099.1</v>
      </c>
      <c r="DJ104">
        <v>37661.1</v>
      </c>
      <c r="DK104">
        <v>36576.300000000003</v>
      </c>
      <c r="DL104">
        <v>44382.6</v>
      </c>
      <c r="DM104">
        <v>42590.3</v>
      </c>
      <c r="DN104">
        <v>1.46567</v>
      </c>
      <c r="DO104">
        <v>2.0552700000000002</v>
      </c>
      <c r="DP104">
        <v>0.115301</v>
      </c>
      <c r="DQ104">
        <v>0.19622200000000001</v>
      </c>
      <c r="DR104">
        <v>25.125900000000001</v>
      </c>
      <c r="DS104">
        <v>24.872299999999999</v>
      </c>
      <c r="DT104">
        <v>57.3</v>
      </c>
      <c r="DU104">
        <v>28.8</v>
      </c>
      <c r="DV104">
        <v>23.0959</v>
      </c>
      <c r="DW104">
        <v>60.392200000000003</v>
      </c>
      <c r="DX104">
        <v>36.810899999999997</v>
      </c>
      <c r="DY104">
        <v>1</v>
      </c>
      <c r="DZ104">
        <v>-0.10481500000000001</v>
      </c>
      <c r="EA104">
        <v>3.7736899999999997E-2</v>
      </c>
      <c r="EB104">
        <v>20.190100000000001</v>
      </c>
      <c r="EC104">
        <v>5.2415500000000002</v>
      </c>
      <c r="ED104">
        <v>12.039899999999999</v>
      </c>
      <c r="EE104">
        <v>5.01755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1.8689100000000001</v>
      </c>
      <c r="EL104">
        <v>1.8646199999999999</v>
      </c>
      <c r="EM104">
        <v>1.8692</v>
      </c>
      <c r="EN104">
        <v>1.8672299999999999</v>
      </c>
      <c r="EO104">
        <v>1.86338</v>
      </c>
      <c r="EP104">
        <v>1.8644700000000001</v>
      </c>
      <c r="EQ104">
        <v>1.8701700000000001</v>
      </c>
      <c r="ER104">
        <v>1.86941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-0.20499999999999999</v>
      </c>
      <c r="FG104">
        <v>0.2797</v>
      </c>
      <c r="FH104">
        <v>0.26269369235785539</v>
      </c>
      <c r="FI104">
        <v>-6.1462078757559423E-4</v>
      </c>
      <c r="FJ104">
        <v>-1.8861989874597051E-7</v>
      </c>
      <c r="FK104">
        <v>1.1980462299894961E-10</v>
      </c>
      <c r="FL104">
        <v>0.27968571428570849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24.3</v>
      </c>
      <c r="FU104">
        <v>24.2</v>
      </c>
      <c r="FV104">
        <v>1.79077</v>
      </c>
      <c r="FW104">
        <v>2.5781200000000002</v>
      </c>
      <c r="FX104">
        <v>1.5490699999999999</v>
      </c>
      <c r="FY104">
        <v>2.3327599999999999</v>
      </c>
      <c r="FZ104">
        <v>1.50146</v>
      </c>
      <c r="GA104">
        <v>2.3877000000000002</v>
      </c>
      <c r="GB104">
        <v>33.558</v>
      </c>
      <c r="GC104">
        <v>23.982399999999998</v>
      </c>
      <c r="GD104">
        <v>19</v>
      </c>
      <c r="GE104">
        <v>277.90800000000002</v>
      </c>
      <c r="GF104">
        <v>597.61500000000001</v>
      </c>
      <c r="GG104">
        <v>24.3171</v>
      </c>
      <c r="GH104">
        <v>26.081</v>
      </c>
      <c r="GI104">
        <v>30.000399999999999</v>
      </c>
      <c r="GJ104">
        <v>26.2334</v>
      </c>
      <c r="GK104">
        <v>26.224900000000002</v>
      </c>
      <c r="GL104">
        <v>35.803800000000003</v>
      </c>
      <c r="GM104">
        <v>37.557600000000001</v>
      </c>
      <c r="GN104">
        <v>95.885999999999996</v>
      </c>
      <c r="GO104">
        <v>24.316299999999998</v>
      </c>
      <c r="GP104">
        <v>800</v>
      </c>
      <c r="GQ104">
        <v>16.078399999999998</v>
      </c>
      <c r="GR104">
        <v>99.783500000000004</v>
      </c>
      <c r="GS104">
        <v>99.631900000000002</v>
      </c>
    </row>
    <row r="105" spans="1:201" x14ac:dyDescent="0.25">
      <c r="A105">
        <v>89</v>
      </c>
      <c r="B105">
        <v>1690386285.5999999</v>
      </c>
      <c r="C105">
        <v>951</v>
      </c>
      <c r="D105" t="s">
        <v>511</v>
      </c>
      <c r="E105" t="s">
        <v>512</v>
      </c>
      <c r="F105" t="s">
        <v>330</v>
      </c>
      <c r="H105">
        <v>1690386285.5999999</v>
      </c>
      <c r="I105">
        <f t="shared" si="30"/>
        <v>6.9354960432465077E-4</v>
      </c>
      <c r="J105">
        <f t="shared" si="31"/>
        <v>0.69354960432465074</v>
      </c>
      <c r="K105">
        <f t="shared" si="32"/>
        <v>11.189646079967128</v>
      </c>
      <c r="L105">
        <f t="shared" si="33"/>
        <v>676.58900000000006</v>
      </c>
      <c r="M105">
        <f t="shared" si="34"/>
        <v>252.280394274304</v>
      </c>
      <c r="N105">
        <f t="shared" si="35"/>
        <v>24.911263802640267</v>
      </c>
      <c r="O105">
        <f t="shared" si="36"/>
        <v>66.809341698739004</v>
      </c>
      <c r="P105">
        <f t="shared" si="37"/>
        <v>4.3827589828010077E-2</v>
      </c>
      <c r="Q105">
        <f t="shared" si="38"/>
        <v>2.160338150523013</v>
      </c>
      <c r="R105">
        <f t="shared" si="39"/>
        <v>4.3339556423085859E-2</v>
      </c>
      <c r="S105">
        <f t="shared" si="40"/>
        <v>2.7130617727426608E-2</v>
      </c>
      <c r="T105">
        <f t="shared" si="41"/>
        <v>276.11468866698533</v>
      </c>
      <c r="U105">
        <f t="shared" si="42"/>
        <v>28.141004368919837</v>
      </c>
      <c r="V105">
        <f t="shared" si="43"/>
        <v>28.141004368919837</v>
      </c>
      <c r="W105">
        <f t="shared" si="44"/>
        <v>3.826145609619489</v>
      </c>
      <c r="X105">
        <f t="shared" si="45"/>
        <v>67.122530535654022</v>
      </c>
      <c r="Y105">
        <f t="shared" si="46"/>
        <v>2.2949470848963003</v>
      </c>
      <c r="Z105">
        <f t="shared" si="47"/>
        <v>3.419041365964703</v>
      </c>
      <c r="AA105">
        <f t="shared" si="48"/>
        <v>1.5311985247231887</v>
      </c>
      <c r="AB105">
        <f t="shared" si="49"/>
        <v>-30.585537550717099</v>
      </c>
      <c r="AC105">
        <f t="shared" si="50"/>
        <v>-223.38642125158435</v>
      </c>
      <c r="AD105">
        <f t="shared" si="51"/>
        <v>-22.356541786870636</v>
      </c>
      <c r="AE105">
        <f t="shared" si="52"/>
        <v>-0.21381192218677825</v>
      </c>
      <c r="AF105">
        <v>0</v>
      </c>
      <c r="AG105">
        <v>0</v>
      </c>
      <c r="AH105">
        <f t="shared" si="53"/>
        <v>1</v>
      </c>
      <c r="AI105">
        <f t="shared" si="54"/>
        <v>0</v>
      </c>
      <c r="AJ105">
        <f t="shared" si="55"/>
        <v>52405.626300401476</v>
      </c>
      <c r="AK105">
        <f t="shared" si="56"/>
        <v>1799.99</v>
      </c>
      <c r="AL105">
        <f t="shared" si="57"/>
        <v>1499.1053041909302</v>
      </c>
      <c r="AM105">
        <f t="shared" si="58"/>
        <v>0.83284090700000002</v>
      </c>
      <c r="AN105">
        <f t="shared" si="59"/>
        <v>0.15339790147000001</v>
      </c>
      <c r="AO105">
        <v>31.8</v>
      </c>
      <c r="AP105">
        <v>0.5</v>
      </c>
      <c r="AQ105" t="s">
        <v>331</v>
      </c>
      <c r="AR105">
        <v>2</v>
      </c>
      <c r="AS105">
        <v>1690386285.5999999</v>
      </c>
      <c r="AT105">
        <v>676.58900000000006</v>
      </c>
      <c r="AU105">
        <v>800.09299999999996</v>
      </c>
      <c r="AV105">
        <v>23.241299999999999</v>
      </c>
      <c r="AW105">
        <v>16.065200000000001</v>
      </c>
      <c r="AX105">
        <v>676.79200000000003</v>
      </c>
      <c r="AY105">
        <v>22.961600000000001</v>
      </c>
      <c r="AZ105">
        <v>300.19499999999999</v>
      </c>
      <c r="BA105">
        <v>98.644400000000005</v>
      </c>
      <c r="BB105">
        <v>9.9950999999999998E-2</v>
      </c>
      <c r="BC105">
        <v>26.222999999999999</v>
      </c>
      <c r="BD105">
        <v>26.987300000000001</v>
      </c>
      <c r="BE105">
        <v>28.0855</v>
      </c>
      <c r="BF105">
        <v>0</v>
      </c>
      <c r="BG105">
        <v>0</v>
      </c>
      <c r="BH105">
        <v>10021.9</v>
      </c>
      <c r="BI105">
        <v>1072.3</v>
      </c>
      <c r="BJ105">
        <v>1.4577199999999999</v>
      </c>
      <c r="BK105">
        <v>-123.504</v>
      </c>
      <c r="BL105">
        <v>692.68799999999999</v>
      </c>
      <c r="BM105">
        <v>813.15599999999995</v>
      </c>
      <c r="BN105">
        <v>7.1760400000000004</v>
      </c>
      <c r="BO105">
        <v>800.09299999999996</v>
      </c>
      <c r="BP105">
        <v>16.065200000000001</v>
      </c>
      <c r="BQ105">
        <v>2.2926199999999999</v>
      </c>
      <c r="BR105">
        <v>1.58474</v>
      </c>
      <c r="BS105">
        <v>19.624600000000001</v>
      </c>
      <c r="BT105">
        <v>13.811299999999999</v>
      </c>
      <c r="BU105">
        <v>1799.99</v>
      </c>
      <c r="BV105">
        <v>0.91000300000000001</v>
      </c>
      <c r="BW105">
        <v>3.4004E-2</v>
      </c>
      <c r="BX105">
        <v>2.2007599999999999E-2</v>
      </c>
      <c r="BY105">
        <v>3.3985300000000003E-2</v>
      </c>
      <c r="BZ105">
        <v>25</v>
      </c>
      <c r="CA105">
        <v>33528.1</v>
      </c>
      <c r="CB105">
        <v>1690384821</v>
      </c>
      <c r="CC105" t="s">
        <v>332</v>
      </c>
      <c r="CD105">
        <v>1690384820</v>
      </c>
      <c r="CE105">
        <v>1690384821</v>
      </c>
      <c r="CF105">
        <v>5</v>
      </c>
      <c r="CG105">
        <v>-2.5000000000000001E-2</v>
      </c>
      <c r="CH105">
        <v>0.104</v>
      </c>
      <c r="CI105">
        <v>-0.28799999999999998</v>
      </c>
      <c r="CJ105">
        <v>0.28000000000000003</v>
      </c>
      <c r="CK105">
        <v>800</v>
      </c>
      <c r="CL105">
        <v>24</v>
      </c>
      <c r="CM105">
        <v>0.08</v>
      </c>
      <c r="CN105">
        <v>0.11</v>
      </c>
      <c r="CO105">
        <v>-120.1114</v>
      </c>
      <c r="CP105">
        <v>-19.751594746716179</v>
      </c>
      <c r="CQ105">
        <v>1.9004373549264919</v>
      </c>
      <c r="CR105">
        <v>-1</v>
      </c>
      <c r="CS105">
        <v>7.0145837499999999</v>
      </c>
      <c r="CT105">
        <v>0.82096626641650383</v>
      </c>
      <c r="CU105">
        <v>8.1037849449732441E-2</v>
      </c>
      <c r="CV105">
        <v>-1</v>
      </c>
      <c r="CW105">
        <v>0</v>
      </c>
      <c r="CX105">
        <v>0</v>
      </c>
      <c r="CY105" t="s">
        <v>333</v>
      </c>
      <c r="CZ105">
        <v>2.3647300000000002</v>
      </c>
      <c r="DA105">
        <v>2.7137600000000002</v>
      </c>
      <c r="DB105">
        <v>0.13048899999999999</v>
      </c>
      <c r="DC105">
        <v>0.14571400000000001</v>
      </c>
      <c r="DD105">
        <v>0.11058800000000001</v>
      </c>
      <c r="DE105">
        <v>8.3987000000000006E-2</v>
      </c>
      <c r="DF105">
        <v>31764.5</v>
      </c>
      <c r="DG105">
        <v>27549.599999999999</v>
      </c>
      <c r="DH105">
        <v>31186.2</v>
      </c>
      <c r="DI105">
        <v>28099.4</v>
      </c>
      <c r="DJ105">
        <v>37659.599999999999</v>
      </c>
      <c r="DK105">
        <v>36601.4</v>
      </c>
      <c r="DL105">
        <v>44383.9</v>
      </c>
      <c r="DM105">
        <v>42590.9</v>
      </c>
      <c r="DN105">
        <v>1.4656499999999999</v>
      </c>
      <c r="DO105">
        <v>2.0549499999999998</v>
      </c>
      <c r="DP105">
        <v>0.113547</v>
      </c>
      <c r="DQ105">
        <v>0.19605500000000001</v>
      </c>
      <c r="DR105">
        <v>25.127500000000001</v>
      </c>
      <c r="DS105">
        <v>24.8765</v>
      </c>
      <c r="DT105">
        <v>57.3</v>
      </c>
      <c r="DU105">
        <v>28.8</v>
      </c>
      <c r="DV105">
        <v>23.093900000000001</v>
      </c>
      <c r="DW105">
        <v>60.622199999999999</v>
      </c>
      <c r="DX105">
        <v>36.955100000000002</v>
      </c>
      <c r="DY105">
        <v>1</v>
      </c>
      <c r="DZ105">
        <v>-0.104378</v>
      </c>
      <c r="EA105">
        <v>0.47308600000000001</v>
      </c>
      <c r="EB105">
        <v>20.188800000000001</v>
      </c>
      <c r="EC105">
        <v>5.24125</v>
      </c>
      <c r="ED105">
        <v>12.039899999999999</v>
      </c>
      <c r="EE105">
        <v>5.0173500000000004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1.8689100000000001</v>
      </c>
      <c r="EL105">
        <v>1.8646199999999999</v>
      </c>
      <c r="EM105">
        <v>1.8692</v>
      </c>
      <c r="EN105">
        <v>1.8672299999999999</v>
      </c>
      <c r="EO105">
        <v>1.86337</v>
      </c>
      <c r="EP105">
        <v>1.8644700000000001</v>
      </c>
      <c r="EQ105">
        <v>1.87015</v>
      </c>
      <c r="ER105">
        <v>1.8693900000000001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-0.20300000000000001</v>
      </c>
      <c r="FG105">
        <v>0.2797</v>
      </c>
      <c r="FH105">
        <v>0.26269369235785539</v>
      </c>
      <c r="FI105">
        <v>-6.1462078757559423E-4</v>
      </c>
      <c r="FJ105">
        <v>-1.8861989874597051E-7</v>
      </c>
      <c r="FK105">
        <v>1.1980462299894961E-10</v>
      </c>
      <c r="FL105">
        <v>0.27968571428570849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24.4</v>
      </c>
      <c r="FU105">
        <v>24.4</v>
      </c>
      <c r="FV105">
        <v>1.78955</v>
      </c>
      <c r="FW105">
        <v>2.5744600000000002</v>
      </c>
      <c r="FX105">
        <v>1.5490699999999999</v>
      </c>
      <c r="FY105">
        <v>2.3327599999999999</v>
      </c>
      <c r="FZ105">
        <v>1.50146</v>
      </c>
      <c r="GA105">
        <v>2.35229</v>
      </c>
      <c r="GB105">
        <v>33.558</v>
      </c>
      <c r="GC105">
        <v>23.982399999999998</v>
      </c>
      <c r="GD105">
        <v>19</v>
      </c>
      <c r="GE105">
        <v>277.88</v>
      </c>
      <c r="GF105">
        <v>597.298</v>
      </c>
      <c r="GG105">
        <v>24.137</v>
      </c>
      <c r="GH105">
        <v>26.0777</v>
      </c>
      <c r="GI105">
        <v>30.000299999999999</v>
      </c>
      <c r="GJ105">
        <v>26.229500000000002</v>
      </c>
      <c r="GK105">
        <v>26.2211</v>
      </c>
      <c r="GL105">
        <v>35.796500000000002</v>
      </c>
      <c r="GM105">
        <v>38.151600000000002</v>
      </c>
      <c r="GN105">
        <v>95.508499999999998</v>
      </c>
      <c r="GO105">
        <v>24.133800000000001</v>
      </c>
      <c r="GP105">
        <v>800</v>
      </c>
      <c r="GQ105">
        <v>15.939299999999999</v>
      </c>
      <c r="GR105">
        <v>99.7864</v>
      </c>
      <c r="GS105">
        <v>99.632999999999996</v>
      </c>
    </row>
    <row r="106" spans="1:201" x14ac:dyDescent="0.25">
      <c r="A106">
        <v>90</v>
      </c>
      <c r="B106">
        <v>1690386295.5999999</v>
      </c>
      <c r="C106">
        <v>961</v>
      </c>
      <c r="D106" t="s">
        <v>513</v>
      </c>
      <c r="E106" t="s">
        <v>514</v>
      </c>
      <c r="F106" t="s">
        <v>330</v>
      </c>
      <c r="H106">
        <v>1690386295.5999999</v>
      </c>
      <c r="I106">
        <f t="shared" si="30"/>
        <v>7.0502817517027858E-4</v>
      </c>
      <c r="J106">
        <f t="shared" si="31"/>
        <v>0.7050281751702786</v>
      </c>
      <c r="K106">
        <f t="shared" si="32"/>
        <v>11.484816512093591</v>
      </c>
      <c r="L106">
        <f t="shared" si="33"/>
        <v>673.31399999999996</v>
      </c>
      <c r="M106">
        <f t="shared" si="34"/>
        <v>245.87185716306485</v>
      </c>
      <c r="N106">
        <f t="shared" si="35"/>
        <v>24.279109754512309</v>
      </c>
      <c r="O106">
        <f t="shared" si="36"/>
        <v>66.487741597883996</v>
      </c>
      <c r="P106">
        <f t="shared" si="37"/>
        <v>4.4638490065630469E-2</v>
      </c>
      <c r="Q106">
        <f t="shared" si="38"/>
        <v>2.1527289299622048</v>
      </c>
      <c r="R106">
        <f t="shared" si="39"/>
        <v>4.4130575731831746E-2</v>
      </c>
      <c r="S106">
        <f t="shared" si="40"/>
        <v>2.7626762296944475E-2</v>
      </c>
      <c r="T106">
        <f t="shared" si="41"/>
        <v>276.11667683999997</v>
      </c>
      <c r="U106">
        <f t="shared" si="42"/>
        <v>28.129243464345389</v>
      </c>
      <c r="V106">
        <f t="shared" si="43"/>
        <v>28.129243464345389</v>
      </c>
      <c r="W106">
        <f t="shared" si="44"/>
        <v>3.8235258573782103</v>
      </c>
      <c r="X106">
        <f t="shared" si="45"/>
        <v>67.174383920361933</v>
      </c>
      <c r="Y106">
        <f t="shared" si="46"/>
        <v>2.2948211712363999</v>
      </c>
      <c r="Z106">
        <f t="shared" si="47"/>
        <v>3.4162146897499013</v>
      </c>
      <c r="AA106">
        <f t="shared" si="48"/>
        <v>1.5287046861418103</v>
      </c>
      <c r="AB106">
        <f t="shared" si="49"/>
        <v>-31.091742525009284</v>
      </c>
      <c r="AC106">
        <f t="shared" si="50"/>
        <v>-222.85946634449959</v>
      </c>
      <c r="AD106">
        <f t="shared" si="51"/>
        <v>-22.379760452834862</v>
      </c>
      <c r="AE106">
        <f t="shared" si="52"/>
        <v>-0.21429248234377951</v>
      </c>
      <c r="AF106">
        <v>0</v>
      </c>
      <c r="AG106">
        <v>0</v>
      </c>
      <c r="AH106">
        <f t="shared" si="53"/>
        <v>1</v>
      </c>
      <c r="AI106">
        <f t="shared" si="54"/>
        <v>0</v>
      </c>
      <c r="AJ106">
        <f t="shared" si="55"/>
        <v>52089.485802521696</v>
      </c>
      <c r="AK106">
        <f t="shared" si="56"/>
        <v>1800</v>
      </c>
      <c r="AL106">
        <f t="shared" si="57"/>
        <v>1499.111991</v>
      </c>
      <c r="AM106">
        <f t="shared" si="58"/>
        <v>0.83283999499999994</v>
      </c>
      <c r="AN106">
        <f t="shared" si="59"/>
        <v>0.15339815379999999</v>
      </c>
      <c r="AO106">
        <v>31.8</v>
      </c>
      <c r="AP106">
        <v>0.5</v>
      </c>
      <c r="AQ106" t="s">
        <v>331</v>
      </c>
      <c r="AR106">
        <v>2</v>
      </c>
      <c r="AS106">
        <v>1690386295.5999999</v>
      </c>
      <c r="AT106">
        <v>673.31399999999996</v>
      </c>
      <c r="AU106">
        <v>800.02200000000005</v>
      </c>
      <c r="AV106">
        <v>23.2394</v>
      </c>
      <c r="AW106">
        <v>15.9434</v>
      </c>
      <c r="AX106">
        <v>673.51400000000001</v>
      </c>
      <c r="AY106">
        <v>22.959700000000002</v>
      </c>
      <c r="AZ106">
        <v>300.149</v>
      </c>
      <c r="BA106">
        <v>98.647099999999995</v>
      </c>
      <c r="BB106">
        <v>9.9905999999999995E-2</v>
      </c>
      <c r="BC106">
        <v>26.209</v>
      </c>
      <c r="BD106">
        <v>27.0137</v>
      </c>
      <c r="BE106">
        <v>28.061699999999998</v>
      </c>
      <c r="BF106">
        <v>0</v>
      </c>
      <c r="BG106">
        <v>0</v>
      </c>
      <c r="BH106">
        <v>9958.1200000000008</v>
      </c>
      <c r="BI106">
        <v>1072.46</v>
      </c>
      <c r="BJ106">
        <v>1.4577199999999999</v>
      </c>
      <c r="BK106">
        <v>-126.708</v>
      </c>
      <c r="BL106">
        <v>689.33299999999997</v>
      </c>
      <c r="BM106">
        <v>812.98299999999995</v>
      </c>
      <c r="BN106">
        <v>7.2960399999999996</v>
      </c>
      <c r="BO106">
        <v>800.02200000000005</v>
      </c>
      <c r="BP106">
        <v>15.9434</v>
      </c>
      <c r="BQ106">
        <v>2.2925</v>
      </c>
      <c r="BR106">
        <v>1.57277</v>
      </c>
      <c r="BS106">
        <v>19.623799999999999</v>
      </c>
      <c r="BT106">
        <v>13.694599999999999</v>
      </c>
      <c r="BU106">
        <v>1800</v>
      </c>
      <c r="BV106">
        <v>0.90998800000000002</v>
      </c>
      <c r="BW106">
        <v>3.40028E-2</v>
      </c>
      <c r="BX106">
        <v>2.2009500000000001E-2</v>
      </c>
      <c r="BY106">
        <v>3.3999799999999997E-2</v>
      </c>
      <c r="BZ106">
        <v>25</v>
      </c>
      <c r="CA106">
        <v>33528.199999999997</v>
      </c>
      <c r="CB106">
        <v>1690384821</v>
      </c>
      <c r="CC106" t="s">
        <v>332</v>
      </c>
      <c r="CD106">
        <v>1690384820</v>
      </c>
      <c r="CE106">
        <v>1690384821</v>
      </c>
      <c r="CF106">
        <v>5</v>
      </c>
      <c r="CG106">
        <v>-2.5000000000000001E-2</v>
      </c>
      <c r="CH106">
        <v>0.104</v>
      </c>
      <c r="CI106">
        <v>-0.28799999999999998</v>
      </c>
      <c r="CJ106">
        <v>0.28000000000000003</v>
      </c>
      <c r="CK106">
        <v>800</v>
      </c>
      <c r="CL106">
        <v>24</v>
      </c>
      <c r="CM106">
        <v>0.08</v>
      </c>
      <c r="CN106">
        <v>0.11</v>
      </c>
      <c r="CO106">
        <v>-123.37497500000001</v>
      </c>
      <c r="CP106">
        <v>-19.515320825515548</v>
      </c>
      <c r="CQ106">
        <v>1.8775493933249801</v>
      </c>
      <c r="CR106">
        <v>-1</v>
      </c>
      <c r="CS106">
        <v>7.1625237500000001</v>
      </c>
      <c r="CT106">
        <v>0.88710990619136221</v>
      </c>
      <c r="CU106">
        <v>8.5973606609456035E-2</v>
      </c>
      <c r="CV106">
        <v>-1</v>
      </c>
      <c r="CW106">
        <v>0</v>
      </c>
      <c r="CX106">
        <v>0</v>
      </c>
      <c r="CY106" t="s">
        <v>333</v>
      </c>
      <c r="CZ106">
        <v>2.3645700000000001</v>
      </c>
      <c r="DA106">
        <v>2.71366</v>
      </c>
      <c r="DB106">
        <v>0.13005700000000001</v>
      </c>
      <c r="DC106">
        <v>0.145708</v>
      </c>
      <c r="DD106">
        <v>0.110585</v>
      </c>
      <c r="DE106">
        <v>8.3525600000000005E-2</v>
      </c>
      <c r="DF106">
        <v>31780.6</v>
      </c>
      <c r="DG106">
        <v>27550.5</v>
      </c>
      <c r="DH106">
        <v>31186.5</v>
      </c>
      <c r="DI106">
        <v>28100.1</v>
      </c>
      <c r="DJ106">
        <v>37660</v>
      </c>
      <c r="DK106">
        <v>36620.699999999997</v>
      </c>
      <c r="DL106">
        <v>44384.3</v>
      </c>
      <c r="DM106">
        <v>42591.8</v>
      </c>
      <c r="DN106">
        <v>1.4653</v>
      </c>
      <c r="DO106">
        <v>2.0548299999999999</v>
      </c>
      <c r="DP106">
        <v>0.11497</v>
      </c>
      <c r="DQ106">
        <v>0.19434100000000001</v>
      </c>
      <c r="DR106">
        <v>25.130600000000001</v>
      </c>
      <c r="DS106">
        <v>24.880600000000001</v>
      </c>
      <c r="DT106">
        <v>57.3</v>
      </c>
      <c r="DU106">
        <v>28.8</v>
      </c>
      <c r="DV106">
        <v>23.090900000000001</v>
      </c>
      <c r="DW106">
        <v>61.452199999999998</v>
      </c>
      <c r="DX106">
        <v>36.762799999999999</v>
      </c>
      <c r="DY106">
        <v>1</v>
      </c>
      <c r="DZ106">
        <v>-0.10495699999999999</v>
      </c>
      <c r="EA106">
        <v>0.24651100000000001</v>
      </c>
      <c r="EB106">
        <v>20.189800000000002</v>
      </c>
      <c r="EC106">
        <v>5.2411000000000003</v>
      </c>
      <c r="ED106">
        <v>12.039899999999999</v>
      </c>
      <c r="EE106">
        <v>5.0172499999999998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1.8689100000000001</v>
      </c>
      <c r="EL106">
        <v>1.8646199999999999</v>
      </c>
      <c r="EM106">
        <v>1.8692</v>
      </c>
      <c r="EN106">
        <v>1.8672299999999999</v>
      </c>
      <c r="EO106">
        <v>1.8633900000000001</v>
      </c>
      <c r="EP106">
        <v>1.8644700000000001</v>
      </c>
      <c r="EQ106">
        <v>1.8701399999999999</v>
      </c>
      <c r="ER106">
        <v>1.86941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-0.2</v>
      </c>
      <c r="FG106">
        <v>0.2797</v>
      </c>
      <c r="FH106">
        <v>0.26269369235785539</v>
      </c>
      <c r="FI106">
        <v>-6.1462078757559423E-4</v>
      </c>
      <c r="FJ106">
        <v>-1.8861989874597051E-7</v>
      </c>
      <c r="FK106">
        <v>1.1980462299894961E-10</v>
      </c>
      <c r="FL106">
        <v>0.27968571428570849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24.6</v>
      </c>
      <c r="FU106">
        <v>24.6</v>
      </c>
      <c r="FV106">
        <v>1.79077</v>
      </c>
      <c r="FW106">
        <v>2.5781200000000002</v>
      </c>
      <c r="FX106">
        <v>1.5490699999999999</v>
      </c>
      <c r="FY106">
        <v>2.3327599999999999</v>
      </c>
      <c r="FZ106">
        <v>1.50146</v>
      </c>
      <c r="GA106">
        <v>2.323</v>
      </c>
      <c r="GB106">
        <v>33.558</v>
      </c>
      <c r="GC106">
        <v>23.982399999999998</v>
      </c>
      <c r="GD106">
        <v>19</v>
      </c>
      <c r="GE106">
        <v>277.71899999999999</v>
      </c>
      <c r="GF106">
        <v>597.16099999999994</v>
      </c>
      <c r="GG106">
        <v>24.110399999999998</v>
      </c>
      <c r="GH106">
        <v>26.074400000000001</v>
      </c>
      <c r="GI106">
        <v>29.9998</v>
      </c>
      <c r="GJ106">
        <v>26.226199999999999</v>
      </c>
      <c r="GK106">
        <v>26.218299999999999</v>
      </c>
      <c r="GL106">
        <v>35.793599999999998</v>
      </c>
      <c r="GM106">
        <v>38.713500000000003</v>
      </c>
      <c r="GN106">
        <v>95.508499999999998</v>
      </c>
      <c r="GO106">
        <v>24.122</v>
      </c>
      <c r="GP106">
        <v>800</v>
      </c>
      <c r="GQ106">
        <v>15.810600000000001</v>
      </c>
      <c r="GR106">
        <v>99.787400000000005</v>
      </c>
      <c r="GS106">
        <v>99.635400000000004</v>
      </c>
    </row>
    <row r="107" spans="1:201" x14ac:dyDescent="0.25">
      <c r="A107">
        <v>91</v>
      </c>
      <c r="B107">
        <v>1690386305.5999999</v>
      </c>
      <c r="C107">
        <v>971</v>
      </c>
      <c r="D107" t="s">
        <v>515</v>
      </c>
      <c r="E107" t="s">
        <v>516</v>
      </c>
      <c r="F107" t="s">
        <v>330</v>
      </c>
      <c r="H107">
        <v>1690386305.5999999</v>
      </c>
      <c r="I107">
        <f t="shared" si="30"/>
        <v>7.2247251452913018E-4</v>
      </c>
      <c r="J107">
        <f t="shared" si="31"/>
        <v>0.72247251452913019</v>
      </c>
      <c r="K107">
        <f t="shared" si="32"/>
        <v>11.801968683245708</v>
      </c>
      <c r="L107">
        <f t="shared" si="33"/>
        <v>669.97799999999995</v>
      </c>
      <c r="M107">
        <f t="shared" si="34"/>
        <v>243.77152565224512</v>
      </c>
      <c r="N107">
        <f t="shared" si="35"/>
        <v>24.072238704296918</v>
      </c>
      <c r="O107">
        <f t="shared" si="36"/>
        <v>66.159779324000397</v>
      </c>
      <c r="P107">
        <f t="shared" si="37"/>
        <v>4.6005288684635361E-2</v>
      </c>
      <c r="Q107">
        <f t="shared" si="38"/>
        <v>2.1603976285519995</v>
      </c>
      <c r="R107">
        <f t="shared" si="39"/>
        <v>4.5467887070675658E-2</v>
      </c>
      <c r="S107">
        <f t="shared" si="40"/>
        <v>2.8465189695993889E-2</v>
      </c>
      <c r="T107">
        <f t="shared" si="41"/>
        <v>276.11667406800001</v>
      </c>
      <c r="U107">
        <f t="shared" si="42"/>
        <v>28.101658951888435</v>
      </c>
      <c r="V107">
        <f t="shared" si="43"/>
        <v>28.101658951888435</v>
      </c>
      <c r="W107">
        <f t="shared" si="44"/>
        <v>3.817387520439087</v>
      </c>
      <c r="X107">
        <f t="shared" si="45"/>
        <v>67.295458235332745</v>
      </c>
      <c r="Y107">
        <f t="shared" si="46"/>
        <v>2.2968664689952796</v>
      </c>
      <c r="Z107">
        <f t="shared" si="47"/>
        <v>3.4131077032912374</v>
      </c>
      <c r="AA107">
        <f t="shared" si="48"/>
        <v>1.5205210514438074</v>
      </c>
      <c r="AB107">
        <f t="shared" si="49"/>
        <v>-31.861037890734639</v>
      </c>
      <c r="AC107">
        <f t="shared" si="50"/>
        <v>-222.23421526798609</v>
      </c>
      <c r="AD107">
        <f t="shared" si="51"/>
        <v>-22.232975051060482</v>
      </c>
      <c r="AE107">
        <f t="shared" si="52"/>
        <v>-0.21155414178122101</v>
      </c>
      <c r="AF107">
        <v>0</v>
      </c>
      <c r="AG107">
        <v>0</v>
      </c>
      <c r="AH107">
        <f t="shared" si="53"/>
        <v>1</v>
      </c>
      <c r="AI107">
        <f t="shared" si="54"/>
        <v>0</v>
      </c>
      <c r="AJ107">
        <f t="shared" si="55"/>
        <v>52413.379313866244</v>
      </c>
      <c r="AK107">
        <f t="shared" si="56"/>
        <v>1800</v>
      </c>
      <c r="AL107">
        <f t="shared" si="57"/>
        <v>1499.1095627999998</v>
      </c>
      <c r="AM107">
        <f t="shared" si="58"/>
        <v>0.8328386459999999</v>
      </c>
      <c r="AN107">
        <f t="shared" si="59"/>
        <v>0.15339815226</v>
      </c>
      <c r="AO107">
        <v>31.8</v>
      </c>
      <c r="AP107">
        <v>0.5</v>
      </c>
      <c r="AQ107" t="s">
        <v>331</v>
      </c>
      <c r="AR107">
        <v>2</v>
      </c>
      <c r="AS107">
        <v>1690386305.5999999</v>
      </c>
      <c r="AT107">
        <v>669.97799999999995</v>
      </c>
      <c r="AU107">
        <v>800.11599999999999</v>
      </c>
      <c r="AV107">
        <v>23.259599999999999</v>
      </c>
      <c r="AW107">
        <v>15.7849</v>
      </c>
      <c r="AX107">
        <v>670.17600000000004</v>
      </c>
      <c r="AY107">
        <v>22.979900000000001</v>
      </c>
      <c r="AZ107">
        <v>300.21600000000001</v>
      </c>
      <c r="BA107">
        <v>98.649299999999997</v>
      </c>
      <c r="BB107">
        <v>9.9881800000000007E-2</v>
      </c>
      <c r="BC107">
        <v>26.1936</v>
      </c>
      <c r="BD107">
        <v>27.011299999999999</v>
      </c>
      <c r="BE107">
        <v>28.051600000000001</v>
      </c>
      <c r="BF107">
        <v>0</v>
      </c>
      <c r="BG107">
        <v>0</v>
      </c>
      <c r="BH107">
        <v>10021.9</v>
      </c>
      <c r="BI107">
        <v>1072.45</v>
      </c>
      <c r="BJ107">
        <v>1.4577199999999999</v>
      </c>
      <c r="BK107">
        <v>-130.13800000000001</v>
      </c>
      <c r="BL107">
        <v>685.93200000000002</v>
      </c>
      <c r="BM107">
        <v>812.94799999999998</v>
      </c>
      <c r="BN107">
        <v>7.4747000000000003</v>
      </c>
      <c r="BO107">
        <v>800.11599999999999</v>
      </c>
      <c r="BP107">
        <v>15.7849</v>
      </c>
      <c r="BQ107">
        <v>2.29454</v>
      </c>
      <c r="BR107">
        <v>1.5571699999999999</v>
      </c>
      <c r="BS107">
        <v>19.638100000000001</v>
      </c>
      <c r="BT107">
        <v>13.5413</v>
      </c>
      <c r="BU107">
        <v>1800</v>
      </c>
      <c r="BV107">
        <v>0.90997499999999998</v>
      </c>
      <c r="BW107">
        <v>3.4001700000000003E-2</v>
      </c>
      <c r="BX107">
        <v>2.2008799999999999E-2</v>
      </c>
      <c r="BY107">
        <v>3.40144E-2</v>
      </c>
      <c r="BZ107">
        <v>25</v>
      </c>
      <c r="CA107">
        <v>33528.199999999997</v>
      </c>
      <c r="CB107">
        <v>1690384821</v>
      </c>
      <c r="CC107" t="s">
        <v>332</v>
      </c>
      <c r="CD107">
        <v>1690384820</v>
      </c>
      <c r="CE107">
        <v>1690384821</v>
      </c>
      <c r="CF107">
        <v>5</v>
      </c>
      <c r="CG107">
        <v>-2.5000000000000001E-2</v>
      </c>
      <c r="CH107">
        <v>0.104</v>
      </c>
      <c r="CI107">
        <v>-0.28799999999999998</v>
      </c>
      <c r="CJ107">
        <v>0.28000000000000003</v>
      </c>
      <c r="CK107">
        <v>800</v>
      </c>
      <c r="CL107">
        <v>24</v>
      </c>
      <c r="CM107">
        <v>0.08</v>
      </c>
      <c r="CN107">
        <v>0.11</v>
      </c>
      <c r="CO107">
        <v>-126.425</v>
      </c>
      <c r="CP107">
        <v>-19.931560975610001</v>
      </c>
      <c r="CQ107">
        <v>1.966164831935884</v>
      </c>
      <c r="CR107">
        <v>-1</v>
      </c>
      <c r="CS107">
        <v>7.3033090243902441</v>
      </c>
      <c r="CT107">
        <v>0.89343094076656349</v>
      </c>
      <c r="CU107">
        <v>8.890755277540599E-2</v>
      </c>
      <c r="CV107">
        <v>-1</v>
      </c>
      <c r="CW107">
        <v>0</v>
      </c>
      <c r="CX107">
        <v>0</v>
      </c>
      <c r="CY107" t="s">
        <v>333</v>
      </c>
      <c r="CZ107">
        <v>2.3647999999999998</v>
      </c>
      <c r="DA107">
        <v>2.7136900000000002</v>
      </c>
      <c r="DB107">
        <v>0.12961700000000001</v>
      </c>
      <c r="DC107">
        <v>0.14572099999999999</v>
      </c>
      <c r="DD107">
        <v>0.11065700000000001</v>
      </c>
      <c r="DE107">
        <v>8.2923200000000002E-2</v>
      </c>
      <c r="DF107">
        <v>31797</v>
      </c>
      <c r="DG107">
        <v>27550.3</v>
      </c>
      <c r="DH107">
        <v>31186.799999999999</v>
      </c>
      <c r="DI107">
        <v>28100.3</v>
      </c>
      <c r="DJ107">
        <v>37657.300000000003</v>
      </c>
      <c r="DK107">
        <v>36644.9</v>
      </c>
      <c r="DL107">
        <v>44384.9</v>
      </c>
      <c r="DM107">
        <v>42592</v>
      </c>
      <c r="DN107">
        <v>1.4652000000000001</v>
      </c>
      <c r="DO107">
        <v>2.0545200000000001</v>
      </c>
      <c r="DP107">
        <v>0.114657</v>
      </c>
      <c r="DQ107">
        <v>0.19359599999999999</v>
      </c>
      <c r="DR107">
        <v>25.133400000000002</v>
      </c>
      <c r="DS107">
        <v>24.8828</v>
      </c>
      <c r="DT107">
        <v>57.3</v>
      </c>
      <c r="DU107">
        <v>28.8</v>
      </c>
      <c r="DV107">
        <v>23.089600000000001</v>
      </c>
      <c r="DW107">
        <v>61.382199999999997</v>
      </c>
      <c r="DX107">
        <v>36.234000000000002</v>
      </c>
      <c r="DY107">
        <v>1</v>
      </c>
      <c r="DZ107">
        <v>-0.105935</v>
      </c>
      <c r="EA107">
        <v>0.23799799999999999</v>
      </c>
      <c r="EB107">
        <v>20.189900000000002</v>
      </c>
      <c r="EC107">
        <v>5.2413999999999996</v>
      </c>
      <c r="ED107">
        <v>12.039899999999999</v>
      </c>
      <c r="EE107">
        <v>5.0169499999999996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1.8689100000000001</v>
      </c>
      <c r="EL107">
        <v>1.8646100000000001</v>
      </c>
      <c r="EM107">
        <v>1.8692</v>
      </c>
      <c r="EN107">
        <v>1.8672299999999999</v>
      </c>
      <c r="EO107">
        <v>1.8633999999999999</v>
      </c>
      <c r="EP107">
        <v>1.8644700000000001</v>
      </c>
      <c r="EQ107">
        <v>1.87016</v>
      </c>
      <c r="ER107">
        <v>1.8694200000000001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-0.19800000000000001</v>
      </c>
      <c r="FG107">
        <v>0.2797</v>
      </c>
      <c r="FH107">
        <v>0.26269369235785539</v>
      </c>
      <c r="FI107">
        <v>-6.1462078757559423E-4</v>
      </c>
      <c r="FJ107">
        <v>-1.8861989874597051E-7</v>
      </c>
      <c r="FK107">
        <v>1.1980462299894961E-10</v>
      </c>
      <c r="FL107">
        <v>0.27968571428570849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24.8</v>
      </c>
      <c r="FU107">
        <v>24.7</v>
      </c>
      <c r="FV107">
        <v>1.78955</v>
      </c>
      <c r="FW107">
        <v>2.5866699999999998</v>
      </c>
      <c r="FX107">
        <v>1.5490699999999999</v>
      </c>
      <c r="FY107">
        <v>2.3315399999999999</v>
      </c>
      <c r="FZ107">
        <v>1.50146</v>
      </c>
      <c r="GA107">
        <v>2.2814899999999998</v>
      </c>
      <c r="GB107">
        <v>33.558</v>
      </c>
      <c r="GC107">
        <v>23.973700000000001</v>
      </c>
      <c r="GD107">
        <v>19</v>
      </c>
      <c r="GE107">
        <v>277.66399999999999</v>
      </c>
      <c r="GF107">
        <v>596.85699999999997</v>
      </c>
      <c r="GG107">
        <v>24.0943</v>
      </c>
      <c r="GH107">
        <v>26.071100000000001</v>
      </c>
      <c r="GI107">
        <v>29.999600000000001</v>
      </c>
      <c r="GJ107">
        <v>26.222899999999999</v>
      </c>
      <c r="GK107">
        <v>26.213899999999999</v>
      </c>
      <c r="GL107">
        <v>35.788800000000002</v>
      </c>
      <c r="GM107">
        <v>39.000100000000003</v>
      </c>
      <c r="GN107">
        <v>95.133899999999997</v>
      </c>
      <c r="GO107">
        <v>24.098500000000001</v>
      </c>
      <c r="GP107">
        <v>800</v>
      </c>
      <c r="GQ107">
        <v>15.661300000000001</v>
      </c>
      <c r="GR107">
        <v>99.788600000000002</v>
      </c>
      <c r="GS107">
        <v>99.635900000000007</v>
      </c>
    </row>
    <row r="108" spans="1:201" x14ac:dyDescent="0.25">
      <c r="A108">
        <v>92</v>
      </c>
      <c r="B108">
        <v>1690386315.5999999</v>
      </c>
      <c r="C108">
        <v>981</v>
      </c>
      <c r="D108" t="s">
        <v>517</v>
      </c>
      <c r="E108" t="s">
        <v>518</v>
      </c>
      <c r="F108" t="s">
        <v>330</v>
      </c>
      <c r="H108">
        <v>1690386315.5999999</v>
      </c>
      <c r="I108">
        <f t="shared" si="30"/>
        <v>7.3846404891785922E-4</v>
      </c>
      <c r="J108">
        <f t="shared" si="31"/>
        <v>0.73846404891785922</v>
      </c>
      <c r="K108">
        <f t="shared" si="32"/>
        <v>12.099275422012274</v>
      </c>
      <c r="L108">
        <f t="shared" si="33"/>
        <v>666.69399999999996</v>
      </c>
      <c r="M108">
        <f t="shared" si="34"/>
        <v>239.53577857808307</v>
      </c>
      <c r="N108">
        <f t="shared" si="35"/>
        <v>23.653861110220266</v>
      </c>
      <c r="O108">
        <f t="shared" si="36"/>
        <v>65.83520579943999</v>
      </c>
      <c r="P108">
        <f t="shared" si="37"/>
        <v>4.7056495829026504E-2</v>
      </c>
      <c r="Q108">
        <f t="shared" si="38"/>
        <v>2.1562739605672401</v>
      </c>
      <c r="R108">
        <f t="shared" si="39"/>
        <v>4.6493355476603618E-2</v>
      </c>
      <c r="S108">
        <f t="shared" si="40"/>
        <v>2.9108381518192318E-2</v>
      </c>
      <c r="T108">
        <f t="shared" si="41"/>
        <v>276.11493326762644</v>
      </c>
      <c r="U108">
        <f t="shared" si="42"/>
        <v>28.106933187286881</v>
      </c>
      <c r="V108">
        <f t="shared" si="43"/>
        <v>28.106933187286881</v>
      </c>
      <c r="W108">
        <f t="shared" si="44"/>
        <v>3.8185605223144132</v>
      </c>
      <c r="X108">
        <f t="shared" si="45"/>
        <v>67.319145998416303</v>
      </c>
      <c r="Y108">
        <f t="shared" si="46"/>
        <v>2.2986933850320002</v>
      </c>
      <c r="Z108">
        <f t="shared" si="47"/>
        <v>3.4146205376492413</v>
      </c>
      <c r="AA108">
        <f t="shared" si="48"/>
        <v>1.5198671372824131</v>
      </c>
      <c r="AB108">
        <f t="shared" si="49"/>
        <v>-32.566264557277592</v>
      </c>
      <c r="AC108">
        <f t="shared" si="50"/>
        <v>-221.55128178051075</v>
      </c>
      <c r="AD108">
        <f t="shared" si="51"/>
        <v>-22.208457314096972</v>
      </c>
      <c r="AE108">
        <f t="shared" si="52"/>
        <v>-0.21107038425884639</v>
      </c>
      <c r="AF108">
        <v>0</v>
      </c>
      <c r="AG108">
        <v>0</v>
      </c>
      <c r="AH108">
        <f t="shared" si="53"/>
        <v>1</v>
      </c>
      <c r="AI108">
        <f t="shared" si="54"/>
        <v>0</v>
      </c>
      <c r="AJ108">
        <f t="shared" si="55"/>
        <v>52239.205515302427</v>
      </c>
      <c r="AK108">
        <f t="shared" si="56"/>
        <v>1799.99</v>
      </c>
      <c r="AL108">
        <f t="shared" si="57"/>
        <v>1499.1016664111398</v>
      </c>
      <c r="AM108">
        <f t="shared" si="58"/>
        <v>0.83283888599999989</v>
      </c>
      <c r="AN108">
        <f t="shared" si="59"/>
        <v>0.15339803736000002</v>
      </c>
      <c r="AO108">
        <v>31.8</v>
      </c>
      <c r="AP108">
        <v>0.5</v>
      </c>
      <c r="AQ108" t="s">
        <v>331</v>
      </c>
      <c r="AR108">
        <v>2</v>
      </c>
      <c r="AS108">
        <v>1690386315.5999999</v>
      </c>
      <c r="AT108">
        <v>666.69399999999996</v>
      </c>
      <c r="AU108">
        <v>800.04100000000005</v>
      </c>
      <c r="AV108">
        <v>23.278199999999998</v>
      </c>
      <c r="AW108">
        <v>15.639799999999999</v>
      </c>
      <c r="AX108">
        <v>666.89</v>
      </c>
      <c r="AY108">
        <v>22.9985</v>
      </c>
      <c r="AZ108">
        <v>300.279</v>
      </c>
      <c r="BA108">
        <v>98.648700000000005</v>
      </c>
      <c r="BB108">
        <v>0.10006</v>
      </c>
      <c r="BC108">
        <v>26.2011</v>
      </c>
      <c r="BD108">
        <v>26.9694</v>
      </c>
      <c r="BE108">
        <v>28.041</v>
      </c>
      <c r="BF108">
        <v>0</v>
      </c>
      <c r="BG108">
        <v>0</v>
      </c>
      <c r="BH108">
        <v>9987.5</v>
      </c>
      <c r="BI108">
        <v>1072.54</v>
      </c>
      <c r="BJ108">
        <v>1.4577199999999999</v>
      </c>
      <c r="BK108">
        <v>-133.346</v>
      </c>
      <c r="BL108">
        <v>682.58399999999995</v>
      </c>
      <c r="BM108">
        <v>812.75199999999995</v>
      </c>
      <c r="BN108">
        <v>7.6383799999999997</v>
      </c>
      <c r="BO108">
        <v>800.04100000000005</v>
      </c>
      <c r="BP108">
        <v>15.639799999999999</v>
      </c>
      <c r="BQ108">
        <v>2.29636</v>
      </c>
      <c r="BR108">
        <v>1.54284</v>
      </c>
      <c r="BS108">
        <v>19.6509</v>
      </c>
      <c r="BT108">
        <v>13.3995</v>
      </c>
      <c r="BU108">
        <v>1799.99</v>
      </c>
      <c r="BV108">
        <v>0.90997899999999998</v>
      </c>
      <c r="BW108">
        <v>3.4000200000000001E-2</v>
      </c>
      <c r="BX108">
        <v>2.2007800000000001E-2</v>
      </c>
      <c r="BY108">
        <v>3.4012800000000003E-2</v>
      </c>
      <c r="BZ108">
        <v>25</v>
      </c>
      <c r="CA108">
        <v>33528.1</v>
      </c>
      <c r="CB108">
        <v>1690384821</v>
      </c>
      <c r="CC108" t="s">
        <v>332</v>
      </c>
      <c r="CD108">
        <v>1690384820</v>
      </c>
      <c r="CE108">
        <v>1690384821</v>
      </c>
      <c r="CF108">
        <v>5</v>
      </c>
      <c r="CG108">
        <v>-2.5000000000000001E-2</v>
      </c>
      <c r="CH108">
        <v>0.104</v>
      </c>
      <c r="CI108">
        <v>-0.28799999999999998</v>
      </c>
      <c r="CJ108">
        <v>0.28000000000000003</v>
      </c>
      <c r="CK108">
        <v>800</v>
      </c>
      <c r="CL108">
        <v>24</v>
      </c>
      <c r="CM108">
        <v>0.08</v>
      </c>
      <c r="CN108">
        <v>0.11</v>
      </c>
      <c r="CO108">
        <v>-129.98927499999999</v>
      </c>
      <c r="CP108">
        <v>-19.947365853658621</v>
      </c>
      <c r="CQ108">
        <v>1.919716450253786</v>
      </c>
      <c r="CR108">
        <v>-1</v>
      </c>
      <c r="CS108">
        <v>7.4748132500000004</v>
      </c>
      <c r="CT108">
        <v>1.0287362476547799</v>
      </c>
      <c r="CU108">
        <v>9.9448092299136134E-2</v>
      </c>
      <c r="CV108">
        <v>-1</v>
      </c>
      <c r="CW108">
        <v>0</v>
      </c>
      <c r="CX108">
        <v>0</v>
      </c>
      <c r="CY108" t="s">
        <v>333</v>
      </c>
      <c r="CZ108">
        <v>2.3650099999999998</v>
      </c>
      <c r="DA108">
        <v>2.7138399999999998</v>
      </c>
      <c r="DB108">
        <v>0.12917899999999999</v>
      </c>
      <c r="DC108">
        <v>0.14571000000000001</v>
      </c>
      <c r="DD108">
        <v>0.11072</v>
      </c>
      <c r="DE108">
        <v>8.2366900000000007E-2</v>
      </c>
      <c r="DF108">
        <v>31813</v>
      </c>
      <c r="DG108">
        <v>27551</v>
      </c>
      <c r="DH108">
        <v>31186.799999999999</v>
      </c>
      <c r="DI108">
        <v>28100.6</v>
      </c>
      <c r="DJ108">
        <v>37654.699999999997</v>
      </c>
      <c r="DK108">
        <v>36667.599999999999</v>
      </c>
      <c r="DL108">
        <v>44385</v>
      </c>
      <c r="DM108">
        <v>42592.5</v>
      </c>
      <c r="DN108">
        <v>1.4659199999999999</v>
      </c>
      <c r="DO108">
        <v>2.0541999999999998</v>
      </c>
      <c r="DP108">
        <v>0.112094</v>
      </c>
      <c r="DQ108">
        <v>0.19294800000000001</v>
      </c>
      <c r="DR108">
        <v>25.133400000000002</v>
      </c>
      <c r="DS108">
        <v>24.8828</v>
      </c>
      <c r="DT108">
        <v>57.3</v>
      </c>
      <c r="DU108">
        <v>28.8</v>
      </c>
      <c r="DV108">
        <v>23.094799999999999</v>
      </c>
      <c r="DW108">
        <v>61.402200000000001</v>
      </c>
      <c r="DX108">
        <v>35.801299999999998</v>
      </c>
      <c r="DY108">
        <v>1</v>
      </c>
      <c r="DZ108">
        <v>-0.10591200000000001</v>
      </c>
      <c r="EA108">
        <v>0.224052</v>
      </c>
      <c r="EB108">
        <v>20.189699999999998</v>
      </c>
      <c r="EC108">
        <v>5.24125</v>
      </c>
      <c r="ED108">
        <v>12.039899999999999</v>
      </c>
      <c r="EE108">
        <v>5.0178500000000001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</v>
      </c>
      <c r="EL108">
        <v>1.8646199999999999</v>
      </c>
      <c r="EM108">
        <v>1.8692</v>
      </c>
      <c r="EN108">
        <v>1.8672299999999999</v>
      </c>
      <c r="EO108">
        <v>1.8633999999999999</v>
      </c>
      <c r="EP108">
        <v>1.8644700000000001</v>
      </c>
      <c r="EQ108">
        <v>1.87015</v>
      </c>
      <c r="ER108">
        <v>1.86938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-0.19600000000000001</v>
      </c>
      <c r="FG108">
        <v>0.2797</v>
      </c>
      <c r="FH108">
        <v>0.26269369235785539</v>
      </c>
      <c r="FI108">
        <v>-6.1462078757559423E-4</v>
      </c>
      <c r="FJ108">
        <v>-1.8861989874597051E-7</v>
      </c>
      <c r="FK108">
        <v>1.1980462299894961E-10</v>
      </c>
      <c r="FL108">
        <v>0.27968571428570849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24.9</v>
      </c>
      <c r="FU108">
        <v>24.9</v>
      </c>
      <c r="FV108">
        <v>1.78955</v>
      </c>
      <c r="FW108">
        <v>2.5854499999999998</v>
      </c>
      <c r="FX108">
        <v>1.5490699999999999</v>
      </c>
      <c r="FY108">
        <v>2.3327599999999999</v>
      </c>
      <c r="FZ108">
        <v>1.50146</v>
      </c>
      <c r="GA108">
        <v>2.323</v>
      </c>
      <c r="GB108">
        <v>33.558</v>
      </c>
      <c r="GC108">
        <v>23.982399999999998</v>
      </c>
      <c r="GD108">
        <v>19</v>
      </c>
      <c r="GE108">
        <v>277.95499999999998</v>
      </c>
      <c r="GF108">
        <v>596.55399999999997</v>
      </c>
      <c r="GG108">
        <v>24.085899999999999</v>
      </c>
      <c r="GH108">
        <v>26.067799999999998</v>
      </c>
      <c r="GI108">
        <v>30.0001</v>
      </c>
      <c r="GJ108">
        <v>26.220199999999998</v>
      </c>
      <c r="GK108">
        <v>26.211200000000002</v>
      </c>
      <c r="GL108">
        <v>35.783700000000003</v>
      </c>
      <c r="GM108">
        <v>39.569499999999998</v>
      </c>
      <c r="GN108">
        <v>94.757499999999993</v>
      </c>
      <c r="GO108">
        <v>24.088699999999999</v>
      </c>
      <c r="GP108">
        <v>800</v>
      </c>
      <c r="GQ108">
        <v>15.5144</v>
      </c>
      <c r="GR108">
        <v>99.788700000000006</v>
      </c>
      <c r="GS108">
        <v>99.637</v>
      </c>
    </row>
    <row r="109" spans="1:201" x14ac:dyDescent="0.25">
      <c r="A109">
        <v>93</v>
      </c>
      <c r="B109">
        <v>1690386325.5999999</v>
      </c>
      <c r="C109">
        <v>991</v>
      </c>
      <c r="D109" t="s">
        <v>519</v>
      </c>
      <c r="E109" t="s">
        <v>520</v>
      </c>
      <c r="F109" t="s">
        <v>330</v>
      </c>
      <c r="H109">
        <v>1690386325.5999999</v>
      </c>
      <c r="I109">
        <f t="shared" si="30"/>
        <v>7.5561314382845742E-4</v>
      </c>
      <c r="J109">
        <f t="shared" si="31"/>
        <v>0.75561314382845746</v>
      </c>
      <c r="K109">
        <f t="shared" si="32"/>
        <v>12.392637767793738</v>
      </c>
      <c r="L109">
        <f t="shared" si="33"/>
        <v>663.46100000000001</v>
      </c>
      <c r="M109">
        <f t="shared" si="34"/>
        <v>237.06865335762635</v>
      </c>
      <c r="N109">
        <f t="shared" si="35"/>
        <v>23.409725382193415</v>
      </c>
      <c r="O109">
        <f t="shared" si="36"/>
        <v>65.514523290288011</v>
      </c>
      <c r="P109">
        <f t="shared" si="37"/>
        <v>4.8288133895240767E-2</v>
      </c>
      <c r="Q109">
        <f t="shared" si="38"/>
        <v>2.1536237397734732</v>
      </c>
      <c r="R109">
        <f t="shared" si="39"/>
        <v>4.7694609386549965E-2</v>
      </c>
      <c r="S109">
        <f t="shared" si="40"/>
        <v>2.986184880967218E-2</v>
      </c>
      <c r="T109">
        <f t="shared" si="41"/>
        <v>276.11640667800003</v>
      </c>
      <c r="U109">
        <f t="shared" si="42"/>
        <v>28.09736328199282</v>
      </c>
      <c r="V109">
        <f t="shared" si="43"/>
        <v>28.09736328199282</v>
      </c>
      <c r="W109">
        <f t="shared" si="44"/>
        <v>3.8164323860315479</v>
      </c>
      <c r="X109">
        <f t="shared" si="45"/>
        <v>67.39427044320712</v>
      </c>
      <c r="Y109">
        <f t="shared" si="46"/>
        <v>2.3004701025936001</v>
      </c>
      <c r="Z109">
        <f t="shared" si="47"/>
        <v>3.413450561101032</v>
      </c>
      <c r="AA109">
        <f t="shared" si="48"/>
        <v>1.5159622834379478</v>
      </c>
      <c r="AB109">
        <f t="shared" si="49"/>
        <v>-33.322539642834975</v>
      </c>
      <c r="AC109">
        <f t="shared" si="50"/>
        <v>-220.84126956696264</v>
      </c>
      <c r="AD109">
        <f t="shared" si="51"/>
        <v>-22.162823749335459</v>
      </c>
      <c r="AE109">
        <f t="shared" si="52"/>
        <v>-0.21022628113306041</v>
      </c>
      <c r="AF109">
        <v>0</v>
      </c>
      <c r="AG109">
        <v>0</v>
      </c>
      <c r="AH109">
        <f t="shared" si="53"/>
        <v>1</v>
      </c>
      <c r="AI109">
        <f t="shared" si="54"/>
        <v>0</v>
      </c>
      <c r="AJ109">
        <f t="shared" si="55"/>
        <v>52129.27191268692</v>
      </c>
      <c r="AK109">
        <f t="shared" si="56"/>
        <v>1800</v>
      </c>
      <c r="AL109">
        <f t="shared" si="57"/>
        <v>1499.1104088</v>
      </c>
      <c r="AM109">
        <f t="shared" si="58"/>
        <v>0.83283911599999993</v>
      </c>
      <c r="AN109">
        <f t="shared" si="59"/>
        <v>0.15339800371000001</v>
      </c>
      <c r="AO109">
        <v>31.8</v>
      </c>
      <c r="AP109">
        <v>0.5</v>
      </c>
      <c r="AQ109" t="s">
        <v>331</v>
      </c>
      <c r="AR109">
        <v>2</v>
      </c>
      <c r="AS109">
        <v>1690386325.5999999</v>
      </c>
      <c r="AT109">
        <v>663.46100000000001</v>
      </c>
      <c r="AU109">
        <v>800.06</v>
      </c>
      <c r="AV109">
        <v>23.296700000000001</v>
      </c>
      <c r="AW109">
        <v>15.478199999999999</v>
      </c>
      <c r="AX109">
        <v>663.65499999999997</v>
      </c>
      <c r="AY109">
        <v>23.016999999999999</v>
      </c>
      <c r="AZ109">
        <v>300.16899999999998</v>
      </c>
      <c r="BA109">
        <v>98.646600000000007</v>
      </c>
      <c r="BB109">
        <v>0.100008</v>
      </c>
      <c r="BC109">
        <v>26.1953</v>
      </c>
      <c r="BD109">
        <v>26.965399999999999</v>
      </c>
      <c r="BE109">
        <v>28.0397</v>
      </c>
      <c r="BF109">
        <v>0</v>
      </c>
      <c r="BG109">
        <v>0</v>
      </c>
      <c r="BH109">
        <v>9965.6200000000008</v>
      </c>
      <c r="BI109">
        <v>1072.58</v>
      </c>
      <c r="BJ109">
        <v>1.4577199999999999</v>
      </c>
      <c r="BK109">
        <v>-136.59899999999999</v>
      </c>
      <c r="BL109">
        <v>679.28599999999994</v>
      </c>
      <c r="BM109">
        <v>812.63900000000001</v>
      </c>
      <c r="BN109">
        <v>7.8184699999999996</v>
      </c>
      <c r="BO109">
        <v>800.06</v>
      </c>
      <c r="BP109">
        <v>15.478199999999999</v>
      </c>
      <c r="BQ109">
        <v>2.2981400000000001</v>
      </c>
      <c r="BR109">
        <v>1.5268699999999999</v>
      </c>
      <c r="BS109">
        <v>19.663399999999999</v>
      </c>
      <c r="BT109">
        <v>13.24</v>
      </c>
      <c r="BU109">
        <v>1800</v>
      </c>
      <c r="BV109">
        <v>0.90998100000000004</v>
      </c>
      <c r="BW109">
        <v>3.3999500000000002E-2</v>
      </c>
      <c r="BX109">
        <v>2.20073E-2</v>
      </c>
      <c r="BY109">
        <v>3.4012100000000003E-2</v>
      </c>
      <c r="BZ109">
        <v>25</v>
      </c>
      <c r="CA109">
        <v>33528.199999999997</v>
      </c>
      <c r="CB109">
        <v>1690384821</v>
      </c>
      <c r="CC109" t="s">
        <v>332</v>
      </c>
      <c r="CD109">
        <v>1690384820</v>
      </c>
      <c r="CE109">
        <v>1690384821</v>
      </c>
      <c r="CF109">
        <v>5</v>
      </c>
      <c r="CG109">
        <v>-2.5000000000000001E-2</v>
      </c>
      <c r="CH109">
        <v>0.104</v>
      </c>
      <c r="CI109">
        <v>-0.28799999999999998</v>
      </c>
      <c r="CJ109">
        <v>0.28000000000000003</v>
      </c>
      <c r="CK109">
        <v>800</v>
      </c>
      <c r="CL109">
        <v>24</v>
      </c>
      <c r="CM109">
        <v>0.08</v>
      </c>
      <c r="CN109">
        <v>0.11</v>
      </c>
      <c r="CO109">
        <v>-133.23740000000001</v>
      </c>
      <c r="CP109">
        <v>-19.302461538461149</v>
      </c>
      <c r="CQ109">
        <v>1.8574780052533599</v>
      </c>
      <c r="CR109">
        <v>-1</v>
      </c>
      <c r="CS109">
        <v>7.63595325</v>
      </c>
      <c r="CT109">
        <v>0.98054870544087858</v>
      </c>
      <c r="CU109">
        <v>9.5156929447820532E-2</v>
      </c>
      <c r="CV109">
        <v>-1</v>
      </c>
      <c r="CW109">
        <v>0</v>
      </c>
      <c r="CX109">
        <v>0</v>
      </c>
      <c r="CY109" t="s">
        <v>333</v>
      </c>
      <c r="CZ109">
        <v>2.3646500000000001</v>
      </c>
      <c r="DA109">
        <v>2.7137699999999998</v>
      </c>
      <c r="DB109">
        <v>0.128743</v>
      </c>
      <c r="DC109">
        <v>0.145706</v>
      </c>
      <c r="DD109">
        <v>0.110781</v>
      </c>
      <c r="DE109">
        <v>8.1743499999999997E-2</v>
      </c>
      <c r="DF109">
        <v>31828.400000000001</v>
      </c>
      <c r="DG109">
        <v>27551</v>
      </c>
      <c r="DH109">
        <v>31186.3</v>
      </c>
      <c r="DI109">
        <v>28100.400000000001</v>
      </c>
      <c r="DJ109">
        <v>37651.4</v>
      </c>
      <c r="DK109">
        <v>36692.6</v>
      </c>
      <c r="DL109">
        <v>44384.2</v>
      </c>
      <c r="DM109">
        <v>42592.5</v>
      </c>
      <c r="DN109">
        <v>1.4659500000000001</v>
      </c>
      <c r="DO109">
        <v>2.0543999999999998</v>
      </c>
      <c r="DP109">
        <v>0.111725</v>
      </c>
      <c r="DQ109">
        <v>0.19286600000000001</v>
      </c>
      <c r="DR109">
        <v>25.1355</v>
      </c>
      <c r="DS109">
        <v>24.8828</v>
      </c>
      <c r="DT109">
        <v>57.2</v>
      </c>
      <c r="DU109">
        <v>28.8</v>
      </c>
      <c r="DV109">
        <v>23.052099999999999</v>
      </c>
      <c r="DW109">
        <v>61.212200000000003</v>
      </c>
      <c r="DX109">
        <v>35.761200000000002</v>
      </c>
      <c r="DY109">
        <v>1</v>
      </c>
      <c r="DZ109">
        <v>-0.106695</v>
      </c>
      <c r="EA109">
        <v>0.112998</v>
      </c>
      <c r="EB109">
        <v>20.190300000000001</v>
      </c>
      <c r="EC109">
        <v>5.2411000000000003</v>
      </c>
      <c r="ED109">
        <v>12.039899999999999</v>
      </c>
      <c r="EE109">
        <v>5.0171000000000001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1.8689100000000001</v>
      </c>
      <c r="EL109">
        <v>1.8646199999999999</v>
      </c>
      <c r="EM109">
        <v>1.8692</v>
      </c>
      <c r="EN109">
        <v>1.86724</v>
      </c>
      <c r="EO109">
        <v>1.86338</v>
      </c>
      <c r="EP109">
        <v>1.8644700000000001</v>
      </c>
      <c r="EQ109">
        <v>1.87016</v>
      </c>
      <c r="ER109">
        <v>1.8693900000000001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-0.19400000000000001</v>
      </c>
      <c r="FG109">
        <v>0.2797</v>
      </c>
      <c r="FH109">
        <v>0.26269369235785539</v>
      </c>
      <c r="FI109">
        <v>-6.1462078757559423E-4</v>
      </c>
      <c r="FJ109">
        <v>-1.8861989874597051E-7</v>
      </c>
      <c r="FK109">
        <v>1.1980462299894961E-10</v>
      </c>
      <c r="FL109">
        <v>0.27968571428570849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25.1</v>
      </c>
      <c r="FU109">
        <v>25.1</v>
      </c>
      <c r="FV109">
        <v>1.78955</v>
      </c>
      <c r="FW109">
        <v>2.5842299999999998</v>
      </c>
      <c r="FX109">
        <v>1.5490699999999999</v>
      </c>
      <c r="FY109">
        <v>2.3327599999999999</v>
      </c>
      <c r="FZ109">
        <v>1.50146</v>
      </c>
      <c r="GA109">
        <v>2.3559600000000001</v>
      </c>
      <c r="GB109">
        <v>33.558</v>
      </c>
      <c r="GC109">
        <v>23.982399999999998</v>
      </c>
      <c r="GD109">
        <v>19</v>
      </c>
      <c r="GE109">
        <v>277.95</v>
      </c>
      <c r="GF109">
        <v>596.67700000000002</v>
      </c>
      <c r="GG109">
        <v>24.107099999999999</v>
      </c>
      <c r="GH109">
        <v>26.065000000000001</v>
      </c>
      <c r="GI109">
        <v>29.9999</v>
      </c>
      <c r="GJ109">
        <v>26.2163</v>
      </c>
      <c r="GK109">
        <v>26.2074</v>
      </c>
      <c r="GL109">
        <v>35.779499999999999</v>
      </c>
      <c r="GM109">
        <v>40.165999999999997</v>
      </c>
      <c r="GN109">
        <v>94.384200000000007</v>
      </c>
      <c r="GO109">
        <v>24.119700000000002</v>
      </c>
      <c r="GP109">
        <v>800</v>
      </c>
      <c r="GQ109">
        <v>15.3581</v>
      </c>
      <c r="GR109">
        <v>99.787000000000006</v>
      </c>
      <c r="GS109">
        <v>99.636799999999994</v>
      </c>
    </row>
    <row r="110" spans="1:201" x14ac:dyDescent="0.25">
      <c r="A110">
        <v>94</v>
      </c>
      <c r="B110">
        <v>1690386335.5999999</v>
      </c>
      <c r="C110">
        <v>1001</v>
      </c>
      <c r="D110" t="s">
        <v>521</v>
      </c>
      <c r="E110" t="s">
        <v>522</v>
      </c>
      <c r="F110" t="s">
        <v>330</v>
      </c>
      <c r="H110">
        <v>1690386335.5999999</v>
      </c>
      <c r="I110">
        <f t="shared" si="30"/>
        <v>7.7287960849524494E-4</v>
      </c>
      <c r="J110">
        <f t="shared" si="31"/>
        <v>0.77287960849524495</v>
      </c>
      <c r="K110">
        <f t="shared" si="32"/>
        <v>12.681628801406465</v>
      </c>
      <c r="L110">
        <f t="shared" si="33"/>
        <v>660.27499999999998</v>
      </c>
      <c r="M110">
        <f t="shared" si="34"/>
        <v>234.59865792419745</v>
      </c>
      <c r="N110">
        <f t="shared" si="35"/>
        <v>23.165592320799103</v>
      </c>
      <c r="O110">
        <f t="shared" si="36"/>
        <v>65.199270980305002</v>
      </c>
      <c r="P110">
        <f t="shared" si="37"/>
        <v>4.9499988395685299E-2</v>
      </c>
      <c r="Q110">
        <f t="shared" si="38"/>
        <v>2.1596727255994073</v>
      </c>
      <c r="R110">
        <f t="shared" si="39"/>
        <v>4.8878229580046957E-2</v>
      </c>
      <c r="S110">
        <f t="shared" si="40"/>
        <v>3.0604105314081975E-2</v>
      </c>
      <c r="T110">
        <f t="shared" si="41"/>
        <v>276.11607283200004</v>
      </c>
      <c r="U110">
        <f t="shared" si="42"/>
        <v>28.091954390755799</v>
      </c>
      <c r="V110">
        <f t="shared" si="43"/>
        <v>28.091954390755799</v>
      </c>
      <c r="W110">
        <f t="shared" si="44"/>
        <v>3.8152300254157154</v>
      </c>
      <c r="X110">
        <f t="shared" si="45"/>
        <v>67.423290683704934</v>
      </c>
      <c r="Y110">
        <f t="shared" si="46"/>
        <v>2.3021951207348801</v>
      </c>
      <c r="Z110">
        <f t="shared" si="47"/>
        <v>3.4145398383696537</v>
      </c>
      <c r="AA110">
        <f t="shared" si="48"/>
        <v>1.5130349046808353</v>
      </c>
      <c r="AB110">
        <f t="shared" si="49"/>
        <v>-34.083990734640302</v>
      </c>
      <c r="AC110">
        <f t="shared" si="50"/>
        <v>-220.20305317762276</v>
      </c>
      <c r="AD110">
        <f t="shared" si="51"/>
        <v>-22.036875162157816</v>
      </c>
      <c r="AE110">
        <f t="shared" si="52"/>
        <v>-0.2078462424208567</v>
      </c>
      <c r="AF110">
        <v>0</v>
      </c>
      <c r="AG110">
        <v>0</v>
      </c>
      <c r="AH110">
        <f t="shared" si="53"/>
        <v>1</v>
      </c>
      <c r="AI110">
        <f t="shared" si="54"/>
        <v>0</v>
      </c>
      <c r="AJ110">
        <f t="shared" si="55"/>
        <v>52381.646009376185</v>
      </c>
      <c r="AK110">
        <f t="shared" si="56"/>
        <v>1800</v>
      </c>
      <c r="AL110">
        <f t="shared" si="57"/>
        <v>1499.1102972000001</v>
      </c>
      <c r="AM110">
        <f t="shared" si="58"/>
        <v>0.83283905400000002</v>
      </c>
      <c r="AN110">
        <f t="shared" si="59"/>
        <v>0.15339781824000004</v>
      </c>
      <c r="AO110">
        <v>31.8</v>
      </c>
      <c r="AP110">
        <v>0.5</v>
      </c>
      <c r="AQ110" t="s">
        <v>331</v>
      </c>
      <c r="AR110">
        <v>2</v>
      </c>
      <c r="AS110">
        <v>1690386335.5999999</v>
      </c>
      <c r="AT110">
        <v>660.27499999999998</v>
      </c>
      <c r="AU110">
        <v>800.09699999999998</v>
      </c>
      <c r="AV110">
        <v>23.314399999999999</v>
      </c>
      <c r="AW110">
        <v>15.313599999999999</v>
      </c>
      <c r="AX110">
        <v>660.46600000000001</v>
      </c>
      <c r="AY110">
        <v>23.034700000000001</v>
      </c>
      <c r="AZ110">
        <v>300.02699999999999</v>
      </c>
      <c r="BA110">
        <v>98.645700000000005</v>
      </c>
      <c r="BB110">
        <v>9.9930199999999997E-2</v>
      </c>
      <c r="BC110">
        <v>26.200700000000001</v>
      </c>
      <c r="BD110">
        <v>26.983599999999999</v>
      </c>
      <c r="BE110">
        <v>28.038699999999999</v>
      </c>
      <c r="BF110">
        <v>0</v>
      </c>
      <c r="BG110">
        <v>0</v>
      </c>
      <c r="BH110">
        <v>10016.200000000001</v>
      </c>
      <c r="BI110">
        <v>1072.58</v>
      </c>
      <c r="BJ110">
        <v>1.4577199999999999</v>
      </c>
      <c r="BK110">
        <v>-139.822</v>
      </c>
      <c r="BL110">
        <v>676.03599999999994</v>
      </c>
      <c r="BM110">
        <v>812.54</v>
      </c>
      <c r="BN110">
        <v>8.0007999999999999</v>
      </c>
      <c r="BO110">
        <v>800.09699999999998</v>
      </c>
      <c r="BP110">
        <v>15.313599999999999</v>
      </c>
      <c r="BQ110">
        <v>2.2998699999999999</v>
      </c>
      <c r="BR110">
        <v>1.5106200000000001</v>
      </c>
      <c r="BS110">
        <v>19.6755</v>
      </c>
      <c r="BT110">
        <v>13.0761</v>
      </c>
      <c r="BU110">
        <v>1800</v>
      </c>
      <c r="BV110">
        <v>0.90998500000000004</v>
      </c>
      <c r="BW110">
        <v>3.3997800000000002E-2</v>
      </c>
      <c r="BX110">
        <v>2.20062E-2</v>
      </c>
      <c r="BY110">
        <v>3.4010400000000003E-2</v>
      </c>
      <c r="BZ110">
        <v>25</v>
      </c>
      <c r="CA110">
        <v>33528.300000000003</v>
      </c>
      <c r="CB110">
        <v>1690384821</v>
      </c>
      <c r="CC110" t="s">
        <v>332</v>
      </c>
      <c r="CD110">
        <v>1690384820</v>
      </c>
      <c r="CE110">
        <v>1690384821</v>
      </c>
      <c r="CF110">
        <v>5</v>
      </c>
      <c r="CG110">
        <v>-2.5000000000000001E-2</v>
      </c>
      <c r="CH110">
        <v>0.104</v>
      </c>
      <c r="CI110">
        <v>-0.28799999999999998</v>
      </c>
      <c r="CJ110">
        <v>0.28000000000000003</v>
      </c>
      <c r="CK110">
        <v>800</v>
      </c>
      <c r="CL110">
        <v>24</v>
      </c>
      <c r="CM110">
        <v>0.08</v>
      </c>
      <c r="CN110">
        <v>0.11</v>
      </c>
      <c r="CO110">
        <v>-136.23248780487799</v>
      </c>
      <c r="CP110">
        <v>-19.536501742160411</v>
      </c>
      <c r="CQ110">
        <v>1.926742102072837</v>
      </c>
      <c r="CR110">
        <v>-1</v>
      </c>
      <c r="CS110">
        <v>7.7881419512195116</v>
      </c>
      <c r="CT110">
        <v>1.04381686411152</v>
      </c>
      <c r="CU110">
        <v>0.1033331170964841</v>
      </c>
      <c r="CV110">
        <v>-1</v>
      </c>
      <c r="CW110">
        <v>0</v>
      </c>
      <c r="CX110">
        <v>0</v>
      </c>
      <c r="CY110" t="s">
        <v>333</v>
      </c>
      <c r="CZ110">
        <v>2.3641800000000002</v>
      </c>
      <c r="DA110">
        <v>2.71373</v>
      </c>
      <c r="DB110">
        <v>0.12831600000000001</v>
      </c>
      <c r="DC110">
        <v>0.145707</v>
      </c>
      <c r="DD110">
        <v>0.110841</v>
      </c>
      <c r="DE110">
        <v>8.1107499999999999E-2</v>
      </c>
      <c r="DF110">
        <v>31844.3</v>
      </c>
      <c r="DG110">
        <v>27551.599999999999</v>
      </c>
      <c r="DH110">
        <v>31186.6</v>
      </c>
      <c r="DI110">
        <v>28101.1</v>
      </c>
      <c r="DJ110">
        <v>37648.9</v>
      </c>
      <c r="DK110">
        <v>36718.800000000003</v>
      </c>
      <c r="DL110">
        <v>44384.4</v>
      </c>
      <c r="DM110">
        <v>42593.4</v>
      </c>
      <c r="DN110">
        <v>1.4661</v>
      </c>
      <c r="DO110">
        <v>2.0545200000000001</v>
      </c>
      <c r="DP110">
        <v>0.11274199999999999</v>
      </c>
      <c r="DQ110">
        <v>0.19267899999999999</v>
      </c>
      <c r="DR110">
        <v>25.137</v>
      </c>
      <c r="DS110">
        <v>24.884799999999998</v>
      </c>
      <c r="DT110">
        <v>57.2</v>
      </c>
      <c r="DU110">
        <v>28.8</v>
      </c>
      <c r="DV110">
        <v>23.051100000000002</v>
      </c>
      <c r="DW110">
        <v>60.782200000000003</v>
      </c>
      <c r="DX110">
        <v>36.165900000000001</v>
      </c>
      <c r="DY110">
        <v>1</v>
      </c>
      <c r="DZ110">
        <v>-0.107045</v>
      </c>
      <c r="EA110">
        <v>5.07407E-2</v>
      </c>
      <c r="EB110">
        <v>20.189900000000002</v>
      </c>
      <c r="EC110">
        <v>5.2409499999999998</v>
      </c>
      <c r="ED110">
        <v>12.039899999999999</v>
      </c>
      <c r="EE110">
        <v>5.0163500000000001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1.8689100000000001</v>
      </c>
      <c r="EL110">
        <v>1.8646199999999999</v>
      </c>
      <c r="EM110">
        <v>1.8692</v>
      </c>
      <c r="EN110">
        <v>1.8672599999999999</v>
      </c>
      <c r="EO110">
        <v>1.8633900000000001</v>
      </c>
      <c r="EP110">
        <v>1.8644700000000001</v>
      </c>
      <c r="EQ110">
        <v>1.87018</v>
      </c>
      <c r="ER110">
        <v>1.86941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-0.191</v>
      </c>
      <c r="FG110">
        <v>0.2797</v>
      </c>
      <c r="FH110">
        <v>0.26269369235785539</v>
      </c>
      <c r="FI110">
        <v>-6.1462078757559423E-4</v>
      </c>
      <c r="FJ110">
        <v>-1.8861989874597051E-7</v>
      </c>
      <c r="FK110">
        <v>1.1980462299894961E-10</v>
      </c>
      <c r="FL110">
        <v>0.27968571428570849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25.3</v>
      </c>
      <c r="FU110">
        <v>25.2</v>
      </c>
      <c r="FV110">
        <v>1.78955</v>
      </c>
      <c r="FW110">
        <v>2.5830099999999998</v>
      </c>
      <c r="FX110">
        <v>1.5490699999999999</v>
      </c>
      <c r="FY110">
        <v>2.3327599999999999</v>
      </c>
      <c r="FZ110">
        <v>1.50146</v>
      </c>
      <c r="GA110">
        <v>2.3925800000000002</v>
      </c>
      <c r="GB110">
        <v>33.558</v>
      </c>
      <c r="GC110">
        <v>23.982399999999998</v>
      </c>
      <c r="GD110">
        <v>19</v>
      </c>
      <c r="GE110">
        <v>278.00099999999998</v>
      </c>
      <c r="GF110">
        <v>596.74400000000003</v>
      </c>
      <c r="GG110">
        <v>24.152200000000001</v>
      </c>
      <c r="GH110">
        <v>26.061199999999999</v>
      </c>
      <c r="GI110">
        <v>29.999700000000001</v>
      </c>
      <c r="GJ110">
        <v>26.213699999999999</v>
      </c>
      <c r="GK110">
        <v>26.2041</v>
      </c>
      <c r="GL110">
        <v>35.774900000000002</v>
      </c>
      <c r="GM110">
        <v>40.457000000000001</v>
      </c>
      <c r="GN110">
        <v>94.005099999999999</v>
      </c>
      <c r="GO110">
        <v>24.161899999999999</v>
      </c>
      <c r="GP110">
        <v>800</v>
      </c>
      <c r="GQ110">
        <v>15.2019</v>
      </c>
      <c r="GR110">
        <v>99.787599999999998</v>
      </c>
      <c r="GS110">
        <v>99.638900000000007</v>
      </c>
    </row>
    <row r="111" spans="1:201" x14ac:dyDescent="0.25">
      <c r="A111">
        <v>95</v>
      </c>
      <c r="B111">
        <v>1690386345.5999999</v>
      </c>
      <c r="C111">
        <v>1011</v>
      </c>
      <c r="D111" t="s">
        <v>523</v>
      </c>
      <c r="E111" t="s">
        <v>524</v>
      </c>
      <c r="F111" t="s">
        <v>330</v>
      </c>
      <c r="H111">
        <v>1690386345.5999999</v>
      </c>
      <c r="I111">
        <f t="shared" si="30"/>
        <v>7.8903956938809381E-4</v>
      </c>
      <c r="J111">
        <f t="shared" si="31"/>
        <v>0.78903956938809383</v>
      </c>
      <c r="K111">
        <f t="shared" si="32"/>
        <v>12.991968559889127</v>
      </c>
      <c r="L111">
        <f t="shared" si="33"/>
        <v>656.88900000000001</v>
      </c>
      <c r="M111">
        <f t="shared" si="34"/>
        <v>230.87256447589411</v>
      </c>
      <c r="N111">
        <f t="shared" si="35"/>
        <v>22.798436716410581</v>
      </c>
      <c r="O111">
        <f t="shared" si="36"/>
        <v>64.867137116112005</v>
      </c>
      <c r="P111">
        <f t="shared" si="37"/>
        <v>5.066851581052207E-2</v>
      </c>
      <c r="Q111">
        <f t="shared" si="38"/>
        <v>2.1591986579203581</v>
      </c>
      <c r="R111">
        <f t="shared" si="39"/>
        <v>5.001712252686711E-2</v>
      </c>
      <c r="S111">
        <f t="shared" si="40"/>
        <v>3.1318528931287781E-2</v>
      </c>
      <c r="T111">
        <f t="shared" si="41"/>
        <v>276.11453773782381</v>
      </c>
      <c r="U111">
        <f t="shared" si="42"/>
        <v>28.087249481433364</v>
      </c>
      <c r="V111">
        <f t="shared" si="43"/>
        <v>28.087249481433364</v>
      </c>
      <c r="W111">
        <f t="shared" si="44"/>
        <v>3.8141844240703549</v>
      </c>
      <c r="X111">
        <f t="shared" si="45"/>
        <v>67.493011481874305</v>
      </c>
      <c r="Y111">
        <f t="shared" si="46"/>
        <v>2.3046438483072</v>
      </c>
      <c r="Z111">
        <f t="shared" si="47"/>
        <v>3.4146407127293874</v>
      </c>
      <c r="AA111">
        <f t="shared" si="48"/>
        <v>1.5095405757631548</v>
      </c>
      <c r="AB111">
        <f t="shared" si="49"/>
        <v>-34.796645010014934</v>
      </c>
      <c r="AC111">
        <f t="shared" si="50"/>
        <v>-219.54883020564534</v>
      </c>
      <c r="AD111">
        <f t="shared" si="51"/>
        <v>-21.975764608858405</v>
      </c>
      <c r="AE111">
        <f t="shared" si="52"/>
        <v>-0.20670208669488943</v>
      </c>
      <c r="AF111">
        <v>0</v>
      </c>
      <c r="AG111">
        <v>0</v>
      </c>
      <c r="AH111">
        <f t="shared" si="53"/>
        <v>1</v>
      </c>
      <c r="AI111">
        <f t="shared" si="54"/>
        <v>0</v>
      </c>
      <c r="AJ111">
        <f t="shared" si="55"/>
        <v>52361.748976287381</v>
      </c>
      <c r="AK111">
        <f t="shared" si="56"/>
        <v>1799.99</v>
      </c>
      <c r="AL111">
        <f t="shared" si="57"/>
        <v>1499.1029552039799</v>
      </c>
      <c r="AM111">
        <f t="shared" si="58"/>
        <v>0.83283960199999996</v>
      </c>
      <c r="AN111">
        <f t="shared" si="59"/>
        <v>0.15339781762000002</v>
      </c>
      <c r="AO111">
        <v>31.8</v>
      </c>
      <c r="AP111">
        <v>0.5</v>
      </c>
      <c r="AQ111" t="s">
        <v>331</v>
      </c>
      <c r="AR111">
        <v>2</v>
      </c>
      <c r="AS111">
        <v>1690386345.5999999</v>
      </c>
      <c r="AT111">
        <v>656.88900000000001</v>
      </c>
      <c r="AU111">
        <v>800.04499999999996</v>
      </c>
      <c r="AV111">
        <v>23.3384</v>
      </c>
      <c r="AW111">
        <v>15.172800000000001</v>
      </c>
      <c r="AX111">
        <v>657.07799999999997</v>
      </c>
      <c r="AY111">
        <v>23.058700000000002</v>
      </c>
      <c r="AZ111">
        <v>300.11099999999999</v>
      </c>
      <c r="BA111">
        <v>98.649000000000001</v>
      </c>
      <c r="BB111">
        <v>0.100008</v>
      </c>
      <c r="BC111">
        <v>26.2012</v>
      </c>
      <c r="BD111">
        <v>26.979900000000001</v>
      </c>
      <c r="BE111">
        <v>28.031700000000001</v>
      </c>
      <c r="BF111">
        <v>0</v>
      </c>
      <c r="BG111">
        <v>0</v>
      </c>
      <c r="BH111">
        <v>10011.9</v>
      </c>
      <c r="BI111">
        <v>1072.53</v>
      </c>
      <c r="BJ111">
        <v>1.4577199999999999</v>
      </c>
      <c r="BK111">
        <v>-143.15600000000001</v>
      </c>
      <c r="BL111">
        <v>672.58600000000001</v>
      </c>
      <c r="BM111">
        <v>812.37099999999998</v>
      </c>
      <c r="BN111">
        <v>8.1655499999999996</v>
      </c>
      <c r="BO111">
        <v>800.04499999999996</v>
      </c>
      <c r="BP111">
        <v>15.172800000000001</v>
      </c>
      <c r="BQ111">
        <v>2.3023099999999999</v>
      </c>
      <c r="BR111">
        <v>1.49678</v>
      </c>
      <c r="BS111">
        <v>19.692499999999999</v>
      </c>
      <c r="BT111">
        <v>12.9353</v>
      </c>
      <c r="BU111">
        <v>1799.99</v>
      </c>
      <c r="BV111">
        <v>0.90998800000000002</v>
      </c>
      <c r="BW111">
        <v>3.3996800000000001E-2</v>
      </c>
      <c r="BX111">
        <v>2.20056E-2</v>
      </c>
      <c r="BY111">
        <v>3.4009400000000002E-2</v>
      </c>
      <c r="BZ111">
        <v>25</v>
      </c>
      <c r="CA111">
        <v>33528.1</v>
      </c>
      <c r="CB111">
        <v>1690384821</v>
      </c>
      <c r="CC111" t="s">
        <v>332</v>
      </c>
      <c r="CD111">
        <v>1690384820</v>
      </c>
      <c r="CE111">
        <v>1690384821</v>
      </c>
      <c r="CF111">
        <v>5</v>
      </c>
      <c r="CG111">
        <v>-2.5000000000000001E-2</v>
      </c>
      <c r="CH111">
        <v>0.104</v>
      </c>
      <c r="CI111">
        <v>-0.28799999999999998</v>
      </c>
      <c r="CJ111">
        <v>0.28000000000000003</v>
      </c>
      <c r="CK111">
        <v>800</v>
      </c>
      <c r="CL111">
        <v>24</v>
      </c>
      <c r="CM111">
        <v>0.08</v>
      </c>
      <c r="CN111">
        <v>0.11</v>
      </c>
      <c r="CO111">
        <v>-139.74492499999999</v>
      </c>
      <c r="CP111">
        <v>-19.601459662288459</v>
      </c>
      <c r="CQ111">
        <v>1.885790104803555</v>
      </c>
      <c r="CR111">
        <v>-1</v>
      </c>
      <c r="CS111">
        <v>7.977664250000001</v>
      </c>
      <c r="CT111">
        <v>1.0552258536585251</v>
      </c>
      <c r="CU111">
        <v>0.10183424070241549</v>
      </c>
      <c r="CV111">
        <v>-1</v>
      </c>
      <c r="CW111">
        <v>0</v>
      </c>
      <c r="CX111">
        <v>0</v>
      </c>
      <c r="CY111" t="s">
        <v>333</v>
      </c>
      <c r="CZ111">
        <v>2.3644599999999998</v>
      </c>
      <c r="DA111">
        <v>2.7138100000000001</v>
      </c>
      <c r="DB111">
        <v>0.12786600000000001</v>
      </c>
      <c r="DC111">
        <v>0.145705</v>
      </c>
      <c r="DD111">
        <v>0.110927</v>
      </c>
      <c r="DE111">
        <v>8.0564700000000003E-2</v>
      </c>
      <c r="DF111">
        <v>31860.7</v>
      </c>
      <c r="DG111">
        <v>27551.3</v>
      </c>
      <c r="DH111">
        <v>31186.5</v>
      </c>
      <c r="DI111">
        <v>28100.7</v>
      </c>
      <c r="DJ111">
        <v>37645.5</v>
      </c>
      <c r="DK111">
        <v>36740</v>
      </c>
      <c r="DL111">
        <v>44384.800000000003</v>
      </c>
      <c r="DM111">
        <v>42592.7</v>
      </c>
      <c r="DN111">
        <v>1.4661999999999999</v>
      </c>
      <c r="DO111">
        <v>2.0539299999999998</v>
      </c>
      <c r="DP111">
        <v>0.112355</v>
      </c>
      <c r="DQ111">
        <v>0.19212099999999999</v>
      </c>
      <c r="DR111">
        <v>25.139700000000001</v>
      </c>
      <c r="DS111">
        <v>24.886900000000001</v>
      </c>
      <c r="DT111">
        <v>57.2</v>
      </c>
      <c r="DU111">
        <v>28.8</v>
      </c>
      <c r="DV111">
        <v>23.0518</v>
      </c>
      <c r="DW111">
        <v>61.222200000000001</v>
      </c>
      <c r="DX111">
        <v>36.678699999999999</v>
      </c>
      <c r="DY111">
        <v>1</v>
      </c>
      <c r="DZ111">
        <v>-0.107403</v>
      </c>
      <c r="EA111">
        <v>2.0206999999999999E-2</v>
      </c>
      <c r="EB111">
        <v>20.189900000000002</v>
      </c>
      <c r="EC111">
        <v>5.24125</v>
      </c>
      <c r="ED111">
        <v>12.039899999999999</v>
      </c>
      <c r="EE111">
        <v>5.0173500000000004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1.8689100000000001</v>
      </c>
      <c r="EL111">
        <v>1.8646199999999999</v>
      </c>
      <c r="EM111">
        <v>1.8692</v>
      </c>
      <c r="EN111">
        <v>1.86724</v>
      </c>
      <c r="EO111">
        <v>1.8633900000000001</v>
      </c>
      <c r="EP111">
        <v>1.8644700000000001</v>
      </c>
      <c r="EQ111">
        <v>1.8701700000000001</v>
      </c>
      <c r="ER111">
        <v>1.86938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-0.189</v>
      </c>
      <c r="FG111">
        <v>0.2797</v>
      </c>
      <c r="FH111">
        <v>0.26269369235785539</v>
      </c>
      <c r="FI111">
        <v>-6.1462078757559423E-4</v>
      </c>
      <c r="FJ111">
        <v>-1.8861989874597051E-7</v>
      </c>
      <c r="FK111">
        <v>1.1980462299894961E-10</v>
      </c>
      <c r="FL111">
        <v>0.27968571428570849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25.4</v>
      </c>
      <c r="FU111">
        <v>25.4</v>
      </c>
      <c r="FV111">
        <v>1.78955</v>
      </c>
      <c r="FW111">
        <v>2.5817899999999998</v>
      </c>
      <c r="FX111">
        <v>1.5490699999999999</v>
      </c>
      <c r="FY111">
        <v>2.3327599999999999</v>
      </c>
      <c r="FZ111">
        <v>1.50146</v>
      </c>
      <c r="GA111">
        <v>2.4194300000000002</v>
      </c>
      <c r="GB111">
        <v>33.558</v>
      </c>
      <c r="GC111">
        <v>23.991199999999999</v>
      </c>
      <c r="GD111">
        <v>19</v>
      </c>
      <c r="GE111">
        <v>278.03100000000001</v>
      </c>
      <c r="GF111">
        <v>596.20100000000002</v>
      </c>
      <c r="GG111">
        <v>24.1921</v>
      </c>
      <c r="GH111">
        <v>26.059100000000001</v>
      </c>
      <c r="GI111">
        <v>29.9998</v>
      </c>
      <c r="GJ111">
        <v>26.210799999999999</v>
      </c>
      <c r="GK111">
        <v>26.200800000000001</v>
      </c>
      <c r="GL111">
        <v>35.771000000000001</v>
      </c>
      <c r="GM111">
        <v>41.050800000000002</v>
      </c>
      <c r="GN111">
        <v>93.249700000000004</v>
      </c>
      <c r="GO111">
        <v>24.2026</v>
      </c>
      <c r="GP111">
        <v>800</v>
      </c>
      <c r="GQ111">
        <v>15.0387</v>
      </c>
      <c r="GR111">
        <v>99.7881</v>
      </c>
      <c r="GS111">
        <v>99.637500000000003</v>
      </c>
    </row>
    <row r="112" spans="1:201" x14ac:dyDescent="0.25">
      <c r="A112">
        <v>96</v>
      </c>
      <c r="B112">
        <v>1690386355.5999999</v>
      </c>
      <c r="C112">
        <v>1021</v>
      </c>
      <c r="D112" t="s">
        <v>525</v>
      </c>
      <c r="E112" t="s">
        <v>526</v>
      </c>
      <c r="F112" t="s">
        <v>330</v>
      </c>
      <c r="H112">
        <v>1690386355.5999999</v>
      </c>
      <c r="I112">
        <f t="shared" si="30"/>
        <v>8.0683292279662801E-4</v>
      </c>
      <c r="J112">
        <f t="shared" si="31"/>
        <v>0.80683292279662799</v>
      </c>
      <c r="K112">
        <f t="shared" si="32"/>
        <v>13.303284943479106</v>
      </c>
      <c r="L112">
        <f t="shared" si="33"/>
        <v>653.61099999999999</v>
      </c>
      <c r="M112">
        <f t="shared" si="34"/>
        <v>227.1821108303368</v>
      </c>
      <c r="N112">
        <f t="shared" si="35"/>
        <v>22.433803843124178</v>
      </c>
      <c r="O112">
        <f t="shared" si="36"/>
        <v>64.542850271598994</v>
      </c>
      <c r="P112">
        <f t="shared" si="37"/>
        <v>5.1833973894776578E-2</v>
      </c>
      <c r="Q112">
        <f t="shared" si="38"/>
        <v>2.1558171877824819</v>
      </c>
      <c r="R112">
        <f t="shared" si="39"/>
        <v>5.1151433357370137E-2</v>
      </c>
      <c r="S112">
        <f t="shared" si="40"/>
        <v>3.2030220583952843E-2</v>
      </c>
      <c r="T112">
        <f t="shared" si="41"/>
        <v>276.11612793</v>
      </c>
      <c r="U112">
        <f t="shared" si="42"/>
        <v>28.095391660877137</v>
      </c>
      <c r="V112">
        <f t="shared" si="43"/>
        <v>28.095391660877137</v>
      </c>
      <c r="W112">
        <f t="shared" si="44"/>
        <v>3.8159940694639736</v>
      </c>
      <c r="X112">
        <f t="shared" si="45"/>
        <v>67.506556540160119</v>
      </c>
      <c r="Y112">
        <f t="shared" si="46"/>
        <v>2.3066867025637001</v>
      </c>
      <c r="Z112">
        <f t="shared" si="47"/>
        <v>3.4169817285694855</v>
      </c>
      <c r="AA112">
        <f t="shared" si="48"/>
        <v>1.5093073669002735</v>
      </c>
      <c r="AB112">
        <f t="shared" si="49"/>
        <v>-35.581331895331296</v>
      </c>
      <c r="AC112">
        <f t="shared" si="50"/>
        <v>-218.80311678063617</v>
      </c>
      <c r="AD112">
        <f t="shared" si="51"/>
        <v>-21.937638464614</v>
      </c>
      <c r="AE112">
        <f t="shared" si="52"/>
        <v>-0.2059592105814545</v>
      </c>
      <c r="AF112">
        <v>0</v>
      </c>
      <c r="AG112">
        <v>0</v>
      </c>
      <c r="AH112">
        <f t="shared" si="53"/>
        <v>1</v>
      </c>
      <c r="AI112">
        <f t="shared" si="54"/>
        <v>0</v>
      </c>
      <c r="AJ112">
        <f t="shared" si="55"/>
        <v>52218.02648888735</v>
      </c>
      <c r="AK112">
        <f t="shared" si="56"/>
        <v>1800</v>
      </c>
      <c r="AL112">
        <f t="shared" si="57"/>
        <v>1499.1125309999998</v>
      </c>
      <c r="AM112">
        <f t="shared" si="58"/>
        <v>0.8328402949999999</v>
      </c>
      <c r="AN112">
        <f t="shared" si="59"/>
        <v>0.15339784885000002</v>
      </c>
      <c r="AO112">
        <v>31.8</v>
      </c>
      <c r="AP112">
        <v>0.5</v>
      </c>
      <c r="AQ112" t="s">
        <v>331</v>
      </c>
      <c r="AR112">
        <v>2</v>
      </c>
      <c r="AS112">
        <v>1690386355.5999999</v>
      </c>
      <c r="AT112">
        <v>653.61099999999999</v>
      </c>
      <c r="AU112">
        <v>800.16399999999999</v>
      </c>
      <c r="AV112">
        <v>23.359300000000001</v>
      </c>
      <c r="AW112">
        <v>15.009600000000001</v>
      </c>
      <c r="AX112">
        <v>653.79700000000003</v>
      </c>
      <c r="AY112">
        <v>23.079699999999999</v>
      </c>
      <c r="AZ112">
        <v>300.10599999999999</v>
      </c>
      <c r="BA112">
        <v>98.648099999999999</v>
      </c>
      <c r="BB112">
        <v>0.100009</v>
      </c>
      <c r="BC112">
        <v>26.212800000000001</v>
      </c>
      <c r="BD112">
        <v>26.9694</v>
      </c>
      <c r="BE112">
        <v>28.042100000000001</v>
      </c>
      <c r="BF112">
        <v>0</v>
      </c>
      <c r="BG112">
        <v>0</v>
      </c>
      <c r="BH112">
        <v>9983.75</v>
      </c>
      <c r="BI112">
        <v>1072.67</v>
      </c>
      <c r="BJ112">
        <v>1.4577199999999999</v>
      </c>
      <c r="BK112">
        <v>-146.553</v>
      </c>
      <c r="BL112">
        <v>669.24400000000003</v>
      </c>
      <c r="BM112">
        <v>812.35699999999997</v>
      </c>
      <c r="BN112">
        <v>8.3497400000000006</v>
      </c>
      <c r="BO112">
        <v>800.16399999999999</v>
      </c>
      <c r="BP112">
        <v>15.009600000000001</v>
      </c>
      <c r="BQ112">
        <v>2.30436</v>
      </c>
      <c r="BR112">
        <v>1.4806699999999999</v>
      </c>
      <c r="BS112">
        <v>19.706900000000001</v>
      </c>
      <c r="BT112">
        <v>12.77</v>
      </c>
      <c r="BU112">
        <v>1800</v>
      </c>
      <c r="BV112">
        <v>0.90999099999999999</v>
      </c>
      <c r="BW112">
        <v>3.3995900000000003E-2</v>
      </c>
      <c r="BX112">
        <v>2.2005E-2</v>
      </c>
      <c r="BY112">
        <v>3.4008499999999997E-2</v>
      </c>
      <c r="BZ112">
        <v>25</v>
      </c>
      <c r="CA112">
        <v>33528.300000000003</v>
      </c>
      <c r="CB112">
        <v>1690384821</v>
      </c>
      <c r="CC112" t="s">
        <v>332</v>
      </c>
      <c r="CD112">
        <v>1690384820</v>
      </c>
      <c r="CE112">
        <v>1690384821</v>
      </c>
      <c r="CF112">
        <v>5</v>
      </c>
      <c r="CG112">
        <v>-2.5000000000000001E-2</v>
      </c>
      <c r="CH112">
        <v>0.104</v>
      </c>
      <c r="CI112">
        <v>-0.28799999999999998</v>
      </c>
      <c r="CJ112">
        <v>0.28000000000000003</v>
      </c>
      <c r="CK112">
        <v>800</v>
      </c>
      <c r="CL112">
        <v>24</v>
      </c>
      <c r="CM112">
        <v>0.08</v>
      </c>
      <c r="CN112">
        <v>0.11</v>
      </c>
      <c r="CO112">
        <v>-142.8283414634146</v>
      </c>
      <c r="CP112">
        <v>-20.174487804878069</v>
      </c>
      <c r="CQ112">
        <v>1.9896916001960041</v>
      </c>
      <c r="CR112">
        <v>-1</v>
      </c>
      <c r="CS112">
        <v>8.1478709756097576</v>
      </c>
      <c r="CT112">
        <v>1.0783590940766681</v>
      </c>
      <c r="CU112">
        <v>0.10668992015398091</v>
      </c>
      <c r="CV112">
        <v>-1</v>
      </c>
      <c r="CW112">
        <v>0</v>
      </c>
      <c r="CX112">
        <v>0</v>
      </c>
      <c r="CY112" t="s">
        <v>333</v>
      </c>
      <c r="CZ112">
        <v>2.3644500000000002</v>
      </c>
      <c r="DA112">
        <v>2.7137799999999999</v>
      </c>
      <c r="DB112">
        <v>0.12742400000000001</v>
      </c>
      <c r="DC112">
        <v>0.14571500000000001</v>
      </c>
      <c r="DD112">
        <v>0.110998</v>
      </c>
      <c r="DE112">
        <v>7.9928700000000005E-2</v>
      </c>
      <c r="DF112">
        <v>31877.3</v>
      </c>
      <c r="DG112">
        <v>27551.5</v>
      </c>
      <c r="DH112">
        <v>31186.9</v>
      </c>
      <c r="DI112">
        <v>28101.3</v>
      </c>
      <c r="DJ112">
        <v>37643</v>
      </c>
      <c r="DK112">
        <v>36766.300000000003</v>
      </c>
      <c r="DL112">
        <v>44385.5</v>
      </c>
      <c r="DM112">
        <v>42593.599999999999</v>
      </c>
      <c r="DN112">
        <v>1.46655</v>
      </c>
      <c r="DO112">
        <v>2.0537299999999998</v>
      </c>
      <c r="DP112">
        <v>0.111707</v>
      </c>
      <c r="DQ112">
        <v>0.19275800000000001</v>
      </c>
      <c r="DR112">
        <v>25.139700000000001</v>
      </c>
      <c r="DS112">
        <v>24.886900000000001</v>
      </c>
      <c r="DT112">
        <v>57.2</v>
      </c>
      <c r="DU112">
        <v>28.8</v>
      </c>
      <c r="DV112">
        <v>23.048300000000001</v>
      </c>
      <c r="DW112">
        <v>61.032200000000003</v>
      </c>
      <c r="DX112">
        <v>37.119399999999999</v>
      </c>
      <c r="DY112">
        <v>1</v>
      </c>
      <c r="DZ112">
        <v>-0.107858</v>
      </c>
      <c r="EA112">
        <v>3.7764199999999998E-2</v>
      </c>
      <c r="EB112">
        <v>20.190200000000001</v>
      </c>
      <c r="EC112">
        <v>5.2415500000000002</v>
      </c>
      <c r="ED112">
        <v>12.039899999999999</v>
      </c>
      <c r="EE112">
        <v>5.0171000000000001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1.8689199999999999</v>
      </c>
      <c r="EL112">
        <v>1.8646199999999999</v>
      </c>
      <c r="EM112">
        <v>1.8692</v>
      </c>
      <c r="EN112">
        <v>1.86724</v>
      </c>
      <c r="EO112">
        <v>1.8633900000000001</v>
      </c>
      <c r="EP112">
        <v>1.8644700000000001</v>
      </c>
      <c r="EQ112">
        <v>1.8701700000000001</v>
      </c>
      <c r="ER112">
        <v>1.86941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-0.186</v>
      </c>
      <c r="FG112">
        <v>0.27960000000000002</v>
      </c>
      <c r="FH112">
        <v>0.26269369235785539</v>
      </c>
      <c r="FI112">
        <v>-6.1462078757559423E-4</v>
      </c>
      <c r="FJ112">
        <v>-1.8861989874597051E-7</v>
      </c>
      <c r="FK112">
        <v>1.1980462299894961E-10</v>
      </c>
      <c r="FL112">
        <v>0.27968571428570849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25.6</v>
      </c>
      <c r="FU112">
        <v>25.6</v>
      </c>
      <c r="FV112">
        <v>1.78833</v>
      </c>
      <c r="FW112">
        <v>2.5793499999999998</v>
      </c>
      <c r="FX112">
        <v>1.5490699999999999</v>
      </c>
      <c r="FY112">
        <v>2.3315399999999999</v>
      </c>
      <c r="FZ112">
        <v>1.50146</v>
      </c>
      <c r="GA112">
        <v>2.3840300000000001</v>
      </c>
      <c r="GB112">
        <v>33.558</v>
      </c>
      <c r="GC112">
        <v>23.991199999999999</v>
      </c>
      <c r="GD112">
        <v>19</v>
      </c>
      <c r="GE112">
        <v>278.161</v>
      </c>
      <c r="GF112">
        <v>596.00199999999995</v>
      </c>
      <c r="GG112">
        <v>24.2301</v>
      </c>
      <c r="GH112">
        <v>26.0562</v>
      </c>
      <c r="GI112">
        <v>30</v>
      </c>
      <c r="GJ112">
        <v>26.207000000000001</v>
      </c>
      <c r="GK112">
        <v>26.1981</v>
      </c>
      <c r="GL112">
        <v>35.7592</v>
      </c>
      <c r="GM112">
        <v>41.6143</v>
      </c>
      <c r="GN112">
        <v>92.865700000000004</v>
      </c>
      <c r="GO112">
        <v>24.232900000000001</v>
      </c>
      <c r="GP112">
        <v>800</v>
      </c>
      <c r="GQ112">
        <v>14.873699999999999</v>
      </c>
      <c r="GR112">
        <v>99.789500000000004</v>
      </c>
      <c r="GS112">
        <v>99.639700000000005</v>
      </c>
    </row>
    <row r="113" spans="1:201" x14ac:dyDescent="0.25">
      <c r="A113">
        <v>97</v>
      </c>
      <c r="B113">
        <v>1690386365.5999999</v>
      </c>
      <c r="C113">
        <v>1031</v>
      </c>
      <c r="D113" t="s">
        <v>527</v>
      </c>
      <c r="E113" t="s">
        <v>528</v>
      </c>
      <c r="F113" t="s">
        <v>330</v>
      </c>
      <c r="H113">
        <v>1690386365.5999999</v>
      </c>
      <c r="I113">
        <f t="shared" si="30"/>
        <v>8.2298018873797659E-4</v>
      </c>
      <c r="J113">
        <f t="shared" si="31"/>
        <v>0.82298018873797663</v>
      </c>
      <c r="K113">
        <f t="shared" si="32"/>
        <v>13.592096889454261</v>
      </c>
      <c r="L113">
        <f t="shared" si="33"/>
        <v>650.38199999999995</v>
      </c>
      <c r="M113">
        <f t="shared" si="34"/>
        <v>223.57350012519225</v>
      </c>
      <c r="N113">
        <f t="shared" si="35"/>
        <v>22.076899279818086</v>
      </c>
      <c r="O113">
        <f t="shared" si="36"/>
        <v>64.222360428970788</v>
      </c>
      <c r="P113">
        <f t="shared" si="37"/>
        <v>5.2910789576839486E-2</v>
      </c>
      <c r="Q113">
        <f t="shared" si="38"/>
        <v>2.1587866260572972</v>
      </c>
      <c r="R113">
        <f t="shared" si="39"/>
        <v>5.22007694065693E-2</v>
      </c>
      <c r="S113">
        <f t="shared" si="40"/>
        <v>3.2688479551760137E-2</v>
      </c>
      <c r="T113">
        <f t="shared" si="41"/>
        <v>276.11575660800003</v>
      </c>
      <c r="U113">
        <f t="shared" si="42"/>
        <v>28.096850581761259</v>
      </c>
      <c r="V113">
        <f t="shared" si="43"/>
        <v>28.096850581761259</v>
      </c>
      <c r="W113">
        <f t="shared" si="44"/>
        <v>3.8163184019932039</v>
      </c>
      <c r="X113">
        <f t="shared" si="45"/>
        <v>67.501734390887407</v>
      </c>
      <c r="Y113">
        <f t="shared" si="46"/>
        <v>2.3078031526972804</v>
      </c>
      <c r="Z113">
        <f t="shared" si="47"/>
        <v>3.4188797866041636</v>
      </c>
      <c r="AA113">
        <f t="shared" si="48"/>
        <v>1.5085152492959235</v>
      </c>
      <c r="AB113">
        <f t="shared" si="49"/>
        <v>-36.293426323344768</v>
      </c>
      <c r="AC113">
        <f t="shared" si="50"/>
        <v>-218.18027922639337</v>
      </c>
      <c r="AD113">
        <f t="shared" si="51"/>
        <v>-21.846285589678413</v>
      </c>
      <c r="AE113">
        <f t="shared" si="52"/>
        <v>-0.20423453141651748</v>
      </c>
      <c r="AF113">
        <v>0</v>
      </c>
      <c r="AG113">
        <v>0</v>
      </c>
      <c r="AH113">
        <f t="shared" si="53"/>
        <v>1</v>
      </c>
      <c r="AI113">
        <f t="shared" si="54"/>
        <v>0</v>
      </c>
      <c r="AJ113">
        <f t="shared" si="55"/>
        <v>52340.724952075732</v>
      </c>
      <c r="AK113">
        <f t="shared" si="56"/>
        <v>1800</v>
      </c>
      <c r="AL113">
        <f t="shared" si="57"/>
        <v>1499.1115878000001</v>
      </c>
      <c r="AM113">
        <f t="shared" si="58"/>
        <v>0.83283977100000006</v>
      </c>
      <c r="AN113">
        <f t="shared" si="59"/>
        <v>0.15339764256000002</v>
      </c>
      <c r="AO113">
        <v>31.8</v>
      </c>
      <c r="AP113">
        <v>0.5</v>
      </c>
      <c r="AQ113" t="s">
        <v>331</v>
      </c>
      <c r="AR113">
        <v>2</v>
      </c>
      <c r="AS113">
        <v>1690386365.5999999</v>
      </c>
      <c r="AT113">
        <v>650.38199999999995</v>
      </c>
      <c r="AU113">
        <v>800.07899999999995</v>
      </c>
      <c r="AV113">
        <v>23.371200000000002</v>
      </c>
      <c r="AW113">
        <v>14.8545</v>
      </c>
      <c r="AX113">
        <v>650.56600000000003</v>
      </c>
      <c r="AY113">
        <v>23.0915</v>
      </c>
      <c r="AZ113">
        <v>300.10599999999999</v>
      </c>
      <c r="BA113">
        <v>98.645600000000002</v>
      </c>
      <c r="BB113">
        <v>9.9999400000000002E-2</v>
      </c>
      <c r="BC113">
        <v>26.222200000000001</v>
      </c>
      <c r="BD113">
        <v>26.9739</v>
      </c>
      <c r="BE113">
        <v>28.048400000000001</v>
      </c>
      <c r="BF113">
        <v>0</v>
      </c>
      <c r="BG113">
        <v>0</v>
      </c>
      <c r="BH113">
        <v>10008.799999999999</v>
      </c>
      <c r="BI113">
        <v>1072.6199999999999</v>
      </c>
      <c r="BJ113">
        <v>1.4577199999999999</v>
      </c>
      <c r="BK113">
        <v>-149.697</v>
      </c>
      <c r="BL113">
        <v>665.94600000000003</v>
      </c>
      <c r="BM113">
        <v>812.14300000000003</v>
      </c>
      <c r="BN113">
        <v>8.5167199999999994</v>
      </c>
      <c r="BO113">
        <v>800.07899999999995</v>
      </c>
      <c r="BP113">
        <v>14.8545</v>
      </c>
      <c r="BQ113">
        <v>2.3054700000000001</v>
      </c>
      <c r="BR113">
        <v>1.46533</v>
      </c>
      <c r="BS113">
        <v>19.714700000000001</v>
      </c>
      <c r="BT113">
        <v>12.6111</v>
      </c>
      <c r="BU113">
        <v>1800</v>
      </c>
      <c r="BV113">
        <v>0.90999300000000005</v>
      </c>
      <c r="BW113">
        <v>3.3994799999999999E-2</v>
      </c>
      <c r="BX113">
        <v>2.2004300000000001E-2</v>
      </c>
      <c r="BY113">
        <v>3.40074E-2</v>
      </c>
      <c r="BZ113">
        <v>25</v>
      </c>
      <c r="CA113">
        <v>33528.400000000001</v>
      </c>
      <c r="CB113">
        <v>1690384821</v>
      </c>
      <c r="CC113" t="s">
        <v>332</v>
      </c>
      <c r="CD113">
        <v>1690384820</v>
      </c>
      <c r="CE113">
        <v>1690384821</v>
      </c>
      <c r="CF113">
        <v>5</v>
      </c>
      <c r="CG113">
        <v>-2.5000000000000001E-2</v>
      </c>
      <c r="CH113">
        <v>0.104</v>
      </c>
      <c r="CI113">
        <v>-0.28799999999999998</v>
      </c>
      <c r="CJ113">
        <v>0.28000000000000003</v>
      </c>
      <c r="CK113">
        <v>800</v>
      </c>
      <c r="CL113">
        <v>24</v>
      </c>
      <c r="CM113">
        <v>0.08</v>
      </c>
      <c r="CN113">
        <v>0.11</v>
      </c>
      <c r="CO113">
        <v>-146.3681</v>
      </c>
      <c r="CP113">
        <v>-19.18088555347062</v>
      </c>
      <c r="CQ113">
        <v>1.846044566092597</v>
      </c>
      <c r="CR113">
        <v>-1</v>
      </c>
      <c r="CS113">
        <v>8.3473422500000005</v>
      </c>
      <c r="CT113">
        <v>1.06918818011254</v>
      </c>
      <c r="CU113">
        <v>0.10327047505186331</v>
      </c>
      <c r="CV113">
        <v>-1</v>
      </c>
      <c r="CW113">
        <v>0</v>
      </c>
      <c r="CX113">
        <v>0</v>
      </c>
      <c r="CY113" t="s">
        <v>333</v>
      </c>
      <c r="CZ113">
        <v>2.3644500000000002</v>
      </c>
      <c r="DA113">
        <v>2.7138</v>
      </c>
      <c r="DB113">
        <v>0.12698400000000001</v>
      </c>
      <c r="DC113">
        <v>0.14569799999999999</v>
      </c>
      <c r="DD113">
        <v>0.11103499999999999</v>
      </c>
      <c r="DE113">
        <v>7.9320299999999996E-2</v>
      </c>
      <c r="DF113">
        <v>31893.3</v>
      </c>
      <c r="DG113">
        <v>27551.7</v>
      </c>
      <c r="DH113">
        <v>31186.9</v>
      </c>
      <c r="DI113">
        <v>28100.9</v>
      </c>
      <c r="DJ113">
        <v>37641.199999999997</v>
      </c>
      <c r="DK113">
        <v>36790</v>
      </c>
      <c r="DL113">
        <v>44385.3</v>
      </c>
      <c r="DM113">
        <v>42592.9</v>
      </c>
      <c r="DN113">
        <v>1.4663999999999999</v>
      </c>
      <c r="DO113">
        <v>2.05362</v>
      </c>
      <c r="DP113">
        <v>0.111986</v>
      </c>
      <c r="DQ113">
        <v>0.19301499999999999</v>
      </c>
      <c r="DR113">
        <v>25.139700000000001</v>
      </c>
      <c r="DS113">
        <v>24.888999999999999</v>
      </c>
      <c r="DT113">
        <v>57.1</v>
      </c>
      <c r="DU113">
        <v>28.8</v>
      </c>
      <c r="DV113">
        <v>23.0108</v>
      </c>
      <c r="DW113">
        <v>61.052199999999999</v>
      </c>
      <c r="DX113">
        <v>37.075299999999999</v>
      </c>
      <c r="DY113">
        <v>1</v>
      </c>
      <c r="DZ113">
        <v>-0.107894</v>
      </c>
      <c r="EA113">
        <v>4.81754E-2</v>
      </c>
      <c r="EB113">
        <v>20.190200000000001</v>
      </c>
      <c r="EC113">
        <v>5.24125</v>
      </c>
      <c r="ED113">
        <v>12.039899999999999</v>
      </c>
      <c r="EE113">
        <v>5.0167999999999999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1.8689199999999999</v>
      </c>
      <c r="EL113">
        <v>1.8646199999999999</v>
      </c>
      <c r="EM113">
        <v>1.8692</v>
      </c>
      <c r="EN113">
        <v>1.8672500000000001</v>
      </c>
      <c r="EO113">
        <v>1.8633999999999999</v>
      </c>
      <c r="EP113">
        <v>1.86446</v>
      </c>
      <c r="EQ113">
        <v>1.87019</v>
      </c>
      <c r="ER113">
        <v>1.86938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-0.184</v>
      </c>
      <c r="FG113">
        <v>0.2797</v>
      </c>
      <c r="FH113">
        <v>0.26269369235785539</v>
      </c>
      <c r="FI113">
        <v>-6.1462078757559423E-4</v>
      </c>
      <c r="FJ113">
        <v>-1.8861989874597051E-7</v>
      </c>
      <c r="FK113">
        <v>1.1980462299894961E-10</v>
      </c>
      <c r="FL113">
        <v>0.27968571428570849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25.8</v>
      </c>
      <c r="FU113">
        <v>25.7</v>
      </c>
      <c r="FV113">
        <v>1.78833</v>
      </c>
      <c r="FW113">
        <v>2.5756800000000002</v>
      </c>
      <c r="FX113">
        <v>1.5490699999999999</v>
      </c>
      <c r="FY113">
        <v>2.3327599999999999</v>
      </c>
      <c r="FZ113">
        <v>1.50146</v>
      </c>
      <c r="GA113">
        <v>2.33887</v>
      </c>
      <c r="GB113">
        <v>33.558</v>
      </c>
      <c r="GC113">
        <v>23.991199999999999</v>
      </c>
      <c r="GD113">
        <v>19</v>
      </c>
      <c r="GE113">
        <v>278.08600000000001</v>
      </c>
      <c r="GF113">
        <v>595.87300000000005</v>
      </c>
      <c r="GG113">
        <v>24.2607</v>
      </c>
      <c r="GH113">
        <v>26.052900000000001</v>
      </c>
      <c r="GI113">
        <v>30</v>
      </c>
      <c r="GJ113">
        <v>26.2042</v>
      </c>
      <c r="GK113">
        <v>26.194199999999999</v>
      </c>
      <c r="GL113">
        <v>35.756700000000002</v>
      </c>
      <c r="GM113">
        <v>42.176200000000001</v>
      </c>
      <c r="GN113">
        <v>92.484700000000004</v>
      </c>
      <c r="GO113">
        <v>24.258800000000001</v>
      </c>
      <c r="GP113">
        <v>800</v>
      </c>
      <c r="GQ113">
        <v>14.710800000000001</v>
      </c>
      <c r="GR113">
        <v>99.789299999999997</v>
      </c>
      <c r="GS113">
        <v>99.638000000000005</v>
      </c>
    </row>
    <row r="114" spans="1:201" x14ac:dyDescent="0.25">
      <c r="A114">
        <v>98</v>
      </c>
      <c r="B114">
        <v>1690386375.5999999</v>
      </c>
      <c r="C114">
        <v>1041</v>
      </c>
      <c r="D114" t="s">
        <v>529</v>
      </c>
      <c r="E114" t="s">
        <v>530</v>
      </c>
      <c r="F114" t="s">
        <v>330</v>
      </c>
      <c r="H114">
        <v>1690386375.5999999</v>
      </c>
      <c r="I114">
        <f t="shared" si="30"/>
        <v>8.4115295322407353E-4</v>
      </c>
      <c r="J114">
        <f t="shared" si="31"/>
        <v>0.84115295322407357</v>
      </c>
      <c r="K114">
        <f t="shared" si="32"/>
        <v>13.904528112301433</v>
      </c>
      <c r="L114">
        <f t="shared" si="33"/>
        <v>646.97199999999998</v>
      </c>
      <c r="M114">
        <f t="shared" si="34"/>
        <v>221.11573515658463</v>
      </c>
      <c r="N114">
        <f t="shared" si="35"/>
        <v>21.834687063206172</v>
      </c>
      <c r="O114">
        <f t="shared" si="36"/>
        <v>63.887046069574801</v>
      </c>
      <c r="P114">
        <f t="shared" si="37"/>
        <v>5.4252597789709499E-2</v>
      </c>
      <c r="Q114">
        <f t="shared" si="38"/>
        <v>2.1609766870853648</v>
      </c>
      <c r="R114">
        <f t="shared" si="39"/>
        <v>5.3507127933307183E-2</v>
      </c>
      <c r="S114">
        <f t="shared" si="40"/>
        <v>3.3508079066514519E-2</v>
      </c>
      <c r="T114">
        <f t="shared" si="41"/>
        <v>276.11585990999993</v>
      </c>
      <c r="U114">
        <f t="shared" si="42"/>
        <v>28.08427178031279</v>
      </c>
      <c r="V114">
        <f t="shared" si="43"/>
        <v>28.08427178031279</v>
      </c>
      <c r="W114">
        <f t="shared" si="44"/>
        <v>3.8135228001627555</v>
      </c>
      <c r="X114">
        <f t="shared" si="45"/>
        <v>67.563749431611811</v>
      </c>
      <c r="Y114">
        <f t="shared" si="46"/>
        <v>2.3092957376422198</v>
      </c>
      <c r="Z114">
        <f t="shared" si="47"/>
        <v>3.4179508346849437</v>
      </c>
      <c r="AA114">
        <f t="shared" si="48"/>
        <v>1.5042270625205356</v>
      </c>
      <c r="AB114">
        <f t="shared" si="49"/>
        <v>-37.094845237181644</v>
      </c>
      <c r="AC114">
        <f t="shared" si="50"/>
        <v>-217.47206937401452</v>
      </c>
      <c r="AD114">
        <f t="shared" si="51"/>
        <v>-21.751435213647831</v>
      </c>
      <c r="AE114">
        <f t="shared" si="52"/>
        <v>-0.2024899148440511</v>
      </c>
      <c r="AF114">
        <v>0</v>
      </c>
      <c r="AG114">
        <v>0</v>
      </c>
      <c r="AH114">
        <f t="shared" si="53"/>
        <v>1</v>
      </c>
      <c r="AI114">
        <f t="shared" si="54"/>
        <v>0</v>
      </c>
      <c r="AJ114">
        <f t="shared" si="55"/>
        <v>52433.441011910552</v>
      </c>
      <c r="AK114">
        <f t="shared" si="56"/>
        <v>1800</v>
      </c>
      <c r="AL114">
        <f t="shared" si="57"/>
        <v>1499.1133859999998</v>
      </c>
      <c r="AM114">
        <f t="shared" si="58"/>
        <v>0.8328407699999999</v>
      </c>
      <c r="AN114">
        <f t="shared" si="59"/>
        <v>0.15339769994999997</v>
      </c>
      <c r="AO114">
        <v>31.8</v>
      </c>
      <c r="AP114">
        <v>0.5</v>
      </c>
      <c r="AQ114" t="s">
        <v>331</v>
      </c>
      <c r="AR114">
        <v>2</v>
      </c>
      <c r="AS114">
        <v>1690386375.5999999</v>
      </c>
      <c r="AT114">
        <v>646.97199999999998</v>
      </c>
      <c r="AU114">
        <v>800</v>
      </c>
      <c r="AV114">
        <v>23.3858</v>
      </c>
      <c r="AW114">
        <v>14.6854</v>
      </c>
      <c r="AX114">
        <v>647.154</v>
      </c>
      <c r="AY114">
        <v>23.106100000000001</v>
      </c>
      <c r="AZ114">
        <v>300.25200000000001</v>
      </c>
      <c r="BA114">
        <v>98.647800000000004</v>
      </c>
      <c r="BB114">
        <v>9.9975900000000006E-2</v>
      </c>
      <c r="BC114">
        <v>26.217600000000001</v>
      </c>
      <c r="BD114">
        <v>26.974799999999998</v>
      </c>
      <c r="BE114">
        <v>28.061399999999999</v>
      </c>
      <c r="BF114">
        <v>0</v>
      </c>
      <c r="BG114">
        <v>0</v>
      </c>
      <c r="BH114">
        <v>10026.9</v>
      </c>
      <c r="BI114">
        <v>1072.75</v>
      </c>
      <c r="BJ114">
        <v>1.4703299999999999</v>
      </c>
      <c r="BK114">
        <v>-153.02799999999999</v>
      </c>
      <c r="BL114">
        <v>662.46400000000006</v>
      </c>
      <c r="BM114">
        <v>811.923</v>
      </c>
      <c r="BN114">
        <v>8.7003799999999991</v>
      </c>
      <c r="BO114">
        <v>800</v>
      </c>
      <c r="BP114">
        <v>14.6854</v>
      </c>
      <c r="BQ114">
        <v>2.3069600000000001</v>
      </c>
      <c r="BR114">
        <v>1.44869</v>
      </c>
      <c r="BS114">
        <v>19.725100000000001</v>
      </c>
      <c r="BT114">
        <v>12.437099999999999</v>
      </c>
      <c r="BU114">
        <v>1800</v>
      </c>
      <c r="BV114">
        <v>0.90999699999999994</v>
      </c>
      <c r="BW114">
        <v>3.3993599999999999E-2</v>
      </c>
      <c r="BX114">
        <v>2.2003499999999999E-2</v>
      </c>
      <c r="BY114">
        <v>3.4006300000000003E-2</v>
      </c>
      <c r="BZ114">
        <v>25</v>
      </c>
      <c r="CA114">
        <v>33528.300000000003</v>
      </c>
      <c r="CB114">
        <v>1690384821</v>
      </c>
      <c r="CC114" t="s">
        <v>332</v>
      </c>
      <c r="CD114">
        <v>1690384820</v>
      </c>
      <c r="CE114">
        <v>1690384821</v>
      </c>
      <c r="CF114">
        <v>5</v>
      </c>
      <c r="CG114">
        <v>-2.5000000000000001E-2</v>
      </c>
      <c r="CH114">
        <v>0.104</v>
      </c>
      <c r="CI114">
        <v>-0.28799999999999998</v>
      </c>
      <c r="CJ114">
        <v>0.28000000000000003</v>
      </c>
      <c r="CK114">
        <v>800</v>
      </c>
      <c r="CL114">
        <v>24</v>
      </c>
      <c r="CM114">
        <v>0.08</v>
      </c>
      <c r="CN114">
        <v>0.11</v>
      </c>
      <c r="CO114">
        <v>-149.300625</v>
      </c>
      <c r="CP114">
        <v>-19.80505440900566</v>
      </c>
      <c r="CQ114">
        <v>1.906179630668368</v>
      </c>
      <c r="CR114">
        <v>-1</v>
      </c>
      <c r="CS114">
        <v>8.5124250000000004</v>
      </c>
      <c r="CT114">
        <v>1.0809527954971729</v>
      </c>
      <c r="CU114">
        <v>0.10471441030249851</v>
      </c>
      <c r="CV114">
        <v>-1</v>
      </c>
      <c r="CW114">
        <v>0</v>
      </c>
      <c r="CX114">
        <v>0</v>
      </c>
      <c r="CY114" t="s">
        <v>333</v>
      </c>
      <c r="CZ114">
        <v>2.3649399999999998</v>
      </c>
      <c r="DA114">
        <v>2.7137899999999999</v>
      </c>
      <c r="DB114">
        <v>0.126527</v>
      </c>
      <c r="DC114">
        <v>0.14569099999999999</v>
      </c>
      <c r="DD114">
        <v>0.11108899999999999</v>
      </c>
      <c r="DE114">
        <v>7.8659599999999996E-2</v>
      </c>
      <c r="DF114">
        <v>31910.2</v>
      </c>
      <c r="DG114">
        <v>27552.400000000001</v>
      </c>
      <c r="DH114">
        <v>31187.1</v>
      </c>
      <c r="DI114">
        <v>28101.4</v>
      </c>
      <c r="DJ114">
        <v>37639.1</v>
      </c>
      <c r="DK114">
        <v>36817.1</v>
      </c>
      <c r="DL114">
        <v>44385.599999999999</v>
      </c>
      <c r="DM114">
        <v>42593.7</v>
      </c>
      <c r="DN114">
        <v>1.46678</v>
      </c>
      <c r="DO114">
        <v>2.0534300000000001</v>
      </c>
      <c r="DP114">
        <v>0.112042</v>
      </c>
      <c r="DQ114">
        <v>0.19381200000000001</v>
      </c>
      <c r="DR114">
        <v>25.139700000000001</v>
      </c>
      <c r="DS114">
        <v>24.888999999999999</v>
      </c>
      <c r="DT114">
        <v>57.1</v>
      </c>
      <c r="DU114">
        <v>28.8</v>
      </c>
      <c r="DV114">
        <v>23.013100000000001</v>
      </c>
      <c r="DW114">
        <v>59.962200000000003</v>
      </c>
      <c r="DX114">
        <v>36.526400000000002</v>
      </c>
      <c r="DY114">
        <v>1</v>
      </c>
      <c r="DZ114">
        <v>-0.107894</v>
      </c>
      <c r="EA114">
        <v>1.1165599999999999E-2</v>
      </c>
      <c r="EB114">
        <v>20.190300000000001</v>
      </c>
      <c r="EC114">
        <v>5.2408000000000001</v>
      </c>
      <c r="ED114">
        <v>12.039899999999999</v>
      </c>
      <c r="EE114">
        <v>5.0168999999999997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1.8689199999999999</v>
      </c>
      <c r="EL114">
        <v>1.8646199999999999</v>
      </c>
      <c r="EM114">
        <v>1.8692</v>
      </c>
      <c r="EN114">
        <v>1.8672299999999999</v>
      </c>
      <c r="EO114">
        <v>1.8633900000000001</v>
      </c>
      <c r="EP114">
        <v>1.8644700000000001</v>
      </c>
      <c r="EQ114">
        <v>1.8702000000000001</v>
      </c>
      <c r="ER114">
        <v>1.86941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-0.182</v>
      </c>
      <c r="FG114">
        <v>0.2797</v>
      </c>
      <c r="FH114">
        <v>0.26269369235785539</v>
      </c>
      <c r="FI114">
        <v>-6.1462078757559423E-4</v>
      </c>
      <c r="FJ114">
        <v>-1.8861989874597051E-7</v>
      </c>
      <c r="FK114">
        <v>1.1980462299894961E-10</v>
      </c>
      <c r="FL114">
        <v>0.27968571428570849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25.9</v>
      </c>
      <c r="FU114">
        <v>25.9</v>
      </c>
      <c r="FV114">
        <v>1.78833</v>
      </c>
      <c r="FW114">
        <v>2.5830099999999998</v>
      </c>
      <c r="FX114">
        <v>1.5490699999999999</v>
      </c>
      <c r="FY114">
        <v>2.3315399999999999</v>
      </c>
      <c r="FZ114">
        <v>1.50146</v>
      </c>
      <c r="GA114">
        <v>2.2827099999999998</v>
      </c>
      <c r="GB114">
        <v>33.558</v>
      </c>
      <c r="GC114">
        <v>23.982399999999998</v>
      </c>
      <c r="GD114">
        <v>19</v>
      </c>
      <c r="GE114">
        <v>278.23</v>
      </c>
      <c r="GF114">
        <v>595.67899999999997</v>
      </c>
      <c r="GG114">
        <v>24.2835</v>
      </c>
      <c r="GH114">
        <v>26.0503</v>
      </c>
      <c r="GI114">
        <v>30</v>
      </c>
      <c r="GJ114">
        <v>26.200900000000001</v>
      </c>
      <c r="GK114">
        <v>26.192</v>
      </c>
      <c r="GL114">
        <v>35.756700000000002</v>
      </c>
      <c r="GM114">
        <v>42.459899999999998</v>
      </c>
      <c r="GN114">
        <v>92.106499999999997</v>
      </c>
      <c r="GO114">
        <v>24.290099999999999</v>
      </c>
      <c r="GP114">
        <v>800</v>
      </c>
      <c r="GQ114">
        <v>14.5459</v>
      </c>
      <c r="GR114">
        <v>99.789900000000003</v>
      </c>
      <c r="GS114">
        <v>99.639899999999997</v>
      </c>
    </row>
    <row r="115" spans="1:201" x14ac:dyDescent="0.25">
      <c r="A115">
        <v>99</v>
      </c>
      <c r="B115">
        <v>1690386385.5999999</v>
      </c>
      <c r="C115">
        <v>1051</v>
      </c>
      <c r="D115" t="s">
        <v>531</v>
      </c>
      <c r="E115" t="s">
        <v>532</v>
      </c>
      <c r="F115" t="s">
        <v>330</v>
      </c>
      <c r="H115">
        <v>1690386385.5999999</v>
      </c>
      <c r="I115">
        <f t="shared" si="30"/>
        <v>8.6017354586494634E-4</v>
      </c>
      <c r="J115">
        <f t="shared" si="31"/>
        <v>0.86017354586494632</v>
      </c>
      <c r="K115">
        <f t="shared" si="32"/>
        <v>14.215639906684764</v>
      </c>
      <c r="L115">
        <f t="shared" si="33"/>
        <v>643.62400000000002</v>
      </c>
      <c r="M115">
        <f t="shared" si="34"/>
        <v>218.44800673358324</v>
      </c>
      <c r="N115">
        <f t="shared" si="35"/>
        <v>21.5707659499353</v>
      </c>
      <c r="O115">
        <f t="shared" si="36"/>
        <v>63.554998149712006</v>
      </c>
      <c r="P115">
        <f t="shared" si="37"/>
        <v>5.556259087884001E-2</v>
      </c>
      <c r="Q115">
        <f t="shared" si="38"/>
        <v>2.1575072825340067</v>
      </c>
      <c r="R115">
        <f t="shared" si="39"/>
        <v>5.4779727743098951E-2</v>
      </c>
      <c r="S115">
        <f t="shared" si="40"/>
        <v>3.4306748041054935E-2</v>
      </c>
      <c r="T115">
        <f t="shared" si="41"/>
        <v>276.11416094591709</v>
      </c>
      <c r="U115">
        <f t="shared" si="42"/>
        <v>28.083723249065802</v>
      </c>
      <c r="V115">
        <f t="shared" si="43"/>
        <v>28.083723249065802</v>
      </c>
      <c r="W115">
        <f t="shared" si="44"/>
        <v>3.8134009313615689</v>
      </c>
      <c r="X115">
        <f t="shared" si="45"/>
        <v>67.598729760766801</v>
      </c>
      <c r="Y115">
        <f t="shared" si="46"/>
        <v>2.310941825814</v>
      </c>
      <c r="Z115">
        <f t="shared" si="47"/>
        <v>3.4186172343658936</v>
      </c>
      <c r="AA115">
        <f t="shared" si="48"/>
        <v>1.5024591055475689</v>
      </c>
      <c r="AB115">
        <f t="shared" si="49"/>
        <v>-37.93365337264413</v>
      </c>
      <c r="AC115">
        <f t="shared" si="50"/>
        <v>-216.6752783845067</v>
      </c>
      <c r="AD115">
        <f t="shared" si="51"/>
        <v>-21.706887725833454</v>
      </c>
      <c r="AE115">
        <f t="shared" si="52"/>
        <v>-0.20165853706717485</v>
      </c>
      <c r="AF115">
        <v>0</v>
      </c>
      <c r="AG115">
        <v>0</v>
      </c>
      <c r="AH115">
        <f t="shared" si="53"/>
        <v>1</v>
      </c>
      <c r="AI115">
        <f t="shared" si="54"/>
        <v>0</v>
      </c>
      <c r="AJ115">
        <f t="shared" si="55"/>
        <v>52287.334619651192</v>
      </c>
      <c r="AK115">
        <f t="shared" si="56"/>
        <v>1799.99</v>
      </c>
      <c r="AL115">
        <f t="shared" si="57"/>
        <v>1499.1046597945099</v>
      </c>
      <c r="AM115">
        <f t="shared" si="58"/>
        <v>0.83284054899999993</v>
      </c>
      <c r="AN115">
        <f t="shared" si="59"/>
        <v>0.15339760828999999</v>
      </c>
      <c r="AO115">
        <v>31.8</v>
      </c>
      <c r="AP115">
        <v>0.5</v>
      </c>
      <c r="AQ115" t="s">
        <v>331</v>
      </c>
      <c r="AR115">
        <v>2</v>
      </c>
      <c r="AS115">
        <v>1690386385.5999999</v>
      </c>
      <c r="AT115">
        <v>643.62400000000002</v>
      </c>
      <c r="AU115">
        <v>800.06299999999999</v>
      </c>
      <c r="AV115">
        <v>23.402999999999999</v>
      </c>
      <c r="AW115">
        <v>14.505100000000001</v>
      </c>
      <c r="AX115">
        <v>643.803</v>
      </c>
      <c r="AY115">
        <v>23.1233</v>
      </c>
      <c r="AZ115">
        <v>300.221</v>
      </c>
      <c r="BA115">
        <v>98.645499999999998</v>
      </c>
      <c r="BB115">
        <v>0.100038</v>
      </c>
      <c r="BC115">
        <v>26.2209</v>
      </c>
      <c r="BD115">
        <v>26.9831</v>
      </c>
      <c r="BE115">
        <v>28.052800000000001</v>
      </c>
      <c r="BF115">
        <v>0</v>
      </c>
      <c r="BG115">
        <v>0</v>
      </c>
      <c r="BH115">
        <v>9998.1200000000008</v>
      </c>
      <c r="BI115">
        <v>1072.78</v>
      </c>
      <c r="BJ115">
        <v>1.47174</v>
      </c>
      <c r="BK115">
        <v>-156.43899999999999</v>
      </c>
      <c r="BL115">
        <v>659.04700000000003</v>
      </c>
      <c r="BM115">
        <v>811.83900000000006</v>
      </c>
      <c r="BN115">
        <v>8.8979800000000004</v>
      </c>
      <c r="BO115">
        <v>800.06299999999999</v>
      </c>
      <c r="BP115">
        <v>14.505100000000001</v>
      </c>
      <c r="BQ115">
        <v>2.3086000000000002</v>
      </c>
      <c r="BR115">
        <v>1.43086</v>
      </c>
      <c r="BS115">
        <v>19.736599999999999</v>
      </c>
      <c r="BT115">
        <v>12.248699999999999</v>
      </c>
      <c r="BU115">
        <v>1799.99</v>
      </c>
      <c r="BV115">
        <v>0.90999799999999997</v>
      </c>
      <c r="BW115">
        <v>3.3993099999999998E-2</v>
      </c>
      <c r="BX115">
        <v>2.2003200000000001E-2</v>
      </c>
      <c r="BY115">
        <v>3.40057E-2</v>
      </c>
      <c r="BZ115">
        <v>25</v>
      </c>
      <c r="CA115">
        <v>33528.199999999997</v>
      </c>
      <c r="CB115">
        <v>1690384821</v>
      </c>
      <c r="CC115" t="s">
        <v>332</v>
      </c>
      <c r="CD115">
        <v>1690384820</v>
      </c>
      <c r="CE115">
        <v>1690384821</v>
      </c>
      <c r="CF115">
        <v>5</v>
      </c>
      <c r="CG115">
        <v>-2.5000000000000001E-2</v>
      </c>
      <c r="CH115">
        <v>0.104</v>
      </c>
      <c r="CI115">
        <v>-0.28799999999999998</v>
      </c>
      <c r="CJ115">
        <v>0.28000000000000003</v>
      </c>
      <c r="CK115">
        <v>800</v>
      </c>
      <c r="CL115">
        <v>24</v>
      </c>
      <c r="CM115">
        <v>0.08</v>
      </c>
      <c r="CN115">
        <v>0.11</v>
      </c>
      <c r="CO115">
        <v>-152.62915000000001</v>
      </c>
      <c r="CP115">
        <v>-20.038761726078519</v>
      </c>
      <c r="CQ115">
        <v>1.9279947037012319</v>
      </c>
      <c r="CR115">
        <v>-1</v>
      </c>
      <c r="CS115">
        <v>8.6907562499999997</v>
      </c>
      <c r="CT115">
        <v>1.100857373358338</v>
      </c>
      <c r="CU115">
        <v>0.1066665073649526</v>
      </c>
      <c r="CV115">
        <v>-1</v>
      </c>
      <c r="CW115">
        <v>0</v>
      </c>
      <c r="CX115">
        <v>0</v>
      </c>
      <c r="CY115" t="s">
        <v>333</v>
      </c>
      <c r="CZ115">
        <v>2.3648400000000001</v>
      </c>
      <c r="DA115">
        <v>2.7138300000000002</v>
      </c>
      <c r="DB115">
        <v>0.12606800000000001</v>
      </c>
      <c r="DC115">
        <v>0.14569099999999999</v>
      </c>
      <c r="DD115">
        <v>0.11114400000000001</v>
      </c>
      <c r="DE115">
        <v>7.7945700000000007E-2</v>
      </c>
      <c r="DF115">
        <v>31927.3</v>
      </c>
      <c r="DG115">
        <v>27552.7</v>
      </c>
      <c r="DH115">
        <v>31187.3</v>
      </c>
      <c r="DI115">
        <v>28101.7</v>
      </c>
      <c r="DJ115">
        <v>37637.1</v>
      </c>
      <c r="DK115">
        <v>36846.1</v>
      </c>
      <c r="DL115">
        <v>44386.1</v>
      </c>
      <c r="DM115">
        <v>42594.1</v>
      </c>
      <c r="DN115">
        <v>1.46672</v>
      </c>
      <c r="DO115">
        <v>2.05308</v>
      </c>
      <c r="DP115">
        <v>0.112515</v>
      </c>
      <c r="DQ115">
        <v>0.19328300000000001</v>
      </c>
      <c r="DR115">
        <v>25.1402</v>
      </c>
      <c r="DS115">
        <v>24.888999999999999</v>
      </c>
      <c r="DT115">
        <v>57</v>
      </c>
      <c r="DU115">
        <v>28.8</v>
      </c>
      <c r="DV115">
        <v>22.968399999999999</v>
      </c>
      <c r="DW115">
        <v>60.912199999999999</v>
      </c>
      <c r="DX115">
        <v>36.137799999999999</v>
      </c>
      <c r="DY115">
        <v>1</v>
      </c>
      <c r="DZ115">
        <v>-0.10802299999999999</v>
      </c>
      <c r="EA115">
        <v>2.45153E-2</v>
      </c>
      <c r="EB115">
        <v>20.190000000000001</v>
      </c>
      <c r="EC115">
        <v>5.2411000000000003</v>
      </c>
      <c r="ED115">
        <v>12.039899999999999</v>
      </c>
      <c r="EE115">
        <v>5.0168999999999997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1.8689100000000001</v>
      </c>
      <c r="EL115">
        <v>1.8646199999999999</v>
      </c>
      <c r="EM115">
        <v>1.8692</v>
      </c>
      <c r="EN115">
        <v>1.8672299999999999</v>
      </c>
      <c r="EO115">
        <v>1.8633900000000001</v>
      </c>
      <c r="EP115">
        <v>1.8644700000000001</v>
      </c>
      <c r="EQ115">
        <v>1.8702099999999999</v>
      </c>
      <c r="ER115">
        <v>1.86941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-0.17899999999999999</v>
      </c>
      <c r="FG115">
        <v>0.2797</v>
      </c>
      <c r="FH115">
        <v>0.26269369235785539</v>
      </c>
      <c r="FI115">
        <v>-6.1462078757559423E-4</v>
      </c>
      <c r="FJ115">
        <v>-1.8861989874597051E-7</v>
      </c>
      <c r="FK115">
        <v>1.1980462299894961E-10</v>
      </c>
      <c r="FL115">
        <v>0.27968571428570849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26.1</v>
      </c>
      <c r="FU115">
        <v>26.1</v>
      </c>
      <c r="FV115">
        <v>1.78833</v>
      </c>
      <c r="FW115">
        <v>2.5866699999999998</v>
      </c>
      <c r="FX115">
        <v>1.5490699999999999</v>
      </c>
      <c r="FY115">
        <v>2.3315399999999999</v>
      </c>
      <c r="FZ115">
        <v>1.50146</v>
      </c>
      <c r="GA115">
        <v>2.3022499999999999</v>
      </c>
      <c r="GB115">
        <v>33.558</v>
      </c>
      <c r="GC115">
        <v>23.973700000000001</v>
      </c>
      <c r="GD115">
        <v>19</v>
      </c>
      <c r="GE115">
        <v>278.197</v>
      </c>
      <c r="GF115">
        <v>595.33600000000001</v>
      </c>
      <c r="GG115">
        <v>24.3157</v>
      </c>
      <c r="GH115">
        <v>26.047999999999998</v>
      </c>
      <c r="GI115">
        <v>29.9999</v>
      </c>
      <c r="GJ115">
        <v>26.1982</v>
      </c>
      <c r="GK115">
        <v>26.1877</v>
      </c>
      <c r="GL115">
        <v>35.749000000000002</v>
      </c>
      <c r="GM115">
        <v>43.043900000000001</v>
      </c>
      <c r="GN115">
        <v>91.719099999999997</v>
      </c>
      <c r="GO115">
        <v>24.313800000000001</v>
      </c>
      <c r="GP115">
        <v>800</v>
      </c>
      <c r="GQ115">
        <v>14.372</v>
      </c>
      <c r="GR115">
        <v>99.790899999999993</v>
      </c>
      <c r="GS115">
        <v>99.640799999999999</v>
      </c>
    </row>
    <row r="116" spans="1:201" x14ac:dyDescent="0.25">
      <c r="A116">
        <v>100</v>
      </c>
      <c r="B116">
        <v>1690386395.5999999</v>
      </c>
      <c r="C116">
        <v>1061</v>
      </c>
      <c r="D116" t="s">
        <v>533</v>
      </c>
      <c r="E116" t="s">
        <v>534</v>
      </c>
      <c r="F116" t="s">
        <v>330</v>
      </c>
      <c r="H116">
        <v>1690386395.5999999</v>
      </c>
      <c r="I116">
        <f t="shared" si="30"/>
        <v>8.7850924004161048E-4</v>
      </c>
      <c r="J116">
        <f t="shared" si="31"/>
        <v>0.87850924004161046</v>
      </c>
      <c r="K116">
        <f t="shared" si="32"/>
        <v>14.52589480688675</v>
      </c>
      <c r="L116">
        <f t="shared" si="33"/>
        <v>640.21500000000003</v>
      </c>
      <c r="M116">
        <f t="shared" si="34"/>
        <v>215.85861102588049</v>
      </c>
      <c r="N116">
        <f t="shared" si="35"/>
        <v>21.31522897341846</v>
      </c>
      <c r="O116">
        <f t="shared" si="36"/>
        <v>63.218832236352</v>
      </c>
      <c r="P116">
        <f t="shared" si="37"/>
        <v>5.6888420117313099E-2</v>
      </c>
      <c r="Q116">
        <f t="shared" si="38"/>
        <v>2.1639420372266374</v>
      </c>
      <c r="R116">
        <f t="shared" si="39"/>
        <v>5.6070449102059168E-2</v>
      </c>
      <c r="S116">
        <f t="shared" si="40"/>
        <v>3.5116542328096294E-2</v>
      </c>
      <c r="T116">
        <f t="shared" si="41"/>
        <v>276.11559575999996</v>
      </c>
      <c r="U116">
        <f t="shared" si="42"/>
        <v>28.076080681092893</v>
      </c>
      <c r="V116">
        <f t="shared" si="43"/>
        <v>28.076080681092893</v>
      </c>
      <c r="W116">
        <f t="shared" si="44"/>
        <v>3.8117033129624636</v>
      </c>
      <c r="X116">
        <f t="shared" si="45"/>
        <v>67.630362000669152</v>
      </c>
      <c r="Y116">
        <f t="shared" si="46"/>
        <v>2.31252861969792</v>
      </c>
      <c r="Z116">
        <f t="shared" si="47"/>
        <v>3.4193645446922778</v>
      </c>
      <c r="AA116">
        <f t="shared" si="48"/>
        <v>1.4991746932645436</v>
      </c>
      <c r="AB116">
        <f t="shared" si="49"/>
        <v>-38.742257485835019</v>
      </c>
      <c r="AC116">
        <f t="shared" si="50"/>
        <v>-215.99825962904589</v>
      </c>
      <c r="AD116">
        <f t="shared" si="51"/>
        <v>-21.574288783603599</v>
      </c>
      <c r="AE116">
        <f t="shared" si="52"/>
        <v>-0.1992101384845455</v>
      </c>
      <c r="AF116">
        <v>0</v>
      </c>
      <c r="AG116">
        <v>0</v>
      </c>
      <c r="AH116">
        <f t="shared" si="53"/>
        <v>1</v>
      </c>
      <c r="AI116">
        <f t="shared" si="54"/>
        <v>0</v>
      </c>
      <c r="AJ116">
        <f t="shared" si="55"/>
        <v>52556.723914084891</v>
      </c>
      <c r="AK116">
        <f t="shared" si="56"/>
        <v>1800</v>
      </c>
      <c r="AL116">
        <f t="shared" si="57"/>
        <v>1499.1135569999999</v>
      </c>
      <c r="AM116">
        <f t="shared" si="58"/>
        <v>0.83284086499999999</v>
      </c>
      <c r="AN116">
        <f t="shared" si="59"/>
        <v>0.15339755319999998</v>
      </c>
      <c r="AO116">
        <v>31.8</v>
      </c>
      <c r="AP116">
        <v>0.5</v>
      </c>
      <c r="AQ116" t="s">
        <v>331</v>
      </c>
      <c r="AR116">
        <v>2</v>
      </c>
      <c r="AS116">
        <v>1690386395.5999999</v>
      </c>
      <c r="AT116">
        <v>640.21500000000003</v>
      </c>
      <c r="AU116">
        <v>800.04899999999998</v>
      </c>
      <c r="AV116">
        <v>23.418900000000001</v>
      </c>
      <c r="AW116">
        <v>14.3306</v>
      </c>
      <c r="AX116">
        <v>640.39099999999996</v>
      </c>
      <c r="AY116">
        <v>23.139199999999999</v>
      </c>
      <c r="AZ116">
        <v>300.19200000000001</v>
      </c>
      <c r="BA116">
        <v>98.6464</v>
      </c>
      <c r="BB116">
        <v>9.9852800000000005E-2</v>
      </c>
      <c r="BC116">
        <v>26.224599999999999</v>
      </c>
      <c r="BD116">
        <v>27.008700000000001</v>
      </c>
      <c r="BE116">
        <v>28.046900000000001</v>
      </c>
      <c r="BF116">
        <v>0</v>
      </c>
      <c r="BG116">
        <v>0</v>
      </c>
      <c r="BH116">
        <v>10051.9</v>
      </c>
      <c r="BI116">
        <v>1072.79</v>
      </c>
      <c r="BJ116">
        <v>1.5137799999999999</v>
      </c>
      <c r="BK116">
        <v>-159.834</v>
      </c>
      <c r="BL116">
        <v>655.56700000000001</v>
      </c>
      <c r="BM116">
        <v>811.68100000000004</v>
      </c>
      <c r="BN116">
        <v>9.0883099999999999</v>
      </c>
      <c r="BO116">
        <v>800.04899999999998</v>
      </c>
      <c r="BP116">
        <v>14.3306</v>
      </c>
      <c r="BQ116">
        <v>2.31019</v>
      </c>
      <c r="BR116">
        <v>1.4136599999999999</v>
      </c>
      <c r="BS116">
        <v>19.747599999999998</v>
      </c>
      <c r="BT116">
        <v>12.065</v>
      </c>
      <c r="BU116">
        <v>1800</v>
      </c>
      <c r="BV116">
        <v>0.91000099999999995</v>
      </c>
      <c r="BW116">
        <v>3.3992000000000001E-2</v>
      </c>
      <c r="BX116">
        <v>2.2002500000000001E-2</v>
      </c>
      <c r="BY116">
        <v>3.4004600000000003E-2</v>
      </c>
      <c r="BZ116">
        <v>25</v>
      </c>
      <c r="CA116">
        <v>33528.400000000001</v>
      </c>
      <c r="CB116">
        <v>1690384821</v>
      </c>
      <c r="CC116" t="s">
        <v>332</v>
      </c>
      <c r="CD116">
        <v>1690384820</v>
      </c>
      <c r="CE116">
        <v>1690384821</v>
      </c>
      <c r="CF116">
        <v>5</v>
      </c>
      <c r="CG116">
        <v>-2.5000000000000001E-2</v>
      </c>
      <c r="CH116">
        <v>0.104</v>
      </c>
      <c r="CI116">
        <v>-0.28799999999999998</v>
      </c>
      <c r="CJ116">
        <v>0.28000000000000003</v>
      </c>
      <c r="CK116">
        <v>800</v>
      </c>
      <c r="CL116">
        <v>24</v>
      </c>
      <c r="CM116">
        <v>0.08</v>
      </c>
      <c r="CN116">
        <v>0.11</v>
      </c>
      <c r="CO116">
        <v>-156.0932926829268</v>
      </c>
      <c r="CP116">
        <v>-20.46740069686399</v>
      </c>
      <c r="CQ116">
        <v>2.0185574086207421</v>
      </c>
      <c r="CR116">
        <v>-1</v>
      </c>
      <c r="CS116">
        <v>8.8771878048780479</v>
      </c>
      <c r="CT116">
        <v>1.145567456446005</v>
      </c>
      <c r="CU116">
        <v>0.1132982143856925</v>
      </c>
      <c r="CV116">
        <v>-1</v>
      </c>
      <c r="CW116">
        <v>0</v>
      </c>
      <c r="CX116">
        <v>0</v>
      </c>
      <c r="CY116" t="s">
        <v>333</v>
      </c>
      <c r="CZ116">
        <v>2.3647499999999999</v>
      </c>
      <c r="DA116">
        <v>2.7136900000000002</v>
      </c>
      <c r="DB116">
        <v>0.125606</v>
      </c>
      <c r="DC116">
        <v>0.14568900000000001</v>
      </c>
      <c r="DD116">
        <v>0.11119999999999999</v>
      </c>
      <c r="DE116">
        <v>7.7256400000000003E-2</v>
      </c>
      <c r="DF116">
        <v>31944.5</v>
      </c>
      <c r="DG116">
        <v>27553.1</v>
      </c>
      <c r="DH116">
        <v>31187.7</v>
      </c>
      <c r="DI116">
        <v>28102</v>
      </c>
      <c r="DJ116">
        <v>37634.9</v>
      </c>
      <c r="DK116">
        <v>36874.1</v>
      </c>
      <c r="DL116">
        <v>44386.400000000001</v>
      </c>
      <c r="DM116">
        <v>42594.6</v>
      </c>
      <c r="DN116">
        <v>1.46672</v>
      </c>
      <c r="DO116">
        <v>2.0527000000000002</v>
      </c>
      <c r="DP116">
        <v>0.113886</v>
      </c>
      <c r="DQ116">
        <v>0.192799</v>
      </c>
      <c r="DR116">
        <v>25.1434</v>
      </c>
      <c r="DS116">
        <v>24.891100000000002</v>
      </c>
      <c r="DT116">
        <v>57</v>
      </c>
      <c r="DU116">
        <v>28.8</v>
      </c>
      <c r="DV116">
        <v>22.9711</v>
      </c>
      <c r="DW116">
        <v>60.752200000000002</v>
      </c>
      <c r="DX116">
        <v>35.9375</v>
      </c>
      <c r="DY116">
        <v>1</v>
      </c>
      <c r="DZ116">
        <v>-0.10893</v>
      </c>
      <c r="EA116">
        <v>1.28214E-2</v>
      </c>
      <c r="EB116">
        <v>20.190000000000001</v>
      </c>
      <c r="EC116">
        <v>5.2409499999999998</v>
      </c>
      <c r="ED116">
        <v>12.039899999999999</v>
      </c>
      <c r="EE116">
        <v>5.0170500000000002</v>
      </c>
      <c r="EF116">
        <v>3.2879700000000001</v>
      </c>
      <c r="EG116">
        <v>9999</v>
      </c>
      <c r="EH116">
        <v>9999</v>
      </c>
      <c r="EI116">
        <v>9999</v>
      </c>
      <c r="EJ116">
        <v>999.9</v>
      </c>
      <c r="EK116">
        <v>1.8689100000000001</v>
      </c>
      <c r="EL116">
        <v>1.8646199999999999</v>
      </c>
      <c r="EM116">
        <v>1.8692</v>
      </c>
      <c r="EN116">
        <v>1.8672500000000001</v>
      </c>
      <c r="EO116">
        <v>1.8633999999999999</v>
      </c>
      <c r="EP116">
        <v>1.8644700000000001</v>
      </c>
      <c r="EQ116">
        <v>1.8702099999999999</v>
      </c>
      <c r="ER116">
        <v>1.8694200000000001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-0.17599999999999999</v>
      </c>
      <c r="FG116">
        <v>0.2797</v>
      </c>
      <c r="FH116">
        <v>0.26269369235785539</v>
      </c>
      <c r="FI116">
        <v>-6.1462078757559423E-4</v>
      </c>
      <c r="FJ116">
        <v>-1.8861989874597051E-7</v>
      </c>
      <c r="FK116">
        <v>1.1980462299894961E-10</v>
      </c>
      <c r="FL116">
        <v>0.27968571428570849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26.3</v>
      </c>
      <c r="FU116">
        <v>26.2</v>
      </c>
      <c r="FV116">
        <v>1.78833</v>
      </c>
      <c r="FW116">
        <v>2.5842299999999998</v>
      </c>
      <c r="FX116">
        <v>1.5490699999999999</v>
      </c>
      <c r="FY116">
        <v>2.3327599999999999</v>
      </c>
      <c r="FZ116">
        <v>1.50146</v>
      </c>
      <c r="GA116">
        <v>2.3290999999999999</v>
      </c>
      <c r="GB116">
        <v>33.558</v>
      </c>
      <c r="GC116">
        <v>23.982399999999998</v>
      </c>
      <c r="GD116">
        <v>19</v>
      </c>
      <c r="GE116">
        <v>278.18700000000001</v>
      </c>
      <c r="GF116">
        <v>594.99599999999998</v>
      </c>
      <c r="GG116">
        <v>24.334099999999999</v>
      </c>
      <c r="GH116">
        <v>26.0458</v>
      </c>
      <c r="GI116">
        <v>29.999700000000001</v>
      </c>
      <c r="GJ116">
        <v>26.196000000000002</v>
      </c>
      <c r="GK116">
        <v>26.185500000000001</v>
      </c>
      <c r="GL116">
        <v>35.745600000000003</v>
      </c>
      <c r="GM116">
        <v>43.6434</v>
      </c>
      <c r="GN116">
        <v>91.330299999999994</v>
      </c>
      <c r="GO116">
        <v>24.335100000000001</v>
      </c>
      <c r="GP116">
        <v>800</v>
      </c>
      <c r="GQ116">
        <v>14.2005</v>
      </c>
      <c r="GR116">
        <v>99.791700000000006</v>
      </c>
      <c r="GS116">
        <v>99.641999999999996</v>
      </c>
    </row>
    <row r="117" spans="1:201" x14ac:dyDescent="0.25">
      <c r="A117">
        <v>101</v>
      </c>
      <c r="B117">
        <v>1690386405.5999999</v>
      </c>
      <c r="C117">
        <v>1071</v>
      </c>
      <c r="D117" t="s">
        <v>535</v>
      </c>
      <c r="E117" t="s">
        <v>536</v>
      </c>
      <c r="F117" t="s">
        <v>330</v>
      </c>
      <c r="H117">
        <v>1690386405.5999999</v>
      </c>
      <c r="I117">
        <f t="shared" si="30"/>
        <v>8.9717235815369323E-4</v>
      </c>
      <c r="J117">
        <f t="shared" si="31"/>
        <v>0.89717235815369323</v>
      </c>
      <c r="K117">
        <f t="shared" si="32"/>
        <v>14.840553398987531</v>
      </c>
      <c r="L117">
        <f t="shared" si="33"/>
        <v>636.77800000000002</v>
      </c>
      <c r="M117">
        <f t="shared" si="34"/>
        <v>212.5395815999504</v>
      </c>
      <c r="N117">
        <f t="shared" si="35"/>
        <v>20.988310037903219</v>
      </c>
      <c r="O117">
        <f t="shared" si="36"/>
        <v>62.881906460472003</v>
      </c>
      <c r="P117">
        <f t="shared" si="37"/>
        <v>5.8143199572338079E-2</v>
      </c>
      <c r="Q117">
        <f t="shared" si="38"/>
        <v>2.1560656197785493</v>
      </c>
      <c r="R117">
        <f t="shared" si="39"/>
        <v>5.7285968225858741E-2</v>
      </c>
      <c r="S117">
        <f t="shared" si="40"/>
        <v>3.5879696103775734E-2</v>
      </c>
      <c r="T117">
        <f t="shared" si="41"/>
        <v>276.11545588200005</v>
      </c>
      <c r="U117">
        <f t="shared" si="42"/>
        <v>28.077188913832192</v>
      </c>
      <c r="V117">
        <f t="shared" si="43"/>
        <v>28.077188913832192</v>
      </c>
      <c r="W117">
        <f t="shared" si="44"/>
        <v>3.811949440164784</v>
      </c>
      <c r="X117">
        <f t="shared" si="45"/>
        <v>67.649078091404363</v>
      </c>
      <c r="Y117">
        <f t="shared" si="46"/>
        <v>2.3133599048736002</v>
      </c>
      <c r="Z117">
        <f t="shared" si="47"/>
        <v>3.4196473479622194</v>
      </c>
      <c r="AA117">
        <f t="shared" si="48"/>
        <v>1.4985895352911838</v>
      </c>
      <c r="AB117">
        <f t="shared" si="49"/>
        <v>-39.565300994577875</v>
      </c>
      <c r="AC117">
        <f t="shared" si="50"/>
        <v>-215.1781446727455</v>
      </c>
      <c r="AD117">
        <f t="shared" si="51"/>
        <v>-21.571159303054781</v>
      </c>
      <c r="AE117">
        <f t="shared" si="52"/>
        <v>-0.19914908837810685</v>
      </c>
      <c r="AF117">
        <v>0</v>
      </c>
      <c r="AG117">
        <v>0</v>
      </c>
      <c r="AH117">
        <f t="shared" si="53"/>
        <v>1</v>
      </c>
      <c r="AI117">
        <f t="shared" si="54"/>
        <v>0</v>
      </c>
      <c r="AJ117">
        <f t="shared" si="55"/>
        <v>52226.165831504055</v>
      </c>
      <c r="AK117">
        <f t="shared" si="56"/>
        <v>1800</v>
      </c>
      <c r="AL117">
        <f t="shared" si="57"/>
        <v>1499.1139691999999</v>
      </c>
      <c r="AM117">
        <f t="shared" si="58"/>
        <v>0.83284109399999995</v>
      </c>
      <c r="AN117">
        <f t="shared" si="59"/>
        <v>0.15339747549000002</v>
      </c>
      <c r="AO117">
        <v>31.8</v>
      </c>
      <c r="AP117">
        <v>0.5</v>
      </c>
      <c r="AQ117" t="s">
        <v>331</v>
      </c>
      <c r="AR117">
        <v>2</v>
      </c>
      <c r="AS117">
        <v>1690386405.5999999</v>
      </c>
      <c r="AT117">
        <v>636.77800000000002</v>
      </c>
      <c r="AU117">
        <v>800.06200000000001</v>
      </c>
      <c r="AV117">
        <v>23.426400000000001</v>
      </c>
      <c r="AW117">
        <v>14.143800000000001</v>
      </c>
      <c r="AX117">
        <v>636.95299999999997</v>
      </c>
      <c r="AY117">
        <v>23.146699999999999</v>
      </c>
      <c r="AZ117">
        <v>300.14999999999998</v>
      </c>
      <c r="BA117">
        <v>98.650099999999995</v>
      </c>
      <c r="BB117">
        <v>0.100024</v>
      </c>
      <c r="BC117">
        <v>26.225999999999999</v>
      </c>
      <c r="BD117">
        <v>26.958200000000001</v>
      </c>
      <c r="BE117">
        <v>28.047799999999999</v>
      </c>
      <c r="BF117">
        <v>0</v>
      </c>
      <c r="BG117">
        <v>0</v>
      </c>
      <c r="BH117">
        <v>9985.6200000000008</v>
      </c>
      <c r="BI117">
        <v>1072.8599999999999</v>
      </c>
      <c r="BJ117">
        <v>1.5137799999999999</v>
      </c>
      <c r="BK117">
        <v>-163.28399999999999</v>
      </c>
      <c r="BL117">
        <v>652.05399999999997</v>
      </c>
      <c r="BM117">
        <v>811.54</v>
      </c>
      <c r="BN117">
        <v>9.2825399999999991</v>
      </c>
      <c r="BO117">
        <v>800.06200000000001</v>
      </c>
      <c r="BP117">
        <v>14.143800000000001</v>
      </c>
      <c r="BQ117">
        <v>2.3110200000000001</v>
      </c>
      <c r="BR117">
        <v>1.3952899999999999</v>
      </c>
      <c r="BS117">
        <v>19.753399999999999</v>
      </c>
      <c r="BT117">
        <v>11.8666</v>
      </c>
      <c r="BU117">
        <v>1800</v>
      </c>
      <c r="BV117">
        <v>0.91000400000000004</v>
      </c>
      <c r="BW117">
        <v>3.3990899999999998E-2</v>
      </c>
      <c r="BX117">
        <v>2.2001699999999999E-2</v>
      </c>
      <c r="BY117">
        <v>3.4003499999999999E-2</v>
      </c>
      <c r="BZ117">
        <v>25</v>
      </c>
      <c r="CA117">
        <v>33528.400000000001</v>
      </c>
      <c r="CB117">
        <v>1690384821</v>
      </c>
      <c r="CC117" t="s">
        <v>332</v>
      </c>
      <c r="CD117">
        <v>1690384820</v>
      </c>
      <c r="CE117">
        <v>1690384821</v>
      </c>
      <c r="CF117">
        <v>5</v>
      </c>
      <c r="CG117">
        <v>-2.5000000000000001E-2</v>
      </c>
      <c r="CH117">
        <v>0.104</v>
      </c>
      <c r="CI117">
        <v>-0.28799999999999998</v>
      </c>
      <c r="CJ117">
        <v>0.28000000000000003</v>
      </c>
      <c r="CK117">
        <v>800</v>
      </c>
      <c r="CL117">
        <v>24</v>
      </c>
      <c r="CM117">
        <v>0.08</v>
      </c>
      <c r="CN117">
        <v>0.11</v>
      </c>
      <c r="CO117">
        <v>-159.41252499999999</v>
      </c>
      <c r="CP117">
        <v>-20.242277673545559</v>
      </c>
      <c r="CQ117">
        <v>1.947676898095523</v>
      </c>
      <c r="CR117">
        <v>-1</v>
      </c>
      <c r="CS117">
        <v>9.0573442499999999</v>
      </c>
      <c r="CT117">
        <v>1.1075888555346729</v>
      </c>
      <c r="CU117">
        <v>0.1069142089688619</v>
      </c>
      <c r="CV117">
        <v>-1</v>
      </c>
      <c r="CW117">
        <v>0</v>
      </c>
      <c r="CX117">
        <v>0</v>
      </c>
      <c r="CY117" t="s">
        <v>333</v>
      </c>
      <c r="CZ117">
        <v>2.3646099999999999</v>
      </c>
      <c r="DA117">
        <v>2.7138</v>
      </c>
      <c r="DB117">
        <v>0.125143</v>
      </c>
      <c r="DC117">
        <v>0.14569399999999999</v>
      </c>
      <c r="DD117">
        <v>0.111231</v>
      </c>
      <c r="DE117">
        <v>7.6516299999999995E-2</v>
      </c>
      <c r="DF117">
        <v>31961.7</v>
      </c>
      <c r="DG117">
        <v>27552.799999999999</v>
      </c>
      <c r="DH117">
        <v>31188</v>
      </c>
      <c r="DI117">
        <v>28101.9</v>
      </c>
      <c r="DJ117">
        <v>37633.9</v>
      </c>
      <c r="DK117">
        <v>36903.699999999997</v>
      </c>
      <c r="DL117">
        <v>44386.8</v>
      </c>
      <c r="DM117">
        <v>42594.5</v>
      </c>
      <c r="DN117">
        <v>1.4669300000000001</v>
      </c>
      <c r="DO117">
        <v>2.0526300000000002</v>
      </c>
      <c r="DP117">
        <v>0.110738</v>
      </c>
      <c r="DQ117">
        <v>0.19276099999999999</v>
      </c>
      <c r="DR117">
        <v>25.144400000000001</v>
      </c>
      <c r="DS117">
        <v>24.892600000000002</v>
      </c>
      <c r="DT117">
        <v>56.9</v>
      </c>
      <c r="DU117">
        <v>28.8</v>
      </c>
      <c r="DV117">
        <v>22.9312</v>
      </c>
      <c r="DW117">
        <v>60.982199999999999</v>
      </c>
      <c r="DX117">
        <v>36.005600000000001</v>
      </c>
      <c r="DY117">
        <v>1</v>
      </c>
      <c r="DZ117">
        <v>-0.10753799999999999</v>
      </c>
      <c r="EA117">
        <v>0.21871699999999999</v>
      </c>
      <c r="EB117">
        <v>20.189699999999998</v>
      </c>
      <c r="EC117">
        <v>5.24125</v>
      </c>
      <c r="ED117">
        <v>12.039899999999999</v>
      </c>
      <c r="EE117">
        <v>5.0171999999999999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1.8689100000000001</v>
      </c>
      <c r="EL117">
        <v>1.8646199999999999</v>
      </c>
      <c r="EM117">
        <v>1.86921</v>
      </c>
      <c r="EN117">
        <v>1.86724</v>
      </c>
      <c r="EO117">
        <v>1.86338</v>
      </c>
      <c r="EP117">
        <v>1.8644700000000001</v>
      </c>
      <c r="EQ117">
        <v>1.87018</v>
      </c>
      <c r="ER117">
        <v>1.86941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-0.17499999999999999</v>
      </c>
      <c r="FG117">
        <v>0.2797</v>
      </c>
      <c r="FH117">
        <v>0.26269369235785539</v>
      </c>
      <c r="FI117">
        <v>-6.1462078757559423E-4</v>
      </c>
      <c r="FJ117">
        <v>-1.8861989874597051E-7</v>
      </c>
      <c r="FK117">
        <v>1.1980462299894961E-10</v>
      </c>
      <c r="FL117">
        <v>0.27968571428570849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26.4</v>
      </c>
      <c r="FU117">
        <v>26.4</v>
      </c>
      <c r="FV117">
        <v>1.78833</v>
      </c>
      <c r="FW117">
        <v>2.5830099999999998</v>
      </c>
      <c r="FX117">
        <v>1.5490699999999999</v>
      </c>
      <c r="FY117">
        <v>2.3315399999999999</v>
      </c>
      <c r="FZ117">
        <v>1.50146</v>
      </c>
      <c r="GA117">
        <v>2.36816</v>
      </c>
      <c r="GB117">
        <v>33.558</v>
      </c>
      <c r="GC117">
        <v>23.982399999999998</v>
      </c>
      <c r="GD117">
        <v>19</v>
      </c>
      <c r="GE117">
        <v>278.25799999999998</v>
      </c>
      <c r="GF117">
        <v>594.89599999999996</v>
      </c>
      <c r="GG117">
        <v>24.227699999999999</v>
      </c>
      <c r="GH117">
        <v>26.042999999999999</v>
      </c>
      <c r="GI117">
        <v>30.000699999999998</v>
      </c>
      <c r="GJ117">
        <v>26.192699999999999</v>
      </c>
      <c r="GK117">
        <v>26.182200000000002</v>
      </c>
      <c r="GL117">
        <v>35.7425</v>
      </c>
      <c r="GM117">
        <v>43.9405</v>
      </c>
      <c r="GN117">
        <v>90.569199999999995</v>
      </c>
      <c r="GO117">
        <v>24.244199999999999</v>
      </c>
      <c r="GP117">
        <v>800</v>
      </c>
      <c r="GQ117">
        <v>14.0357</v>
      </c>
      <c r="GR117">
        <v>99.792599999999993</v>
      </c>
      <c r="GS117">
        <v>99.6417</v>
      </c>
    </row>
    <row r="118" spans="1:201" x14ac:dyDescent="0.25">
      <c r="A118">
        <v>102</v>
      </c>
      <c r="B118">
        <v>1690386415.5999999</v>
      </c>
      <c r="C118">
        <v>1081</v>
      </c>
      <c r="D118" t="s">
        <v>537</v>
      </c>
      <c r="E118" t="s">
        <v>538</v>
      </c>
      <c r="F118" t="s">
        <v>330</v>
      </c>
      <c r="H118">
        <v>1690386415.5999999</v>
      </c>
      <c r="I118">
        <f t="shared" si="30"/>
        <v>9.1095081655905019E-4</v>
      </c>
      <c r="J118">
        <f t="shared" si="31"/>
        <v>0.91095081655905019</v>
      </c>
      <c r="K118">
        <f t="shared" si="32"/>
        <v>15.152357637733543</v>
      </c>
      <c r="L118">
        <f t="shared" si="33"/>
        <v>633.42899999999997</v>
      </c>
      <c r="M118">
        <f t="shared" si="34"/>
        <v>207.82793374571457</v>
      </c>
      <c r="N118">
        <f t="shared" si="35"/>
        <v>20.523249974231121</v>
      </c>
      <c r="O118">
        <f t="shared" si="36"/>
        <v>62.551849857840899</v>
      </c>
      <c r="P118">
        <f t="shared" si="37"/>
        <v>5.9164182081980314E-2</v>
      </c>
      <c r="Q118">
        <f t="shared" si="38"/>
        <v>2.1603370520505321</v>
      </c>
      <c r="R118">
        <f t="shared" si="39"/>
        <v>5.8278554678642513E-2</v>
      </c>
      <c r="S118">
        <f t="shared" si="40"/>
        <v>3.6502562410915776E-2</v>
      </c>
      <c r="T118">
        <f t="shared" si="41"/>
        <v>276.11539855200004</v>
      </c>
      <c r="U118">
        <f t="shared" si="42"/>
        <v>28.065018590790963</v>
      </c>
      <c r="V118">
        <f t="shared" si="43"/>
        <v>28.065018590790963</v>
      </c>
      <c r="W118">
        <f t="shared" si="44"/>
        <v>3.809247295163384</v>
      </c>
      <c r="X118">
        <f t="shared" si="45"/>
        <v>67.670220118993683</v>
      </c>
      <c r="Y118">
        <f t="shared" si="46"/>
        <v>2.3135224754463803</v>
      </c>
      <c r="Z118">
        <f t="shared" si="47"/>
        <v>3.4188191960632039</v>
      </c>
      <c r="AA118">
        <f t="shared" si="48"/>
        <v>1.4957248197170037</v>
      </c>
      <c r="AB118">
        <f t="shared" si="49"/>
        <v>-40.172931010254111</v>
      </c>
      <c r="AC118">
        <f t="shared" si="50"/>
        <v>-214.66450403277457</v>
      </c>
      <c r="AD118">
        <f t="shared" si="51"/>
        <v>-21.475371042684184</v>
      </c>
      <c r="AE118">
        <f t="shared" si="52"/>
        <v>-0.19740753371280562</v>
      </c>
      <c r="AF118">
        <v>0</v>
      </c>
      <c r="AG118">
        <v>0</v>
      </c>
      <c r="AH118">
        <f t="shared" si="53"/>
        <v>1</v>
      </c>
      <c r="AI118">
        <f t="shared" si="54"/>
        <v>0</v>
      </c>
      <c r="AJ118">
        <f t="shared" si="55"/>
        <v>52405.922390619664</v>
      </c>
      <c r="AK118">
        <f t="shared" si="56"/>
        <v>1800</v>
      </c>
      <c r="AL118">
        <f t="shared" si="57"/>
        <v>1499.1137081999998</v>
      </c>
      <c r="AM118">
        <f t="shared" si="58"/>
        <v>0.83284094899999994</v>
      </c>
      <c r="AN118">
        <f t="shared" si="59"/>
        <v>0.15339744364000002</v>
      </c>
      <c r="AO118">
        <v>31.8</v>
      </c>
      <c r="AP118">
        <v>0.5</v>
      </c>
      <c r="AQ118" t="s">
        <v>331</v>
      </c>
      <c r="AR118">
        <v>2</v>
      </c>
      <c r="AS118">
        <v>1690386415.5999999</v>
      </c>
      <c r="AT118">
        <v>633.42899999999997</v>
      </c>
      <c r="AU118">
        <v>800.07100000000003</v>
      </c>
      <c r="AV118">
        <v>23.427800000000001</v>
      </c>
      <c r="AW118">
        <v>14.003</v>
      </c>
      <c r="AX118">
        <v>633.601</v>
      </c>
      <c r="AY118">
        <v>23.148199999999999</v>
      </c>
      <c r="AZ118">
        <v>300.161</v>
      </c>
      <c r="BA118">
        <v>98.651200000000003</v>
      </c>
      <c r="BB118">
        <v>9.9962099999999998E-2</v>
      </c>
      <c r="BC118">
        <v>26.221900000000002</v>
      </c>
      <c r="BD118">
        <v>26.9725</v>
      </c>
      <c r="BE118">
        <v>28.0383</v>
      </c>
      <c r="BF118">
        <v>0</v>
      </c>
      <c r="BG118">
        <v>0</v>
      </c>
      <c r="BH118">
        <v>10021.200000000001</v>
      </c>
      <c r="BI118">
        <v>1072.93</v>
      </c>
      <c r="BJ118">
        <v>1.5137799999999999</v>
      </c>
      <c r="BK118">
        <v>-166.642</v>
      </c>
      <c r="BL118">
        <v>648.625</v>
      </c>
      <c r="BM118">
        <v>811.43299999999999</v>
      </c>
      <c r="BN118">
        <v>9.4247999999999994</v>
      </c>
      <c r="BO118">
        <v>800.07100000000003</v>
      </c>
      <c r="BP118">
        <v>14.003</v>
      </c>
      <c r="BQ118">
        <v>2.3111799999999998</v>
      </c>
      <c r="BR118">
        <v>1.3814200000000001</v>
      </c>
      <c r="BS118">
        <v>19.7546</v>
      </c>
      <c r="BT118">
        <v>11.715199999999999</v>
      </c>
      <c r="BU118">
        <v>1800</v>
      </c>
      <c r="BV118">
        <v>0.91000400000000004</v>
      </c>
      <c r="BW118">
        <v>3.3990800000000002E-2</v>
      </c>
      <c r="BX118">
        <v>2.2001699999999999E-2</v>
      </c>
      <c r="BY118">
        <v>3.4003400000000003E-2</v>
      </c>
      <c r="BZ118">
        <v>25</v>
      </c>
      <c r="CA118">
        <v>33528.5</v>
      </c>
      <c r="CB118">
        <v>1690384821</v>
      </c>
      <c r="CC118" t="s">
        <v>332</v>
      </c>
      <c r="CD118">
        <v>1690384820</v>
      </c>
      <c r="CE118">
        <v>1690384821</v>
      </c>
      <c r="CF118">
        <v>5</v>
      </c>
      <c r="CG118">
        <v>-2.5000000000000001E-2</v>
      </c>
      <c r="CH118">
        <v>0.104</v>
      </c>
      <c r="CI118">
        <v>-0.28799999999999998</v>
      </c>
      <c r="CJ118">
        <v>0.28000000000000003</v>
      </c>
      <c r="CK118">
        <v>800</v>
      </c>
      <c r="CL118">
        <v>24</v>
      </c>
      <c r="CM118">
        <v>0.08</v>
      </c>
      <c r="CN118">
        <v>0.11</v>
      </c>
      <c r="CO118">
        <v>-162.8306</v>
      </c>
      <c r="CP118">
        <v>-20.571984990618919</v>
      </c>
      <c r="CQ118">
        <v>1.979523134494771</v>
      </c>
      <c r="CR118">
        <v>-1</v>
      </c>
      <c r="CS118">
        <v>9.2368045000000016</v>
      </c>
      <c r="CT118">
        <v>1.0229972983114379</v>
      </c>
      <c r="CU118">
        <v>9.9138186435651574E-2</v>
      </c>
      <c r="CV118">
        <v>-1</v>
      </c>
      <c r="CW118">
        <v>0</v>
      </c>
      <c r="CX118">
        <v>0</v>
      </c>
      <c r="CY118" t="s">
        <v>333</v>
      </c>
      <c r="CZ118">
        <v>2.3646799999999999</v>
      </c>
      <c r="DA118">
        <v>2.7137699999999998</v>
      </c>
      <c r="DB118">
        <v>0.124685</v>
      </c>
      <c r="DC118">
        <v>0.14569399999999999</v>
      </c>
      <c r="DD118">
        <v>0.111237</v>
      </c>
      <c r="DE118">
        <v>7.5953900000000005E-2</v>
      </c>
      <c r="DF118">
        <v>31978.6</v>
      </c>
      <c r="DG118">
        <v>27552.7</v>
      </c>
      <c r="DH118">
        <v>31188.1</v>
      </c>
      <c r="DI118">
        <v>28101.9</v>
      </c>
      <c r="DJ118">
        <v>37633.800000000003</v>
      </c>
      <c r="DK118">
        <v>36926.199999999997</v>
      </c>
      <c r="DL118">
        <v>44387.1</v>
      </c>
      <c r="DM118">
        <v>42594.5</v>
      </c>
      <c r="DN118">
        <v>1.46705</v>
      </c>
      <c r="DO118">
        <v>2.0522800000000001</v>
      </c>
      <c r="DP118">
        <v>0.111509</v>
      </c>
      <c r="DQ118">
        <v>0.19214300000000001</v>
      </c>
      <c r="DR118">
        <v>25.146100000000001</v>
      </c>
      <c r="DS118">
        <v>24.8932</v>
      </c>
      <c r="DT118">
        <v>56.8</v>
      </c>
      <c r="DU118">
        <v>28.8</v>
      </c>
      <c r="DV118">
        <v>22.89</v>
      </c>
      <c r="DW118">
        <v>60.882199999999997</v>
      </c>
      <c r="DX118">
        <v>36.558500000000002</v>
      </c>
      <c r="DY118">
        <v>1</v>
      </c>
      <c r="DZ118">
        <v>-0.10922</v>
      </c>
      <c r="EA118">
        <v>1.7083299999999999E-2</v>
      </c>
      <c r="EB118">
        <v>20.190300000000001</v>
      </c>
      <c r="EC118">
        <v>5.24125</v>
      </c>
      <c r="ED118">
        <v>12.039899999999999</v>
      </c>
      <c r="EE118">
        <v>5.0175999999999998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1.8689100000000001</v>
      </c>
      <c r="EL118">
        <v>1.8646199999999999</v>
      </c>
      <c r="EM118">
        <v>1.8692</v>
      </c>
      <c r="EN118">
        <v>1.8672599999999999</v>
      </c>
      <c r="EO118">
        <v>1.8633900000000001</v>
      </c>
      <c r="EP118">
        <v>1.8644700000000001</v>
      </c>
      <c r="EQ118">
        <v>1.87019</v>
      </c>
      <c r="ER118">
        <v>1.86941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-0.17199999999999999</v>
      </c>
      <c r="FG118">
        <v>0.27960000000000002</v>
      </c>
      <c r="FH118">
        <v>0.26269369235785539</v>
      </c>
      <c r="FI118">
        <v>-6.1462078757559423E-4</v>
      </c>
      <c r="FJ118">
        <v>-1.8861989874597051E-7</v>
      </c>
      <c r="FK118">
        <v>1.1980462299894961E-10</v>
      </c>
      <c r="FL118">
        <v>0.27968571428570849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26.6</v>
      </c>
      <c r="FU118">
        <v>26.6</v>
      </c>
      <c r="FV118">
        <v>1.78711</v>
      </c>
      <c r="FW118">
        <v>2.5793499999999998</v>
      </c>
      <c r="FX118">
        <v>1.5490699999999999</v>
      </c>
      <c r="FY118">
        <v>2.3315399999999999</v>
      </c>
      <c r="FZ118">
        <v>1.50146</v>
      </c>
      <c r="GA118">
        <v>2.4011200000000001</v>
      </c>
      <c r="GB118">
        <v>33.558</v>
      </c>
      <c r="GC118">
        <v>23.982399999999998</v>
      </c>
      <c r="GD118">
        <v>19</v>
      </c>
      <c r="GE118">
        <v>278.29500000000002</v>
      </c>
      <c r="GF118">
        <v>594.56500000000005</v>
      </c>
      <c r="GG118">
        <v>24.265999999999998</v>
      </c>
      <c r="GH118">
        <v>26.040299999999998</v>
      </c>
      <c r="GI118">
        <v>29.999500000000001</v>
      </c>
      <c r="GJ118">
        <v>26.189399999999999</v>
      </c>
      <c r="GK118">
        <v>26.178899999999999</v>
      </c>
      <c r="GL118">
        <v>35.735100000000003</v>
      </c>
      <c r="GM118">
        <v>44.514600000000002</v>
      </c>
      <c r="GN118">
        <v>90.184200000000004</v>
      </c>
      <c r="GO118">
        <v>24.282699999999998</v>
      </c>
      <c r="GP118">
        <v>800</v>
      </c>
      <c r="GQ118">
        <v>13.8652</v>
      </c>
      <c r="GR118">
        <v>99.793300000000002</v>
      </c>
      <c r="GS118">
        <v>99.641599999999997</v>
      </c>
    </row>
    <row r="119" spans="1:201" x14ac:dyDescent="0.25">
      <c r="A119">
        <v>103</v>
      </c>
      <c r="B119">
        <v>1690386425.5999999</v>
      </c>
      <c r="C119">
        <v>1091</v>
      </c>
      <c r="D119" t="s">
        <v>539</v>
      </c>
      <c r="E119" t="s">
        <v>540</v>
      </c>
      <c r="F119" t="s">
        <v>330</v>
      </c>
      <c r="H119">
        <v>1690386425.5999999</v>
      </c>
      <c r="I119">
        <f t="shared" si="30"/>
        <v>9.3008816319793642E-4</v>
      </c>
      <c r="J119">
        <f t="shared" si="31"/>
        <v>0.93008816319793641</v>
      </c>
      <c r="K119">
        <f t="shared" si="32"/>
        <v>15.463203403937301</v>
      </c>
      <c r="L119">
        <f t="shared" si="33"/>
        <v>630.024</v>
      </c>
      <c r="M119">
        <f t="shared" si="34"/>
        <v>205.10935301695835</v>
      </c>
      <c r="N119">
        <f t="shared" si="35"/>
        <v>20.254324836120496</v>
      </c>
      <c r="O119">
        <f t="shared" si="36"/>
        <v>62.214182643815995</v>
      </c>
      <c r="P119">
        <f t="shared" si="37"/>
        <v>6.0483977445250185E-2</v>
      </c>
      <c r="Q119">
        <f t="shared" si="38"/>
        <v>2.1566502517813002</v>
      </c>
      <c r="R119">
        <f t="shared" si="39"/>
        <v>5.9557174915093249E-2</v>
      </c>
      <c r="S119">
        <f t="shared" si="40"/>
        <v>3.730532082066914E-2</v>
      </c>
      <c r="T119">
        <f t="shared" si="41"/>
        <v>276.115619826</v>
      </c>
      <c r="U119">
        <f t="shared" si="42"/>
        <v>28.067772704586112</v>
      </c>
      <c r="V119">
        <f t="shared" si="43"/>
        <v>28.067772704586112</v>
      </c>
      <c r="W119">
        <f t="shared" si="44"/>
        <v>3.809858637511947</v>
      </c>
      <c r="X119">
        <f t="shared" si="45"/>
        <v>67.703619512496914</v>
      </c>
      <c r="Y119">
        <f t="shared" si="46"/>
        <v>2.3155532922500996</v>
      </c>
      <c r="Z119">
        <f t="shared" si="47"/>
        <v>3.4201322010896162</v>
      </c>
      <c r="AA119">
        <f t="shared" si="48"/>
        <v>1.4943053452618473</v>
      </c>
      <c r="AB119">
        <f t="shared" si="49"/>
        <v>-41.016887997028995</v>
      </c>
      <c r="AC119">
        <f t="shared" si="50"/>
        <v>-213.86262899175662</v>
      </c>
      <c r="AD119">
        <f t="shared" si="51"/>
        <v>-21.4327156638799</v>
      </c>
      <c r="AE119">
        <f t="shared" si="52"/>
        <v>-0.19661282666550051</v>
      </c>
      <c r="AF119">
        <v>0</v>
      </c>
      <c r="AG119">
        <v>0</v>
      </c>
      <c r="AH119">
        <f t="shared" si="53"/>
        <v>1</v>
      </c>
      <c r="AI119">
        <f t="shared" si="54"/>
        <v>0</v>
      </c>
      <c r="AJ119">
        <f t="shared" si="55"/>
        <v>52250.200222634252</v>
      </c>
      <c r="AK119">
        <f t="shared" si="56"/>
        <v>1800</v>
      </c>
      <c r="AL119">
        <f t="shared" si="57"/>
        <v>1499.1120575999998</v>
      </c>
      <c r="AM119">
        <f t="shared" si="58"/>
        <v>0.8328400319999999</v>
      </c>
      <c r="AN119">
        <f t="shared" si="59"/>
        <v>0.15339756657</v>
      </c>
      <c r="AO119">
        <v>31.8</v>
      </c>
      <c r="AP119">
        <v>0.5</v>
      </c>
      <c r="AQ119" t="s">
        <v>331</v>
      </c>
      <c r="AR119">
        <v>2</v>
      </c>
      <c r="AS119">
        <v>1690386425.5999999</v>
      </c>
      <c r="AT119">
        <v>630.024</v>
      </c>
      <c r="AU119">
        <v>800.07899999999995</v>
      </c>
      <c r="AV119">
        <v>23.448899999999998</v>
      </c>
      <c r="AW119">
        <v>13.8249</v>
      </c>
      <c r="AX119">
        <v>630.19299999999998</v>
      </c>
      <c r="AY119">
        <v>23.1692</v>
      </c>
      <c r="AZ119">
        <v>300.11700000000002</v>
      </c>
      <c r="BA119">
        <v>98.648899999999998</v>
      </c>
      <c r="BB119">
        <v>0.100009</v>
      </c>
      <c r="BC119">
        <v>26.228400000000001</v>
      </c>
      <c r="BD119">
        <v>26.988800000000001</v>
      </c>
      <c r="BE119">
        <v>28.039300000000001</v>
      </c>
      <c r="BF119">
        <v>0</v>
      </c>
      <c r="BG119">
        <v>0</v>
      </c>
      <c r="BH119">
        <v>9990.6200000000008</v>
      </c>
      <c r="BI119">
        <v>1073.07</v>
      </c>
      <c r="BJ119">
        <v>1.5137799999999999</v>
      </c>
      <c r="BK119">
        <v>-170.05600000000001</v>
      </c>
      <c r="BL119">
        <v>645.15200000000004</v>
      </c>
      <c r="BM119">
        <v>811.29499999999996</v>
      </c>
      <c r="BN119">
        <v>9.6239799999999995</v>
      </c>
      <c r="BO119">
        <v>800.07899999999995</v>
      </c>
      <c r="BP119">
        <v>13.8249</v>
      </c>
      <c r="BQ119">
        <v>2.3132100000000002</v>
      </c>
      <c r="BR119">
        <v>1.36381</v>
      </c>
      <c r="BS119">
        <v>19.768699999999999</v>
      </c>
      <c r="BT119">
        <v>11.5212</v>
      </c>
      <c r="BU119">
        <v>1800</v>
      </c>
      <c r="BV119">
        <v>0.90999600000000003</v>
      </c>
      <c r="BW119">
        <v>3.4000799999999998E-2</v>
      </c>
      <c r="BX119">
        <v>2.2001099999999999E-2</v>
      </c>
      <c r="BY119">
        <v>3.4002499999999998E-2</v>
      </c>
      <c r="BZ119">
        <v>25</v>
      </c>
      <c r="CA119">
        <v>33528.300000000003</v>
      </c>
      <c r="CB119">
        <v>1690384821</v>
      </c>
      <c r="CC119" t="s">
        <v>332</v>
      </c>
      <c r="CD119">
        <v>1690384820</v>
      </c>
      <c r="CE119">
        <v>1690384821</v>
      </c>
      <c r="CF119">
        <v>5</v>
      </c>
      <c r="CG119">
        <v>-2.5000000000000001E-2</v>
      </c>
      <c r="CH119">
        <v>0.104</v>
      </c>
      <c r="CI119">
        <v>-0.28799999999999998</v>
      </c>
      <c r="CJ119">
        <v>0.28000000000000003</v>
      </c>
      <c r="CK119">
        <v>800</v>
      </c>
      <c r="CL119">
        <v>24</v>
      </c>
      <c r="CM119">
        <v>0.08</v>
      </c>
      <c r="CN119">
        <v>0.11</v>
      </c>
      <c r="CO119">
        <v>-166.32119512195121</v>
      </c>
      <c r="CP119">
        <v>-20.17735191637626</v>
      </c>
      <c r="CQ119">
        <v>1.9897401131868939</v>
      </c>
      <c r="CR119">
        <v>-1</v>
      </c>
      <c r="CS119">
        <v>9.4169073170731714</v>
      </c>
      <c r="CT119">
        <v>1.029950383275257</v>
      </c>
      <c r="CU119">
        <v>0.1021676415296385</v>
      </c>
      <c r="CV119">
        <v>-1</v>
      </c>
      <c r="CW119">
        <v>0</v>
      </c>
      <c r="CX119">
        <v>0</v>
      </c>
      <c r="CY119" t="s">
        <v>333</v>
      </c>
      <c r="CZ119">
        <v>2.36456</v>
      </c>
      <c r="DA119">
        <v>2.7137899999999999</v>
      </c>
      <c r="DB119">
        <v>0.12421500000000001</v>
      </c>
      <c r="DC119">
        <v>0.14568900000000001</v>
      </c>
      <c r="DD119">
        <v>0.111306</v>
      </c>
      <c r="DE119">
        <v>7.5236600000000001E-2</v>
      </c>
      <c r="DF119">
        <v>31995.8</v>
      </c>
      <c r="DG119">
        <v>27553.1</v>
      </c>
      <c r="DH119">
        <v>31188.2</v>
      </c>
      <c r="DI119">
        <v>28102.1</v>
      </c>
      <c r="DJ119">
        <v>37631</v>
      </c>
      <c r="DK119">
        <v>36955.300000000003</v>
      </c>
      <c r="DL119">
        <v>44387.3</v>
      </c>
      <c r="DM119">
        <v>42594.8</v>
      </c>
      <c r="DN119">
        <v>1.4672499999999999</v>
      </c>
      <c r="DO119">
        <v>2.0517500000000002</v>
      </c>
      <c r="DP119">
        <v>0.112634</v>
      </c>
      <c r="DQ119">
        <v>0.19220300000000001</v>
      </c>
      <c r="DR119">
        <v>25.143999999999998</v>
      </c>
      <c r="DS119">
        <v>24.8932</v>
      </c>
      <c r="DT119">
        <v>56.8</v>
      </c>
      <c r="DU119">
        <v>28.8</v>
      </c>
      <c r="DV119">
        <v>22.889099999999999</v>
      </c>
      <c r="DW119">
        <v>61.022199999999998</v>
      </c>
      <c r="DX119">
        <v>36.963099999999997</v>
      </c>
      <c r="DY119">
        <v>1</v>
      </c>
      <c r="DZ119">
        <v>-0.10929899999999999</v>
      </c>
      <c r="EA119">
        <v>-4.0051700000000003E-2</v>
      </c>
      <c r="EB119">
        <v>20.190200000000001</v>
      </c>
      <c r="EC119">
        <v>5.24125</v>
      </c>
      <c r="ED119">
        <v>12.039899999999999</v>
      </c>
      <c r="EE119">
        <v>5.0172999999999996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1.8689100000000001</v>
      </c>
      <c r="EL119">
        <v>1.8646199999999999</v>
      </c>
      <c r="EM119">
        <v>1.8692</v>
      </c>
      <c r="EN119">
        <v>1.8672500000000001</v>
      </c>
      <c r="EO119">
        <v>1.8633999999999999</v>
      </c>
      <c r="EP119">
        <v>1.8644700000000001</v>
      </c>
      <c r="EQ119">
        <v>1.87019</v>
      </c>
      <c r="ER119">
        <v>1.8694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-0.16900000000000001</v>
      </c>
      <c r="FG119">
        <v>0.2797</v>
      </c>
      <c r="FH119">
        <v>0.26269369235785539</v>
      </c>
      <c r="FI119">
        <v>-6.1462078757559423E-4</v>
      </c>
      <c r="FJ119">
        <v>-1.8861989874597051E-7</v>
      </c>
      <c r="FK119">
        <v>1.1980462299894961E-10</v>
      </c>
      <c r="FL119">
        <v>0.27968571428570849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26.8</v>
      </c>
      <c r="FU119">
        <v>26.7</v>
      </c>
      <c r="FV119">
        <v>1.78711</v>
      </c>
      <c r="FW119">
        <v>2.5769000000000002</v>
      </c>
      <c r="FX119">
        <v>1.5490699999999999</v>
      </c>
      <c r="FY119">
        <v>2.3315399999999999</v>
      </c>
      <c r="FZ119">
        <v>1.50146</v>
      </c>
      <c r="GA119">
        <v>2.4072300000000002</v>
      </c>
      <c r="GB119">
        <v>33.558</v>
      </c>
      <c r="GC119">
        <v>23.991199999999999</v>
      </c>
      <c r="GD119">
        <v>19</v>
      </c>
      <c r="GE119">
        <v>278.37</v>
      </c>
      <c r="GF119">
        <v>594.09900000000005</v>
      </c>
      <c r="GG119">
        <v>24.311900000000001</v>
      </c>
      <c r="GH119">
        <v>26.0381</v>
      </c>
      <c r="GI119">
        <v>29.9998</v>
      </c>
      <c r="GJ119">
        <v>26.187200000000001</v>
      </c>
      <c r="GK119">
        <v>26.1767</v>
      </c>
      <c r="GL119">
        <v>35.729599999999998</v>
      </c>
      <c r="GM119">
        <v>45.103099999999998</v>
      </c>
      <c r="GN119">
        <v>89.806100000000001</v>
      </c>
      <c r="GO119">
        <v>24.323599999999999</v>
      </c>
      <c r="GP119">
        <v>800</v>
      </c>
      <c r="GQ119">
        <v>13.684200000000001</v>
      </c>
      <c r="GR119">
        <v>99.793599999999998</v>
      </c>
      <c r="GS119">
        <v>99.642399999999995</v>
      </c>
    </row>
    <row r="120" spans="1:201" x14ac:dyDescent="0.25">
      <c r="A120">
        <v>104</v>
      </c>
      <c r="B120">
        <v>1690386435.5999999</v>
      </c>
      <c r="C120">
        <v>1101</v>
      </c>
      <c r="D120" t="s">
        <v>541</v>
      </c>
      <c r="E120" t="s">
        <v>542</v>
      </c>
      <c r="F120" t="s">
        <v>330</v>
      </c>
      <c r="H120">
        <v>1690386435.5999999</v>
      </c>
      <c r="I120">
        <f t="shared" si="30"/>
        <v>9.4999700063330141E-4</v>
      </c>
      <c r="J120">
        <f t="shared" si="31"/>
        <v>0.94999700063330139</v>
      </c>
      <c r="K120">
        <f t="shared" si="32"/>
        <v>15.784098599082521</v>
      </c>
      <c r="L120">
        <f t="shared" si="33"/>
        <v>626.55600000000004</v>
      </c>
      <c r="M120">
        <f t="shared" si="34"/>
        <v>202.72593744728857</v>
      </c>
      <c r="N120">
        <f t="shared" si="35"/>
        <v>20.019539066050907</v>
      </c>
      <c r="O120">
        <f t="shared" si="36"/>
        <v>61.873495207440016</v>
      </c>
      <c r="P120">
        <f t="shared" si="37"/>
        <v>6.190776551775326E-2</v>
      </c>
      <c r="Q120">
        <f t="shared" si="38"/>
        <v>2.1536856042901613</v>
      </c>
      <c r="R120">
        <f t="shared" si="39"/>
        <v>6.0935879752116139E-2</v>
      </c>
      <c r="S120">
        <f t="shared" si="40"/>
        <v>3.8170973947129157E-2</v>
      </c>
      <c r="T120">
        <f t="shared" si="41"/>
        <v>276.11403284062879</v>
      </c>
      <c r="U120">
        <f t="shared" si="42"/>
        <v>28.067478338402026</v>
      </c>
      <c r="V120">
        <f t="shared" si="43"/>
        <v>28.067478338402026</v>
      </c>
      <c r="W120">
        <f t="shared" si="44"/>
        <v>3.8097932917133543</v>
      </c>
      <c r="X120">
        <f t="shared" si="45"/>
        <v>67.758221548143254</v>
      </c>
      <c r="Y120">
        <f t="shared" si="46"/>
        <v>2.318009468194</v>
      </c>
      <c r="Z120">
        <f t="shared" si="47"/>
        <v>3.4210010464147418</v>
      </c>
      <c r="AA120">
        <f t="shared" si="48"/>
        <v>1.4917838235193543</v>
      </c>
      <c r="AB120">
        <f t="shared" si="49"/>
        <v>-41.894867727928592</v>
      </c>
      <c r="AC120">
        <f t="shared" si="50"/>
        <v>-213.03519236079836</v>
      </c>
      <c r="AD120">
        <f t="shared" si="51"/>
        <v>-21.379608220888635</v>
      </c>
      <c r="AE120">
        <f t="shared" si="52"/>
        <v>-0.19563546898677941</v>
      </c>
      <c r="AF120">
        <v>0</v>
      </c>
      <c r="AG120">
        <v>0</v>
      </c>
      <c r="AH120">
        <f t="shared" si="53"/>
        <v>1</v>
      </c>
      <c r="AI120">
        <f t="shared" si="54"/>
        <v>0</v>
      </c>
      <c r="AJ120">
        <f t="shared" si="55"/>
        <v>52125.451196850474</v>
      </c>
      <c r="AK120">
        <f t="shared" si="56"/>
        <v>1799.99</v>
      </c>
      <c r="AL120">
        <f t="shared" si="57"/>
        <v>1499.1018752099799</v>
      </c>
      <c r="AM120">
        <f t="shared" si="58"/>
        <v>0.83283900199999994</v>
      </c>
      <c r="AN120">
        <f t="shared" si="59"/>
        <v>0.15339753712000001</v>
      </c>
      <c r="AO120">
        <v>31.8</v>
      </c>
      <c r="AP120">
        <v>0.5</v>
      </c>
      <c r="AQ120" t="s">
        <v>331</v>
      </c>
      <c r="AR120">
        <v>2</v>
      </c>
      <c r="AS120">
        <v>1690386435.5999999</v>
      </c>
      <c r="AT120">
        <v>626.55600000000004</v>
      </c>
      <c r="AU120">
        <v>800.07100000000003</v>
      </c>
      <c r="AV120">
        <v>23.473099999999999</v>
      </c>
      <c r="AW120">
        <v>13.6455</v>
      </c>
      <c r="AX120">
        <v>626.72299999999996</v>
      </c>
      <c r="AY120">
        <v>23.1934</v>
      </c>
      <c r="AZ120">
        <v>300.18299999999999</v>
      </c>
      <c r="BA120">
        <v>98.651700000000005</v>
      </c>
      <c r="BB120">
        <v>0.10004</v>
      </c>
      <c r="BC120">
        <v>26.232700000000001</v>
      </c>
      <c r="BD120">
        <v>26.992999999999999</v>
      </c>
      <c r="BE120">
        <v>28.0365</v>
      </c>
      <c r="BF120">
        <v>0</v>
      </c>
      <c r="BG120">
        <v>0</v>
      </c>
      <c r="BH120">
        <v>9965.6200000000008</v>
      </c>
      <c r="BI120">
        <v>1073.07</v>
      </c>
      <c r="BJ120">
        <v>1.5137799999999999</v>
      </c>
      <c r="BK120">
        <v>-173.51499999999999</v>
      </c>
      <c r="BL120">
        <v>641.61699999999996</v>
      </c>
      <c r="BM120">
        <v>811.14</v>
      </c>
      <c r="BN120">
        <v>9.8275799999999993</v>
      </c>
      <c r="BO120">
        <v>800.07100000000003</v>
      </c>
      <c r="BP120">
        <v>13.6455</v>
      </c>
      <c r="BQ120">
        <v>2.3156599999999998</v>
      </c>
      <c r="BR120">
        <v>1.34615</v>
      </c>
      <c r="BS120">
        <v>19.785699999999999</v>
      </c>
      <c r="BT120">
        <v>11.324199999999999</v>
      </c>
      <c r="BU120">
        <v>1799.99</v>
      </c>
      <c r="BV120">
        <v>0.90999099999999999</v>
      </c>
      <c r="BW120">
        <v>3.4006700000000001E-2</v>
      </c>
      <c r="BX120">
        <v>2.2000599999999999E-2</v>
      </c>
      <c r="BY120">
        <v>3.4001799999999999E-2</v>
      </c>
      <c r="BZ120">
        <v>25</v>
      </c>
      <c r="CA120">
        <v>33528.199999999997</v>
      </c>
      <c r="CB120">
        <v>1690384821</v>
      </c>
      <c r="CC120" t="s">
        <v>332</v>
      </c>
      <c r="CD120">
        <v>1690384820</v>
      </c>
      <c r="CE120">
        <v>1690384821</v>
      </c>
      <c r="CF120">
        <v>5</v>
      </c>
      <c r="CG120">
        <v>-2.5000000000000001E-2</v>
      </c>
      <c r="CH120">
        <v>0.104</v>
      </c>
      <c r="CI120">
        <v>-0.28799999999999998</v>
      </c>
      <c r="CJ120">
        <v>0.28000000000000003</v>
      </c>
      <c r="CK120">
        <v>800</v>
      </c>
      <c r="CL120">
        <v>24</v>
      </c>
      <c r="CM120">
        <v>0.08</v>
      </c>
      <c r="CN120">
        <v>0.11</v>
      </c>
      <c r="CO120">
        <v>-169.71770731707309</v>
      </c>
      <c r="CP120">
        <v>-20.479003484320732</v>
      </c>
      <c r="CQ120">
        <v>2.0199321800242869</v>
      </c>
      <c r="CR120">
        <v>-1</v>
      </c>
      <c r="CS120">
        <v>9.6094329268292693</v>
      </c>
      <c r="CT120">
        <v>1.2213844599303041</v>
      </c>
      <c r="CU120">
        <v>0.1208031611653074</v>
      </c>
      <c r="CV120">
        <v>-1</v>
      </c>
      <c r="CW120">
        <v>0</v>
      </c>
      <c r="CX120">
        <v>0</v>
      </c>
      <c r="CY120" t="s">
        <v>333</v>
      </c>
      <c r="CZ120">
        <v>2.36476</v>
      </c>
      <c r="DA120">
        <v>2.7138</v>
      </c>
      <c r="DB120">
        <v>0.12374</v>
      </c>
      <c r="DC120">
        <v>0.14568800000000001</v>
      </c>
      <c r="DD120">
        <v>0.11139</v>
      </c>
      <c r="DE120">
        <v>7.4514300000000006E-2</v>
      </c>
      <c r="DF120">
        <v>32013.3</v>
      </c>
      <c r="DG120">
        <v>27553.3</v>
      </c>
      <c r="DH120">
        <v>31188.3</v>
      </c>
      <c r="DI120">
        <v>28102.3</v>
      </c>
      <c r="DJ120">
        <v>37627.5</v>
      </c>
      <c r="DK120">
        <v>36984.400000000001</v>
      </c>
      <c r="DL120">
        <v>44387.5</v>
      </c>
      <c r="DM120">
        <v>42595.1</v>
      </c>
      <c r="DN120">
        <v>1.4679500000000001</v>
      </c>
      <c r="DO120">
        <v>2.05172</v>
      </c>
      <c r="DP120">
        <v>0.112895</v>
      </c>
      <c r="DQ120">
        <v>0.19203100000000001</v>
      </c>
      <c r="DR120">
        <v>25.143999999999998</v>
      </c>
      <c r="DS120">
        <v>24.8932</v>
      </c>
      <c r="DT120">
        <v>56.7</v>
      </c>
      <c r="DU120">
        <v>28.8</v>
      </c>
      <c r="DV120">
        <v>22.846800000000002</v>
      </c>
      <c r="DW120">
        <v>61.252200000000002</v>
      </c>
      <c r="DX120">
        <v>37.215499999999999</v>
      </c>
      <c r="DY120">
        <v>1</v>
      </c>
      <c r="DZ120">
        <v>-0.10970299999999999</v>
      </c>
      <c r="EA120">
        <v>-1.9518000000000001E-2</v>
      </c>
      <c r="EB120">
        <v>20.190300000000001</v>
      </c>
      <c r="EC120">
        <v>5.24125</v>
      </c>
      <c r="ED120">
        <v>12.039899999999999</v>
      </c>
      <c r="EE120">
        <v>5.01715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1.86893</v>
      </c>
      <c r="EL120">
        <v>1.8646199999999999</v>
      </c>
      <c r="EM120">
        <v>1.8692</v>
      </c>
      <c r="EN120">
        <v>1.8672500000000001</v>
      </c>
      <c r="EO120">
        <v>1.86338</v>
      </c>
      <c r="EP120">
        <v>1.86446</v>
      </c>
      <c r="EQ120">
        <v>1.87018</v>
      </c>
      <c r="ER120">
        <v>1.86941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-0.16700000000000001</v>
      </c>
      <c r="FG120">
        <v>0.2797</v>
      </c>
      <c r="FH120">
        <v>0.26269369235785539</v>
      </c>
      <c r="FI120">
        <v>-6.1462078757559423E-4</v>
      </c>
      <c r="FJ120">
        <v>-1.8861989874597051E-7</v>
      </c>
      <c r="FK120">
        <v>1.1980462299894961E-10</v>
      </c>
      <c r="FL120">
        <v>0.27968571428570849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26.9</v>
      </c>
      <c r="FU120">
        <v>26.9</v>
      </c>
      <c r="FV120">
        <v>1.78711</v>
      </c>
      <c r="FW120">
        <v>2.5781200000000002</v>
      </c>
      <c r="FX120">
        <v>1.5490699999999999</v>
      </c>
      <c r="FY120">
        <v>2.3327599999999999</v>
      </c>
      <c r="FZ120">
        <v>1.50146</v>
      </c>
      <c r="GA120">
        <v>2.3901400000000002</v>
      </c>
      <c r="GB120">
        <v>33.558</v>
      </c>
      <c r="GC120">
        <v>23.982399999999998</v>
      </c>
      <c r="GD120">
        <v>19</v>
      </c>
      <c r="GE120">
        <v>278.65600000000001</v>
      </c>
      <c r="GF120">
        <v>594.04100000000005</v>
      </c>
      <c r="GG120">
        <v>24.347899999999999</v>
      </c>
      <c r="GH120">
        <v>26.035399999999999</v>
      </c>
      <c r="GI120">
        <v>29.9999</v>
      </c>
      <c r="GJ120">
        <v>26.184999999999999</v>
      </c>
      <c r="GK120">
        <v>26.173500000000001</v>
      </c>
      <c r="GL120">
        <v>35.725900000000003</v>
      </c>
      <c r="GM120">
        <v>45.669400000000003</v>
      </c>
      <c r="GN120">
        <v>89.033600000000007</v>
      </c>
      <c r="GO120">
        <v>24.350999999999999</v>
      </c>
      <c r="GP120">
        <v>800</v>
      </c>
      <c r="GQ120">
        <v>13.497400000000001</v>
      </c>
      <c r="GR120">
        <v>99.793999999999997</v>
      </c>
      <c r="GS120">
        <v>99.643100000000004</v>
      </c>
    </row>
    <row r="121" spans="1:201" x14ac:dyDescent="0.25">
      <c r="A121">
        <v>105</v>
      </c>
      <c r="B121">
        <v>1690386445.5999999</v>
      </c>
      <c r="C121">
        <v>1111</v>
      </c>
      <c r="D121" t="s">
        <v>543</v>
      </c>
      <c r="E121" t="s">
        <v>544</v>
      </c>
      <c r="F121" t="s">
        <v>330</v>
      </c>
      <c r="H121">
        <v>1690386445.5999999</v>
      </c>
      <c r="I121">
        <f t="shared" si="30"/>
        <v>9.6921717067545497E-4</v>
      </c>
      <c r="J121">
        <f t="shared" si="31"/>
        <v>0.96921717067545499</v>
      </c>
      <c r="K121">
        <f t="shared" si="32"/>
        <v>16.100761622151406</v>
      </c>
      <c r="L121">
        <f t="shared" si="33"/>
        <v>623.12699999999995</v>
      </c>
      <c r="M121">
        <f t="shared" si="34"/>
        <v>200.26661543769342</v>
      </c>
      <c r="N121">
        <f t="shared" si="35"/>
        <v>19.77617527077803</v>
      </c>
      <c r="O121">
        <f t="shared" si="36"/>
        <v>61.533315180971996</v>
      </c>
      <c r="P121">
        <f t="shared" si="37"/>
        <v>6.3300074923086119E-2</v>
      </c>
      <c r="Q121">
        <f t="shared" si="38"/>
        <v>2.1610653356609246</v>
      </c>
      <c r="R121">
        <f t="shared" si="39"/>
        <v>6.2287777373208938E-2</v>
      </c>
      <c r="S121">
        <f t="shared" si="40"/>
        <v>3.9019463254717862E-2</v>
      </c>
      <c r="T121">
        <f t="shared" si="41"/>
        <v>276.11561948399998</v>
      </c>
      <c r="U121">
        <f t="shared" si="42"/>
        <v>28.061260894799727</v>
      </c>
      <c r="V121">
        <f t="shared" si="43"/>
        <v>28.061260894799727</v>
      </c>
      <c r="W121">
        <f t="shared" si="44"/>
        <v>3.8084133214517832</v>
      </c>
      <c r="X121">
        <f t="shared" si="45"/>
        <v>67.77797354499836</v>
      </c>
      <c r="Y121">
        <f t="shared" si="46"/>
        <v>2.3195208044040001</v>
      </c>
      <c r="Z121">
        <f t="shared" si="47"/>
        <v>3.422233925102601</v>
      </c>
      <c r="AA121">
        <f t="shared" si="48"/>
        <v>1.4888925170477831</v>
      </c>
      <c r="AB121">
        <f t="shared" si="49"/>
        <v>-42.742477226787564</v>
      </c>
      <c r="AC121">
        <f t="shared" si="50"/>
        <v>-212.33009730711026</v>
      </c>
      <c r="AD121">
        <f t="shared" si="51"/>
        <v>-21.236065073380164</v>
      </c>
      <c r="AE121">
        <f t="shared" si="52"/>
        <v>-0.19302012327801776</v>
      </c>
      <c r="AF121">
        <v>0</v>
      </c>
      <c r="AG121">
        <v>0</v>
      </c>
      <c r="AH121">
        <f t="shared" si="53"/>
        <v>1</v>
      </c>
      <c r="AI121">
        <f t="shared" si="54"/>
        <v>0</v>
      </c>
      <c r="AJ121">
        <f t="shared" si="55"/>
        <v>52433.477467475655</v>
      </c>
      <c r="AK121">
        <f t="shared" si="56"/>
        <v>1800</v>
      </c>
      <c r="AL121">
        <f t="shared" si="57"/>
        <v>1499.1107633999998</v>
      </c>
      <c r="AM121">
        <f t="shared" si="58"/>
        <v>0.83283931299999991</v>
      </c>
      <c r="AN121">
        <f t="shared" si="59"/>
        <v>0.15339756637999999</v>
      </c>
      <c r="AO121">
        <v>31.8</v>
      </c>
      <c r="AP121">
        <v>0.5</v>
      </c>
      <c r="AQ121" t="s">
        <v>331</v>
      </c>
      <c r="AR121">
        <v>2</v>
      </c>
      <c r="AS121">
        <v>1690386445.5999999</v>
      </c>
      <c r="AT121">
        <v>623.12699999999995</v>
      </c>
      <c r="AU121">
        <v>800.08600000000001</v>
      </c>
      <c r="AV121">
        <v>23.489000000000001</v>
      </c>
      <c r="AW121">
        <v>13.462899999999999</v>
      </c>
      <c r="AX121">
        <v>623.29200000000003</v>
      </c>
      <c r="AY121">
        <v>23.209299999999999</v>
      </c>
      <c r="AZ121">
        <v>300.18799999999999</v>
      </c>
      <c r="BA121">
        <v>98.649199999999993</v>
      </c>
      <c r="BB121">
        <v>0.100036</v>
      </c>
      <c r="BC121">
        <v>26.238800000000001</v>
      </c>
      <c r="BD121">
        <v>26.990200000000002</v>
      </c>
      <c r="BE121">
        <v>28.038</v>
      </c>
      <c r="BF121">
        <v>0</v>
      </c>
      <c r="BG121">
        <v>0</v>
      </c>
      <c r="BH121">
        <v>10027.5</v>
      </c>
      <c r="BI121">
        <v>1073.2</v>
      </c>
      <c r="BJ121">
        <v>1.5137799999999999</v>
      </c>
      <c r="BK121">
        <v>-176.959</v>
      </c>
      <c r="BL121">
        <v>638.11599999999999</v>
      </c>
      <c r="BM121">
        <v>811.005</v>
      </c>
      <c r="BN121">
        <v>10.0261</v>
      </c>
      <c r="BO121">
        <v>800.08600000000001</v>
      </c>
      <c r="BP121">
        <v>13.462899999999999</v>
      </c>
      <c r="BQ121">
        <v>2.31717</v>
      </c>
      <c r="BR121">
        <v>1.3281000000000001</v>
      </c>
      <c r="BS121">
        <v>19.796299999999999</v>
      </c>
      <c r="BT121">
        <v>11.120699999999999</v>
      </c>
      <c r="BU121">
        <v>1800</v>
      </c>
      <c r="BV121">
        <v>0.90999200000000002</v>
      </c>
      <c r="BW121">
        <v>3.4008099999999999E-2</v>
      </c>
      <c r="BX121">
        <v>2.1999899999999999E-2</v>
      </c>
      <c r="BY121">
        <v>3.4000599999999999E-2</v>
      </c>
      <c r="BZ121">
        <v>25</v>
      </c>
      <c r="CA121">
        <v>33528.300000000003</v>
      </c>
      <c r="CB121">
        <v>1690384821</v>
      </c>
      <c r="CC121" t="s">
        <v>332</v>
      </c>
      <c r="CD121">
        <v>1690384820</v>
      </c>
      <c r="CE121">
        <v>1690384821</v>
      </c>
      <c r="CF121">
        <v>5</v>
      </c>
      <c r="CG121">
        <v>-2.5000000000000001E-2</v>
      </c>
      <c r="CH121">
        <v>0.104</v>
      </c>
      <c r="CI121">
        <v>-0.28799999999999998</v>
      </c>
      <c r="CJ121">
        <v>0.28000000000000003</v>
      </c>
      <c r="CK121">
        <v>800</v>
      </c>
      <c r="CL121">
        <v>24</v>
      </c>
      <c r="CM121">
        <v>0.08</v>
      </c>
      <c r="CN121">
        <v>0.11</v>
      </c>
      <c r="CO121">
        <v>-173.07249999999999</v>
      </c>
      <c r="CP121">
        <v>-20.649478424014671</v>
      </c>
      <c r="CQ121">
        <v>1.987113081835054</v>
      </c>
      <c r="CR121">
        <v>-1</v>
      </c>
      <c r="CS121">
        <v>9.8096802499999995</v>
      </c>
      <c r="CT121">
        <v>1.221054371482144</v>
      </c>
      <c r="CU121">
        <v>0.1177069127427844</v>
      </c>
      <c r="CV121">
        <v>-1</v>
      </c>
      <c r="CW121">
        <v>0</v>
      </c>
      <c r="CX121">
        <v>0</v>
      </c>
      <c r="CY121" t="s">
        <v>333</v>
      </c>
      <c r="CZ121">
        <v>2.3647900000000002</v>
      </c>
      <c r="DA121">
        <v>2.7138499999999999</v>
      </c>
      <c r="DB121">
        <v>0.123266</v>
      </c>
      <c r="DC121">
        <v>0.14568500000000001</v>
      </c>
      <c r="DD121">
        <v>0.111443</v>
      </c>
      <c r="DE121">
        <v>7.3772799999999999E-2</v>
      </c>
      <c r="DF121">
        <v>32030.2</v>
      </c>
      <c r="DG121">
        <v>27553.4</v>
      </c>
      <c r="DH121">
        <v>31187.9</v>
      </c>
      <c r="DI121">
        <v>28102.3</v>
      </c>
      <c r="DJ121">
        <v>37624.6</v>
      </c>
      <c r="DK121">
        <v>37014.1</v>
      </c>
      <c r="DL121">
        <v>44386.8</v>
      </c>
      <c r="DM121">
        <v>42595.1</v>
      </c>
      <c r="DN121">
        <v>1.46757</v>
      </c>
      <c r="DO121">
        <v>2.0514800000000002</v>
      </c>
      <c r="DP121">
        <v>0.112597</v>
      </c>
      <c r="DQ121">
        <v>0.191998</v>
      </c>
      <c r="DR121">
        <v>25.146000000000001</v>
      </c>
      <c r="DS121">
        <v>24.895299999999999</v>
      </c>
      <c r="DT121">
        <v>56.6</v>
      </c>
      <c r="DU121">
        <v>28.8</v>
      </c>
      <c r="DV121">
        <v>22.809000000000001</v>
      </c>
      <c r="DW121">
        <v>60.822200000000002</v>
      </c>
      <c r="DX121">
        <v>37.011200000000002</v>
      </c>
      <c r="DY121">
        <v>1</v>
      </c>
      <c r="DZ121">
        <v>-0.10978400000000001</v>
      </c>
      <c r="EA121">
        <v>3.96923E-2</v>
      </c>
      <c r="EB121">
        <v>20.190100000000001</v>
      </c>
      <c r="EC121">
        <v>5.2411000000000003</v>
      </c>
      <c r="ED121">
        <v>12.039899999999999</v>
      </c>
      <c r="EE121">
        <v>5.0173500000000004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1.8689199999999999</v>
      </c>
      <c r="EL121">
        <v>1.8646199999999999</v>
      </c>
      <c r="EM121">
        <v>1.8692200000000001</v>
      </c>
      <c r="EN121">
        <v>1.8672500000000001</v>
      </c>
      <c r="EO121">
        <v>1.8633900000000001</v>
      </c>
      <c r="EP121">
        <v>1.8644700000000001</v>
      </c>
      <c r="EQ121">
        <v>1.87018</v>
      </c>
      <c r="ER121">
        <v>1.8693900000000001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-0.16500000000000001</v>
      </c>
      <c r="FG121">
        <v>0.2797</v>
      </c>
      <c r="FH121">
        <v>0.26269369235785539</v>
      </c>
      <c r="FI121">
        <v>-6.1462078757559423E-4</v>
      </c>
      <c r="FJ121">
        <v>-1.8861989874597051E-7</v>
      </c>
      <c r="FK121">
        <v>1.1980462299894961E-10</v>
      </c>
      <c r="FL121">
        <v>0.27968571428570849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27.1</v>
      </c>
      <c r="FU121">
        <v>27.1</v>
      </c>
      <c r="FV121">
        <v>1.78589</v>
      </c>
      <c r="FW121">
        <v>2.5793499999999998</v>
      </c>
      <c r="FX121">
        <v>1.5490699999999999</v>
      </c>
      <c r="FY121">
        <v>2.3315399999999999</v>
      </c>
      <c r="FZ121">
        <v>1.50146</v>
      </c>
      <c r="GA121">
        <v>2.34497</v>
      </c>
      <c r="GB121">
        <v>33.535499999999999</v>
      </c>
      <c r="GC121">
        <v>23.982399999999998</v>
      </c>
      <c r="GD121">
        <v>19</v>
      </c>
      <c r="GE121">
        <v>278.48599999999999</v>
      </c>
      <c r="GF121">
        <v>593.79399999999998</v>
      </c>
      <c r="GG121">
        <v>24.364899999999999</v>
      </c>
      <c r="GH121">
        <v>26.032699999999998</v>
      </c>
      <c r="GI121">
        <v>29.9999</v>
      </c>
      <c r="GJ121">
        <v>26.182300000000001</v>
      </c>
      <c r="GK121">
        <v>26.170200000000001</v>
      </c>
      <c r="GL121">
        <v>35.720199999999998</v>
      </c>
      <c r="GM121">
        <v>46.259900000000002</v>
      </c>
      <c r="GN121">
        <v>88.641400000000004</v>
      </c>
      <c r="GO121">
        <v>24.359400000000001</v>
      </c>
      <c r="GP121">
        <v>800</v>
      </c>
      <c r="GQ121">
        <v>13.311199999999999</v>
      </c>
      <c r="GR121">
        <v>99.792599999999993</v>
      </c>
      <c r="GS121">
        <v>99.643000000000001</v>
      </c>
    </row>
    <row r="122" spans="1:201" x14ac:dyDescent="0.25">
      <c r="A122">
        <v>106</v>
      </c>
      <c r="B122">
        <v>1690386455.5999999</v>
      </c>
      <c r="C122">
        <v>1121</v>
      </c>
      <c r="D122" t="s">
        <v>545</v>
      </c>
      <c r="E122" t="s">
        <v>546</v>
      </c>
      <c r="F122" t="s">
        <v>330</v>
      </c>
      <c r="H122">
        <v>1690386455.5999999</v>
      </c>
      <c r="I122">
        <f t="shared" si="30"/>
        <v>9.8891793943883723E-4</v>
      </c>
      <c r="J122">
        <f t="shared" si="31"/>
        <v>0.98891793943883721</v>
      </c>
      <c r="K122">
        <f t="shared" si="32"/>
        <v>16.420920750702145</v>
      </c>
      <c r="L122">
        <f t="shared" si="33"/>
        <v>619.654</v>
      </c>
      <c r="M122">
        <f t="shared" si="34"/>
        <v>197.55741902368695</v>
      </c>
      <c r="N122">
        <f t="shared" si="35"/>
        <v>19.509102468665859</v>
      </c>
      <c r="O122">
        <f t="shared" si="36"/>
        <v>61.191796495727793</v>
      </c>
      <c r="P122">
        <f t="shared" si="37"/>
        <v>6.4685271546525605E-2</v>
      </c>
      <c r="Q122">
        <f t="shared" si="38"/>
        <v>2.1578782100022806</v>
      </c>
      <c r="R122">
        <f t="shared" si="39"/>
        <v>6.3627050507669855E-2</v>
      </c>
      <c r="S122">
        <f t="shared" si="40"/>
        <v>3.9860541462049218E-2</v>
      </c>
      <c r="T122">
        <f t="shared" si="41"/>
        <v>276.11383208774407</v>
      </c>
      <c r="U122">
        <f t="shared" si="42"/>
        <v>28.060096546833414</v>
      </c>
      <c r="V122">
        <f t="shared" si="43"/>
        <v>28.060096546833414</v>
      </c>
      <c r="W122">
        <f t="shared" si="44"/>
        <v>3.8081549412848532</v>
      </c>
      <c r="X122">
        <f t="shared" si="45"/>
        <v>67.806857716408274</v>
      </c>
      <c r="Y122">
        <f t="shared" si="46"/>
        <v>2.3209479384615301</v>
      </c>
      <c r="Z122">
        <f t="shared" si="47"/>
        <v>3.4228808362843433</v>
      </c>
      <c r="AA122">
        <f t="shared" si="48"/>
        <v>1.4872070028233231</v>
      </c>
      <c r="AB122">
        <f t="shared" si="49"/>
        <v>-43.611281129252724</v>
      </c>
      <c r="AC122">
        <f t="shared" si="50"/>
        <v>-211.50922547183541</v>
      </c>
      <c r="AD122">
        <f t="shared" si="51"/>
        <v>-21.18542447919824</v>
      </c>
      <c r="AE122">
        <f t="shared" si="52"/>
        <v>-0.19209899254229867</v>
      </c>
      <c r="AF122">
        <v>0</v>
      </c>
      <c r="AG122">
        <v>0</v>
      </c>
      <c r="AH122">
        <f t="shared" si="53"/>
        <v>1</v>
      </c>
      <c r="AI122">
        <f t="shared" si="54"/>
        <v>0</v>
      </c>
      <c r="AJ122">
        <f t="shared" si="55"/>
        <v>52299.320475847897</v>
      </c>
      <c r="AK122">
        <f t="shared" si="56"/>
        <v>1799.99</v>
      </c>
      <c r="AL122">
        <f t="shared" si="57"/>
        <v>1499.10133881296</v>
      </c>
      <c r="AM122">
        <f t="shared" si="58"/>
        <v>0.83283870399999993</v>
      </c>
      <c r="AN122">
        <f t="shared" si="59"/>
        <v>0.15339742559</v>
      </c>
      <c r="AO122">
        <v>31.8</v>
      </c>
      <c r="AP122">
        <v>0.5</v>
      </c>
      <c r="AQ122" t="s">
        <v>331</v>
      </c>
      <c r="AR122">
        <v>2</v>
      </c>
      <c r="AS122">
        <v>1690386455.5999999</v>
      </c>
      <c r="AT122">
        <v>619.654</v>
      </c>
      <c r="AU122">
        <v>800.08500000000004</v>
      </c>
      <c r="AV122">
        <v>23.5029</v>
      </c>
      <c r="AW122">
        <v>13.273899999999999</v>
      </c>
      <c r="AX122">
        <v>619.81600000000003</v>
      </c>
      <c r="AY122">
        <v>23.223199999999999</v>
      </c>
      <c r="AZ122">
        <v>300.20999999999998</v>
      </c>
      <c r="BA122">
        <v>98.651600000000002</v>
      </c>
      <c r="BB122">
        <v>9.9955699999999995E-2</v>
      </c>
      <c r="BC122">
        <v>26.242000000000001</v>
      </c>
      <c r="BD122">
        <v>26.9649</v>
      </c>
      <c r="BE122">
        <v>28.038499999999999</v>
      </c>
      <c r="BF122">
        <v>0</v>
      </c>
      <c r="BG122">
        <v>0</v>
      </c>
      <c r="BH122">
        <v>10000.6</v>
      </c>
      <c r="BI122">
        <v>1073.24</v>
      </c>
      <c r="BJ122">
        <v>1.5137799999999999</v>
      </c>
      <c r="BK122">
        <v>-180.43199999999999</v>
      </c>
      <c r="BL122">
        <v>634.56799999999998</v>
      </c>
      <c r="BM122">
        <v>810.84799999999996</v>
      </c>
      <c r="BN122">
        <v>10.228999999999999</v>
      </c>
      <c r="BO122">
        <v>800.08500000000004</v>
      </c>
      <c r="BP122">
        <v>13.273899999999999</v>
      </c>
      <c r="BQ122">
        <v>2.3186</v>
      </c>
      <c r="BR122">
        <v>1.30949</v>
      </c>
      <c r="BS122">
        <v>19.8062</v>
      </c>
      <c r="BT122">
        <v>10.908200000000001</v>
      </c>
      <c r="BU122">
        <v>1799.99</v>
      </c>
      <c r="BV122">
        <v>0.90999200000000002</v>
      </c>
      <c r="BW122">
        <v>3.4007799999999998E-2</v>
      </c>
      <c r="BX122">
        <v>2.1999700000000001E-2</v>
      </c>
      <c r="BY122">
        <v>3.4000299999999997E-2</v>
      </c>
      <c r="BZ122">
        <v>25</v>
      </c>
      <c r="CA122">
        <v>33528.199999999997</v>
      </c>
      <c r="CB122">
        <v>1690384821</v>
      </c>
      <c r="CC122" t="s">
        <v>332</v>
      </c>
      <c r="CD122">
        <v>1690384820</v>
      </c>
      <c r="CE122">
        <v>1690384821</v>
      </c>
      <c r="CF122">
        <v>5</v>
      </c>
      <c r="CG122">
        <v>-2.5000000000000001E-2</v>
      </c>
      <c r="CH122">
        <v>0.104</v>
      </c>
      <c r="CI122">
        <v>-0.28799999999999998</v>
      </c>
      <c r="CJ122">
        <v>0.28000000000000003</v>
      </c>
      <c r="CK122">
        <v>800</v>
      </c>
      <c r="CL122">
        <v>24</v>
      </c>
      <c r="CM122">
        <v>0.08</v>
      </c>
      <c r="CN122">
        <v>0.11</v>
      </c>
      <c r="CO122">
        <v>-176.864125</v>
      </c>
      <c r="CP122">
        <v>-20.668153846153629</v>
      </c>
      <c r="CQ122">
        <v>1.988401068541003</v>
      </c>
      <c r="CR122">
        <v>-1</v>
      </c>
      <c r="CS122">
        <v>10.03124875</v>
      </c>
      <c r="CT122">
        <v>1.1997096810506389</v>
      </c>
      <c r="CU122">
        <v>0.11570356250322431</v>
      </c>
      <c r="CV122">
        <v>-1</v>
      </c>
      <c r="CW122">
        <v>0</v>
      </c>
      <c r="CX122">
        <v>0</v>
      </c>
      <c r="CY122" t="s">
        <v>333</v>
      </c>
      <c r="CZ122">
        <v>2.3648600000000002</v>
      </c>
      <c r="DA122">
        <v>2.7137500000000001</v>
      </c>
      <c r="DB122">
        <v>0.12278799999999999</v>
      </c>
      <c r="DC122">
        <v>0.14568500000000001</v>
      </c>
      <c r="DD122">
        <v>0.11149299999999999</v>
      </c>
      <c r="DE122">
        <v>7.3003999999999999E-2</v>
      </c>
      <c r="DF122">
        <v>32047.7</v>
      </c>
      <c r="DG122">
        <v>27553.4</v>
      </c>
      <c r="DH122">
        <v>31187.9</v>
      </c>
      <c r="DI122">
        <v>28102.2</v>
      </c>
      <c r="DJ122">
        <v>37622.300000000003</v>
      </c>
      <c r="DK122">
        <v>37044.9</v>
      </c>
      <c r="DL122">
        <v>44386.7</v>
      </c>
      <c r="DM122">
        <v>42595.1</v>
      </c>
      <c r="DN122">
        <v>1.4675</v>
      </c>
      <c r="DO122">
        <v>2.0513300000000001</v>
      </c>
      <c r="DP122">
        <v>0.110988</v>
      </c>
      <c r="DQ122">
        <v>0.192024</v>
      </c>
      <c r="DR122">
        <v>25.147099999999998</v>
      </c>
      <c r="DS122">
        <v>24.895299999999999</v>
      </c>
      <c r="DT122">
        <v>56.5</v>
      </c>
      <c r="DU122">
        <v>28.8</v>
      </c>
      <c r="DV122">
        <v>22.767600000000002</v>
      </c>
      <c r="DW122">
        <v>60.992199999999997</v>
      </c>
      <c r="DX122">
        <v>36.346200000000003</v>
      </c>
      <c r="DY122">
        <v>1</v>
      </c>
      <c r="DZ122">
        <v>-0.109329</v>
      </c>
      <c r="EA122">
        <v>0.279725</v>
      </c>
      <c r="EB122">
        <v>20.189599999999999</v>
      </c>
      <c r="EC122">
        <v>5.2418500000000003</v>
      </c>
      <c r="ED122">
        <v>12.039899999999999</v>
      </c>
      <c r="EE122">
        <v>5.0173500000000004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</v>
      </c>
      <c r="EL122">
        <v>1.8646199999999999</v>
      </c>
      <c r="EM122">
        <v>1.8692</v>
      </c>
      <c r="EN122">
        <v>1.8672500000000001</v>
      </c>
      <c r="EO122">
        <v>1.86338</v>
      </c>
      <c r="EP122">
        <v>1.86446</v>
      </c>
      <c r="EQ122">
        <v>1.87018</v>
      </c>
      <c r="ER122">
        <v>1.86938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-0.16200000000000001</v>
      </c>
      <c r="FG122">
        <v>0.2797</v>
      </c>
      <c r="FH122">
        <v>0.26269369235785539</v>
      </c>
      <c r="FI122">
        <v>-6.1462078757559423E-4</v>
      </c>
      <c r="FJ122">
        <v>-1.8861989874597051E-7</v>
      </c>
      <c r="FK122">
        <v>1.1980462299894961E-10</v>
      </c>
      <c r="FL122">
        <v>0.27968571428570849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27.3</v>
      </c>
      <c r="FU122">
        <v>27.2</v>
      </c>
      <c r="FV122">
        <v>1.78589</v>
      </c>
      <c r="FW122">
        <v>2.5866699999999998</v>
      </c>
      <c r="FX122">
        <v>1.5490699999999999</v>
      </c>
      <c r="FY122">
        <v>2.3315399999999999</v>
      </c>
      <c r="FZ122">
        <v>1.50146</v>
      </c>
      <c r="GA122">
        <v>2.2888199999999999</v>
      </c>
      <c r="GB122">
        <v>33.558</v>
      </c>
      <c r="GC122">
        <v>23.982399999999998</v>
      </c>
      <c r="GD122">
        <v>19</v>
      </c>
      <c r="GE122">
        <v>278.44</v>
      </c>
      <c r="GF122">
        <v>593.64200000000005</v>
      </c>
      <c r="GG122">
        <v>24.3489</v>
      </c>
      <c r="GH122">
        <v>26.0305</v>
      </c>
      <c r="GI122">
        <v>30.000499999999999</v>
      </c>
      <c r="GJ122">
        <v>26.178999999999998</v>
      </c>
      <c r="GK122">
        <v>26.167999999999999</v>
      </c>
      <c r="GL122">
        <v>35.711599999999997</v>
      </c>
      <c r="GM122">
        <v>46.861800000000002</v>
      </c>
      <c r="GN122">
        <v>88.271299999999997</v>
      </c>
      <c r="GO122">
        <v>24.305</v>
      </c>
      <c r="GP122">
        <v>800</v>
      </c>
      <c r="GQ122">
        <v>13.1251</v>
      </c>
      <c r="GR122">
        <v>99.792400000000001</v>
      </c>
      <c r="GS122">
        <v>99.643000000000001</v>
      </c>
    </row>
    <row r="123" spans="1:201" x14ac:dyDescent="0.25">
      <c r="A123">
        <v>107</v>
      </c>
      <c r="B123">
        <v>1690386465.5999999</v>
      </c>
      <c r="C123">
        <v>1131</v>
      </c>
      <c r="D123" t="s">
        <v>547</v>
      </c>
      <c r="E123" t="s">
        <v>548</v>
      </c>
      <c r="F123" t="s">
        <v>330</v>
      </c>
      <c r="H123">
        <v>1690386465.5999999</v>
      </c>
      <c r="I123">
        <f t="shared" si="30"/>
        <v>1.0070946866158987E-3</v>
      </c>
      <c r="J123">
        <f t="shared" si="31"/>
        <v>1.0070946866158987</v>
      </c>
      <c r="K123">
        <f t="shared" si="32"/>
        <v>16.743760323859089</v>
      </c>
      <c r="L123">
        <f t="shared" si="33"/>
        <v>616.154</v>
      </c>
      <c r="M123">
        <f t="shared" si="34"/>
        <v>193.92496805509126</v>
      </c>
      <c r="N123">
        <f t="shared" si="35"/>
        <v>19.150052392221554</v>
      </c>
      <c r="O123">
        <f t="shared" si="36"/>
        <v>60.845086117661999</v>
      </c>
      <c r="P123">
        <f t="shared" si="37"/>
        <v>6.5941007347543504E-2</v>
      </c>
      <c r="Q123">
        <f t="shared" si="38"/>
        <v>2.1520862297922347</v>
      </c>
      <c r="R123">
        <f t="shared" si="39"/>
        <v>6.4838772046137014E-2</v>
      </c>
      <c r="S123">
        <f t="shared" si="40"/>
        <v>4.0621729294850528E-2</v>
      </c>
      <c r="T123">
        <f t="shared" si="41"/>
        <v>276.11534296799999</v>
      </c>
      <c r="U123">
        <f t="shared" si="42"/>
        <v>28.055679325324789</v>
      </c>
      <c r="V123">
        <f t="shared" si="43"/>
        <v>28.055679325324789</v>
      </c>
      <c r="W123">
        <f t="shared" si="44"/>
        <v>3.8071748558183836</v>
      </c>
      <c r="X123">
        <f t="shared" si="45"/>
        <v>67.817510910001033</v>
      </c>
      <c r="Y123">
        <f t="shared" si="46"/>
        <v>2.3209561198301998</v>
      </c>
      <c r="Z123">
        <f t="shared" si="47"/>
        <v>3.422355212815587</v>
      </c>
      <c r="AA123">
        <f t="shared" si="48"/>
        <v>1.4862187359881838</v>
      </c>
      <c r="AB123">
        <f t="shared" si="49"/>
        <v>-44.412875679761136</v>
      </c>
      <c r="AC123">
        <f t="shared" si="50"/>
        <v>-210.7306716804988</v>
      </c>
      <c r="AD123">
        <f t="shared" si="51"/>
        <v>-21.1635066790347</v>
      </c>
      <c r="AE123">
        <f t="shared" si="52"/>
        <v>-0.19171107129463394</v>
      </c>
      <c r="AF123">
        <v>0</v>
      </c>
      <c r="AG123">
        <v>0</v>
      </c>
      <c r="AH123">
        <f t="shared" si="53"/>
        <v>1</v>
      </c>
      <c r="AI123">
        <f t="shared" si="54"/>
        <v>0</v>
      </c>
      <c r="AJ123">
        <f t="shared" si="55"/>
        <v>52057.393747626069</v>
      </c>
      <c r="AK123">
        <f t="shared" si="56"/>
        <v>1800</v>
      </c>
      <c r="AL123">
        <f t="shared" si="57"/>
        <v>1499.1109128000001</v>
      </c>
      <c r="AM123">
        <f t="shared" si="58"/>
        <v>0.83283939600000001</v>
      </c>
      <c r="AN123">
        <f t="shared" si="59"/>
        <v>0.15339741275999999</v>
      </c>
      <c r="AO123">
        <v>31.8</v>
      </c>
      <c r="AP123">
        <v>0.5</v>
      </c>
      <c r="AQ123" t="s">
        <v>331</v>
      </c>
      <c r="AR123">
        <v>2</v>
      </c>
      <c r="AS123">
        <v>1690386465.5999999</v>
      </c>
      <c r="AT123">
        <v>616.154</v>
      </c>
      <c r="AU123">
        <v>800.08299999999997</v>
      </c>
      <c r="AV123">
        <v>23.503399999999999</v>
      </c>
      <c r="AW123">
        <v>13.086600000000001</v>
      </c>
      <c r="AX123">
        <v>616.31399999999996</v>
      </c>
      <c r="AY123">
        <v>23.223700000000001</v>
      </c>
      <c r="AZ123">
        <v>300.21600000000001</v>
      </c>
      <c r="BA123">
        <v>98.649799999999999</v>
      </c>
      <c r="BB123">
        <v>0.10000299999999999</v>
      </c>
      <c r="BC123">
        <v>26.2394</v>
      </c>
      <c r="BD123">
        <v>26.9512</v>
      </c>
      <c r="BE123">
        <v>27.9971</v>
      </c>
      <c r="BF123">
        <v>0</v>
      </c>
      <c r="BG123">
        <v>0</v>
      </c>
      <c r="BH123">
        <v>9952.5</v>
      </c>
      <c r="BI123">
        <v>1073.32</v>
      </c>
      <c r="BJ123">
        <v>1.5137799999999999</v>
      </c>
      <c r="BK123">
        <v>-183.929</v>
      </c>
      <c r="BL123">
        <v>630.98400000000004</v>
      </c>
      <c r="BM123">
        <v>810.69200000000001</v>
      </c>
      <c r="BN123">
        <v>10.4168</v>
      </c>
      <c r="BO123">
        <v>800.08299999999997</v>
      </c>
      <c r="BP123">
        <v>13.086600000000001</v>
      </c>
      <c r="BQ123">
        <v>2.3186100000000001</v>
      </c>
      <c r="BR123">
        <v>1.2909900000000001</v>
      </c>
      <c r="BS123">
        <v>19.8063</v>
      </c>
      <c r="BT123">
        <v>10.6944</v>
      </c>
      <c r="BU123">
        <v>1800</v>
      </c>
      <c r="BV123">
        <v>0.90999600000000003</v>
      </c>
      <c r="BW123">
        <v>3.4006500000000002E-2</v>
      </c>
      <c r="BX123">
        <v>2.1998799999999999E-2</v>
      </c>
      <c r="BY123">
        <v>3.3999000000000001E-2</v>
      </c>
      <c r="BZ123">
        <v>25</v>
      </c>
      <c r="CA123">
        <v>33528.400000000001</v>
      </c>
      <c r="CB123">
        <v>1690384821</v>
      </c>
      <c r="CC123" t="s">
        <v>332</v>
      </c>
      <c r="CD123">
        <v>1690384820</v>
      </c>
      <c r="CE123">
        <v>1690384821</v>
      </c>
      <c r="CF123">
        <v>5</v>
      </c>
      <c r="CG123">
        <v>-2.5000000000000001E-2</v>
      </c>
      <c r="CH123">
        <v>0.104</v>
      </c>
      <c r="CI123">
        <v>-0.28799999999999998</v>
      </c>
      <c r="CJ123">
        <v>0.28000000000000003</v>
      </c>
      <c r="CK123">
        <v>800</v>
      </c>
      <c r="CL123">
        <v>24</v>
      </c>
      <c r="CM123">
        <v>0.08</v>
      </c>
      <c r="CN123">
        <v>0.11</v>
      </c>
      <c r="CO123">
        <v>-179.98885000000001</v>
      </c>
      <c r="CP123">
        <v>-20.931602251407138</v>
      </c>
      <c r="CQ123">
        <v>2.0138035349805108</v>
      </c>
      <c r="CR123">
        <v>-1</v>
      </c>
      <c r="CS123">
        <v>10.207850000000001</v>
      </c>
      <c r="CT123">
        <v>1.1756352720450081</v>
      </c>
      <c r="CU123">
        <v>0.1133804083605276</v>
      </c>
      <c r="CV123">
        <v>-1</v>
      </c>
      <c r="CW123">
        <v>0</v>
      </c>
      <c r="CX123">
        <v>0</v>
      </c>
      <c r="CY123" t="s">
        <v>333</v>
      </c>
      <c r="CZ123">
        <v>2.3649200000000001</v>
      </c>
      <c r="DA123">
        <v>2.7137500000000001</v>
      </c>
      <c r="DB123">
        <v>0.12230199999999999</v>
      </c>
      <c r="DC123">
        <v>0.145681</v>
      </c>
      <c r="DD123">
        <v>0.111495</v>
      </c>
      <c r="DE123">
        <v>7.2236300000000003E-2</v>
      </c>
      <c r="DF123">
        <v>32064.9</v>
      </c>
      <c r="DG123">
        <v>27553.1</v>
      </c>
      <c r="DH123">
        <v>31187.3</v>
      </c>
      <c r="DI123">
        <v>28101.7</v>
      </c>
      <c r="DJ123">
        <v>37621.699999999997</v>
      </c>
      <c r="DK123">
        <v>37075.199999999997</v>
      </c>
      <c r="DL123">
        <v>44386.1</v>
      </c>
      <c r="DM123">
        <v>42594.6</v>
      </c>
      <c r="DN123">
        <v>1.4676</v>
      </c>
      <c r="DO123">
        <v>2.0508500000000001</v>
      </c>
      <c r="DP123">
        <v>0.110079</v>
      </c>
      <c r="DQ123">
        <v>0.18949099999999999</v>
      </c>
      <c r="DR123">
        <v>25.148199999999999</v>
      </c>
      <c r="DS123">
        <v>24.895299999999999</v>
      </c>
      <c r="DT123">
        <v>56.4</v>
      </c>
      <c r="DU123">
        <v>28.8</v>
      </c>
      <c r="DV123">
        <v>22.725200000000001</v>
      </c>
      <c r="DW123">
        <v>61.462200000000003</v>
      </c>
      <c r="DX123">
        <v>35.9495</v>
      </c>
      <c r="DY123">
        <v>1</v>
      </c>
      <c r="DZ123">
        <v>-0.10953499999999999</v>
      </c>
      <c r="EA123">
        <v>-5.6013100000000003E-2</v>
      </c>
      <c r="EB123">
        <v>20.190000000000001</v>
      </c>
      <c r="EC123">
        <v>5.2416999999999998</v>
      </c>
      <c r="ED123">
        <v>12.039899999999999</v>
      </c>
      <c r="EE123">
        <v>5.0173500000000004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</v>
      </c>
      <c r="EL123">
        <v>1.8646199999999999</v>
      </c>
      <c r="EM123">
        <v>1.8692</v>
      </c>
      <c r="EN123">
        <v>1.86724</v>
      </c>
      <c r="EO123">
        <v>1.8633999999999999</v>
      </c>
      <c r="EP123">
        <v>1.8644700000000001</v>
      </c>
      <c r="EQ123">
        <v>1.8702000000000001</v>
      </c>
      <c r="ER123">
        <v>1.8693900000000001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-0.16</v>
      </c>
      <c r="FG123">
        <v>0.2797</v>
      </c>
      <c r="FH123">
        <v>0.26269369235785539</v>
      </c>
      <c r="FI123">
        <v>-6.1462078757559423E-4</v>
      </c>
      <c r="FJ123">
        <v>-1.8861989874597051E-7</v>
      </c>
      <c r="FK123">
        <v>1.1980462299894961E-10</v>
      </c>
      <c r="FL123">
        <v>0.27968571428570849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27.4</v>
      </c>
      <c r="FU123">
        <v>27.4</v>
      </c>
      <c r="FV123">
        <v>1.78589</v>
      </c>
      <c r="FW123">
        <v>2.5842299999999998</v>
      </c>
      <c r="FX123">
        <v>1.5490699999999999</v>
      </c>
      <c r="FY123">
        <v>2.3315399999999999</v>
      </c>
      <c r="FZ123">
        <v>1.50146</v>
      </c>
      <c r="GA123">
        <v>2.33765</v>
      </c>
      <c r="GB123">
        <v>33.558</v>
      </c>
      <c r="GC123">
        <v>23.973700000000001</v>
      </c>
      <c r="GD123">
        <v>19</v>
      </c>
      <c r="GE123">
        <v>278.47000000000003</v>
      </c>
      <c r="GF123">
        <v>593.20699999999999</v>
      </c>
      <c r="GG123">
        <v>24.322800000000001</v>
      </c>
      <c r="GH123">
        <v>26.028300000000002</v>
      </c>
      <c r="GI123">
        <v>30.0001</v>
      </c>
      <c r="GJ123">
        <v>26.176200000000001</v>
      </c>
      <c r="GK123">
        <v>26.1647</v>
      </c>
      <c r="GL123">
        <v>35.706200000000003</v>
      </c>
      <c r="GM123">
        <v>47.158900000000003</v>
      </c>
      <c r="GN123">
        <v>87.505200000000002</v>
      </c>
      <c r="GO123">
        <v>24.358799999999999</v>
      </c>
      <c r="GP123">
        <v>800</v>
      </c>
      <c r="GQ123">
        <v>12.948499999999999</v>
      </c>
      <c r="GR123">
        <v>99.790899999999993</v>
      </c>
      <c r="GS123">
        <v>99.641599999999997</v>
      </c>
    </row>
    <row r="124" spans="1:201" x14ac:dyDescent="0.25">
      <c r="A124">
        <v>108</v>
      </c>
      <c r="B124">
        <v>1690386475.5999999</v>
      </c>
      <c r="C124">
        <v>1141</v>
      </c>
      <c r="D124" t="s">
        <v>549</v>
      </c>
      <c r="E124" t="s">
        <v>550</v>
      </c>
      <c r="F124" t="s">
        <v>330</v>
      </c>
      <c r="H124">
        <v>1690386475.5999999</v>
      </c>
      <c r="I124">
        <f t="shared" si="30"/>
        <v>1.0271493844251907E-3</v>
      </c>
      <c r="J124">
        <f t="shared" si="31"/>
        <v>1.0271493844251907</v>
      </c>
      <c r="K124">
        <f t="shared" si="32"/>
        <v>17.05937995781553</v>
      </c>
      <c r="L124">
        <f t="shared" si="33"/>
        <v>612.67499999999995</v>
      </c>
      <c r="M124">
        <f t="shared" si="34"/>
        <v>192.32248287665632</v>
      </c>
      <c r="N124">
        <f t="shared" si="35"/>
        <v>18.991519774428788</v>
      </c>
      <c r="O124">
        <f t="shared" si="36"/>
        <v>60.500619603899999</v>
      </c>
      <c r="P124">
        <f t="shared" si="37"/>
        <v>6.7495741367734813E-2</v>
      </c>
      <c r="Q124">
        <f t="shared" si="38"/>
        <v>2.1576921150035124</v>
      </c>
      <c r="R124">
        <f t="shared" si="39"/>
        <v>6.6344351450013272E-2</v>
      </c>
      <c r="S124">
        <f t="shared" si="40"/>
        <v>4.1567031433259613E-2</v>
      </c>
      <c r="T124">
        <f t="shared" si="41"/>
        <v>276.11522506800003</v>
      </c>
      <c r="U124">
        <f t="shared" si="42"/>
        <v>28.042871875056228</v>
      </c>
      <c r="V124">
        <f t="shared" si="43"/>
        <v>28.042871875056228</v>
      </c>
      <c r="W124">
        <f t="shared" si="44"/>
        <v>3.8043344048165078</v>
      </c>
      <c r="X124">
        <f t="shared" si="45"/>
        <v>67.881761250181995</v>
      </c>
      <c r="Y124">
        <f t="shared" si="46"/>
        <v>2.3229354477304005</v>
      </c>
      <c r="Z124">
        <f t="shared" si="47"/>
        <v>3.4220317872559218</v>
      </c>
      <c r="AA124">
        <f t="shared" si="48"/>
        <v>1.4813989570861072</v>
      </c>
      <c r="AB124">
        <f t="shared" si="49"/>
        <v>-45.297287853150905</v>
      </c>
      <c r="AC124">
        <f t="shared" si="50"/>
        <v>-209.97588353550472</v>
      </c>
      <c r="AD124">
        <f t="shared" si="51"/>
        <v>-21.03139937918834</v>
      </c>
      <c r="AE124">
        <f t="shared" si="52"/>
        <v>-0.18934569984392624</v>
      </c>
      <c r="AF124">
        <v>0</v>
      </c>
      <c r="AG124">
        <v>0</v>
      </c>
      <c r="AH124">
        <f t="shared" si="53"/>
        <v>1</v>
      </c>
      <c r="AI124">
        <f t="shared" si="54"/>
        <v>0</v>
      </c>
      <c r="AJ124">
        <f t="shared" si="55"/>
        <v>52292.185780536296</v>
      </c>
      <c r="AK124">
        <f t="shared" si="56"/>
        <v>1800</v>
      </c>
      <c r="AL124">
        <f t="shared" si="57"/>
        <v>1499.1110657999998</v>
      </c>
      <c r="AM124">
        <f t="shared" si="58"/>
        <v>0.83283948099999994</v>
      </c>
      <c r="AN124">
        <f t="shared" si="59"/>
        <v>0.15339734726000001</v>
      </c>
      <c r="AO124">
        <v>31.8</v>
      </c>
      <c r="AP124">
        <v>0.5</v>
      </c>
      <c r="AQ124" t="s">
        <v>331</v>
      </c>
      <c r="AR124">
        <v>2</v>
      </c>
      <c r="AS124">
        <v>1690386475.5999999</v>
      </c>
      <c r="AT124">
        <v>612.67499999999995</v>
      </c>
      <c r="AU124">
        <v>800.10699999999997</v>
      </c>
      <c r="AV124">
        <v>23.523800000000001</v>
      </c>
      <c r="AW124">
        <v>12.896000000000001</v>
      </c>
      <c r="AX124">
        <v>612.83199999999999</v>
      </c>
      <c r="AY124">
        <v>23.2441</v>
      </c>
      <c r="AZ124">
        <v>300.10899999999998</v>
      </c>
      <c r="BA124">
        <v>98.648300000000006</v>
      </c>
      <c r="BB124">
        <v>0.100008</v>
      </c>
      <c r="BC124">
        <v>26.2378</v>
      </c>
      <c r="BD124">
        <v>26.928599999999999</v>
      </c>
      <c r="BE124">
        <v>28.022300000000001</v>
      </c>
      <c r="BF124">
        <v>0</v>
      </c>
      <c r="BG124">
        <v>0</v>
      </c>
      <c r="BH124">
        <v>9999.3799999999992</v>
      </c>
      <c r="BI124">
        <v>1073.32</v>
      </c>
      <c r="BJ124">
        <v>1.5137799999999999</v>
      </c>
      <c r="BK124">
        <v>-187.43199999999999</v>
      </c>
      <c r="BL124">
        <v>627.43499999999995</v>
      </c>
      <c r="BM124">
        <v>810.56</v>
      </c>
      <c r="BN124">
        <v>10.627800000000001</v>
      </c>
      <c r="BO124">
        <v>800.10699999999997</v>
      </c>
      <c r="BP124">
        <v>12.896000000000001</v>
      </c>
      <c r="BQ124">
        <v>2.3205800000000001</v>
      </c>
      <c r="BR124">
        <v>1.27217</v>
      </c>
      <c r="BS124">
        <v>19.82</v>
      </c>
      <c r="BT124">
        <v>10.474</v>
      </c>
      <c r="BU124">
        <v>1800</v>
      </c>
      <c r="BV124">
        <v>0.90999799999999997</v>
      </c>
      <c r="BW124">
        <v>3.40057E-2</v>
      </c>
      <c r="BX124">
        <v>2.1998299999999998E-2</v>
      </c>
      <c r="BY124">
        <v>3.3998199999999999E-2</v>
      </c>
      <c r="BZ124">
        <v>25</v>
      </c>
      <c r="CA124">
        <v>33528.400000000001</v>
      </c>
      <c r="CB124">
        <v>1690384821</v>
      </c>
      <c r="CC124" t="s">
        <v>332</v>
      </c>
      <c r="CD124">
        <v>1690384820</v>
      </c>
      <c r="CE124">
        <v>1690384821</v>
      </c>
      <c r="CF124">
        <v>5</v>
      </c>
      <c r="CG124">
        <v>-2.5000000000000001E-2</v>
      </c>
      <c r="CH124">
        <v>0.104</v>
      </c>
      <c r="CI124">
        <v>-0.28799999999999998</v>
      </c>
      <c r="CJ124">
        <v>0.28000000000000003</v>
      </c>
      <c r="CK124">
        <v>800</v>
      </c>
      <c r="CL124">
        <v>24</v>
      </c>
      <c r="CM124">
        <v>0.08</v>
      </c>
      <c r="CN124">
        <v>0.11</v>
      </c>
      <c r="CO124">
        <v>-183.48990000000001</v>
      </c>
      <c r="CP124">
        <v>-20.923834896809989</v>
      </c>
      <c r="CQ124">
        <v>2.013124409965763</v>
      </c>
      <c r="CR124">
        <v>-1</v>
      </c>
      <c r="CS124">
        <v>10.4012925</v>
      </c>
      <c r="CT124">
        <v>1.196518198874289</v>
      </c>
      <c r="CU124">
        <v>0.1153931852136426</v>
      </c>
      <c r="CV124">
        <v>-1</v>
      </c>
      <c r="CW124">
        <v>0</v>
      </c>
      <c r="CX124">
        <v>0</v>
      </c>
      <c r="CY124" t="s">
        <v>333</v>
      </c>
      <c r="CZ124">
        <v>2.36456</v>
      </c>
      <c r="DA124">
        <v>2.7138</v>
      </c>
      <c r="DB124">
        <v>0.12181400000000001</v>
      </c>
      <c r="DC124">
        <v>0.145676</v>
      </c>
      <c r="DD124">
        <v>0.11156099999999999</v>
      </c>
      <c r="DE124">
        <v>7.1447999999999998E-2</v>
      </c>
      <c r="DF124">
        <v>32083.1</v>
      </c>
      <c r="DG124">
        <v>27553.599999999999</v>
      </c>
      <c r="DH124">
        <v>31187.7</v>
      </c>
      <c r="DI124">
        <v>28102.2</v>
      </c>
      <c r="DJ124">
        <v>37619.1</v>
      </c>
      <c r="DK124">
        <v>37107.199999999997</v>
      </c>
      <c r="DL124">
        <v>44386.5</v>
      </c>
      <c r="DM124">
        <v>42595</v>
      </c>
      <c r="DN124">
        <v>1.4681500000000001</v>
      </c>
      <c r="DO124">
        <v>2.05063</v>
      </c>
      <c r="DP124">
        <v>0.10860300000000001</v>
      </c>
      <c r="DQ124">
        <v>0.19090599999999999</v>
      </c>
      <c r="DR124">
        <v>25.149699999999999</v>
      </c>
      <c r="DS124">
        <v>24.897400000000001</v>
      </c>
      <c r="DT124">
        <v>56.3</v>
      </c>
      <c r="DU124">
        <v>28.8</v>
      </c>
      <c r="DV124">
        <v>22.686399999999999</v>
      </c>
      <c r="DW124">
        <v>61.032200000000003</v>
      </c>
      <c r="DX124">
        <v>36.334099999999999</v>
      </c>
      <c r="DY124">
        <v>1</v>
      </c>
      <c r="DZ124">
        <v>-0.109726</v>
      </c>
      <c r="EA124">
        <v>-0.169044</v>
      </c>
      <c r="EB124">
        <v>20.190000000000001</v>
      </c>
      <c r="EC124">
        <v>5.2411000000000003</v>
      </c>
      <c r="ED124">
        <v>12.039899999999999</v>
      </c>
      <c r="EE124">
        <v>5.0172499999999998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1.86893</v>
      </c>
      <c r="EL124">
        <v>1.8646199999999999</v>
      </c>
      <c r="EM124">
        <v>1.8692</v>
      </c>
      <c r="EN124">
        <v>1.8672299999999999</v>
      </c>
      <c r="EO124">
        <v>1.86338</v>
      </c>
      <c r="EP124">
        <v>1.8644700000000001</v>
      </c>
      <c r="EQ124">
        <v>1.87018</v>
      </c>
      <c r="ER124">
        <v>1.8694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-0.157</v>
      </c>
      <c r="FG124">
        <v>0.2797</v>
      </c>
      <c r="FH124">
        <v>0.26269369235785539</v>
      </c>
      <c r="FI124">
        <v>-6.1462078757559423E-4</v>
      </c>
      <c r="FJ124">
        <v>-1.8861989874597051E-7</v>
      </c>
      <c r="FK124">
        <v>1.1980462299894961E-10</v>
      </c>
      <c r="FL124">
        <v>0.27968571428570849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27.6</v>
      </c>
      <c r="FU124">
        <v>27.6</v>
      </c>
      <c r="FV124">
        <v>1.78589</v>
      </c>
      <c r="FW124">
        <v>2.5830099999999998</v>
      </c>
      <c r="FX124">
        <v>1.5490699999999999</v>
      </c>
      <c r="FY124">
        <v>2.3315399999999999</v>
      </c>
      <c r="FZ124">
        <v>1.50146</v>
      </c>
      <c r="GA124">
        <v>2.3706100000000001</v>
      </c>
      <c r="GB124">
        <v>33.535499999999999</v>
      </c>
      <c r="GC124">
        <v>23.982399999999998</v>
      </c>
      <c r="GD124">
        <v>19</v>
      </c>
      <c r="GE124">
        <v>278.69200000000001</v>
      </c>
      <c r="GF124">
        <v>592.99400000000003</v>
      </c>
      <c r="GG124">
        <v>24.406700000000001</v>
      </c>
      <c r="GH124">
        <v>26.0261</v>
      </c>
      <c r="GI124">
        <v>29.9999</v>
      </c>
      <c r="GJ124">
        <v>26.174099999999999</v>
      </c>
      <c r="GK124">
        <v>26.162600000000001</v>
      </c>
      <c r="GL124">
        <v>35.700299999999999</v>
      </c>
      <c r="GM124">
        <v>47.726900000000001</v>
      </c>
      <c r="GN124">
        <v>87.117900000000006</v>
      </c>
      <c r="GO124">
        <v>24.4268</v>
      </c>
      <c r="GP124">
        <v>800</v>
      </c>
      <c r="GQ124">
        <v>12.748900000000001</v>
      </c>
      <c r="GR124">
        <v>99.791899999999998</v>
      </c>
      <c r="GS124">
        <v>99.642799999999994</v>
      </c>
    </row>
    <row r="125" spans="1:201" x14ac:dyDescent="0.25">
      <c r="A125">
        <v>109</v>
      </c>
      <c r="B125">
        <v>1690386485.5999999</v>
      </c>
      <c r="C125">
        <v>1151</v>
      </c>
      <c r="D125" t="s">
        <v>551</v>
      </c>
      <c r="E125" t="s">
        <v>552</v>
      </c>
      <c r="F125" t="s">
        <v>330</v>
      </c>
      <c r="H125">
        <v>1690386485.5999999</v>
      </c>
      <c r="I125">
        <f t="shared" si="30"/>
        <v>1.0488742650965022E-3</v>
      </c>
      <c r="J125">
        <f t="shared" si="31"/>
        <v>1.0488742650965022</v>
      </c>
      <c r="K125">
        <f t="shared" si="32"/>
        <v>17.388054668846245</v>
      </c>
      <c r="L125">
        <f t="shared" si="33"/>
        <v>609.10900000000004</v>
      </c>
      <c r="M125">
        <f t="shared" si="34"/>
        <v>190.18102185051873</v>
      </c>
      <c r="N125">
        <f t="shared" si="35"/>
        <v>18.780467346774028</v>
      </c>
      <c r="O125">
        <f t="shared" si="36"/>
        <v>60.149806609607197</v>
      </c>
      <c r="P125">
        <f t="shared" si="37"/>
        <v>6.9044987677968434E-2</v>
      </c>
      <c r="Q125">
        <f t="shared" si="38"/>
        <v>2.1570446255520688</v>
      </c>
      <c r="R125">
        <f t="shared" si="39"/>
        <v>6.7840288516901978E-2</v>
      </c>
      <c r="S125">
        <f t="shared" si="40"/>
        <v>4.2506666932677406E-2</v>
      </c>
      <c r="T125">
        <f t="shared" si="41"/>
        <v>276.115196088</v>
      </c>
      <c r="U125">
        <f t="shared" si="42"/>
        <v>28.04585381768884</v>
      </c>
      <c r="V125">
        <f t="shared" si="43"/>
        <v>28.04585381768884</v>
      </c>
      <c r="W125">
        <f t="shared" si="44"/>
        <v>3.8049955782984233</v>
      </c>
      <c r="X125">
        <f t="shared" si="45"/>
        <v>67.919885928844508</v>
      </c>
      <c r="Y125">
        <f t="shared" si="46"/>
        <v>2.3256133230323197</v>
      </c>
      <c r="Z125">
        <f t="shared" si="47"/>
        <v>3.4240536349968576</v>
      </c>
      <c r="AA125">
        <f t="shared" si="48"/>
        <v>1.4793822552661036</v>
      </c>
      <c r="AB125">
        <f t="shared" si="49"/>
        <v>-46.255355090755749</v>
      </c>
      <c r="AC125">
        <f t="shared" si="50"/>
        <v>-209.09673904604767</v>
      </c>
      <c r="AD125">
        <f t="shared" si="51"/>
        <v>-20.950987771432576</v>
      </c>
      <c r="AE125">
        <f t="shared" si="52"/>
        <v>-0.18788582023600497</v>
      </c>
      <c r="AF125">
        <v>0</v>
      </c>
      <c r="AG125">
        <v>0</v>
      </c>
      <c r="AH125">
        <f t="shared" si="53"/>
        <v>1</v>
      </c>
      <c r="AI125">
        <f t="shared" si="54"/>
        <v>0</v>
      </c>
      <c r="AJ125">
        <f t="shared" si="55"/>
        <v>52263.363094312714</v>
      </c>
      <c r="AK125">
        <f t="shared" si="56"/>
        <v>1800</v>
      </c>
      <c r="AL125">
        <f t="shared" si="57"/>
        <v>1499.1109397999999</v>
      </c>
      <c r="AM125">
        <f t="shared" si="58"/>
        <v>0.83283941099999992</v>
      </c>
      <c r="AN125">
        <f t="shared" si="59"/>
        <v>0.15339733116000001</v>
      </c>
      <c r="AO125">
        <v>31.8</v>
      </c>
      <c r="AP125">
        <v>0.5</v>
      </c>
      <c r="AQ125" t="s">
        <v>331</v>
      </c>
      <c r="AR125">
        <v>2</v>
      </c>
      <c r="AS125">
        <v>1690386485.5999999</v>
      </c>
      <c r="AT125">
        <v>609.10900000000004</v>
      </c>
      <c r="AU125">
        <v>800.12</v>
      </c>
      <c r="AV125">
        <v>23.5504</v>
      </c>
      <c r="AW125">
        <v>12.698399999999999</v>
      </c>
      <c r="AX125">
        <v>609.26400000000001</v>
      </c>
      <c r="AY125">
        <v>23.270700000000001</v>
      </c>
      <c r="AZ125">
        <v>300.11700000000002</v>
      </c>
      <c r="BA125">
        <v>98.650499999999994</v>
      </c>
      <c r="BB125">
        <v>9.9980799999999995E-2</v>
      </c>
      <c r="BC125">
        <v>26.247800000000002</v>
      </c>
      <c r="BD125">
        <v>26.964500000000001</v>
      </c>
      <c r="BE125">
        <v>28.043199999999999</v>
      </c>
      <c r="BF125">
        <v>0</v>
      </c>
      <c r="BG125">
        <v>0</v>
      </c>
      <c r="BH125">
        <v>9993.75</v>
      </c>
      <c r="BI125">
        <v>1073.52</v>
      </c>
      <c r="BJ125">
        <v>1.5137799999999999</v>
      </c>
      <c r="BK125">
        <v>-191.011</v>
      </c>
      <c r="BL125">
        <v>623.79999999999995</v>
      </c>
      <c r="BM125">
        <v>810.41099999999994</v>
      </c>
      <c r="BN125">
        <v>10.852</v>
      </c>
      <c r="BO125">
        <v>800.12</v>
      </c>
      <c r="BP125">
        <v>12.698399999999999</v>
      </c>
      <c r="BQ125">
        <v>2.3232599999999999</v>
      </c>
      <c r="BR125">
        <v>1.2526999999999999</v>
      </c>
      <c r="BS125">
        <v>19.8386</v>
      </c>
      <c r="BT125">
        <v>10.243</v>
      </c>
      <c r="BU125">
        <v>1800</v>
      </c>
      <c r="BV125">
        <v>0.90999799999999997</v>
      </c>
      <c r="BW125">
        <v>3.4005599999999997E-2</v>
      </c>
      <c r="BX125">
        <v>2.1998299999999998E-2</v>
      </c>
      <c r="BY125">
        <v>3.3998199999999999E-2</v>
      </c>
      <c r="BZ125">
        <v>25</v>
      </c>
      <c r="CA125">
        <v>33528.400000000001</v>
      </c>
      <c r="CB125">
        <v>1690384821</v>
      </c>
      <c r="CC125" t="s">
        <v>332</v>
      </c>
      <c r="CD125">
        <v>1690384820</v>
      </c>
      <c r="CE125">
        <v>1690384821</v>
      </c>
      <c r="CF125">
        <v>5</v>
      </c>
      <c r="CG125">
        <v>-2.5000000000000001E-2</v>
      </c>
      <c r="CH125">
        <v>0.104</v>
      </c>
      <c r="CI125">
        <v>-0.28799999999999998</v>
      </c>
      <c r="CJ125">
        <v>0.28000000000000003</v>
      </c>
      <c r="CK125">
        <v>800</v>
      </c>
      <c r="CL125">
        <v>24</v>
      </c>
      <c r="CM125">
        <v>0.08</v>
      </c>
      <c r="CN125">
        <v>0.11</v>
      </c>
      <c r="CO125">
        <v>-187.34190000000001</v>
      </c>
      <c r="CP125">
        <v>-20.961658536584949</v>
      </c>
      <c r="CQ125">
        <v>2.0169863881543661</v>
      </c>
      <c r="CR125">
        <v>-1</v>
      </c>
      <c r="CS125">
        <v>10.628805</v>
      </c>
      <c r="CT125">
        <v>1.333627767354576</v>
      </c>
      <c r="CU125">
        <v>0.12847992440455419</v>
      </c>
      <c r="CV125">
        <v>-1</v>
      </c>
      <c r="CW125">
        <v>0</v>
      </c>
      <c r="CX125">
        <v>0</v>
      </c>
      <c r="CY125" t="s">
        <v>333</v>
      </c>
      <c r="CZ125">
        <v>2.3646199999999999</v>
      </c>
      <c r="DA125">
        <v>2.7137699999999998</v>
      </c>
      <c r="DB125">
        <v>0.121321</v>
      </c>
      <c r="DC125">
        <v>0.14568</v>
      </c>
      <c r="DD125">
        <v>0.111655</v>
      </c>
      <c r="DE125">
        <v>7.0631799999999995E-2</v>
      </c>
      <c r="DF125">
        <v>32101.5</v>
      </c>
      <c r="DG125">
        <v>27553.4</v>
      </c>
      <c r="DH125">
        <v>31188.1</v>
      </c>
      <c r="DI125">
        <v>28102</v>
      </c>
      <c r="DJ125">
        <v>37615.4</v>
      </c>
      <c r="DK125">
        <v>37139.699999999997</v>
      </c>
      <c r="DL125">
        <v>44386.9</v>
      </c>
      <c r="DM125">
        <v>42594.8</v>
      </c>
      <c r="DN125">
        <v>1.4681500000000001</v>
      </c>
      <c r="DO125">
        <v>2.0504799999999999</v>
      </c>
      <c r="DP125">
        <v>0.110764</v>
      </c>
      <c r="DQ125">
        <v>0.192162</v>
      </c>
      <c r="DR125">
        <v>25.150300000000001</v>
      </c>
      <c r="DS125">
        <v>24.8979</v>
      </c>
      <c r="DT125">
        <v>56.1</v>
      </c>
      <c r="DU125">
        <v>28.8</v>
      </c>
      <c r="DV125">
        <v>22.6069</v>
      </c>
      <c r="DW125">
        <v>61.0822</v>
      </c>
      <c r="DX125">
        <v>36.967100000000002</v>
      </c>
      <c r="DY125">
        <v>1</v>
      </c>
      <c r="DZ125">
        <v>-0.110191</v>
      </c>
      <c r="EA125">
        <v>-0.20238600000000001</v>
      </c>
      <c r="EB125">
        <v>20.190200000000001</v>
      </c>
      <c r="EC125">
        <v>5.2411000000000003</v>
      </c>
      <c r="ED125">
        <v>12.039899999999999</v>
      </c>
      <c r="EE125">
        <v>5.01755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1.8689100000000001</v>
      </c>
      <c r="EL125">
        <v>1.8646199999999999</v>
      </c>
      <c r="EM125">
        <v>1.8692</v>
      </c>
      <c r="EN125">
        <v>1.86724</v>
      </c>
      <c r="EO125">
        <v>1.8633900000000001</v>
      </c>
      <c r="EP125">
        <v>1.8644700000000001</v>
      </c>
      <c r="EQ125">
        <v>1.87018</v>
      </c>
      <c r="ER125">
        <v>1.8693900000000001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-0.155</v>
      </c>
      <c r="FG125">
        <v>0.2797</v>
      </c>
      <c r="FH125">
        <v>0.26269369235785539</v>
      </c>
      <c r="FI125">
        <v>-6.1462078757559423E-4</v>
      </c>
      <c r="FJ125">
        <v>-1.8861989874597051E-7</v>
      </c>
      <c r="FK125">
        <v>1.1980462299894961E-10</v>
      </c>
      <c r="FL125">
        <v>0.27968571428570849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27.8</v>
      </c>
      <c r="FU125">
        <v>27.7</v>
      </c>
      <c r="FV125">
        <v>1.78589</v>
      </c>
      <c r="FW125">
        <v>2.5781200000000002</v>
      </c>
      <c r="FX125">
        <v>1.5490699999999999</v>
      </c>
      <c r="FY125">
        <v>2.3315399999999999</v>
      </c>
      <c r="FZ125">
        <v>1.50146</v>
      </c>
      <c r="GA125">
        <v>2.4169900000000002</v>
      </c>
      <c r="GB125">
        <v>33.558</v>
      </c>
      <c r="GC125">
        <v>23.991199999999999</v>
      </c>
      <c r="GD125">
        <v>19</v>
      </c>
      <c r="GE125">
        <v>278.68299999999999</v>
      </c>
      <c r="GF125">
        <v>592.83100000000002</v>
      </c>
      <c r="GG125">
        <v>24.495000000000001</v>
      </c>
      <c r="GH125">
        <v>26.023900000000001</v>
      </c>
      <c r="GI125">
        <v>30</v>
      </c>
      <c r="GJ125">
        <v>26.171900000000001</v>
      </c>
      <c r="GK125">
        <v>26.159300000000002</v>
      </c>
      <c r="GL125">
        <v>35.692</v>
      </c>
      <c r="GM125">
        <v>48.316000000000003</v>
      </c>
      <c r="GN125">
        <v>86.349000000000004</v>
      </c>
      <c r="GO125">
        <v>24.501999999999999</v>
      </c>
      <c r="GP125">
        <v>800</v>
      </c>
      <c r="GQ125">
        <v>12.5456</v>
      </c>
      <c r="GR125">
        <v>99.793000000000006</v>
      </c>
      <c r="GS125">
        <v>99.642300000000006</v>
      </c>
    </row>
    <row r="126" spans="1:201" x14ac:dyDescent="0.25">
      <c r="A126">
        <v>110</v>
      </c>
      <c r="B126">
        <v>1690386495.5999999</v>
      </c>
      <c r="C126">
        <v>1161</v>
      </c>
      <c r="D126" t="s">
        <v>553</v>
      </c>
      <c r="E126" t="s">
        <v>554</v>
      </c>
      <c r="F126" t="s">
        <v>330</v>
      </c>
      <c r="H126">
        <v>1690386495.5999999</v>
      </c>
      <c r="I126">
        <f t="shared" si="30"/>
        <v>1.0713638218490694E-3</v>
      </c>
      <c r="J126">
        <f t="shared" si="31"/>
        <v>1.0713638218490693</v>
      </c>
      <c r="K126">
        <f t="shared" si="32"/>
        <v>17.69513131485602</v>
      </c>
      <c r="L126">
        <f t="shared" si="33"/>
        <v>605.63599999999997</v>
      </c>
      <c r="M126">
        <f t="shared" si="34"/>
        <v>188.449987138355</v>
      </c>
      <c r="N126">
        <f t="shared" si="35"/>
        <v>18.609809718942067</v>
      </c>
      <c r="O126">
        <f t="shared" si="36"/>
        <v>59.807755309988401</v>
      </c>
      <c r="P126">
        <f t="shared" si="37"/>
        <v>7.0577210445512767E-2</v>
      </c>
      <c r="Q126">
        <f t="shared" si="38"/>
        <v>2.1555647595996192</v>
      </c>
      <c r="R126">
        <f t="shared" si="39"/>
        <v>6.9318127429135373E-2</v>
      </c>
      <c r="S126">
        <f t="shared" si="40"/>
        <v>4.3435082325960314E-2</v>
      </c>
      <c r="T126">
        <f t="shared" si="41"/>
        <v>276.11362028292081</v>
      </c>
      <c r="U126">
        <f t="shared" si="42"/>
        <v>28.053278432699013</v>
      </c>
      <c r="V126">
        <f t="shared" si="43"/>
        <v>28.053278432699013</v>
      </c>
      <c r="W126">
        <f t="shared" si="44"/>
        <v>3.8066422422318915</v>
      </c>
      <c r="X126">
        <f t="shared" si="45"/>
        <v>67.926048232785959</v>
      </c>
      <c r="Y126">
        <f t="shared" si="46"/>
        <v>2.3277619669504204</v>
      </c>
      <c r="Z126">
        <f t="shared" si="47"/>
        <v>3.4269062127286776</v>
      </c>
      <c r="AA126">
        <f t="shared" si="48"/>
        <v>1.4788802752814711</v>
      </c>
      <c r="AB126">
        <f t="shared" si="49"/>
        <v>-47.247144543543961</v>
      </c>
      <c r="AC126">
        <f t="shared" si="50"/>
        <v>-208.17753387875496</v>
      </c>
      <c r="AD126">
        <f t="shared" si="51"/>
        <v>-20.875449964188601</v>
      </c>
      <c r="AE126">
        <f t="shared" si="52"/>
        <v>-0.18650810356669467</v>
      </c>
      <c r="AF126">
        <v>0</v>
      </c>
      <c r="AG126">
        <v>0</v>
      </c>
      <c r="AH126">
        <f t="shared" si="53"/>
        <v>1</v>
      </c>
      <c r="AI126">
        <f t="shared" si="54"/>
        <v>0</v>
      </c>
      <c r="AJ126">
        <f t="shared" si="55"/>
        <v>52198.977803374713</v>
      </c>
      <c r="AK126">
        <f t="shared" si="56"/>
        <v>1799.99</v>
      </c>
      <c r="AL126">
        <f t="shared" si="57"/>
        <v>1499.10344120128</v>
      </c>
      <c r="AM126">
        <f t="shared" si="58"/>
        <v>0.83283987199999998</v>
      </c>
      <c r="AN126">
        <f t="shared" si="59"/>
        <v>0.15339730792</v>
      </c>
      <c r="AO126">
        <v>31.8</v>
      </c>
      <c r="AP126">
        <v>0.5</v>
      </c>
      <c r="AQ126" t="s">
        <v>331</v>
      </c>
      <c r="AR126">
        <v>2</v>
      </c>
      <c r="AS126">
        <v>1690386495.5999999</v>
      </c>
      <c r="AT126">
        <v>605.63599999999997</v>
      </c>
      <c r="AU126">
        <v>800.01099999999997</v>
      </c>
      <c r="AV126">
        <v>23.5718</v>
      </c>
      <c r="AW126">
        <v>12.4871</v>
      </c>
      <c r="AX126">
        <v>605.78800000000001</v>
      </c>
      <c r="AY126">
        <v>23.292100000000001</v>
      </c>
      <c r="AZ126">
        <v>300.11</v>
      </c>
      <c r="BA126">
        <v>98.652000000000001</v>
      </c>
      <c r="BB126">
        <v>9.9981899999999999E-2</v>
      </c>
      <c r="BC126">
        <v>26.261900000000001</v>
      </c>
      <c r="BD126">
        <v>26.998999999999999</v>
      </c>
      <c r="BE126">
        <v>28.042100000000001</v>
      </c>
      <c r="BF126">
        <v>0</v>
      </c>
      <c r="BG126">
        <v>0</v>
      </c>
      <c r="BH126">
        <v>9981.25</v>
      </c>
      <c r="BI126">
        <v>1073.6300000000001</v>
      </c>
      <c r="BJ126">
        <v>1.5137799999999999</v>
      </c>
      <c r="BK126">
        <v>-194.375</v>
      </c>
      <c r="BL126">
        <v>620.25699999999995</v>
      </c>
      <c r="BM126">
        <v>810.12800000000004</v>
      </c>
      <c r="BN126">
        <v>11.0847</v>
      </c>
      <c r="BO126">
        <v>800.01099999999997</v>
      </c>
      <c r="BP126">
        <v>12.4871</v>
      </c>
      <c r="BQ126">
        <v>2.3254000000000001</v>
      </c>
      <c r="BR126">
        <v>1.2318800000000001</v>
      </c>
      <c r="BS126">
        <v>19.853400000000001</v>
      </c>
      <c r="BT126">
        <v>9.9924499999999998</v>
      </c>
      <c r="BU126">
        <v>1799.99</v>
      </c>
      <c r="BV126">
        <v>0.91000099999999995</v>
      </c>
      <c r="BW126">
        <v>3.4004600000000003E-2</v>
      </c>
      <c r="BX126">
        <v>2.1997599999999999E-2</v>
      </c>
      <c r="BY126">
        <v>3.3997199999999998E-2</v>
      </c>
      <c r="BZ126">
        <v>25</v>
      </c>
      <c r="CA126">
        <v>33528.300000000003</v>
      </c>
      <c r="CB126">
        <v>1690384821</v>
      </c>
      <c r="CC126" t="s">
        <v>332</v>
      </c>
      <c r="CD126">
        <v>1690384820</v>
      </c>
      <c r="CE126">
        <v>1690384821</v>
      </c>
      <c r="CF126">
        <v>5</v>
      </c>
      <c r="CG126">
        <v>-2.5000000000000001E-2</v>
      </c>
      <c r="CH126">
        <v>0.104</v>
      </c>
      <c r="CI126">
        <v>-0.28799999999999998</v>
      </c>
      <c r="CJ126">
        <v>0.28000000000000003</v>
      </c>
      <c r="CK126">
        <v>800</v>
      </c>
      <c r="CL126">
        <v>24</v>
      </c>
      <c r="CM126">
        <v>0.08</v>
      </c>
      <c r="CN126">
        <v>0.11</v>
      </c>
      <c r="CO126">
        <v>-190.5025</v>
      </c>
      <c r="CP126">
        <v>-21.0451857410877</v>
      </c>
      <c r="CQ126">
        <v>2.025355783560014</v>
      </c>
      <c r="CR126">
        <v>-1</v>
      </c>
      <c r="CS126">
        <v>10.8310525</v>
      </c>
      <c r="CT126">
        <v>1.410149718574089</v>
      </c>
      <c r="CU126">
        <v>0.13585614632304999</v>
      </c>
      <c r="CV126">
        <v>-1</v>
      </c>
      <c r="CW126">
        <v>0</v>
      </c>
      <c r="CX126">
        <v>0</v>
      </c>
      <c r="CY126" t="s">
        <v>333</v>
      </c>
      <c r="CZ126">
        <v>2.3645800000000001</v>
      </c>
      <c r="DA126">
        <v>2.7137600000000002</v>
      </c>
      <c r="DB126">
        <v>0.120836</v>
      </c>
      <c r="DC126">
        <v>0.14566399999999999</v>
      </c>
      <c r="DD126">
        <v>0.11172799999999999</v>
      </c>
      <c r="DE126">
        <v>6.9751599999999997E-2</v>
      </c>
      <c r="DF126">
        <v>32118.400000000001</v>
      </c>
      <c r="DG126">
        <v>27554.1</v>
      </c>
      <c r="DH126">
        <v>31187.3</v>
      </c>
      <c r="DI126">
        <v>28102.3</v>
      </c>
      <c r="DJ126">
        <v>37611.4</v>
      </c>
      <c r="DK126">
        <v>37175.599999999999</v>
      </c>
      <c r="DL126">
        <v>44386</v>
      </c>
      <c r="DM126">
        <v>42595.5</v>
      </c>
      <c r="DN126">
        <v>1.46827</v>
      </c>
      <c r="DO126">
        <v>2.0501</v>
      </c>
      <c r="DP126">
        <v>0.112873</v>
      </c>
      <c r="DQ126">
        <v>0.19198999999999999</v>
      </c>
      <c r="DR126">
        <v>25.150300000000001</v>
      </c>
      <c r="DS126">
        <v>24.8995</v>
      </c>
      <c r="DT126">
        <v>56</v>
      </c>
      <c r="DU126">
        <v>28.8</v>
      </c>
      <c r="DV126">
        <v>22.569500000000001</v>
      </c>
      <c r="DW126">
        <v>61.462200000000003</v>
      </c>
      <c r="DX126">
        <v>37.331699999999998</v>
      </c>
      <c r="DY126">
        <v>1</v>
      </c>
      <c r="DZ126">
        <v>-0.110221</v>
      </c>
      <c r="EA126">
        <v>-8.4547899999999995E-2</v>
      </c>
      <c r="EB126">
        <v>20.190100000000001</v>
      </c>
      <c r="EC126">
        <v>5.2409499999999998</v>
      </c>
      <c r="ED126">
        <v>12.039899999999999</v>
      </c>
      <c r="EE126">
        <v>5.0171999999999999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1.8689100000000001</v>
      </c>
      <c r="EL126">
        <v>1.8646199999999999</v>
      </c>
      <c r="EM126">
        <v>1.8692</v>
      </c>
      <c r="EN126">
        <v>1.8672299999999999</v>
      </c>
      <c r="EO126">
        <v>1.8633599999999999</v>
      </c>
      <c r="EP126">
        <v>1.86446</v>
      </c>
      <c r="EQ126">
        <v>1.8701700000000001</v>
      </c>
      <c r="ER126">
        <v>1.86937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-0.152</v>
      </c>
      <c r="FG126">
        <v>0.2797</v>
      </c>
      <c r="FH126">
        <v>0.26269369235785539</v>
      </c>
      <c r="FI126">
        <v>-6.1462078757559423E-4</v>
      </c>
      <c r="FJ126">
        <v>-1.8861989874597051E-7</v>
      </c>
      <c r="FK126">
        <v>1.1980462299894961E-10</v>
      </c>
      <c r="FL126">
        <v>0.27968571428570849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27.9</v>
      </c>
      <c r="FU126">
        <v>27.9</v>
      </c>
      <c r="FV126">
        <v>1.78467</v>
      </c>
      <c r="FW126">
        <v>2.5756800000000002</v>
      </c>
      <c r="FX126">
        <v>1.5490699999999999</v>
      </c>
      <c r="FY126">
        <v>2.3315399999999999</v>
      </c>
      <c r="FZ126">
        <v>1.50024</v>
      </c>
      <c r="GA126">
        <v>2.3864700000000001</v>
      </c>
      <c r="GB126">
        <v>33.535499999999999</v>
      </c>
      <c r="GC126">
        <v>23.982399999999998</v>
      </c>
      <c r="GD126">
        <v>19</v>
      </c>
      <c r="GE126">
        <v>278.726</v>
      </c>
      <c r="GF126">
        <v>592.49099999999999</v>
      </c>
      <c r="GG126">
        <v>24.535900000000002</v>
      </c>
      <c r="GH126">
        <v>26.021799999999999</v>
      </c>
      <c r="GI126">
        <v>30</v>
      </c>
      <c r="GJ126">
        <v>26.169599999999999</v>
      </c>
      <c r="GK126">
        <v>26.157</v>
      </c>
      <c r="GL126">
        <v>35.687100000000001</v>
      </c>
      <c r="GM126">
        <v>48.888100000000001</v>
      </c>
      <c r="GN126">
        <v>85.971100000000007</v>
      </c>
      <c r="GO126">
        <v>24.524699999999999</v>
      </c>
      <c r="GP126">
        <v>800</v>
      </c>
      <c r="GQ126">
        <v>12.3413</v>
      </c>
      <c r="GR126">
        <v>99.790800000000004</v>
      </c>
      <c r="GS126">
        <v>99.643799999999999</v>
      </c>
    </row>
    <row r="127" spans="1:201" x14ac:dyDescent="0.25">
      <c r="A127">
        <v>111</v>
      </c>
      <c r="B127">
        <v>1690386505.5999999</v>
      </c>
      <c r="C127">
        <v>1171</v>
      </c>
      <c r="D127" t="s">
        <v>555</v>
      </c>
      <c r="E127" t="s">
        <v>556</v>
      </c>
      <c r="F127" t="s">
        <v>330</v>
      </c>
      <c r="H127">
        <v>1690386505.5999999</v>
      </c>
      <c r="I127">
        <f t="shared" si="30"/>
        <v>1.0922272551531589E-3</v>
      </c>
      <c r="J127">
        <f t="shared" si="31"/>
        <v>1.0922272551531589</v>
      </c>
      <c r="K127">
        <f t="shared" si="32"/>
        <v>18.039839037815671</v>
      </c>
      <c r="L127">
        <f t="shared" si="33"/>
        <v>602.09400000000005</v>
      </c>
      <c r="M127">
        <f t="shared" si="34"/>
        <v>185.91065570239127</v>
      </c>
      <c r="N127">
        <f t="shared" si="35"/>
        <v>18.358877439205198</v>
      </c>
      <c r="O127">
        <f t="shared" si="36"/>
        <v>59.457430834819199</v>
      </c>
      <c r="P127">
        <f t="shared" si="37"/>
        <v>7.2134021426964581E-2</v>
      </c>
      <c r="Q127">
        <f t="shared" si="38"/>
        <v>2.1608614808079758</v>
      </c>
      <c r="R127">
        <f t="shared" si="39"/>
        <v>7.0822496472094001E-2</v>
      </c>
      <c r="S127">
        <f t="shared" si="40"/>
        <v>4.4379909412426387E-2</v>
      </c>
      <c r="T127">
        <f t="shared" si="41"/>
        <v>276.11347403373327</v>
      </c>
      <c r="U127">
        <f t="shared" si="42"/>
        <v>28.042895466761191</v>
      </c>
      <c r="V127">
        <f t="shared" si="43"/>
        <v>28.042895466761191</v>
      </c>
      <c r="W127">
        <f t="shared" si="44"/>
        <v>3.8043396353117238</v>
      </c>
      <c r="X127">
        <f t="shared" si="45"/>
        <v>67.949878982989688</v>
      </c>
      <c r="Y127">
        <f t="shared" si="46"/>
        <v>2.3286886424515196</v>
      </c>
      <c r="Z127">
        <f t="shared" si="47"/>
        <v>3.427068123306702</v>
      </c>
      <c r="AA127">
        <f t="shared" si="48"/>
        <v>1.4756509928602042</v>
      </c>
      <c r="AB127">
        <f t="shared" si="49"/>
        <v>-48.167221952254309</v>
      </c>
      <c r="AC127">
        <f t="shared" si="50"/>
        <v>-207.38629935990062</v>
      </c>
      <c r="AD127">
        <f t="shared" si="51"/>
        <v>-20.744135879160602</v>
      </c>
      <c r="AE127">
        <f t="shared" si="52"/>
        <v>-0.18418315758228232</v>
      </c>
      <c r="AF127">
        <v>0</v>
      </c>
      <c r="AG127">
        <v>0</v>
      </c>
      <c r="AH127">
        <f t="shared" si="53"/>
        <v>1</v>
      </c>
      <c r="AI127">
        <f t="shared" si="54"/>
        <v>0</v>
      </c>
      <c r="AJ127">
        <f t="shared" si="55"/>
        <v>52420.777685764144</v>
      </c>
      <c r="AK127">
        <f t="shared" si="56"/>
        <v>1799.99</v>
      </c>
      <c r="AL127">
        <f t="shared" si="57"/>
        <v>1499.1034592011799</v>
      </c>
      <c r="AM127">
        <f t="shared" si="58"/>
        <v>0.83283988199999992</v>
      </c>
      <c r="AN127">
        <f t="shared" si="59"/>
        <v>0.15339722667</v>
      </c>
      <c r="AO127">
        <v>31.8</v>
      </c>
      <c r="AP127">
        <v>0.5</v>
      </c>
      <c r="AQ127" t="s">
        <v>331</v>
      </c>
      <c r="AR127">
        <v>2</v>
      </c>
      <c r="AS127">
        <v>1690386505.5999999</v>
      </c>
      <c r="AT127">
        <v>602.09400000000005</v>
      </c>
      <c r="AU127">
        <v>800.16099999999994</v>
      </c>
      <c r="AV127">
        <v>23.581399999999999</v>
      </c>
      <c r="AW127">
        <v>12.284000000000001</v>
      </c>
      <c r="AX127">
        <v>602.24400000000003</v>
      </c>
      <c r="AY127">
        <v>23.3017</v>
      </c>
      <c r="AZ127">
        <v>300.19099999999997</v>
      </c>
      <c r="BA127">
        <v>98.6511</v>
      </c>
      <c r="BB127">
        <v>9.9976800000000005E-2</v>
      </c>
      <c r="BC127">
        <v>26.262699999999999</v>
      </c>
      <c r="BD127">
        <v>26.981400000000001</v>
      </c>
      <c r="BE127">
        <v>28.015599999999999</v>
      </c>
      <c r="BF127">
        <v>0</v>
      </c>
      <c r="BG127">
        <v>0</v>
      </c>
      <c r="BH127">
        <v>10025.6</v>
      </c>
      <c r="BI127">
        <v>1073.71</v>
      </c>
      <c r="BJ127">
        <v>1.5137799999999999</v>
      </c>
      <c r="BK127">
        <v>-198.066</v>
      </c>
      <c r="BL127">
        <v>616.63499999999999</v>
      </c>
      <c r="BM127">
        <v>810.11199999999997</v>
      </c>
      <c r="BN127">
        <v>11.2974</v>
      </c>
      <c r="BO127">
        <v>800.16099999999994</v>
      </c>
      <c r="BP127">
        <v>12.284000000000001</v>
      </c>
      <c r="BQ127">
        <v>2.32633</v>
      </c>
      <c r="BR127">
        <v>1.21183</v>
      </c>
      <c r="BS127">
        <v>19.8599</v>
      </c>
      <c r="BT127">
        <v>9.7476900000000004</v>
      </c>
      <c r="BU127">
        <v>1799.99</v>
      </c>
      <c r="BV127">
        <v>0.91000300000000001</v>
      </c>
      <c r="BW127">
        <v>3.4003800000000001E-2</v>
      </c>
      <c r="BX127">
        <v>2.1997099999999999E-2</v>
      </c>
      <c r="BY127">
        <v>3.39963E-2</v>
      </c>
      <c r="BZ127">
        <v>25</v>
      </c>
      <c r="CA127">
        <v>33528.199999999997</v>
      </c>
      <c r="CB127">
        <v>1690384821</v>
      </c>
      <c r="CC127" t="s">
        <v>332</v>
      </c>
      <c r="CD127">
        <v>1690384820</v>
      </c>
      <c r="CE127">
        <v>1690384821</v>
      </c>
      <c r="CF127">
        <v>5</v>
      </c>
      <c r="CG127">
        <v>-2.5000000000000001E-2</v>
      </c>
      <c r="CH127">
        <v>0.104</v>
      </c>
      <c r="CI127">
        <v>-0.28799999999999998</v>
      </c>
      <c r="CJ127">
        <v>0.28000000000000003</v>
      </c>
      <c r="CK127">
        <v>800</v>
      </c>
      <c r="CL127">
        <v>24</v>
      </c>
      <c r="CM127">
        <v>0.08</v>
      </c>
      <c r="CN127">
        <v>0.11</v>
      </c>
      <c r="CO127">
        <v>-194.01307499999999</v>
      </c>
      <c r="CP127">
        <v>-21.0797335834888</v>
      </c>
      <c r="CQ127">
        <v>2.0288056509619148</v>
      </c>
      <c r="CR127">
        <v>-1</v>
      </c>
      <c r="CS127">
        <v>11.057422499999999</v>
      </c>
      <c r="CT127">
        <v>1.3693474671669741</v>
      </c>
      <c r="CU127">
        <v>0.13206229304290451</v>
      </c>
      <c r="CV127">
        <v>-1</v>
      </c>
      <c r="CW127">
        <v>0</v>
      </c>
      <c r="CX127">
        <v>0</v>
      </c>
      <c r="CY127" t="s">
        <v>333</v>
      </c>
      <c r="CZ127">
        <v>2.3648500000000001</v>
      </c>
      <c r="DA127">
        <v>2.7137899999999999</v>
      </c>
      <c r="DB127">
        <v>0.120337</v>
      </c>
      <c r="DC127">
        <v>0.145677</v>
      </c>
      <c r="DD127">
        <v>0.11176</v>
      </c>
      <c r="DE127">
        <v>6.8898899999999999E-2</v>
      </c>
      <c r="DF127">
        <v>32137.3</v>
      </c>
      <c r="DG127">
        <v>27553.8</v>
      </c>
      <c r="DH127">
        <v>31188</v>
      </c>
      <c r="DI127">
        <v>28102.400000000001</v>
      </c>
      <c r="DJ127">
        <v>37610.699999999997</v>
      </c>
      <c r="DK127">
        <v>37209.800000000003</v>
      </c>
      <c r="DL127">
        <v>44386.8</v>
      </c>
      <c r="DM127">
        <v>42595.6</v>
      </c>
      <c r="DN127">
        <v>1.4679</v>
      </c>
      <c r="DO127">
        <v>2.04983</v>
      </c>
      <c r="DP127">
        <v>0.111792</v>
      </c>
      <c r="DQ127">
        <v>0.190247</v>
      </c>
      <c r="DR127">
        <v>25.150300000000001</v>
      </c>
      <c r="DS127">
        <v>24.901599999999998</v>
      </c>
      <c r="DT127">
        <v>55.8</v>
      </c>
      <c r="DU127">
        <v>28.8</v>
      </c>
      <c r="DV127">
        <v>22.487100000000002</v>
      </c>
      <c r="DW127">
        <v>60.642200000000003</v>
      </c>
      <c r="DX127">
        <v>36.778799999999997</v>
      </c>
      <c r="DY127">
        <v>1</v>
      </c>
      <c r="DZ127">
        <v>-0.109698</v>
      </c>
      <c r="EA127">
        <v>9.2107800000000004E-2</v>
      </c>
      <c r="EB127">
        <v>20.190100000000001</v>
      </c>
      <c r="EC127">
        <v>5.2411000000000003</v>
      </c>
      <c r="ED127">
        <v>12.039899999999999</v>
      </c>
      <c r="EE127">
        <v>5.0174000000000003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</v>
      </c>
      <c r="EL127">
        <v>1.86463</v>
      </c>
      <c r="EM127">
        <v>1.8692</v>
      </c>
      <c r="EN127">
        <v>1.8672299999999999</v>
      </c>
      <c r="EO127">
        <v>1.86338</v>
      </c>
      <c r="EP127">
        <v>1.86446</v>
      </c>
      <c r="EQ127">
        <v>1.87019</v>
      </c>
      <c r="ER127">
        <v>1.86938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-0.15</v>
      </c>
      <c r="FG127">
        <v>0.2797</v>
      </c>
      <c r="FH127">
        <v>0.26269369235785539</v>
      </c>
      <c r="FI127">
        <v>-6.1462078757559423E-4</v>
      </c>
      <c r="FJ127">
        <v>-1.8861989874597051E-7</v>
      </c>
      <c r="FK127">
        <v>1.1980462299894961E-10</v>
      </c>
      <c r="FL127">
        <v>0.27968571428570849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28.1</v>
      </c>
      <c r="FU127">
        <v>28.1</v>
      </c>
      <c r="FV127">
        <v>1.78467</v>
      </c>
      <c r="FW127">
        <v>2.5817899999999998</v>
      </c>
      <c r="FX127">
        <v>1.5490699999999999</v>
      </c>
      <c r="FY127">
        <v>2.3315399999999999</v>
      </c>
      <c r="FZ127">
        <v>1.50146</v>
      </c>
      <c r="GA127">
        <v>2.3095699999999999</v>
      </c>
      <c r="GB127">
        <v>33.535499999999999</v>
      </c>
      <c r="GC127">
        <v>23.982399999999998</v>
      </c>
      <c r="GD127">
        <v>19</v>
      </c>
      <c r="GE127">
        <v>278.55799999999999</v>
      </c>
      <c r="GF127">
        <v>592.23599999999999</v>
      </c>
      <c r="GG127">
        <v>24.435099999999998</v>
      </c>
      <c r="GH127">
        <v>26.019500000000001</v>
      </c>
      <c r="GI127">
        <v>30</v>
      </c>
      <c r="GJ127">
        <v>26.1675</v>
      </c>
      <c r="GK127">
        <v>26.154800000000002</v>
      </c>
      <c r="GL127">
        <v>35.679099999999998</v>
      </c>
      <c r="GM127">
        <v>49.442399999999999</v>
      </c>
      <c r="GN127">
        <v>85.194299999999998</v>
      </c>
      <c r="GO127">
        <v>24.449100000000001</v>
      </c>
      <c r="GP127">
        <v>800</v>
      </c>
      <c r="GQ127">
        <v>12.1478</v>
      </c>
      <c r="GR127">
        <v>99.792699999999996</v>
      </c>
      <c r="GS127">
        <v>99.644099999999995</v>
      </c>
    </row>
    <row r="128" spans="1:201" x14ac:dyDescent="0.25">
      <c r="A128">
        <v>112</v>
      </c>
      <c r="B128">
        <v>1690386515.5999999</v>
      </c>
      <c r="C128">
        <v>1181</v>
      </c>
      <c r="D128" t="s">
        <v>557</v>
      </c>
      <c r="E128" t="s">
        <v>558</v>
      </c>
      <c r="F128" t="s">
        <v>330</v>
      </c>
      <c r="H128">
        <v>1690386515.5999999</v>
      </c>
      <c r="I128">
        <f t="shared" si="30"/>
        <v>1.1099617929064517E-3</v>
      </c>
      <c r="J128">
        <f t="shared" si="31"/>
        <v>1.1099617929064516</v>
      </c>
      <c r="K128">
        <f t="shared" si="32"/>
        <v>18.355964445362098</v>
      </c>
      <c r="L128">
        <f t="shared" si="33"/>
        <v>598.61</v>
      </c>
      <c r="M128">
        <f t="shared" si="34"/>
        <v>182.43583459569962</v>
      </c>
      <c r="N128">
        <f t="shared" si="35"/>
        <v>18.016654079018057</v>
      </c>
      <c r="O128">
        <f t="shared" si="36"/>
        <v>59.116397401539999</v>
      </c>
      <c r="P128">
        <f t="shared" si="37"/>
        <v>7.3405124483256284E-2</v>
      </c>
      <c r="Q128">
        <f t="shared" si="38"/>
        <v>2.1562139295432097</v>
      </c>
      <c r="R128">
        <f t="shared" si="39"/>
        <v>7.2044571393386353E-2</v>
      </c>
      <c r="S128">
        <f t="shared" si="40"/>
        <v>4.5147996979975256E-2</v>
      </c>
      <c r="T128">
        <f t="shared" si="41"/>
        <v>276.11480167200006</v>
      </c>
      <c r="U128">
        <f t="shared" si="42"/>
        <v>28.036981573161043</v>
      </c>
      <c r="V128">
        <f t="shared" si="43"/>
        <v>28.036981573161043</v>
      </c>
      <c r="W128">
        <f t="shared" si="44"/>
        <v>3.8030286677186025</v>
      </c>
      <c r="X128">
        <f t="shared" si="45"/>
        <v>67.965436912755308</v>
      </c>
      <c r="Y128">
        <f t="shared" si="46"/>
        <v>2.328767924234</v>
      </c>
      <c r="Z128">
        <f t="shared" si="47"/>
        <v>3.4264002852263755</v>
      </c>
      <c r="AA128">
        <f t="shared" si="48"/>
        <v>1.4742607434846025</v>
      </c>
      <c r="AB128">
        <f t="shared" si="49"/>
        <v>-48.949315067174517</v>
      </c>
      <c r="AC128">
        <f t="shared" si="50"/>
        <v>-206.6364015821479</v>
      </c>
      <c r="AD128">
        <f t="shared" si="51"/>
        <v>-20.712722588029422</v>
      </c>
      <c r="AE128">
        <f t="shared" si="52"/>
        <v>-0.18363756535177345</v>
      </c>
      <c r="AF128">
        <v>0</v>
      </c>
      <c r="AG128">
        <v>0</v>
      </c>
      <c r="AH128">
        <f t="shared" si="53"/>
        <v>1</v>
      </c>
      <c r="AI128">
        <f t="shared" si="54"/>
        <v>0</v>
      </c>
      <c r="AJ128">
        <f t="shared" si="55"/>
        <v>52226.674286842564</v>
      </c>
      <c r="AK128">
        <f t="shared" si="56"/>
        <v>1800</v>
      </c>
      <c r="AL128">
        <f t="shared" si="57"/>
        <v>1499.1112421999999</v>
      </c>
      <c r="AM128">
        <f t="shared" si="58"/>
        <v>0.83283957899999994</v>
      </c>
      <c r="AN128">
        <f t="shared" si="59"/>
        <v>0.15339711204000003</v>
      </c>
      <c r="AO128">
        <v>31.8</v>
      </c>
      <c r="AP128">
        <v>0.5</v>
      </c>
      <c r="AQ128" t="s">
        <v>331</v>
      </c>
      <c r="AR128">
        <v>2</v>
      </c>
      <c r="AS128">
        <v>1690386515.5999999</v>
      </c>
      <c r="AT128">
        <v>598.61</v>
      </c>
      <c r="AU128">
        <v>800.10599999999999</v>
      </c>
      <c r="AV128">
        <v>23.581</v>
      </c>
      <c r="AW128">
        <v>12.0997</v>
      </c>
      <c r="AX128">
        <v>598.75699999999995</v>
      </c>
      <c r="AY128">
        <v>23.301400000000001</v>
      </c>
      <c r="AZ128">
        <v>300.17899999999997</v>
      </c>
      <c r="BA128">
        <v>98.656099999999995</v>
      </c>
      <c r="BB128">
        <v>0.10001400000000001</v>
      </c>
      <c r="BC128">
        <v>26.259399999999999</v>
      </c>
      <c r="BD128">
        <v>26.98</v>
      </c>
      <c r="BE128">
        <v>28.005500000000001</v>
      </c>
      <c r="BF128">
        <v>0</v>
      </c>
      <c r="BG128">
        <v>0</v>
      </c>
      <c r="BH128">
        <v>9986.25</v>
      </c>
      <c r="BI128">
        <v>1073.75</v>
      </c>
      <c r="BJ128">
        <v>1.5137799999999999</v>
      </c>
      <c r="BK128">
        <v>-201.49700000000001</v>
      </c>
      <c r="BL128">
        <v>613.06700000000001</v>
      </c>
      <c r="BM128">
        <v>809.90599999999995</v>
      </c>
      <c r="BN128">
        <v>11.481400000000001</v>
      </c>
      <c r="BO128">
        <v>800.10599999999999</v>
      </c>
      <c r="BP128">
        <v>12.0997</v>
      </c>
      <c r="BQ128">
        <v>2.3264100000000001</v>
      </c>
      <c r="BR128">
        <v>1.1937</v>
      </c>
      <c r="BS128">
        <v>19.860499999999998</v>
      </c>
      <c r="BT128">
        <v>9.5232700000000001</v>
      </c>
      <c r="BU128">
        <v>1800</v>
      </c>
      <c r="BV128">
        <v>0.91000400000000004</v>
      </c>
      <c r="BW128">
        <v>3.4003199999999997E-2</v>
      </c>
      <c r="BX128">
        <v>2.1996700000000001E-2</v>
      </c>
      <c r="BY128">
        <v>3.39958E-2</v>
      </c>
      <c r="BZ128">
        <v>25</v>
      </c>
      <c r="CA128">
        <v>33528.5</v>
      </c>
      <c r="CB128">
        <v>1690384821</v>
      </c>
      <c r="CC128" t="s">
        <v>332</v>
      </c>
      <c r="CD128">
        <v>1690384820</v>
      </c>
      <c r="CE128">
        <v>1690384821</v>
      </c>
      <c r="CF128">
        <v>5</v>
      </c>
      <c r="CG128">
        <v>-2.5000000000000001E-2</v>
      </c>
      <c r="CH128">
        <v>0.104</v>
      </c>
      <c r="CI128">
        <v>-0.28799999999999998</v>
      </c>
      <c r="CJ128">
        <v>0.28000000000000003</v>
      </c>
      <c r="CK128">
        <v>800</v>
      </c>
      <c r="CL128">
        <v>24</v>
      </c>
      <c r="CM128">
        <v>0.08</v>
      </c>
      <c r="CN128">
        <v>0.11</v>
      </c>
      <c r="CO128">
        <v>-197.553</v>
      </c>
      <c r="CP128">
        <v>-21.413538461538181</v>
      </c>
      <c r="CQ128">
        <v>2.0606163398362152</v>
      </c>
      <c r="CR128">
        <v>-1</v>
      </c>
      <c r="CS128">
        <v>11.265605000000001</v>
      </c>
      <c r="CT128">
        <v>1.172244652908063</v>
      </c>
      <c r="CU128">
        <v>0.1134292752114727</v>
      </c>
      <c r="CV128">
        <v>-1</v>
      </c>
      <c r="CW128">
        <v>0</v>
      </c>
      <c r="CX128">
        <v>0</v>
      </c>
      <c r="CY128" t="s">
        <v>333</v>
      </c>
      <c r="CZ128">
        <v>2.3648400000000001</v>
      </c>
      <c r="DA128">
        <v>2.7137899999999999</v>
      </c>
      <c r="DB128">
        <v>0.119854</v>
      </c>
      <c r="DC128">
        <v>0.145677</v>
      </c>
      <c r="DD128">
        <v>0.111766</v>
      </c>
      <c r="DE128">
        <v>6.81253E-2</v>
      </c>
      <c r="DF128">
        <v>32154.6</v>
      </c>
      <c r="DG128">
        <v>27554.1</v>
      </c>
      <c r="DH128">
        <v>31187.599999999999</v>
      </c>
      <c r="DI128">
        <v>28102.7</v>
      </c>
      <c r="DJ128">
        <v>37610.199999999997</v>
      </c>
      <c r="DK128">
        <v>37241.199999999997</v>
      </c>
      <c r="DL128">
        <v>44386.7</v>
      </c>
      <c r="DM128">
        <v>42596</v>
      </c>
      <c r="DN128">
        <v>1.4681999999999999</v>
      </c>
      <c r="DO128">
        <v>2.0492499999999998</v>
      </c>
      <c r="DP128">
        <v>0.11171</v>
      </c>
      <c r="DQ128">
        <v>0.18962100000000001</v>
      </c>
      <c r="DR128">
        <v>25.150300000000001</v>
      </c>
      <c r="DS128">
        <v>24.901599999999998</v>
      </c>
      <c r="DT128">
        <v>55.7</v>
      </c>
      <c r="DU128">
        <v>28.8</v>
      </c>
      <c r="DV128">
        <v>22.443100000000001</v>
      </c>
      <c r="DW128">
        <v>60.542200000000001</v>
      </c>
      <c r="DX128">
        <v>36.246000000000002</v>
      </c>
      <c r="DY128">
        <v>1</v>
      </c>
      <c r="DZ128">
        <v>-0.11046499999999999</v>
      </c>
      <c r="EA128">
        <v>-0.110607</v>
      </c>
      <c r="EB128">
        <v>20.190100000000001</v>
      </c>
      <c r="EC128">
        <v>5.2411000000000003</v>
      </c>
      <c r="ED128">
        <v>12.039899999999999</v>
      </c>
      <c r="EE128">
        <v>5.0165499999999996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</v>
      </c>
      <c r="EL128">
        <v>1.8646199999999999</v>
      </c>
      <c r="EM128">
        <v>1.8692</v>
      </c>
      <c r="EN128">
        <v>1.8672299999999999</v>
      </c>
      <c r="EO128">
        <v>1.8633900000000001</v>
      </c>
      <c r="EP128">
        <v>1.8644499999999999</v>
      </c>
      <c r="EQ128">
        <v>1.87015</v>
      </c>
      <c r="ER128">
        <v>1.8693900000000001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-0.14699999999999999</v>
      </c>
      <c r="FG128">
        <v>0.27960000000000002</v>
      </c>
      <c r="FH128">
        <v>0.26269369235785539</v>
      </c>
      <c r="FI128">
        <v>-6.1462078757559423E-4</v>
      </c>
      <c r="FJ128">
        <v>-1.8861989874597051E-7</v>
      </c>
      <c r="FK128">
        <v>1.1980462299894961E-10</v>
      </c>
      <c r="FL128">
        <v>0.27968571428570849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28.3</v>
      </c>
      <c r="FU128">
        <v>28.2</v>
      </c>
      <c r="FV128">
        <v>1.78467</v>
      </c>
      <c r="FW128">
        <v>2.5866699999999998</v>
      </c>
      <c r="FX128">
        <v>1.5490699999999999</v>
      </c>
      <c r="FY128">
        <v>2.3315399999999999</v>
      </c>
      <c r="FZ128">
        <v>1.50146</v>
      </c>
      <c r="GA128">
        <v>2.3168899999999999</v>
      </c>
      <c r="GB128">
        <v>33.535499999999999</v>
      </c>
      <c r="GC128">
        <v>23.973700000000001</v>
      </c>
      <c r="GD128">
        <v>19</v>
      </c>
      <c r="GE128">
        <v>278.67500000000001</v>
      </c>
      <c r="GF128">
        <v>591.73099999999999</v>
      </c>
      <c r="GG128">
        <v>24.466100000000001</v>
      </c>
      <c r="GH128">
        <v>26.017299999999999</v>
      </c>
      <c r="GI128">
        <v>29.9998</v>
      </c>
      <c r="GJ128">
        <v>26.165299999999998</v>
      </c>
      <c r="GK128">
        <v>26.152699999999999</v>
      </c>
      <c r="GL128">
        <v>35.6708</v>
      </c>
      <c r="GM128">
        <v>50.029299999999999</v>
      </c>
      <c r="GN128">
        <v>84.805300000000003</v>
      </c>
      <c r="GO128">
        <v>24.488299999999999</v>
      </c>
      <c r="GP128">
        <v>800</v>
      </c>
      <c r="GQ128">
        <v>11.950699999999999</v>
      </c>
      <c r="GR128">
        <v>99.792000000000002</v>
      </c>
      <c r="GS128">
        <v>99.644999999999996</v>
      </c>
    </row>
    <row r="129" spans="1:201" x14ac:dyDescent="0.25">
      <c r="A129">
        <v>113</v>
      </c>
      <c r="B129">
        <v>1690386525.5999999</v>
      </c>
      <c r="C129">
        <v>1191</v>
      </c>
      <c r="D129" t="s">
        <v>559</v>
      </c>
      <c r="E129" t="s">
        <v>560</v>
      </c>
      <c r="F129" t="s">
        <v>330</v>
      </c>
      <c r="H129">
        <v>1690386525.5999999</v>
      </c>
      <c r="I129">
        <f t="shared" si="30"/>
        <v>1.1317814809814238E-3</v>
      </c>
      <c r="J129">
        <f t="shared" si="31"/>
        <v>1.1317814809814239</v>
      </c>
      <c r="K129">
        <f t="shared" si="32"/>
        <v>18.67519627446331</v>
      </c>
      <c r="L129">
        <f t="shared" si="33"/>
        <v>595.01599999999996</v>
      </c>
      <c r="M129">
        <f t="shared" si="34"/>
        <v>180.99077446067716</v>
      </c>
      <c r="N129">
        <f t="shared" si="35"/>
        <v>17.874315681720695</v>
      </c>
      <c r="O129">
        <f t="shared" si="36"/>
        <v>58.762684735543999</v>
      </c>
      <c r="P129">
        <f t="shared" si="37"/>
        <v>7.5087013660481691E-2</v>
      </c>
      <c r="Q129">
        <f t="shared" si="38"/>
        <v>2.1603491052818042</v>
      </c>
      <c r="R129">
        <f t="shared" si="39"/>
        <v>7.3666718715348703E-2</v>
      </c>
      <c r="S129">
        <f t="shared" si="40"/>
        <v>4.6167069404502388E-2</v>
      </c>
      <c r="T129">
        <f t="shared" si="41"/>
        <v>276.11479205999996</v>
      </c>
      <c r="U129">
        <f t="shared" si="42"/>
        <v>28.030163336604691</v>
      </c>
      <c r="V129">
        <f t="shared" si="43"/>
        <v>28.030163336604691</v>
      </c>
      <c r="W129">
        <f t="shared" si="44"/>
        <v>3.8015177182550595</v>
      </c>
      <c r="X129">
        <f t="shared" si="45"/>
        <v>68.025650728983933</v>
      </c>
      <c r="Y129">
        <f t="shared" si="46"/>
        <v>2.3313542320653</v>
      </c>
      <c r="Z129">
        <f t="shared" si="47"/>
        <v>3.4271693208102918</v>
      </c>
      <c r="AA129">
        <f t="shared" si="48"/>
        <v>1.4701634861897594</v>
      </c>
      <c r="AB129">
        <f t="shared" si="49"/>
        <v>-49.911563311280794</v>
      </c>
      <c r="AC129">
        <f t="shared" si="50"/>
        <v>-205.79599514381303</v>
      </c>
      <c r="AD129">
        <f t="shared" si="51"/>
        <v>-20.588684146295364</v>
      </c>
      <c r="AE129">
        <f t="shared" si="52"/>
        <v>-0.18145054138921068</v>
      </c>
      <c r="AF129">
        <v>0</v>
      </c>
      <c r="AG129">
        <v>0</v>
      </c>
      <c r="AH129">
        <f t="shared" si="53"/>
        <v>1</v>
      </c>
      <c r="AI129">
        <f t="shared" si="54"/>
        <v>0</v>
      </c>
      <c r="AJ129">
        <f t="shared" si="55"/>
        <v>52399.34734283002</v>
      </c>
      <c r="AK129">
        <f t="shared" si="56"/>
        <v>1800</v>
      </c>
      <c r="AL129">
        <f t="shared" si="57"/>
        <v>1499.111523</v>
      </c>
      <c r="AM129">
        <f t="shared" si="58"/>
        <v>0.83283973499999997</v>
      </c>
      <c r="AN129">
        <f t="shared" si="59"/>
        <v>0.15339710669999998</v>
      </c>
      <c r="AO129">
        <v>31.8</v>
      </c>
      <c r="AP129">
        <v>0.5</v>
      </c>
      <c r="AQ129" t="s">
        <v>331</v>
      </c>
      <c r="AR129">
        <v>2</v>
      </c>
      <c r="AS129">
        <v>1690386525.5999999</v>
      </c>
      <c r="AT129">
        <v>595.01599999999996</v>
      </c>
      <c r="AU129">
        <v>799.97</v>
      </c>
      <c r="AV129">
        <v>23.6067</v>
      </c>
      <c r="AW129">
        <v>11.9011</v>
      </c>
      <c r="AX129">
        <v>595.16099999999994</v>
      </c>
      <c r="AY129">
        <v>23.327000000000002</v>
      </c>
      <c r="AZ129">
        <v>300.20699999999999</v>
      </c>
      <c r="BA129">
        <v>98.658100000000005</v>
      </c>
      <c r="BB129">
        <v>0.100059</v>
      </c>
      <c r="BC129">
        <v>26.263200000000001</v>
      </c>
      <c r="BD129">
        <v>26.982399999999998</v>
      </c>
      <c r="BE129">
        <v>28.001799999999999</v>
      </c>
      <c r="BF129">
        <v>0</v>
      </c>
      <c r="BG129">
        <v>0</v>
      </c>
      <c r="BH129">
        <v>10020.6</v>
      </c>
      <c r="BI129">
        <v>1073.93</v>
      </c>
      <c r="BJ129">
        <v>1.5137799999999999</v>
      </c>
      <c r="BK129">
        <v>-204.953</v>
      </c>
      <c r="BL129">
        <v>609.40200000000004</v>
      </c>
      <c r="BM129">
        <v>809.60500000000002</v>
      </c>
      <c r="BN129">
        <v>11.7056</v>
      </c>
      <c r="BO129">
        <v>799.97</v>
      </c>
      <c r="BP129">
        <v>11.9011</v>
      </c>
      <c r="BQ129">
        <v>2.3289900000000001</v>
      </c>
      <c r="BR129">
        <v>1.17414</v>
      </c>
      <c r="BS129">
        <v>19.878299999999999</v>
      </c>
      <c r="BT129">
        <v>9.2776099999999992</v>
      </c>
      <c r="BU129">
        <v>1800</v>
      </c>
      <c r="BV129">
        <v>0.91000499999999995</v>
      </c>
      <c r="BW129">
        <v>3.4002900000000003E-2</v>
      </c>
      <c r="BX129">
        <v>2.1996499999999999E-2</v>
      </c>
      <c r="BY129">
        <v>3.3995400000000002E-2</v>
      </c>
      <c r="BZ129">
        <v>25</v>
      </c>
      <c r="CA129">
        <v>33528.5</v>
      </c>
      <c r="CB129">
        <v>1690384821</v>
      </c>
      <c r="CC129" t="s">
        <v>332</v>
      </c>
      <c r="CD129">
        <v>1690384820</v>
      </c>
      <c r="CE129">
        <v>1690384821</v>
      </c>
      <c r="CF129">
        <v>5</v>
      </c>
      <c r="CG129">
        <v>-2.5000000000000001E-2</v>
      </c>
      <c r="CH129">
        <v>0.104</v>
      </c>
      <c r="CI129">
        <v>-0.28799999999999998</v>
      </c>
      <c r="CJ129">
        <v>0.28000000000000003</v>
      </c>
      <c r="CK129">
        <v>800</v>
      </c>
      <c r="CL129">
        <v>24</v>
      </c>
      <c r="CM129">
        <v>0.08</v>
      </c>
      <c r="CN129">
        <v>0.11</v>
      </c>
      <c r="CO129">
        <v>-201.47075000000001</v>
      </c>
      <c r="CP129">
        <v>-21.298784240149288</v>
      </c>
      <c r="CQ129">
        <v>2.0495440803993441</v>
      </c>
      <c r="CR129">
        <v>-1</v>
      </c>
      <c r="CS129">
        <v>11.4879125</v>
      </c>
      <c r="CT129">
        <v>1.257749718574076</v>
      </c>
      <c r="CU129">
        <v>0.1214913992583425</v>
      </c>
      <c r="CV129">
        <v>-1</v>
      </c>
      <c r="CW129">
        <v>0</v>
      </c>
      <c r="CX129">
        <v>0</v>
      </c>
      <c r="CY129" t="s">
        <v>333</v>
      </c>
      <c r="CZ129">
        <v>2.3649399999999998</v>
      </c>
      <c r="DA129">
        <v>2.71387</v>
      </c>
      <c r="DB129">
        <v>0.119348</v>
      </c>
      <c r="DC129">
        <v>0.14565800000000001</v>
      </c>
      <c r="DD129">
        <v>0.111854</v>
      </c>
      <c r="DE129">
        <v>6.7283200000000001E-2</v>
      </c>
      <c r="DF129">
        <v>32173.599999999999</v>
      </c>
      <c r="DG129">
        <v>27554.7</v>
      </c>
      <c r="DH129">
        <v>31188.1</v>
      </c>
      <c r="DI129">
        <v>28102.7</v>
      </c>
      <c r="DJ129">
        <v>37607</v>
      </c>
      <c r="DK129">
        <v>37274.800000000003</v>
      </c>
      <c r="DL129">
        <v>44387.4</v>
      </c>
      <c r="DM129">
        <v>42595.9</v>
      </c>
      <c r="DN129">
        <v>1.46882</v>
      </c>
      <c r="DO129">
        <v>2.0491000000000001</v>
      </c>
      <c r="DP129">
        <v>0.111856</v>
      </c>
      <c r="DQ129">
        <v>0.18939400000000001</v>
      </c>
      <c r="DR129">
        <v>25.150300000000001</v>
      </c>
      <c r="DS129">
        <v>24.901599999999998</v>
      </c>
      <c r="DT129">
        <v>55.5</v>
      </c>
      <c r="DU129">
        <v>28.8</v>
      </c>
      <c r="DV129">
        <v>22.363800000000001</v>
      </c>
      <c r="DW129">
        <v>60.802199999999999</v>
      </c>
      <c r="DX129">
        <v>36.185899999999997</v>
      </c>
      <c r="DY129">
        <v>1</v>
      </c>
      <c r="DZ129">
        <v>-0.110429</v>
      </c>
      <c r="EA129">
        <v>4.9700399999999999E-2</v>
      </c>
      <c r="EB129">
        <v>20.1904</v>
      </c>
      <c r="EC129">
        <v>5.2411000000000003</v>
      </c>
      <c r="ED129">
        <v>12.039899999999999</v>
      </c>
      <c r="EE129">
        <v>5.01715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</v>
      </c>
      <c r="EL129">
        <v>1.8646199999999999</v>
      </c>
      <c r="EM129">
        <v>1.8692</v>
      </c>
      <c r="EN129">
        <v>1.8672200000000001</v>
      </c>
      <c r="EO129">
        <v>1.86337</v>
      </c>
      <c r="EP129">
        <v>1.86446</v>
      </c>
      <c r="EQ129">
        <v>1.87015</v>
      </c>
      <c r="ER129">
        <v>1.86941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-0.14499999999999999</v>
      </c>
      <c r="FG129">
        <v>0.2797</v>
      </c>
      <c r="FH129">
        <v>0.26269369235785539</v>
      </c>
      <c r="FI129">
        <v>-6.1462078757559423E-4</v>
      </c>
      <c r="FJ129">
        <v>-1.8861989874597051E-7</v>
      </c>
      <c r="FK129">
        <v>1.1980462299894961E-10</v>
      </c>
      <c r="FL129">
        <v>0.27968571428570849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28.4</v>
      </c>
      <c r="FU129">
        <v>28.4</v>
      </c>
      <c r="FV129">
        <v>1.78345</v>
      </c>
      <c r="FW129">
        <v>2.5854499999999998</v>
      </c>
      <c r="FX129">
        <v>1.5490699999999999</v>
      </c>
      <c r="FY129">
        <v>2.3315399999999999</v>
      </c>
      <c r="FZ129">
        <v>1.50146</v>
      </c>
      <c r="GA129">
        <v>2.2827099999999998</v>
      </c>
      <c r="GB129">
        <v>33.535499999999999</v>
      </c>
      <c r="GC129">
        <v>23.982399999999998</v>
      </c>
      <c r="GD129">
        <v>19</v>
      </c>
      <c r="GE129">
        <v>278.928</v>
      </c>
      <c r="GF129">
        <v>591.58100000000002</v>
      </c>
      <c r="GG129">
        <v>24.4984</v>
      </c>
      <c r="GH129">
        <v>26.0151</v>
      </c>
      <c r="GI129">
        <v>30.0001</v>
      </c>
      <c r="GJ129">
        <v>26.1631</v>
      </c>
      <c r="GK129">
        <v>26.150500000000001</v>
      </c>
      <c r="GL129">
        <v>35.671399999999998</v>
      </c>
      <c r="GM129">
        <v>50.634999999999998</v>
      </c>
      <c r="GN129">
        <v>84.036100000000005</v>
      </c>
      <c r="GO129">
        <v>24.474399999999999</v>
      </c>
      <c r="GP129">
        <v>800</v>
      </c>
      <c r="GQ129">
        <v>11.74</v>
      </c>
      <c r="GR129">
        <v>99.793599999999998</v>
      </c>
      <c r="GS129">
        <v>99.644800000000004</v>
      </c>
    </row>
    <row r="130" spans="1:201" x14ac:dyDescent="0.25">
      <c r="A130">
        <v>114</v>
      </c>
      <c r="B130">
        <v>1690386535.5999999</v>
      </c>
      <c r="C130">
        <v>1201</v>
      </c>
      <c r="D130" t="s">
        <v>561</v>
      </c>
      <c r="E130" t="s">
        <v>562</v>
      </c>
      <c r="F130" t="s">
        <v>330</v>
      </c>
      <c r="H130">
        <v>1690386535.5999999</v>
      </c>
      <c r="I130">
        <f t="shared" si="30"/>
        <v>1.1536916738416195E-3</v>
      </c>
      <c r="J130">
        <f t="shared" si="31"/>
        <v>1.1536916738416196</v>
      </c>
      <c r="K130">
        <f t="shared" si="32"/>
        <v>19.019623488923983</v>
      </c>
      <c r="L130">
        <f t="shared" si="33"/>
        <v>591.38300000000004</v>
      </c>
      <c r="M130">
        <f t="shared" si="34"/>
        <v>177.9005883009724</v>
      </c>
      <c r="N130">
        <f t="shared" si="35"/>
        <v>17.567798498832659</v>
      </c>
      <c r="O130">
        <f t="shared" si="36"/>
        <v>58.399454880152099</v>
      </c>
      <c r="P130">
        <f t="shared" si="37"/>
        <v>7.6585868203299781E-2</v>
      </c>
      <c r="Q130">
        <f t="shared" si="38"/>
        <v>2.1560728995904812</v>
      </c>
      <c r="R130">
        <f t="shared" si="39"/>
        <v>7.5106037448773644E-2</v>
      </c>
      <c r="S130">
        <f t="shared" si="40"/>
        <v>4.7071848701545807E-2</v>
      </c>
      <c r="T130">
        <f t="shared" si="41"/>
        <v>276.11329556472481</v>
      </c>
      <c r="U130">
        <f t="shared" si="42"/>
        <v>28.034064815130542</v>
      </c>
      <c r="V130">
        <f t="shared" si="43"/>
        <v>28.034064815130542</v>
      </c>
      <c r="W130">
        <f t="shared" si="44"/>
        <v>3.8023822379439971</v>
      </c>
      <c r="X130">
        <f t="shared" si="45"/>
        <v>68.028904979073914</v>
      </c>
      <c r="Y130">
        <f t="shared" si="46"/>
        <v>2.3326088230724404</v>
      </c>
      <c r="Z130">
        <f t="shared" si="47"/>
        <v>3.4288495806157169</v>
      </c>
      <c r="AA130">
        <f t="shared" si="48"/>
        <v>1.4697734148715567</v>
      </c>
      <c r="AB130">
        <f t="shared" si="49"/>
        <v>-50.877802816415418</v>
      </c>
      <c r="AC130">
        <f t="shared" si="50"/>
        <v>-204.87736530604471</v>
      </c>
      <c r="AD130">
        <f t="shared" si="51"/>
        <v>-20.538683962315389</v>
      </c>
      <c r="AE130">
        <f t="shared" si="52"/>
        <v>-0.18055652005071465</v>
      </c>
      <c r="AF130">
        <v>0</v>
      </c>
      <c r="AG130">
        <v>0</v>
      </c>
      <c r="AH130">
        <f t="shared" si="53"/>
        <v>1</v>
      </c>
      <c r="AI130">
        <f t="shared" si="54"/>
        <v>0</v>
      </c>
      <c r="AJ130">
        <f t="shared" si="55"/>
        <v>52218.543178035572</v>
      </c>
      <c r="AK130">
        <f t="shared" si="56"/>
        <v>1799.99</v>
      </c>
      <c r="AL130">
        <f t="shared" si="57"/>
        <v>1499.1040261980299</v>
      </c>
      <c r="AM130">
        <f t="shared" si="58"/>
        <v>0.832840197</v>
      </c>
      <c r="AN130">
        <f t="shared" si="59"/>
        <v>0.15339712752000001</v>
      </c>
      <c r="AO130">
        <v>31.8</v>
      </c>
      <c r="AP130">
        <v>0.5</v>
      </c>
      <c r="AQ130" t="s">
        <v>331</v>
      </c>
      <c r="AR130">
        <v>2</v>
      </c>
      <c r="AS130">
        <v>1690386535.5999999</v>
      </c>
      <c r="AT130">
        <v>591.38300000000004</v>
      </c>
      <c r="AU130">
        <v>800.173</v>
      </c>
      <c r="AV130">
        <v>23.621200000000002</v>
      </c>
      <c r="AW130">
        <v>11.6838</v>
      </c>
      <c r="AX130">
        <v>591.52599999999995</v>
      </c>
      <c r="AY130">
        <v>23.3415</v>
      </c>
      <c r="AZ130">
        <v>300.072</v>
      </c>
      <c r="BA130">
        <v>98.650700000000001</v>
      </c>
      <c r="BB130">
        <v>9.9948700000000001E-2</v>
      </c>
      <c r="BC130">
        <v>26.2715</v>
      </c>
      <c r="BD130">
        <v>26.942799999999998</v>
      </c>
      <c r="BE130">
        <v>28.0137</v>
      </c>
      <c r="BF130">
        <v>0</v>
      </c>
      <c r="BG130">
        <v>0</v>
      </c>
      <c r="BH130">
        <v>9985.6200000000008</v>
      </c>
      <c r="BI130">
        <v>1073.96</v>
      </c>
      <c r="BJ130">
        <v>1.5137799999999999</v>
      </c>
      <c r="BK130">
        <v>-208.79</v>
      </c>
      <c r="BL130">
        <v>605.69100000000003</v>
      </c>
      <c r="BM130">
        <v>809.63300000000004</v>
      </c>
      <c r="BN130">
        <v>11.9374</v>
      </c>
      <c r="BO130">
        <v>800.173</v>
      </c>
      <c r="BP130">
        <v>11.6838</v>
      </c>
      <c r="BQ130">
        <v>2.3302499999999999</v>
      </c>
      <c r="BR130">
        <v>1.1526099999999999</v>
      </c>
      <c r="BS130">
        <v>19.887</v>
      </c>
      <c r="BT130">
        <v>9.0031700000000008</v>
      </c>
      <c r="BU130">
        <v>1799.99</v>
      </c>
      <c r="BV130">
        <v>0.91000700000000001</v>
      </c>
      <c r="BW130">
        <v>3.4002299999999999E-2</v>
      </c>
      <c r="BX130">
        <v>2.1996100000000001E-2</v>
      </c>
      <c r="BY130">
        <v>3.3994799999999999E-2</v>
      </c>
      <c r="BZ130">
        <v>25</v>
      </c>
      <c r="CA130">
        <v>33528.300000000003</v>
      </c>
      <c r="CB130">
        <v>1690384821</v>
      </c>
      <c r="CC130" t="s">
        <v>332</v>
      </c>
      <c r="CD130">
        <v>1690384820</v>
      </c>
      <c r="CE130">
        <v>1690384821</v>
      </c>
      <c r="CF130">
        <v>5</v>
      </c>
      <c r="CG130">
        <v>-2.5000000000000001E-2</v>
      </c>
      <c r="CH130">
        <v>0.104</v>
      </c>
      <c r="CI130">
        <v>-0.28799999999999998</v>
      </c>
      <c r="CJ130">
        <v>0.28000000000000003</v>
      </c>
      <c r="CK130">
        <v>800</v>
      </c>
      <c r="CL130">
        <v>24</v>
      </c>
      <c r="CM130">
        <v>0.08</v>
      </c>
      <c r="CN130">
        <v>0.11</v>
      </c>
      <c r="CO130">
        <v>-204.75439024390241</v>
      </c>
      <c r="CP130">
        <v>-21.398090592335031</v>
      </c>
      <c r="CQ130">
        <v>2.1112023493509171</v>
      </c>
      <c r="CR130">
        <v>-1</v>
      </c>
      <c r="CS130">
        <v>11.69396585365854</v>
      </c>
      <c r="CT130">
        <v>1.3792160278745551</v>
      </c>
      <c r="CU130">
        <v>0.13623477155399361</v>
      </c>
      <c r="CV130">
        <v>-1</v>
      </c>
      <c r="CW130">
        <v>0</v>
      </c>
      <c r="CX130">
        <v>0</v>
      </c>
      <c r="CY130" t="s">
        <v>333</v>
      </c>
      <c r="CZ130">
        <v>2.3645100000000001</v>
      </c>
      <c r="DA130">
        <v>2.71373</v>
      </c>
      <c r="DB130">
        <v>0.118826</v>
      </c>
      <c r="DC130">
        <v>0.14566999999999999</v>
      </c>
      <c r="DD130">
        <v>0.111896</v>
      </c>
      <c r="DE130">
        <v>6.6350400000000004E-2</v>
      </c>
      <c r="DF130">
        <v>32193.200000000001</v>
      </c>
      <c r="DG130">
        <v>27554.7</v>
      </c>
      <c r="DH130">
        <v>31188.6</v>
      </c>
      <c r="DI130">
        <v>28103.1</v>
      </c>
      <c r="DJ130">
        <v>37605.800000000003</v>
      </c>
      <c r="DK130">
        <v>37312.6</v>
      </c>
      <c r="DL130">
        <v>44388.1</v>
      </c>
      <c r="DM130">
        <v>42596.4</v>
      </c>
      <c r="DN130">
        <v>1.4683999999999999</v>
      </c>
      <c r="DO130">
        <v>2.04888</v>
      </c>
      <c r="DP130">
        <v>0.109434</v>
      </c>
      <c r="DQ130">
        <v>0.189997</v>
      </c>
      <c r="DR130">
        <v>25.150300000000001</v>
      </c>
      <c r="DS130">
        <v>24.903700000000001</v>
      </c>
      <c r="DT130">
        <v>55.4</v>
      </c>
      <c r="DU130">
        <v>28.8</v>
      </c>
      <c r="DV130">
        <v>22.3248</v>
      </c>
      <c r="DW130">
        <v>60.732199999999999</v>
      </c>
      <c r="DX130">
        <v>37.051299999999998</v>
      </c>
      <c r="DY130">
        <v>1</v>
      </c>
      <c r="DZ130">
        <v>-0.110927</v>
      </c>
      <c r="EA130">
        <v>-0.13690099999999999</v>
      </c>
      <c r="EB130">
        <v>20.190300000000001</v>
      </c>
      <c r="EC130">
        <v>5.24125</v>
      </c>
      <c r="ED130">
        <v>12.039899999999999</v>
      </c>
      <c r="EE130">
        <v>5.0171999999999999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1.8689100000000001</v>
      </c>
      <c r="EL130">
        <v>1.8646199999999999</v>
      </c>
      <c r="EM130">
        <v>1.8692200000000001</v>
      </c>
      <c r="EN130">
        <v>1.8672599999999999</v>
      </c>
      <c r="EO130">
        <v>1.8633900000000001</v>
      </c>
      <c r="EP130">
        <v>1.8644499999999999</v>
      </c>
      <c r="EQ130">
        <v>1.87019</v>
      </c>
      <c r="ER130">
        <v>1.8693900000000001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-0.14299999999999999</v>
      </c>
      <c r="FG130">
        <v>0.2797</v>
      </c>
      <c r="FH130">
        <v>0.26269369235785539</v>
      </c>
      <c r="FI130">
        <v>-6.1462078757559423E-4</v>
      </c>
      <c r="FJ130">
        <v>-1.8861989874597051E-7</v>
      </c>
      <c r="FK130">
        <v>1.1980462299894961E-10</v>
      </c>
      <c r="FL130">
        <v>0.27968571428570849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28.6</v>
      </c>
      <c r="FU130">
        <v>28.6</v>
      </c>
      <c r="FV130">
        <v>1.78345</v>
      </c>
      <c r="FW130">
        <v>2.5781200000000002</v>
      </c>
      <c r="FX130">
        <v>1.5490699999999999</v>
      </c>
      <c r="FY130">
        <v>2.3315399999999999</v>
      </c>
      <c r="FZ130">
        <v>1.50146</v>
      </c>
      <c r="GA130">
        <v>2.3913600000000002</v>
      </c>
      <c r="GB130">
        <v>33.535499999999999</v>
      </c>
      <c r="GC130">
        <v>23.982399999999998</v>
      </c>
      <c r="GD130">
        <v>19</v>
      </c>
      <c r="GE130">
        <v>278.74</v>
      </c>
      <c r="GF130">
        <v>591.36800000000005</v>
      </c>
      <c r="GG130">
        <v>24.493099999999998</v>
      </c>
      <c r="GH130">
        <v>26.013999999999999</v>
      </c>
      <c r="GI130">
        <v>29.9999</v>
      </c>
      <c r="GJ130">
        <v>26.160900000000002</v>
      </c>
      <c r="GK130">
        <v>26.148299999999999</v>
      </c>
      <c r="GL130">
        <v>35.661900000000003</v>
      </c>
      <c r="GM130">
        <v>51.2121</v>
      </c>
      <c r="GN130">
        <v>83.282399999999996</v>
      </c>
      <c r="GO130">
        <v>24.517399999999999</v>
      </c>
      <c r="GP130">
        <v>800</v>
      </c>
      <c r="GQ130">
        <v>11.5303</v>
      </c>
      <c r="GR130">
        <v>99.795199999999994</v>
      </c>
      <c r="GS130">
        <v>99.646100000000004</v>
      </c>
    </row>
    <row r="131" spans="1:201" x14ac:dyDescent="0.25">
      <c r="A131">
        <v>115</v>
      </c>
      <c r="B131">
        <v>1690386545.5999999</v>
      </c>
      <c r="C131">
        <v>1211</v>
      </c>
      <c r="D131" t="s">
        <v>563</v>
      </c>
      <c r="E131" t="s">
        <v>564</v>
      </c>
      <c r="F131" t="s">
        <v>330</v>
      </c>
      <c r="H131">
        <v>1690386545.5999999</v>
      </c>
      <c r="I131">
        <f t="shared" si="30"/>
        <v>1.176075113093253E-3</v>
      </c>
      <c r="J131">
        <f t="shared" si="31"/>
        <v>1.176075113093253</v>
      </c>
      <c r="K131">
        <f t="shared" si="32"/>
        <v>19.327273158894243</v>
      </c>
      <c r="L131">
        <f t="shared" si="33"/>
        <v>587.88599999999997</v>
      </c>
      <c r="M131">
        <f t="shared" si="34"/>
        <v>176.80679608790302</v>
      </c>
      <c r="N131">
        <f t="shared" si="35"/>
        <v>17.4599794647328</v>
      </c>
      <c r="O131">
        <f t="shared" si="36"/>
        <v>58.054767773184004</v>
      </c>
      <c r="P131">
        <f t="shared" si="37"/>
        <v>7.8304277782349191E-2</v>
      </c>
      <c r="Q131">
        <f t="shared" si="38"/>
        <v>2.1551857444494322</v>
      </c>
      <c r="R131">
        <f t="shared" si="39"/>
        <v>7.6757393614619321E-2</v>
      </c>
      <c r="S131">
        <f t="shared" si="40"/>
        <v>4.8109807195315046E-2</v>
      </c>
      <c r="T131">
        <f t="shared" si="41"/>
        <v>276.11305976603478</v>
      </c>
      <c r="U131">
        <f t="shared" si="42"/>
        <v>28.024798953617989</v>
      </c>
      <c r="V131">
        <f t="shared" si="43"/>
        <v>28.024798953617989</v>
      </c>
      <c r="W131">
        <f t="shared" si="44"/>
        <v>3.8003293169112378</v>
      </c>
      <c r="X131">
        <f t="shared" si="45"/>
        <v>68.085736929470471</v>
      </c>
      <c r="Y131">
        <f t="shared" si="46"/>
        <v>2.3342542239744</v>
      </c>
      <c r="Z131">
        <f t="shared" si="47"/>
        <v>3.4284041404919172</v>
      </c>
      <c r="AA131">
        <f t="shared" si="48"/>
        <v>1.4660750929368378</v>
      </c>
      <c r="AB131">
        <f t="shared" si="49"/>
        <v>-51.864912487412461</v>
      </c>
      <c r="AC131">
        <f t="shared" si="50"/>
        <v>-203.97207972251007</v>
      </c>
      <c r="AD131">
        <f t="shared" si="51"/>
        <v>-20.455173884501896</v>
      </c>
      <c r="AE131">
        <f t="shared" si="52"/>
        <v>-0.17910632838965057</v>
      </c>
      <c r="AF131">
        <v>0</v>
      </c>
      <c r="AG131">
        <v>0</v>
      </c>
      <c r="AH131">
        <f t="shared" si="53"/>
        <v>1</v>
      </c>
      <c r="AI131">
        <f t="shared" si="54"/>
        <v>0</v>
      </c>
      <c r="AJ131">
        <f t="shared" si="55"/>
        <v>52181.820744538672</v>
      </c>
      <c r="AK131">
        <f t="shared" si="56"/>
        <v>1799.99</v>
      </c>
      <c r="AL131">
        <f t="shared" si="57"/>
        <v>1499.10433219633</v>
      </c>
      <c r="AM131">
        <f t="shared" si="58"/>
        <v>0.83284036699999997</v>
      </c>
      <c r="AN131">
        <f t="shared" si="59"/>
        <v>0.15339699652</v>
      </c>
      <c r="AO131">
        <v>31.8</v>
      </c>
      <c r="AP131">
        <v>0.5</v>
      </c>
      <c r="AQ131" t="s">
        <v>331</v>
      </c>
      <c r="AR131">
        <v>2</v>
      </c>
      <c r="AS131">
        <v>1690386545.5999999</v>
      </c>
      <c r="AT131">
        <v>587.88599999999997</v>
      </c>
      <c r="AU131">
        <v>800.03300000000002</v>
      </c>
      <c r="AV131">
        <v>23.637599999999999</v>
      </c>
      <c r="AW131">
        <v>11.4688</v>
      </c>
      <c r="AX131">
        <v>588.02499999999998</v>
      </c>
      <c r="AY131">
        <v>23.357900000000001</v>
      </c>
      <c r="AZ131">
        <v>300.072</v>
      </c>
      <c r="BA131">
        <v>98.651700000000005</v>
      </c>
      <c r="BB131">
        <v>0.10004399999999999</v>
      </c>
      <c r="BC131">
        <v>26.269300000000001</v>
      </c>
      <c r="BD131">
        <v>26.9694</v>
      </c>
      <c r="BE131">
        <v>28.013500000000001</v>
      </c>
      <c r="BF131">
        <v>0</v>
      </c>
      <c r="BG131">
        <v>0</v>
      </c>
      <c r="BH131">
        <v>9978.1200000000008</v>
      </c>
      <c r="BI131">
        <v>1073.92</v>
      </c>
      <c r="BJ131">
        <v>1.5137799999999999</v>
      </c>
      <c r="BK131">
        <v>-212.148</v>
      </c>
      <c r="BL131">
        <v>602.11800000000005</v>
      </c>
      <c r="BM131">
        <v>809.31500000000005</v>
      </c>
      <c r="BN131">
        <v>12.168799999999999</v>
      </c>
      <c r="BO131">
        <v>800.03300000000002</v>
      </c>
      <c r="BP131">
        <v>11.4688</v>
      </c>
      <c r="BQ131">
        <v>2.33189</v>
      </c>
      <c r="BR131">
        <v>1.1314200000000001</v>
      </c>
      <c r="BS131">
        <v>19.898399999999999</v>
      </c>
      <c r="BT131">
        <v>8.7284900000000007</v>
      </c>
      <c r="BU131">
        <v>1799.99</v>
      </c>
      <c r="BV131">
        <v>0.91001100000000001</v>
      </c>
      <c r="BW131">
        <v>3.4000700000000002E-2</v>
      </c>
      <c r="BX131">
        <v>2.19951E-2</v>
      </c>
      <c r="BY131">
        <v>3.3993200000000001E-2</v>
      </c>
      <c r="BZ131">
        <v>25</v>
      </c>
      <c r="CA131">
        <v>33528.400000000001</v>
      </c>
      <c r="CB131">
        <v>1690384821</v>
      </c>
      <c r="CC131" t="s">
        <v>332</v>
      </c>
      <c r="CD131">
        <v>1690384820</v>
      </c>
      <c r="CE131">
        <v>1690384821</v>
      </c>
      <c r="CF131">
        <v>5</v>
      </c>
      <c r="CG131">
        <v>-2.5000000000000001E-2</v>
      </c>
      <c r="CH131">
        <v>0.104</v>
      </c>
      <c r="CI131">
        <v>-0.28799999999999998</v>
      </c>
      <c r="CJ131">
        <v>0.28000000000000003</v>
      </c>
      <c r="CK131">
        <v>800</v>
      </c>
      <c r="CL131">
        <v>24</v>
      </c>
      <c r="CM131">
        <v>0.08</v>
      </c>
      <c r="CN131">
        <v>0.11</v>
      </c>
      <c r="CO131">
        <v>-208.55122499999999</v>
      </c>
      <c r="CP131">
        <v>-21.12541463414567</v>
      </c>
      <c r="CQ131">
        <v>2.0343087829469249</v>
      </c>
      <c r="CR131">
        <v>-1</v>
      </c>
      <c r="CS131">
        <v>11.937620000000001</v>
      </c>
      <c r="CT131">
        <v>1.326477298311419</v>
      </c>
      <c r="CU131">
        <v>0.12777868992911129</v>
      </c>
      <c r="CV131">
        <v>-1</v>
      </c>
      <c r="CW131">
        <v>0</v>
      </c>
      <c r="CX131">
        <v>0</v>
      </c>
      <c r="CY131" t="s">
        <v>333</v>
      </c>
      <c r="CZ131">
        <v>2.3645200000000002</v>
      </c>
      <c r="DA131">
        <v>2.7138100000000001</v>
      </c>
      <c r="DB131">
        <v>0.11833100000000001</v>
      </c>
      <c r="DC131">
        <v>0.145651</v>
      </c>
      <c r="DD131">
        <v>0.111954</v>
      </c>
      <c r="DE131">
        <v>6.5426999999999999E-2</v>
      </c>
      <c r="DF131">
        <v>32211</v>
      </c>
      <c r="DG131">
        <v>27555</v>
      </c>
      <c r="DH131">
        <v>31188.3</v>
      </c>
      <c r="DI131">
        <v>28102.799999999999</v>
      </c>
      <c r="DJ131">
        <v>37602.699999999997</v>
      </c>
      <c r="DK131">
        <v>37349.300000000003</v>
      </c>
      <c r="DL131">
        <v>44387.5</v>
      </c>
      <c r="DM131">
        <v>42596</v>
      </c>
      <c r="DN131">
        <v>1.4688000000000001</v>
      </c>
      <c r="DO131">
        <v>2.04853</v>
      </c>
      <c r="DP131">
        <v>0.11093500000000001</v>
      </c>
      <c r="DQ131">
        <v>0.18995999999999999</v>
      </c>
      <c r="DR131">
        <v>25.1524</v>
      </c>
      <c r="DS131">
        <v>24.904199999999999</v>
      </c>
      <c r="DT131">
        <v>55.3</v>
      </c>
      <c r="DU131">
        <v>28.8</v>
      </c>
      <c r="DV131">
        <v>22.2819</v>
      </c>
      <c r="DW131">
        <v>61.352200000000003</v>
      </c>
      <c r="DX131">
        <v>37.303699999999999</v>
      </c>
      <c r="DY131">
        <v>1</v>
      </c>
      <c r="DZ131">
        <v>-0.110666</v>
      </c>
      <c r="EA131">
        <v>-0.220752</v>
      </c>
      <c r="EB131">
        <v>20.190100000000001</v>
      </c>
      <c r="EC131">
        <v>5.2409499999999998</v>
      </c>
      <c r="ED131">
        <v>12.039899999999999</v>
      </c>
      <c r="EE131">
        <v>5.01715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</v>
      </c>
      <c r="EL131">
        <v>1.8646199999999999</v>
      </c>
      <c r="EM131">
        <v>1.8692</v>
      </c>
      <c r="EN131">
        <v>1.8672299999999999</v>
      </c>
      <c r="EO131">
        <v>1.8633900000000001</v>
      </c>
      <c r="EP131">
        <v>1.86446</v>
      </c>
      <c r="EQ131">
        <v>1.8701700000000001</v>
      </c>
      <c r="ER131">
        <v>1.8693900000000001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-0.13900000000000001</v>
      </c>
      <c r="FG131">
        <v>0.2797</v>
      </c>
      <c r="FH131">
        <v>0.26269369235785539</v>
      </c>
      <c r="FI131">
        <v>-6.1462078757559423E-4</v>
      </c>
      <c r="FJ131">
        <v>-1.8861989874597051E-7</v>
      </c>
      <c r="FK131">
        <v>1.1980462299894961E-10</v>
      </c>
      <c r="FL131">
        <v>0.27968571428570849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28.8</v>
      </c>
      <c r="FU131">
        <v>28.7</v>
      </c>
      <c r="FV131">
        <v>1.78345</v>
      </c>
      <c r="FW131">
        <v>2.5781200000000002</v>
      </c>
      <c r="FX131">
        <v>1.5490699999999999</v>
      </c>
      <c r="FY131">
        <v>2.3315399999999999</v>
      </c>
      <c r="FZ131">
        <v>1.50146</v>
      </c>
      <c r="GA131">
        <v>2.3925800000000002</v>
      </c>
      <c r="GB131">
        <v>33.535499999999999</v>
      </c>
      <c r="GC131">
        <v>23.991199999999999</v>
      </c>
      <c r="GD131">
        <v>19</v>
      </c>
      <c r="GE131">
        <v>278.899</v>
      </c>
      <c r="GF131">
        <v>591.05100000000004</v>
      </c>
      <c r="GG131">
        <v>24.5733</v>
      </c>
      <c r="GH131">
        <v>26.0123</v>
      </c>
      <c r="GI131">
        <v>30.0002</v>
      </c>
      <c r="GJ131">
        <v>26.1587</v>
      </c>
      <c r="GK131">
        <v>26.146100000000001</v>
      </c>
      <c r="GL131">
        <v>35.656799999999997</v>
      </c>
      <c r="GM131">
        <v>51.777200000000001</v>
      </c>
      <c r="GN131">
        <v>82.898200000000003</v>
      </c>
      <c r="GO131">
        <v>24.584199999999999</v>
      </c>
      <c r="GP131">
        <v>800</v>
      </c>
      <c r="GQ131">
        <v>11.315</v>
      </c>
      <c r="GR131">
        <v>99.793999999999997</v>
      </c>
      <c r="GS131">
        <v>99.645099999999999</v>
      </c>
    </row>
    <row r="132" spans="1:201" x14ac:dyDescent="0.25">
      <c r="A132">
        <v>116</v>
      </c>
      <c r="B132">
        <v>1690386555.5999999</v>
      </c>
      <c r="C132">
        <v>1221</v>
      </c>
      <c r="D132" t="s">
        <v>565</v>
      </c>
      <c r="E132" t="s">
        <v>566</v>
      </c>
      <c r="F132" t="s">
        <v>330</v>
      </c>
      <c r="H132">
        <v>1690386555.5999999</v>
      </c>
      <c r="I132">
        <f t="shared" si="30"/>
        <v>1.1992523698831086E-3</v>
      </c>
      <c r="J132">
        <f t="shared" si="31"/>
        <v>1.1992523698831086</v>
      </c>
      <c r="K132">
        <f t="shared" si="32"/>
        <v>19.646978899495966</v>
      </c>
      <c r="L132">
        <f t="shared" si="33"/>
        <v>584.428</v>
      </c>
      <c r="M132">
        <f t="shared" si="34"/>
        <v>175.5352838366999</v>
      </c>
      <c r="N132">
        <f t="shared" si="35"/>
        <v>17.334664163459852</v>
      </c>
      <c r="O132">
        <f t="shared" si="36"/>
        <v>57.714112435350799</v>
      </c>
      <c r="P132">
        <f t="shared" si="37"/>
        <v>8.0045700079341614E-2</v>
      </c>
      <c r="Q132">
        <f t="shared" si="38"/>
        <v>2.1614840442328815</v>
      </c>
      <c r="R132">
        <f t="shared" si="39"/>
        <v>7.84346187767367E-2</v>
      </c>
      <c r="S132">
        <f t="shared" si="40"/>
        <v>4.9163685214803847E-2</v>
      </c>
      <c r="T132">
        <f t="shared" si="41"/>
        <v>276.11432045999999</v>
      </c>
      <c r="U132">
        <f t="shared" si="42"/>
        <v>28.01956281421149</v>
      </c>
      <c r="V132">
        <f t="shared" si="43"/>
        <v>28.01956281421149</v>
      </c>
      <c r="W132">
        <f t="shared" si="44"/>
        <v>3.7991696386760654</v>
      </c>
      <c r="X132">
        <f t="shared" si="45"/>
        <v>68.111383930145919</v>
      </c>
      <c r="Y132">
        <f t="shared" si="46"/>
        <v>2.3361541555621503</v>
      </c>
      <c r="Z132">
        <f t="shared" si="47"/>
        <v>3.4299026400022607</v>
      </c>
      <c r="AA132">
        <f t="shared" si="48"/>
        <v>1.463015483113915</v>
      </c>
      <c r="AB132">
        <f t="shared" si="49"/>
        <v>-52.887029511845085</v>
      </c>
      <c r="AC132">
        <f t="shared" si="50"/>
        <v>-203.09567789261723</v>
      </c>
      <c r="AD132">
        <f t="shared" si="51"/>
        <v>-20.308153986162047</v>
      </c>
      <c r="AE132">
        <f t="shared" si="52"/>
        <v>-0.1765409306243555</v>
      </c>
      <c r="AF132">
        <v>0</v>
      </c>
      <c r="AG132">
        <v>0</v>
      </c>
      <c r="AH132">
        <f t="shared" si="53"/>
        <v>1</v>
      </c>
      <c r="AI132">
        <f t="shared" si="54"/>
        <v>0</v>
      </c>
      <c r="AJ132">
        <f t="shared" si="55"/>
        <v>52444.497657760541</v>
      </c>
      <c r="AK132">
        <f t="shared" si="56"/>
        <v>1800</v>
      </c>
      <c r="AL132">
        <f t="shared" si="57"/>
        <v>1499.1121350000001</v>
      </c>
      <c r="AM132">
        <f t="shared" si="58"/>
        <v>0.83284007500000001</v>
      </c>
      <c r="AN132">
        <f t="shared" si="59"/>
        <v>0.15339684470000001</v>
      </c>
      <c r="AO132">
        <v>31.8</v>
      </c>
      <c r="AP132">
        <v>0.5</v>
      </c>
      <c r="AQ132" t="s">
        <v>331</v>
      </c>
      <c r="AR132">
        <v>2</v>
      </c>
      <c r="AS132">
        <v>1690386555.5999999</v>
      </c>
      <c r="AT132">
        <v>584.428</v>
      </c>
      <c r="AU132">
        <v>800.024</v>
      </c>
      <c r="AV132">
        <v>23.656500000000001</v>
      </c>
      <c r="AW132">
        <v>11.250400000000001</v>
      </c>
      <c r="AX132">
        <v>584.56500000000005</v>
      </c>
      <c r="AY132">
        <v>23.376799999999999</v>
      </c>
      <c r="AZ132">
        <v>300.12700000000001</v>
      </c>
      <c r="BA132">
        <v>98.653199999999998</v>
      </c>
      <c r="BB132">
        <v>9.9961099999999997E-2</v>
      </c>
      <c r="BC132">
        <v>26.276700000000002</v>
      </c>
      <c r="BD132">
        <v>26.982500000000002</v>
      </c>
      <c r="BE132">
        <v>28.012599999999999</v>
      </c>
      <c r="BF132">
        <v>0</v>
      </c>
      <c r="BG132">
        <v>0</v>
      </c>
      <c r="BH132">
        <v>10030.6</v>
      </c>
      <c r="BI132">
        <v>1073.95</v>
      </c>
      <c r="BJ132">
        <v>1.5137799999999999</v>
      </c>
      <c r="BK132">
        <v>-215.596</v>
      </c>
      <c r="BL132">
        <v>598.58900000000006</v>
      </c>
      <c r="BM132">
        <v>809.12699999999995</v>
      </c>
      <c r="BN132">
        <v>12.4061</v>
      </c>
      <c r="BO132">
        <v>800.024</v>
      </c>
      <c r="BP132">
        <v>11.250400000000001</v>
      </c>
      <c r="BQ132">
        <v>2.33379</v>
      </c>
      <c r="BR132">
        <v>1.10989</v>
      </c>
      <c r="BS132">
        <v>19.9116</v>
      </c>
      <c r="BT132">
        <v>8.4448000000000008</v>
      </c>
      <c r="BU132">
        <v>1800</v>
      </c>
      <c r="BV132">
        <v>0.91001299999999996</v>
      </c>
      <c r="BW132">
        <v>3.3999700000000001E-2</v>
      </c>
      <c r="BX132">
        <v>2.19945E-2</v>
      </c>
      <c r="BY132">
        <v>3.39922E-2</v>
      </c>
      <c r="BZ132">
        <v>25</v>
      </c>
      <c r="CA132">
        <v>33528.400000000001</v>
      </c>
      <c r="CB132">
        <v>1690384821</v>
      </c>
      <c r="CC132" t="s">
        <v>332</v>
      </c>
      <c r="CD132">
        <v>1690384820</v>
      </c>
      <c r="CE132">
        <v>1690384821</v>
      </c>
      <c r="CF132">
        <v>5</v>
      </c>
      <c r="CG132">
        <v>-2.5000000000000001E-2</v>
      </c>
      <c r="CH132">
        <v>0.104</v>
      </c>
      <c r="CI132">
        <v>-0.28799999999999998</v>
      </c>
      <c r="CJ132">
        <v>0.28000000000000003</v>
      </c>
      <c r="CK132">
        <v>800</v>
      </c>
      <c r="CL132">
        <v>24</v>
      </c>
      <c r="CM132">
        <v>0.08</v>
      </c>
      <c r="CN132">
        <v>0.11</v>
      </c>
      <c r="CO132">
        <v>-212.07900000000001</v>
      </c>
      <c r="CP132">
        <v>-20.965215759849709</v>
      </c>
      <c r="CQ132">
        <v>2.019370372170497</v>
      </c>
      <c r="CR132">
        <v>-1</v>
      </c>
      <c r="CS132">
        <v>12.168134999999999</v>
      </c>
      <c r="CT132">
        <v>1.4059046904314929</v>
      </c>
      <c r="CU132">
        <v>0.13545210694190041</v>
      </c>
      <c r="CV132">
        <v>-1</v>
      </c>
      <c r="CW132">
        <v>0</v>
      </c>
      <c r="CX132">
        <v>0</v>
      </c>
      <c r="CY132" t="s">
        <v>333</v>
      </c>
      <c r="CZ132">
        <v>2.3647100000000001</v>
      </c>
      <c r="DA132">
        <v>2.7137799999999999</v>
      </c>
      <c r="DB132">
        <v>0.117841</v>
      </c>
      <c r="DC132">
        <v>0.145649</v>
      </c>
      <c r="DD132">
        <v>0.11201999999999999</v>
      </c>
      <c r="DE132">
        <v>6.4482399999999995E-2</v>
      </c>
      <c r="DF132">
        <v>32229</v>
      </c>
      <c r="DG132">
        <v>27555.4</v>
      </c>
      <c r="DH132">
        <v>31188.5</v>
      </c>
      <c r="DI132">
        <v>28103.1</v>
      </c>
      <c r="DJ132">
        <v>37600.199999999997</v>
      </c>
      <c r="DK132">
        <v>37387.599999999999</v>
      </c>
      <c r="DL132">
        <v>44387.9</v>
      </c>
      <c r="DM132">
        <v>42596.6</v>
      </c>
      <c r="DN132">
        <v>1.46905</v>
      </c>
      <c r="DO132">
        <v>2.0482999999999998</v>
      </c>
      <c r="DP132">
        <v>0.111513</v>
      </c>
      <c r="DQ132">
        <v>0.189804</v>
      </c>
      <c r="DR132">
        <v>25.156099999999999</v>
      </c>
      <c r="DS132">
        <v>24.905799999999999</v>
      </c>
      <c r="DT132">
        <v>55.1</v>
      </c>
      <c r="DU132">
        <v>28.8</v>
      </c>
      <c r="DV132">
        <v>22.204899999999999</v>
      </c>
      <c r="DW132">
        <v>60.472200000000001</v>
      </c>
      <c r="DX132">
        <v>36.730800000000002</v>
      </c>
      <c r="DY132">
        <v>1</v>
      </c>
      <c r="DZ132">
        <v>-0.11096499999999999</v>
      </c>
      <c r="EA132">
        <v>-0.14221400000000001</v>
      </c>
      <c r="EB132">
        <v>20.190200000000001</v>
      </c>
      <c r="EC132">
        <v>5.2411000000000003</v>
      </c>
      <c r="ED132">
        <v>12.039899999999999</v>
      </c>
      <c r="EE132">
        <v>5.0173500000000004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</v>
      </c>
      <c r="EL132">
        <v>1.8646199999999999</v>
      </c>
      <c r="EM132">
        <v>1.8692</v>
      </c>
      <c r="EN132">
        <v>1.8672299999999999</v>
      </c>
      <c r="EO132">
        <v>1.86338</v>
      </c>
      <c r="EP132">
        <v>1.86446</v>
      </c>
      <c r="EQ132">
        <v>1.87018</v>
      </c>
      <c r="ER132">
        <v>1.86938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-0.13700000000000001</v>
      </c>
      <c r="FG132">
        <v>0.2797</v>
      </c>
      <c r="FH132">
        <v>0.26269369235785539</v>
      </c>
      <c r="FI132">
        <v>-6.1462078757559423E-4</v>
      </c>
      <c r="FJ132">
        <v>-1.8861989874597051E-7</v>
      </c>
      <c r="FK132">
        <v>1.1980462299894961E-10</v>
      </c>
      <c r="FL132">
        <v>0.27968571428570849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28.9</v>
      </c>
      <c r="FU132">
        <v>28.9</v>
      </c>
      <c r="FV132">
        <v>1.78345</v>
      </c>
      <c r="FW132">
        <v>2.5817899999999998</v>
      </c>
      <c r="FX132">
        <v>1.5490699999999999</v>
      </c>
      <c r="FY132">
        <v>2.3315399999999999</v>
      </c>
      <c r="FZ132">
        <v>1.50146</v>
      </c>
      <c r="GA132">
        <v>2.3290999999999999</v>
      </c>
      <c r="GB132">
        <v>33.535499999999999</v>
      </c>
      <c r="GC132">
        <v>23.982399999999998</v>
      </c>
      <c r="GD132">
        <v>19</v>
      </c>
      <c r="GE132">
        <v>278.99400000000003</v>
      </c>
      <c r="GF132">
        <v>590.83799999999997</v>
      </c>
      <c r="GG132">
        <v>24.6173</v>
      </c>
      <c r="GH132">
        <v>26.0107</v>
      </c>
      <c r="GI132">
        <v>30</v>
      </c>
      <c r="GJ132">
        <v>26.156500000000001</v>
      </c>
      <c r="GK132">
        <v>26.143899999999999</v>
      </c>
      <c r="GL132">
        <v>35.652200000000001</v>
      </c>
      <c r="GM132">
        <v>52.338500000000003</v>
      </c>
      <c r="GN132">
        <v>82.106700000000004</v>
      </c>
      <c r="GO132">
        <v>24.611599999999999</v>
      </c>
      <c r="GP132">
        <v>800</v>
      </c>
      <c r="GQ132">
        <v>11.099399999999999</v>
      </c>
      <c r="GR132">
        <v>99.794700000000006</v>
      </c>
      <c r="GS132">
        <v>99.6464</v>
      </c>
    </row>
    <row r="133" spans="1:201" x14ac:dyDescent="0.25">
      <c r="A133">
        <v>117</v>
      </c>
      <c r="B133">
        <v>1690386565.5999999</v>
      </c>
      <c r="C133">
        <v>1231</v>
      </c>
      <c r="D133" t="s">
        <v>567</v>
      </c>
      <c r="E133" t="s">
        <v>568</v>
      </c>
      <c r="F133" t="s">
        <v>330</v>
      </c>
      <c r="H133">
        <v>1690386565.5999999</v>
      </c>
      <c r="I133">
        <f t="shared" si="30"/>
        <v>1.2233948590810609E-3</v>
      </c>
      <c r="J133">
        <f t="shared" si="31"/>
        <v>1.2233948590810608</v>
      </c>
      <c r="K133">
        <f t="shared" si="32"/>
        <v>19.997778437362012</v>
      </c>
      <c r="L133">
        <f t="shared" si="33"/>
        <v>580.94299999999998</v>
      </c>
      <c r="M133">
        <f t="shared" si="34"/>
        <v>173.14642541887662</v>
      </c>
      <c r="N133">
        <f t="shared" si="35"/>
        <v>17.098750765839924</v>
      </c>
      <c r="O133">
        <f t="shared" si="36"/>
        <v>57.369937277817996</v>
      </c>
      <c r="P133">
        <f t="shared" si="37"/>
        <v>8.1712840544466939E-2</v>
      </c>
      <c r="Q133">
        <f t="shared" si="38"/>
        <v>2.1618648177926363</v>
      </c>
      <c r="R133">
        <f t="shared" si="39"/>
        <v>8.0034998376033825E-2</v>
      </c>
      <c r="S133">
        <f t="shared" si="40"/>
        <v>5.0169751968979562E-2</v>
      </c>
      <c r="T133">
        <f t="shared" si="41"/>
        <v>276.11439652799999</v>
      </c>
      <c r="U133">
        <f t="shared" si="42"/>
        <v>28.023952473312598</v>
      </c>
      <c r="V133">
        <f t="shared" si="43"/>
        <v>28.023952473312598</v>
      </c>
      <c r="W133">
        <f t="shared" si="44"/>
        <v>3.8001418210721094</v>
      </c>
      <c r="X133">
        <f t="shared" si="45"/>
        <v>68.099373525139299</v>
      </c>
      <c r="Y133">
        <f t="shared" si="46"/>
        <v>2.3375358689830001</v>
      </c>
      <c r="Z133">
        <f t="shared" si="47"/>
        <v>3.4325365241724062</v>
      </c>
      <c r="AA133">
        <f t="shared" si="48"/>
        <v>1.4626059520891093</v>
      </c>
      <c r="AB133">
        <f t="shared" si="49"/>
        <v>-53.951713285474789</v>
      </c>
      <c r="AC133">
        <f t="shared" si="50"/>
        <v>-202.12791668228013</v>
      </c>
      <c r="AD133">
        <f t="shared" si="51"/>
        <v>-20.209579261342412</v>
      </c>
      <c r="AE133">
        <f t="shared" si="52"/>
        <v>-0.17481270109735192</v>
      </c>
      <c r="AF133">
        <v>0</v>
      </c>
      <c r="AG133">
        <v>0</v>
      </c>
      <c r="AH133">
        <f t="shared" si="53"/>
        <v>1</v>
      </c>
      <c r="AI133">
        <f t="shared" si="54"/>
        <v>0</v>
      </c>
      <c r="AJ133">
        <f t="shared" si="55"/>
        <v>52458.199944735308</v>
      </c>
      <c r="AK133">
        <f t="shared" si="56"/>
        <v>1800</v>
      </c>
      <c r="AL133">
        <f t="shared" si="57"/>
        <v>1499.1128117999999</v>
      </c>
      <c r="AM133">
        <f t="shared" si="58"/>
        <v>0.83284045099999993</v>
      </c>
      <c r="AN133">
        <f t="shared" si="59"/>
        <v>0.15339688696000001</v>
      </c>
      <c r="AO133">
        <v>31.8</v>
      </c>
      <c r="AP133">
        <v>0.5</v>
      </c>
      <c r="AQ133" t="s">
        <v>331</v>
      </c>
      <c r="AR133">
        <v>2</v>
      </c>
      <c r="AS133">
        <v>1690386565.5999999</v>
      </c>
      <c r="AT133">
        <v>580.94299999999998</v>
      </c>
      <c r="AU133">
        <v>800.255</v>
      </c>
      <c r="AV133">
        <v>23.670500000000001</v>
      </c>
      <c r="AW133">
        <v>11.020899999999999</v>
      </c>
      <c r="AX133">
        <v>581.07799999999997</v>
      </c>
      <c r="AY133">
        <v>23.390899999999998</v>
      </c>
      <c r="AZ133">
        <v>300.27100000000002</v>
      </c>
      <c r="BA133">
        <v>98.653099999999995</v>
      </c>
      <c r="BB133">
        <v>0.100026</v>
      </c>
      <c r="BC133">
        <v>26.2897</v>
      </c>
      <c r="BD133">
        <v>26.977599999999999</v>
      </c>
      <c r="BE133">
        <v>28.011199999999999</v>
      </c>
      <c r="BF133">
        <v>0</v>
      </c>
      <c r="BG133">
        <v>0</v>
      </c>
      <c r="BH133">
        <v>10033.799999999999</v>
      </c>
      <c r="BI133">
        <v>1074.1099999999999</v>
      </c>
      <c r="BJ133">
        <v>1.5137799999999999</v>
      </c>
      <c r="BK133">
        <v>-219.31100000000001</v>
      </c>
      <c r="BL133">
        <v>595.02800000000002</v>
      </c>
      <c r="BM133">
        <v>809.17200000000003</v>
      </c>
      <c r="BN133">
        <v>12.6496</v>
      </c>
      <c r="BO133">
        <v>800.255</v>
      </c>
      <c r="BP133">
        <v>11.020899999999999</v>
      </c>
      <c r="BQ133">
        <v>2.3351700000000002</v>
      </c>
      <c r="BR133">
        <v>1.08725</v>
      </c>
      <c r="BS133">
        <v>19.921099999999999</v>
      </c>
      <c r="BT133">
        <v>8.1411599999999993</v>
      </c>
      <c r="BU133">
        <v>1800</v>
      </c>
      <c r="BV133">
        <v>0.91001399999999999</v>
      </c>
      <c r="BW133">
        <v>3.3999500000000002E-2</v>
      </c>
      <c r="BX133">
        <v>2.1994300000000001E-2</v>
      </c>
      <c r="BY133">
        <v>3.3992000000000001E-2</v>
      </c>
      <c r="BZ133">
        <v>25</v>
      </c>
      <c r="CA133">
        <v>33528.5</v>
      </c>
      <c r="CB133">
        <v>1690384821</v>
      </c>
      <c r="CC133" t="s">
        <v>332</v>
      </c>
      <c r="CD133">
        <v>1690384820</v>
      </c>
      <c r="CE133">
        <v>1690384821</v>
      </c>
      <c r="CF133">
        <v>5</v>
      </c>
      <c r="CG133">
        <v>-2.5000000000000001E-2</v>
      </c>
      <c r="CH133">
        <v>0.104</v>
      </c>
      <c r="CI133">
        <v>-0.28799999999999998</v>
      </c>
      <c r="CJ133">
        <v>0.28000000000000003</v>
      </c>
      <c r="CK133">
        <v>800</v>
      </c>
      <c r="CL133">
        <v>24</v>
      </c>
      <c r="CM133">
        <v>0.08</v>
      </c>
      <c r="CN133">
        <v>0.11</v>
      </c>
      <c r="CO133">
        <v>-215.24775</v>
      </c>
      <c r="CP133">
        <v>-20.791227016884779</v>
      </c>
      <c r="CQ133">
        <v>2.0015205063900758</v>
      </c>
      <c r="CR133">
        <v>-1</v>
      </c>
      <c r="CS133">
        <v>12.3805975</v>
      </c>
      <c r="CT133">
        <v>1.389801500938098</v>
      </c>
      <c r="CU133">
        <v>0.13394498588506401</v>
      </c>
      <c r="CV133">
        <v>-1</v>
      </c>
      <c r="CW133">
        <v>0</v>
      </c>
      <c r="CX133">
        <v>0</v>
      </c>
      <c r="CY133" t="s">
        <v>333</v>
      </c>
      <c r="CZ133">
        <v>2.3651599999999999</v>
      </c>
      <c r="DA133">
        <v>2.7138499999999999</v>
      </c>
      <c r="DB133">
        <v>0.117342</v>
      </c>
      <c r="DC133">
        <v>0.145672</v>
      </c>
      <c r="DD133">
        <v>0.112066</v>
      </c>
      <c r="DE133">
        <v>6.3480900000000007E-2</v>
      </c>
      <c r="DF133">
        <v>32247.9</v>
      </c>
      <c r="DG133">
        <v>27555</v>
      </c>
      <c r="DH133">
        <v>31189.1</v>
      </c>
      <c r="DI133">
        <v>28103.5</v>
      </c>
      <c r="DJ133">
        <v>37598.800000000003</v>
      </c>
      <c r="DK133">
        <v>37428.199999999997</v>
      </c>
      <c r="DL133">
        <v>44388.6</v>
      </c>
      <c r="DM133">
        <v>42597.2</v>
      </c>
      <c r="DN133">
        <v>1.4694799999999999</v>
      </c>
      <c r="DO133">
        <v>2.0478499999999999</v>
      </c>
      <c r="DP133">
        <v>0.11108800000000001</v>
      </c>
      <c r="DQ133">
        <v>0.189468</v>
      </c>
      <c r="DR133">
        <v>25.158100000000001</v>
      </c>
      <c r="DS133">
        <v>24.9099</v>
      </c>
      <c r="DT133">
        <v>55</v>
      </c>
      <c r="DU133">
        <v>28.8</v>
      </c>
      <c r="DV133">
        <v>22.161300000000001</v>
      </c>
      <c r="DW133">
        <v>60.9422</v>
      </c>
      <c r="DX133">
        <v>36.105800000000002</v>
      </c>
      <c r="DY133">
        <v>1</v>
      </c>
      <c r="DZ133">
        <v>-0.111057</v>
      </c>
      <c r="EA133">
        <v>-0.14995900000000001</v>
      </c>
      <c r="EB133">
        <v>20.190200000000001</v>
      </c>
      <c r="EC133">
        <v>5.2411000000000003</v>
      </c>
      <c r="ED133">
        <v>12.039899999999999</v>
      </c>
      <c r="EE133">
        <v>5.0174500000000002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1.8689100000000001</v>
      </c>
      <c r="EL133">
        <v>1.8646199999999999</v>
      </c>
      <c r="EM133">
        <v>1.8692</v>
      </c>
      <c r="EN133">
        <v>1.8672299999999999</v>
      </c>
      <c r="EO133">
        <v>1.8633999999999999</v>
      </c>
      <c r="EP133">
        <v>1.8644700000000001</v>
      </c>
      <c r="EQ133">
        <v>1.87018</v>
      </c>
      <c r="ER133">
        <v>1.86941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-0.13500000000000001</v>
      </c>
      <c r="FG133">
        <v>0.27960000000000002</v>
      </c>
      <c r="FH133">
        <v>0.26269369235785539</v>
      </c>
      <c r="FI133">
        <v>-6.1462078757559423E-4</v>
      </c>
      <c r="FJ133">
        <v>-1.8861989874597051E-7</v>
      </c>
      <c r="FK133">
        <v>1.1980462299894961E-10</v>
      </c>
      <c r="FL133">
        <v>0.27968571428570849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29.1</v>
      </c>
      <c r="FU133">
        <v>29.1</v>
      </c>
      <c r="FV133">
        <v>1.78223</v>
      </c>
      <c r="FW133">
        <v>2.5891099999999998</v>
      </c>
      <c r="FX133">
        <v>1.5490699999999999</v>
      </c>
      <c r="FY133">
        <v>2.3315399999999999</v>
      </c>
      <c r="FZ133">
        <v>1.50146</v>
      </c>
      <c r="GA133">
        <v>2.2997999999999998</v>
      </c>
      <c r="GB133">
        <v>33.535499999999999</v>
      </c>
      <c r="GC133">
        <v>23.973700000000001</v>
      </c>
      <c r="GD133">
        <v>19</v>
      </c>
      <c r="GE133">
        <v>279.16399999999999</v>
      </c>
      <c r="GF133">
        <v>590.43299999999999</v>
      </c>
      <c r="GG133">
        <v>24.632400000000001</v>
      </c>
      <c r="GH133">
        <v>26.008500000000002</v>
      </c>
      <c r="GI133">
        <v>29.9999</v>
      </c>
      <c r="GJ133">
        <v>26.154299999999999</v>
      </c>
      <c r="GK133">
        <v>26.141300000000001</v>
      </c>
      <c r="GL133">
        <v>35.638100000000001</v>
      </c>
      <c r="GM133">
        <v>52.933999999999997</v>
      </c>
      <c r="GN133">
        <v>81.303399999999996</v>
      </c>
      <c r="GO133">
        <v>24.636800000000001</v>
      </c>
      <c r="GP133">
        <v>800</v>
      </c>
      <c r="GQ133">
        <v>10.882899999999999</v>
      </c>
      <c r="GR133">
        <v>99.796499999999995</v>
      </c>
      <c r="GS133">
        <v>99.6477</v>
      </c>
    </row>
    <row r="134" spans="1:201" x14ac:dyDescent="0.25">
      <c r="A134">
        <v>118</v>
      </c>
      <c r="B134">
        <v>1690386575.5999999</v>
      </c>
      <c r="C134">
        <v>1241</v>
      </c>
      <c r="D134" t="s">
        <v>569</v>
      </c>
      <c r="E134" t="s">
        <v>570</v>
      </c>
      <c r="F134" t="s">
        <v>330</v>
      </c>
      <c r="H134">
        <v>1690386575.5999999</v>
      </c>
      <c r="I134">
        <f t="shared" si="30"/>
        <v>1.2435975984492079E-3</v>
      </c>
      <c r="J134">
        <f t="shared" si="31"/>
        <v>1.2435975984492078</v>
      </c>
      <c r="K134">
        <f t="shared" si="32"/>
        <v>20.284141209010276</v>
      </c>
      <c r="L134">
        <f t="shared" si="33"/>
        <v>577.48699999999997</v>
      </c>
      <c r="M134">
        <f t="shared" si="34"/>
        <v>170.42252976507319</v>
      </c>
      <c r="N134">
        <f t="shared" si="35"/>
        <v>16.829313604438983</v>
      </c>
      <c r="O134">
        <f t="shared" si="36"/>
        <v>57.027142120726985</v>
      </c>
      <c r="P134">
        <f t="shared" si="37"/>
        <v>8.3047528526280556E-2</v>
      </c>
      <c r="Q134">
        <f t="shared" si="38"/>
        <v>2.157567957653979</v>
      </c>
      <c r="R134">
        <f t="shared" si="39"/>
        <v>8.1311680953266879E-2</v>
      </c>
      <c r="S134">
        <f t="shared" si="40"/>
        <v>5.0972737671189962E-2</v>
      </c>
      <c r="T134">
        <f t="shared" si="41"/>
        <v>276.11429736600007</v>
      </c>
      <c r="U134">
        <f t="shared" si="42"/>
        <v>28.030110324231764</v>
      </c>
      <c r="V134">
        <f t="shared" si="43"/>
        <v>28.030110324231764</v>
      </c>
      <c r="W134">
        <f t="shared" si="44"/>
        <v>3.8015059725457667</v>
      </c>
      <c r="X134">
        <f t="shared" si="45"/>
        <v>68.076933590302843</v>
      </c>
      <c r="Y134">
        <f t="shared" si="46"/>
        <v>2.3381457108732997</v>
      </c>
      <c r="Z134">
        <f t="shared" si="47"/>
        <v>3.4345637906439936</v>
      </c>
      <c r="AA134">
        <f t="shared" si="48"/>
        <v>1.463360261672467</v>
      </c>
      <c r="AB134">
        <f t="shared" si="49"/>
        <v>-54.842654091610065</v>
      </c>
      <c r="AC134">
        <f t="shared" si="50"/>
        <v>-201.27925888194275</v>
      </c>
      <c r="AD134">
        <f t="shared" si="51"/>
        <v>-20.166433493871015</v>
      </c>
      <c r="AE134">
        <f t="shared" si="52"/>
        <v>-0.17404910142374774</v>
      </c>
      <c r="AF134">
        <v>0</v>
      </c>
      <c r="AG134">
        <v>0</v>
      </c>
      <c r="AH134">
        <f t="shared" si="53"/>
        <v>1</v>
      </c>
      <c r="AI134">
        <f t="shared" si="54"/>
        <v>0</v>
      </c>
      <c r="AJ134">
        <f t="shared" si="55"/>
        <v>52276.217911482752</v>
      </c>
      <c r="AK134">
        <f t="shared" si="56"/>
        <v>1800</v>
      </c>
      <c r="AL134">
        <f t="shared" si="57"/>
        <v>1499.1133805999998</v>
      </c>
      <c r="AM134">
        <f t="shared" si="58"/>
        <v>0.83284076699999987</v>
      </c>
      <c r="AN134">
        <f t="shared" si="59"/>
        <v>0.15339683187000003</v>
      </c>
      <c r="AO134">
        <v>31.8</v>
      </c>
      <c r="AP134">
        <v>0.5</v>
      </c>
      <c r="AQ134" t="s">
        <v>331</v>
      </c>
      <c r="AR134">
        <v>2</v>
      </c>
      <c r="AS134">
        <v>1690386575.5999999</v>
      </c>
      <c r="AT134">
        <v>577.48699999999997</v>
      </c>
      <c r="AU134">
        <v>800.03499999999997</v>
      </c>
      <c r="AV134">
        <v>23.677299999999999</v>
      </c>
      <c r="AW134">
        <v>10.8117</v>
      </c>
      <c r="AX134">
        <v>577.61900000000003</v>
      </c>
      <c r="AY134">
        <v>23.397600000000001</v>
      </c>
      <c r="AZ134">
        <v>300.10300000000001</v>
      </c>
      <c r="BA134">
        <v>98.650499999999994</v>
      </c>
      <c r="BB134">
        <v>0.100021</v>
      </c>
      <c r="BC134">
        <v>26.299700000000001</v>
      </c>
      <c r="BD134">
        <v>26.988600000000002</v>
      </c>
      <c r="BE134">
        <v>28.010400000000001</v>
      </c>
      <c r="BF134">
        <v>0</v>
      </c>
      <c r="BG134">
        <v>0</v>
      </c>
      <c r="BH134">
        <v>9998.1200000000008</v>
      </c>
      <c r="BI134">
        <v>1074.23</v>
      </c>
      <c r="BJ134">
        <v>1.5137799999999999</v>
      </c>
      <c r="BK134">
        <v>-222.548</v>
      </c>
      <c r="BL134">
        <v>591.49199999999996</v>
      </c>
      <c r="BM134">
        <v>808.779</v>
      </c>
      <c r="BN134">
        <v>12.865600000000001</v>
      </c>
      <c r="BO134">
        <v>800.03499999999997</v>
      </c>
      <c r="BP134">
        <v>10.8117</v>
      </c>
      <c r="BQ134">
        <v>2.3357800000000002</v>
      </c>
      <c r="BR134">
        <v>1.0665800000000001</v>
      </c>
      <c r="BS134">
        <v>19.9253</v>
      </c>
      <c r="BT134">
        <v>7.8591300000000004</v>
      </c>
      <c r="BU134">
        <v>1800</v>
      </c>
      <c r="BV134">
        <v>0.91001699999999996</v>
      </c>
      <c r="BW134">
        <v>3.3998399999999998E-2</v>
      </c>
      <c r="BX134">
        <v>2.1993599999999999E-2</v>
      </c>
      <c r="BY134">
        <v>3.3990899999999998E-2</v>
      </c>
      <c r="BZ134">
        <v>25</v>
      </c>
      <c r="CA134">
        <v>33528.5</v>
      </c>
      <c r="CB134">
        <v>1690384821</v>
      </c>
      <c r="CC134" t="s">
        <v>332</v>
      </c>
      <c r="CD134">
        <v>1690384820</v>
      </c>
      <c r="CE134">
        <v>1690384821</v>
      </c>
      <c r="CF134">
        <v>5</v>
      </c>
      <c r="CG134">
        <v>-2.5000000000000001E-2</v>
      </c>
      <c r="CH134">
        <v>0.104</v>
      </c>
      <c r="CI134">
        <v>-0.28799999999999998</v>
      </c>
      <c r="CJ134">
        <v>0.28000000000000003</v>
      </c>
      <c r="CK134">
        <v>800</v>
      </c>
      <c r="CL134">
        <v>24</v>
      </c>
      <c r="CM134">
        <v>0.08</v>
      </c>
      <c r="CN134">
        <v>0.11</v>
      </c>
      <c r="CO134">
        <v>-219.04952499999999</v>
      </c>
      <c r="CP134">
        <v>-20.34989493433363</v>
      </c>
      <c r="CQ134">
        <v>1.959042533835089</v>
      </c>
      <c r="CR134">
        <v>-1</v>
      </c>
      <c r="CS134">
        <v>12.636509999999999</v>
      </c>
      <c r="CT134">
        <v>1.338373733583496</v>
      </c>
      <c r="CU134">
        <v>0.1292369970248459</v>
      </c>
      <c r="CV134">
        <v>-1</v>
      </c>
      <c r="CW134">
        <v>0</v>
      </c>
      <c r="CX134">
        <v>0</v>
      </c>
      <c r="CY134" t="s">
        <v>333</v>
      </c>
      <c r="CZ134">
        <v>2.36463</v>
      </c>
      <c r="DA134">
        <v>2.7138100000000001</v>
      </c>
      <c r="DB134">
        <v>0.116844</v>
      </c>
      <c r="DC134">
        <v>0.14563899999999999</v>
      </c>
      <c r="DD134">
        <v>0.11208700000000001</v>
      </c>
      <c r="DE134">
        <v>6.2560900000000003E-2</v>
      </c>
      <c r="DF134">
        <v>32265.7</v>
      </c>
      <c r="DG134">
        <v>27556.3</v>
      </c>
      <c r="DH134">
        <v>31188.7</v>
      </c>
      <c r="DI134">
        <v>28103.7</v>
      </c>
      <c r="DJ134">
        <v>37597.300000000003</v>
      </c>
      <c r="DK134">
        <v>37465.4</v>
      </c>
      <c r="DL134">
        <v>44388</v>
      </c>
      <c r="DM134">
        <v>42597.5</v>
      </c>
      <c r="DN134">
        <v>1.46892</v>
      </c>
      <c r="DO134">
        <v>2.0478299999999998</v>
      </c>
      <c r="DP134">
        <v>0.111721</v>
      </c>
      <c r="DQ134">
        <v>0.18928200000000001</v>
      </c>
      <c r="DR134">
        <v>25.158799999999999</v>
      </c>
      <c r="DS134">
        <v>24.912099999999999</v>
      </c>
      <c r="DT134">
        <v>54.8</v>
      </c>
      <c r="DU134">
        <v>28.8</v>
      </c>
      <c r="DV134">
        <v>22.0824</v>
      </c>
      <c r="DW134">
        <v>61.112200000000001</v>
      </c>
      <c r="DX134">
        <v>36.258000000000003</v>
      </c>
      <c r="DY134">
        <v>1</v>
      </c>
      <c r="DZ134">
        <v>-0.111016</v>
      </c>
      <c r="EA134">
        <v>0.205343</v>
      </c>
      <c r="EB134">
        <v>20.189900000000002</v>
      </c>
      <c r="EC134">
        <v>5.2408000000000001</v>
      </c>
      <c r="ED134">
        <v>12.039899999999999</v>
      </c>
      <c r="EE134">
        <v>5.0171000000000001</v>
      </c>
      <c r="EF134">
        <v>3.2879499999999999</v>
      </c>
      <c r="EG134">
        <v>9999</v>
      </c>
      <c r="EH134">
        <v>9999</v>
      </c>
      <c r="EI134">
        <v>9999</v>
      </c>
      <c r="EJ134">
        <v>999.9</v>
      </c>
      <c r="EK134">
        <v>1.8689100000000001</v>
      </c>
      <c r="EL134">
        <v>1.8646199999999999</v>
      </c>
      <c r="EM134">
        <v>1.8692</v>
      </c>
      <c r="EN134">
        <v>1.86724</v>
      </c>
      <c r="EO134">
        <v>1.8633900000000001</v>
      </c>
      <c r="EP134">
        <v>1.86446</v>
      </c>
      <c r="EQ134">
        <v>1.87018</v>
      </c>
      <c r="ER134">
        <v>1.8693900000000001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-0.13200000000000001</v>
      </c>
      <c r="FG134">
        <v>0.2797</v>
      </c>
      <c r="FH134">
        <v>0.26269369235785539</v>
      </c>
      <c r="FI134">
        <v>-6.1462078757559423E-4</v>
      </c>
      <c r="FJ134">
        <v>-1.8861989874597051E-7</v>
      </c>
      <c r="FK134">
        <v>1.1980462299894961E-10</v>
      </c>
      <c r="FL134">
        <v>0.27968571428570849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29.3</v>
      </c>
      <c r="FU134">
        <v>29.2</v>
      </c>
      <c r="FV134">
        <v>1.78223</v>
      </c>
      <c r="FW134">
        <v>2.5830099999999998</v>
      </c>
      <c r="FX134">
        <v>1.5490699999999999</v>
      </c>
      <c r="FY134">
        <v>2.3315399999999999</v>
      </c>
      <c r="FZ134">
        <v>1.50146</v>
      </c>
      <c r="GA134">
        <v>2.3559600000000001</v>
      </c>
      <c r="GB134">
        <v>33.535499999999999</v>
      </c>
      <c r="GC134">
        <v>23.982399999999998</v>
      </c>
      <c r="GD134">
        <v>19</v>
      </c>
      <c r="GE134">
        <v>278.923</v>
      </c>
      <c r="GF134">
        <v>590.38099999999997</v>
      </c>
      <c r="GG134">
        <v>24.6309</v>
      </c>
      <c r="GH134">
        <v>26.0063</v>
      </c>
      <c r="GI134">
        <v>30.000299999999999</v>
      </c>
      <c r="GJ134">
        <v>26.152100000000001</v>
      </c>
      <c r="GK134">
        <v>26.1386</v>
      </c>
      <c r="GL134">
        <v>35.636000000000003</v>
      </c>
      <c r="GM134">
        <v>53.524900000000002</v>
      </c>
      <c r="GN134">
        <v>80.931100000000001</v>
      </c>
      <c r="GO134">
        <v>24.5669</v>
      </c>
      <c r="GP134">
        <v>800</v>
      </c>
      <c r="GQ134">
        <v>10.7524</v>
      </c>
      <c r="GR134">
        <v>99.795100000000005</v>
      </c>
      <c r="GS134">
        <v>99.648499999999999</v>
      </c>
    </row>
    <row r="135" spans="1:201" x14ac:dyDescent="0.25">
      <c r="A135">
        <v>119</v>
      </c>
      <c r="B135">
        <v>1690386585.5999999</v>
      </c>
      <c r="C135">
        <v>1251</v>
      </c>
      <c r="D135" t="s">
        <v>571</v>
      </c>
      <c r="E135" t="s">
        <v>572</v>
      </c>
      <c r="F135" t="s">
        <v>330</v>
      </c>
      <c r="H135">
        <v>1690386585.5999999</v>
      </c>
      <c r="I135">
        <f t="shared" si="30"/>
        <v>1.2590446304765366E-3</v>
      </c>
      <c r="J135">
        <f t="shared" si="31"/>
        <v>1.2590446304765366</v>
      </c>
      <c r="K135">
        <f t="shared" si="32"/>
        <v>20.604847300151132</v>
      </c>
      <c r="L135">
        <f t="shared" si="33"/>
        <v>573.947</v>
      </c>
      <c r="M135">
        <f t="shared" si="34"/>
        <v>166.85958390446169</v>
      </c>
      <c r="N135">
        <f t="shared" si="35"/>
        <v>16.47808722371175</v>
      </c>
      <c r="O135">
        <f t="shared" si="36"/>
        <v>56.679685436605006</v>
      </c>
      <c r="P135">
        <f t="shared" si="37"/>
        <v>8.4352731911137971E-2</v>
      </c>
      <c r="Q135">
        <f t="shared" si="38"/>
        <v>2.1612812670445862</v>
      </c>
      <c r="R135">
        <f t="shared" si="39"/>
        <v>8.2565532472325232E-2</v>
      </c>
      <c r="S135">
        <f t="shared" si="40"/>
        <v>5.1760876762275726E-2</v>
      </c>
      <c r="T135">
        <f t="shared" si="41"/>
        <v>276.11431610400001</v>
      </c>
      <c r="U135">
        <f t="shared" si="42"/>
        <v>28.013799598382615</v>
      </c>
      <c r="V135">
        <f t="shared" si="43"/>
        <v>28.013799598382615</v>
      </c>
      <c r="W135">
        <f t="shared" si="44"/>
        <v>3.7978935826910991</v>
      </c>
      <c r="X135">
        <f t="shared" si="45"/>
        <v>68.128672814257968</v>
      </c>
      <c r="Y135">
        <f t="shared" si="46"/>
        <v>2.338776323002</v>
      </c>
      <c r="Z135">
        <f t="shared" si="47"/>
        <v>3.4328810857336132</v>
      </c>
      <c r="AA135">
        <f t="shared" si="48"/>
        <v>1.4591172596890991</v>
      </c>
      <c r="AB135">
        <f t="shared" si="49"/>
        <v>-55.523868204015265</v>
      </c>
      <c r="AC135">
        <f t="shared" si="50"/>
        <v>-200.69227134407242</v>
      </c>
      <c r="AD135">
        <f t="shared" si="51"/>
        <v>-20.070605289396116</v>
      </c>
      <c r="AE135">
        <f t="shared" si="52"/>
        <v>-0.17242873348376975</v>
      </c>
      <c r="AF135">
        <v>0</v>
      </c>
      <c r="AG135">
        <v>0</v>
      </c>
      <c r="AH135">
        <f t="shared" si="53"/>
        <v>1</v>
      </c>
      <c r="AI135">
        <f t="shared" si="54"/>
        <v>0</v>
      </c>
      <c r="AJ135">
        <f t="shared" si="55"/>
        <v>52433.433858096854</v>
      </c>
      <c r="AK135">
        <f t="shared" si="56"/>
        <v>1800</v>
      </c>
      <c r="AL135">
        <f t="shared" si="57"/>
        <v>1499.1137964</v>
      </c>
      <c r="AM135">
        <f t="shared" si="58"/>
        <v>0.832840998</v>
      </c>
      <c r="AN135">
        <f t="shared" si="59"/>
        <v>0.15339684228</v>
      </c>
      <c r="AO135">
        <v>31.8</v>
      </c>
      <c r="AP135">
        <v>0.5</v>
      </c>
      <c r="AQ135" t="s">
        <v>331</v>
      </c>
      <c r="AR135">
        <v>2</v>
      </c>
      <c r="AS135">
        <v>1690386585.5999999</v>
      </c>
      <c r="AT135">
        <v>573.947</v>
      </c>
      <c r="AU135">
        <v>799.97299999999996</v>
      </c>
      <c r="AV135">
        <v>23.6828</v>
      </c>
      <c r="AW135">
        <v>10.6556</v>
      </c>
      <c r="AX135">
        <v>574.077</v>
      </c>
      <c r="AY135">
        <v>23.403199999999998</v>
      </c>
      <c r="AZ135">
        <v>300.06</v>
      </c>
      <c r="BA135">
        <v>98.654200000000003</v>
      </c>
      <c r="BB135">
        <v>0.10001500000000001</v>
      </c>
      <c r="BC135">
        <v>26.291399999999999</v>
      </c>
      <c r="BD135">
        <v>26.9831</v>
      </c>
      <c r="BE135">
        <v>28.015899999999998</v>
      </c>
      <c r="BF135">
        <v>0</v>
      </c>
      <c r="BG135">
        <v>0</v>
      </c>
      <c r="BH135">
        <v>10028.799999999999</v>
      </c>
      <c r="BI135">
        <v>1074.24</v>
      </c>
      <c r="BJ135">
        <v>1.5278</v>
      </c>
      <c r="BK135">
        <v>-226.02600000000001</v>
      </c>
      <c r="BL135">
        <v>587.86900000000003</v>
      </c>
      <c r="BM135">
        <v>808.58900000000006</v>
      </c>
      <c r="BN135">
        <v>13.027200000000001</v>
      </c>
      <c r="BO135">
        <v>799.97299999999996</v>
      </c>
      <c r="BP135">
        <v>10.6556</v>
      </c>
      <c r="BQ135">
        <v>2.3364099999999999</v>
      </c>
      <c r="BR135">
        <v>1.05122</v>
      </c>
      <c r="BS135">
        <v>19.9297</v>
      </c>
      <c r="BT135">
        <v>7.6463400000000004</v>
      </c>
      <c r="BU135">
        <v>1800</v>
      </c>
      <c r="BV135">
        <v>0.91001799999999999</v>
      </c>
      <c r="BW135">
        <v>3.3998100000000003E-2</v>
      </c>
      <c r="BX135">
        <v>2.19934E-2</v>
      </c>
      <c r="BY135">
        <v>3.3990600000000003E-2</v>
      </c>
      <c r="BZ135">
        <v>25</v>
      </c>
      <c r="CA135">
        <v>33528.6</v>
      </c>
      <c r="CB135">
        <v>1690384821</v>
      </c>
      <c r="CC135" t="s">
        <v>332</v>
      </c>
      <c r="CD135">
        <v>1690384820</v>
      </c>
      <c r="CE135">
        <v>1690384821</v>
      </c>
      <c r="CF135">
        <v>5</v>
      </c>
      <c r="CG135">
        <v>-2.5000000000000001E-2</v>
      </c>
      <c r="CH135">
        <v>0.104</v>
      </c>
      <c r="CI135">
        <v>-0.28799999999999998</v>
      </c>
      <c r="CJ135">
        <v>0.28000000000000003</v>
      </c>
      <c r="CK135">
        <v>800</v>
      </c>
      <c r="CL135">
        <v>24</v>
      </c>
      <c r="CM135">
        <v>0.08</v>
      </c>
      <c r="CN135">
        <v>0.11</v>
      </c>
      <c r="CO135">
        <v>-222.525475</v>
      </c>
      <c r="CP135">
        <v>-21.034435272044782</v>
      </c>
      <c r="CQ135">
        <v>2.0253587828765052</v>
      </c>
      <c r="CR135">
        <v>-1</v>
      </c>
      <c r="CS135">
        <v>12.860659999999999</v>
      </c>
      <c r="CT135">
        <v>1.23331857410882</v>
      </c>
      <c r="CU135">
        <v>0.11992768612793291</v>
      </c>
      <c r="CV135">
        <v>-1</v>
      </c>
      <c r="CW135">
        <v>0</v>
      </c>
      <c r="CX135">
        <v>0</v>
      </c>
      <c r="CY135" t="s">
        <v>333</v>
      </c>
      <c r="CZ135">
        <v>2.36449</v>
      </c>
      <c r="DA135">
        <v>2.7138300000000002</v>
      </c>
      <c r="DB135">
        <v>0.116338</v>
      </c>
      <c r="DC135">
        <v>0.14563200000000001</v>
      </c>
      <c r="DD135">
        <v>0.112109</v>
      </c>
      <c r="DE135">
        <v>6.1872400000000001E-2</v>
      </c>
      <c r="DF135">
        <v>32284.400000000001</v>
      </c>
      <c r="DG135">
        <v>27556.6</v>
      </c>
      <c r="DH135">
        <v>31188.9</v>
      </c>
      <c r="DI135">
        <v>28103.8</v>
      </c>
      <c r="DJ135">
        <v>37596.6</v>
      </c>
      <c r="DK135">
        <v>37493</v>
      </c>
      <c r="DL135">
        <v>44388.4</v>
      </c>
      <c r="DM135">
        <v>42597.599999999999</v>
      </c>
      <c r="DN135">
        <v>1.4692700000000001</v>
      </c>
      <c r="DO135">
        <v>2.0474999999999999</v>
      </c>
      <c r="DP135">
        <v>0.111386</v>
      </c>
      <c r="DQ135">
        <v>0.189468</v>
      </c>
      <c r="DR135">
        <v>25.158799999999999</v>
      </c>
      <c r="DS135">
        <v>24.9146</v>
      </c>
      <c r="DT135">
        <v>54.6</v>
      </c>
      <c r="DU135">
        <v>28.8</v>
      </c>
      <c r="DV135">
        <v>22.001300000000001</v>
      </c>
      <c r="DW135">
        <v>61.042200000000001</v>
      </c>
      <c r="DX135">
        <v>36.923099999999998</v>
      </c>
      <c r="DY135">
        <v>1</v>
      </c>
      <c r="DZ135">
        <v>-0.111641</v>
      </c>
      <c r="EA135">
        <v>-9.1492400000000002E-2</v>
      </c>
      <c r="EB135">
        <v>20.190200000000001</v>
      </c>
      <c r="EC135">
        <v>5.24125</v>
      </c>
      <c r="ED135">
        <v>12.039899999999999</v>
      </c>
      <c r="EE135">
        <v>5.0173500000000004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</v>
      </c>
      <c r="EL135">
        <v>1.8646199999999999</v>
      </c>
      <c r="EM135">
        <v>1.8692</v>
      </c>
      <c r="EN135">
        <v>1.8672299999999999</v>
      </c>
      <c r="EO135">
        <v>1.86337</v>
      </c>
      <c r="EP135">
        <v>1.8644700000000001</v>
      </c>
      <c r="EQ135">
        <v>1.87015</v>
      </c>
      <c r="ER135">
        <v>1.8693900000000001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-0.13</v>
      </c>
      <c r="FG135">
        <v>0.27960000000000002</v>
      </c>
      <c r="FH135">
        <v>0.26269369235785539</v>
      </c>
      <c r="FI135">
        <v>-6.1462078757559423E-4</v>
      </c>
      <c r="FJ135">
        <v>-1.8861989874597051E-7</v>
      </c>
      <c r="FK135">
        <v>1.1980462299894961E-10</v>
      </c>
      <c r="FL135">
        <v>0.27968571428570849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29.4</v>
      </c>
      <c r="FU135">
        <v>29.4</v>
      </c>
      <c r="FV135">
        <v>1.78223</v>
      </c>
      <c r="FW135">
        <v>2.5817899999999998</v>
      </c>
      <c r="FX135">
        <v>1.5490699999999999</v>
      </c>
      <c r="FY135">
        <v>2.3315399999999999</v>
      </c>
      <c r="FZ135">
        <v>1.50146</v>
      </c>
      <c r="GA135">
        <v>2.3962400000000001</v>
      </c>
      <c r="GB135">
        <v>33.535499999999999</v>
      </c>
      <c r="GC135">
        <v>23.991199999999999</v>
      </c>
      <c r="GD135">
        <v>19</v>
      </c>
      <c r="GE135">
        <v>279.06099999999998</v>
      </c>
      <c r="GF135">
        <v>590.08600000000001</v>
      </c>
      <c r="GG135">
        <v>24.581199999999999</v>
      </c>
      <c r="GH135">
        <v>26.004200000000001</v>
      </c>
      <c r="GI135">
        <v>29.9999</v>
      </c>
      <c r="GJ135">
        <v>26.149899999999999</v>
      </c>
      <c r="GK135">
        <v>26.136399999999998</v>
      </c>
      <c r="GL135">
        <v>35.635399999999997</v>
      </c>
      <c r="GM135">
        <v>53.524900000000002</v>
      </c>
      <c r="GN135">
        <v>80.1678</v>
      </c>
      <c r="GO135">
        <v>24.599499999999999</v>
      </c>
      <c r="GP135">
        <v>800</v>
      </c>
      <c r="GQ135">
        <v>10.5648</v>
      </c>
      <c r="GR135">
        <v>99.796000000000006</v>
      </c>
      <c r="GS135">
        <v>99.648700000000005</v>
      </c>
    </row>
    <row r="136" spans="1:201" x14ac:dyDescent="0.25">
      <c r="A136">
        <v>120</v>
      </c>
      <c r="B136">
        <v>1690386595.5999999</v>
      </c>
      <c r="C136">
        <v>1261</v>
      </c>
      <c r="D136" t="s">
        <v>573</v>
      </c>
      <c r="E136" t="s">
        <v>574</v>
      </c>
      <c r="F136" t="s">
        <v>330</v>
      </c>
      <c r="H136">
        <v>1690386595.5999999</v>
      </c>
      <c r="I136">
        <f t="shared" si="30"/>
        <v>1.2746681758130055E-3</v>
      </c>
      <c r="J136">
        <f t="shared" si="31"/>
        <v>1.2746681758130054</v>
      </c>
      <c r="K136">
        <f t="shared" si="32"/>
        <v>20.936337497038533</v>
      </c>
      <c r="L136">
        <f t="shared" si="33"/>
        <v>570.45399999999995</v>
      </c>
      <c r="M136">
        <f t="shared" si="34"/>
        <v>163.0064380107265</v>
      </c>
      <c r="N136">
        <f t="shared" si="35"/>
        <v>16.09767807895248</v>
      </c>
      <c r="O136">
        <f t="shared" si="36"/>
        <v>56.335105305757793</v>
      </c>
      <c r="P136">
        <f t="shared" si="37"/>
        <v>8.5634437018087831E-2</v>
      </c>
      <c r="Q136">
        <f t="shared" si="38"/>
        <v>2.1580738645910209</v>
      </c>
      <c r="R136">
        <f t="shared" si="39"/>
        <v>8.3790479081468611E-2</v>
      </c>
      <c r="S136">
        <f t="shared" si="40"/>
        <v>5.2531414672882706E-2</v>
      </c>
      <c r="T136">
        <f t="shared" si="41"/>
        <v>276.11276228168754</v>
      </c>
      <c r="U136">
        <f t="shared" si="42"/>
        <v>28.009031695386337</v>
      </c>
      <c r="V136">
        <f t="shared" si="43"/>
        <v>28.009031695386337</v>
      </c>
      <c r="W136">
        <f t="shared" si="44"/>
        <v>3.7968381854370814</v>
      </c>
      <c r="X136">
        <f t="shared" si="45"/>
        <v>68.206444202005471</v>
      </c>
      <c r="Y136">
        <f t="shared" si="46"/>
        <v>2.34121110907311</v>
      </c>
      <c r="Z136">
        <f t="shared" si="47"/>
        <v>3.4325365241724062</v>
      </c>
      <c r="AA136">
        <f t="shared" si="48"/>
        <v>1.4556270763639714</v>
      </c>
      <c r="AB136">
        <f t="shared" si="49"/>
        <v>-56.212866553353543</v>
      </c>
      <c r="AC136">
        <f t="shared" si="50"/>
        <v>-200.03749986223505</v>
      </c>
      <c r="AD136">
        <f t="shared" si="51"/>
        <v>-20.034207772456057</v>
      </c>
      <c r="AE136">
        <f t="shared" si="52"/>
        <v>-0.17181190635710664</v>
      </c>
      <c r="AF136">
        <v>0</v>
      </c>
      <c r="AG136">
        <v>0</v>
      </c>
      <c r="AH136">
        <f t="shared" si="53"/>
        <v>1</v>
      </c>
      <c r="AI136">
        <f t="shared" si="54"/>
        <v>0</v>
      </c>
      <c r="AJ136">
        <f t="shared" si="55"/>
        <v>52299.253924548117</v>
      </c>
      <c r="AK136">
        <f t="shared" si="56"/>
        <v>1799.99</v>
      </c>
      <c r="AL136">
        <f t="shared" si="57"/>
        <v>1499.10603858685</v>
      </c>
      <c r="AM136">
        <f t="shared" si="58"/>
        <v>0.83284131500000003</v>
      </c>
      <c r="AN136">
        <f t="shared" si="59"/>
        <v>0.15339683125</v>
      </c>
      <c r="AO136">
        <v>31.8</v>
      </c>
      <c r="AP136">
        <v>0.5</v>
      </c>
      <c r="AQ136" t="s">
        <v>331</v>
      </c>
      <c r="AR136">
        <v>2</v>
      </c>
      <c r="AS136">
        <v>1690386595.5999999</v>
      </c>
      <c r="AT136">
        <v>570.45399999999995</v>
      </c>
      <c r="AU136">
        <v>800.04399999999998</v>
      </c>
      <c r="AV136">
        <v>23.7073</v>
      </c>
      <c r="AW136">
        <v>10.518599999999999</v>
      </c>
      <c r="AX136">
        <v>570.58100000000002</v>
      </c>
      <c r="AY136">
        <v>23.427600000000002</v>
      </c>
      <c r="AZ136">
        <v>300.05599999999998</v>
      </c>
      <c r="BA136">
        <v>98.654899999999998</v>
      </c>
      <c r="BB136">
        <v>9.99607E-2</v>
      </c>
      <c r="BC136">
        <v>26.2897</v>
      </c>
      <c r="BD136">
        <v>26.956399999999999</v>
      </c>
      <c r="BE136">
        <v>28.009</v>
      </c>
      <c r="BF136">
        <v>0</v>
      </c>
      <c r="BG136">
        <v>0</v>
      </c>
      <c r="BH136">
        <v>10001.9</v>
      </c>
      <c r="BI136">
        <v>1074.3699999999999</v>
      </c>
      <c r="BJ136">
        <v>1.54182</v>
      </c>
      <c r="BK136">
        <v>-229.59</v>
      </c>
      <c r="BL136">
        <v>584.30600000000004</v>
      </c>
      <c r="BM136">
        <v>808.54899999999998</v>
      </c>
      <c r="BN136">
        <v>13.188700000000001</v>
      </c>
      <c r="BO136">
        <v>800.04399999999998</v>
      </c>
      <c r="BP136">
        <v>10.518599999999999</v>
      </c>
      <c r="BQ136">
        <v>2.3388499999999999</v>
      </c>
      <c r="BR136">
        <v>1.0377099999999999</v>
      </c>
      <c r="BS136">
        <v>19.9465</v>
      </c>
      <c r="BT136">
        <v>7.4569099999999997</v>
      </c>
      <c r="BU136">
        <v>1799.99</v>
      </c>
      <c r="BV136">
        <v>0.91002000000000005</v>
      </c>
      <c r="BW136">
        <v>3.3997399999999997E-2</v>
      </c>
      <c r="BX136">
        <v>2.1992999999999999E-2</v>
      </c>
      <c r="BY136">
        <v>3.3989900000000003E-2</v>
      </c>
      <c r="BZ136">
        <v>25</v>
      </c>
      <c r="CA136">
        <v>33528.400000000001</v>
      </c>
      <c r="CB136">
        <v>1690384821</v>
      </c>
      <c r="CC136" t="s">
        <v>332</v>
      </c>
      <c r="CD136">
        <v>1690384820</v>
      </c>
      <c r="CE136">
        <v>1690384821</v>
      </c>
      <c r="CF136">
        <v>5</v>
      </c>
      <c r="CG136">
        <v>-2.5000000000000001E-2</v>
      </c>
      <c r="CH136">
        <v>0.104</v>
      </c>
      <c r="CI136">
        <v>-0.28799999999999998</v>
      </c>
      <c r="CJ136">
        <v>0.28000000000000003</v>
      </c>
      <c r="CK136">
        <v>800</v>
      </c>
      <c r="CL136">
        <v>24</v>
      </c>
      <c r="CM136">
        <v>0.08</v>
      </c>
      <c r="CN136">
        <v>0.11</v>
      </c>
      <c r="CO136">
        <v>-225.67429999999999</v>
      </c>
      <c r="CP136">
        <v>-20.817523452157939</v>
      </c>
      <c r="CQ136">
        <v>2.003887436958474</v>
      </c>
      <c r="CR136">
        <v>-1</v>
      </c>
      <c r="CS136">
        <v>13.012115</v>
      </c>
      <c r="CT136">
        <v>0.78360900562851421</v>
      </c>
      <c r="CU136">
        <v>7.7512378205032428E-2</v>
      </c>
      <c r="CV136">
        <v>-1</v>
      </c>
      <c r="CW136">
        <v>0</v>
      </c>
      <c r="CX136">
        <v>0</v>
      </c>
      <c r="CY136" t="s">
        <v>333</v>
      </c>
      <c r="CZ136">
        <v>2.3645</v>
      </c>
      <c r="DA136">
        <v>2.7137500000000001</v>
      </c>
      <c r="DB136">
        <v>0.115839</v>
      </c>
      <c r="DC136">
        <v>0.14564299999999999</v>
      </c>
      <c r="DD136">
        <v>0.112196</v>
      </c>
      <c r="DE136">
        <v>6.12662E-2</v>
      </c>
      <c r="DF136">
        <v>32302.7</v>
      </c>
      <c r="DG136">
        <v>27556.400000000001</v>
      </c>
      <c r="DH136">
        <v>31188.9</v>
      </c>
      <c r="DI136">
        <v>28104</v>
      </c>
      <c r="DJ136">
        <v>37592.9</v>
      </c>
      <c r="DK136">
        <v>37517.699999999997</v>
      </c>
      <c r="DL136">
        <v>44388.5</v>
      </c>
      <c r="DM136">
        <v>42598</v>
      </c>
      <c r="DN136">
        <v>1.4695499999999999</v>
      </c>
      <c r="DO136">
        <v>2.0472199999999998</v>
      </c>
      <c r="DP136">
        <v>0.109598</v>
      </c>
      <c r="DQ136">
        <v>0.188947</v>
      </c>
      <c r="DR136">
        <v>25.161300000000001</v>
      </c>
      <c r="DS136">
        <v>24.9163</v>
      </c>
      <c r="DT136">
        <v>54.4</v>
      </c>
      <c r="DU136">
        <v>28.8</v>
      </c>
      <c r="DV136">
        <v>21.920400000000001</v>
      </c>
      <c r="DW136">
        <v>60.882199999999997</v>
      </c>
      <c r="DX136">
        <v>37.319699999999997</v>
      </c>
      <c r="DY136">
        <v>1</v>
      </c>
      <c r="DZ136">
        <v>-0.111585</v>
      </c>
      <c r="EA136">
        <v>-0.15982299999999999</v>
      </c>
      <c r="EB136">
        <v>20.190200000000001</v>
      </c>
      <c r="EC136">
        <v>5.2416999999999998</v>
      </c>
      <c r="ED136">
        <v>12.039899999999999</v>
      </c>
      <c r="EE136">
        <v>5.0172999999999996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</v>
      </c>
      <c r="EL136">
        <v>1.8646199999999999</v>
      </c>
      <c r="EM136">
        <v>1.8692</v>
      </c>
      <c r="EN136">
        <v>1.8672200000000001</v>
      </c>
      <c r="EO136">
        <v>1.86337</v>
      </c>
      <c r="EP136">
        <v>1.8644700000000001</v>
      </c>
      <c r="EQ136">
        <v>1.8701700000000001</v>
      </c>
      <c r="ER136">
        <v>1.86937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-0.127</v>
      </c>
      <c r="FG136">
        <v>0.2797</v>
      </c>
      <c r="FH136">
        <v>0.26269369235785539</v>
      </c>
      <c r="FI136">
        <v>-6.1462078757559423E-4</v>
      </c>
      <c r="FJ136">
        <v>-1.8861989874597051E-7</v>
      </c>
      <c r="FK136">
        <v>1.1980462299894961E-10</v>
      </c>
      <c r="FL136">
        <v>0.27968571428570849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29.6</v>
      </c>
      <c r="FU136">
        <v>29.6</v>
      </c>
      <c r="FV136">
        <v>1.78223</v>
      </c>
      <c r="FW136">
        <v>2.5793499999999998</v>
      </c>
      <c r="FX136">
        <v>1.5490699999999999</v>
      </c>
      <c r="FY136">
        <v>2.3315399999999999</v>
      </c>
      <c r="FZ136">
        <v>1.50146</v>
      </c>
      <c r="GA136">
        <v>2.3791500000000001</v>
      </c>
      <c r="GB136">
        <v>33.535499999999999</v>
      </c>
      <c r="GC136">
        <v>23.991199999999999</v>
      </c>
      <c r="GD136">
        <v>19</v>
      </c>
      <c r="GE136">
        <v>279.16699999999997</v>
      </c>
      <c r="GF136">
        <v>589.83799999999997</v>
      </c>
      <c r="GG136">
        <v>24.6206</v>
      </c>
      <c r="GH136">
        <v>26.001999999999999</v>
      </c>
      <c r="GI136">
        <v>30</v>
      </c>
      <c r="GJ136">
        <v>26.1477</v>
      </c>
      <c r="GK136">
        <v>26.134799999999998</v>
      </c>
      <c r="GL136">
        <v>35.631500000000003</v>
      </c>
      <c r="GM136">
        <v>54.134599999999999</v>
      </c>
      <c r="GN136">
        <v>79.383799999999994</v>
      </c>
      <c r="GO136">
        <v>24.629799999999999</v>
      </c>
      <c r="GP136">
        <v>800</v>
      </c>
      <c r="GQ136">
        <v>10.3474</v>
      </c>
      <c r="GR136">
        <v>99.796099999999996</v>
      </c>
      <c r="GS136">
        <v>99.649600000000007</v>
      </c>
    </row>
    <row r="137" spans="1:201" x14ac:dyDescent="0.25">
      <c r="A137">
        <v>121</v>
      </c>
      <c r="B137">
        <v>1690386605.5999999</v>
      </c>
      <c r="C137">
        <v>1271</v>
      </c>
      <c r="D137" t="s">
        <v>575</v>
      </c>
      <c r="E137" t="s">
        <v>576</v>
      </c>
      <c r="F137" t="s">
        <v>330</v>
      </c>
      <c r="H137">
        <v>1690386605.5999999</v>
      </c>
      <c r="I137">
        <f t="shared" si="30"/>
        <v>1.304562318788168E-3</v>
      </c>
      <c r="J137">
        <f t="shared" si="31"/>
        <v>1.3045623187881679</v>
      </c>
      <c r="K137">
        <f t="shared" si="32"/>
        <v>21.257782154720669</v>
      </c>
      <c r="L137">
        <f t="shared" si="33"/>
        <v>567.05799999999999</v>
      </c>
      <c r="M137">
        <f t="shared" si="34"/>
        <v>163.86185209865226</v>
      </c>
      <c r="N137">
        <f t="shared" si="35"/>
        <v>16.182393993232729</v>
      </c>
      <c r="O137">
        <f t="shared" si="36"/>
        <v>56.000563007733994</v>
      </c>
      <c r="P137">
        <f t="shared" si="37"/>
        <v>8.7918504957817903E-2</v>
      </c>
      <c r="Q137">
        <f t="shared" si="38"/>
        <v>2.1573389711084596</v>
      </c>
      <c r="R137">
        <f t="shared" si="39"/>
        <v>8.597542610261015E-2</v>
      </c>
      <c r="S137">
        <f t="shared" si="40"/>
        <v>5.3905642492868375E-2</v>
      </c>
      <c r="T137">
        <f t="shared" si="41"/>
        <v>276.11423568000004</v>
      </c>
      <c r="U137">
        <f t="shared" si="42"/>
        <v>28.007053074311809</v>
      </c>
      <c r="V137">
        <f t="shared" si="43"/>
        <v>28.007053074311809</v>
      </c>
      <c r="W137">
        <f t="shared" si="44"/>
        <v>3.7964002836940525</v>
      </c>
      <c r="X137">
        <f t="shared" si="45"/>
        <v>68.270661127635449</v>
      </c>
      <c r="Y137">
        <f t="shared" si="46"/>
        <v>2.3444948592846</v>
      </c>
      <c r="Z137">
        <f t="shared" si="47"/>
        <v>3.4341177023340208</v>
      </c>
      <c r="AA137">
        <f t="shared" si="48"/>
        <v>1.4519054244094525</v>
      </c>
      <c r="AB137">
        <f t="shared" si="49"/>
        <v>-57.531198258558206</v>
      </c>
      <c r="AC137">
        <f t="shared" si="50"/>
        <v>-198.83206387972734</v>
      </c>
      <c r="AD137">
        <f t="shared" si="51"/>
        <v>-19.920841801411552</v>
      </c>
      <c r="AE137">
        <f t="shared" si="52"/>
        <v>-0.16986825969706842</v>
      </c>
      <c r="AF137">
        <v>0</v>
      </c>
      <c r="AG137">
        <v>0</v>
      </c>
      <c r="AH137">
        <f t="shared" si="53"/>
        <v>1</v>
      </c>
      <c r="AI137">
        <f t="shared" si="54"/>
        <v>0</v>
      </c>
      <c r="AJ137">
        <f t="shared" si="55"/>
        <v>52267.13656797674</v>
      </c>
      <c r="AK137">
        <f t="shared" si="56"/>
        <v>1800</v>
      </c>
      <c r="AL137">
        <f t="shared" si="57"/>
        <v>1499.114781</v>
      </c>
      <c r="AM137">
        <f t="shared" si="58"/>
        <v>0.83284154499999996</v>
      </c>
      <c r="AN137">
        <f t="shared" si="59"/>
        <v>0.15339679760000002</v>
      </c>
      <c r="AO137">
        <v>31.8</v>
      </c>
      <c r="AP137">
        <v>0.5</v>
      </c>
      <c r="AQ137" t="s">
        <v>331</v>
      </c>
      <c r="AR137">
        <v>2</v>
      </c>
      <c r="AS137">
        <v>1690386605.5999999</v>
      </c>
      <c r="AT137">
        <v>567.05799999999999</v>
      </c>
      <c r="AU137">
        <v>800.05799999999999</v>
      </c>
      <c r="AV137">
        <v>23.740200000000002</v>
      </c>
      <c r="AW137">
        <v>10.2502</v>
      </c>
      <c r="AX137">
        <v>567.18299999999999</v>
      </c>
      <c r="AY137">
        <v>23.4605</v>
      </c>
      <c r="AZ137">
        <v>300.22399999999999</v>
      </c>
      <c r="BA137">
        <v>98.656300000000002</v>
      </c>
      <c r="BB137">
        <v>0.100023</v>
      </c>
      <c r="BC137">
        <v>26.297499999999999</v>
      </c>
      <c r="BD137">
        <v>26.991599999999998</v>
      </c>
      <c r="BE137">
        <v>27.994700000000002</v>
      </c>
      <c r="BF137">
        <v>0</v>
      </c>
      <c r="BG137">
        <v>0</v>
      </c>
      <c r="BH137">
        <v>9995.6200000000008</v>
      </c>
      <c r="BI137">
        <v>1074.42</v>
      </c>
      <c r="BJ137">
        <v>1.5306</v>
      </c>
      <c r="BK137">
        <v>-233</v>
      </c>
      <c r="BL137">
        <v>580.84799999999996</v>
      </c>
      <c r="BM137">
        <v>808.34400000000005</v>
      </c>
      <c r="BN137">
        <v>13.49</v>
      </c>
      <c r="BO137">
        <v>800.05799999999999</v>
      </c>
      <c r="BP137">
        <v>10.2502</v>
      </c>
      <c r="BQ137">
        <v>2.34212</v>
      </c>
      <c r="BR137">
        <v>1.01125</v>
      </c>
      <c r="BS137">
        <v>19.969100000000001</v>
      </c>
      <c r="BT137">
        <v>7.0794699999999997</v>
      </c>
      <c r="BU137">
        <v>1800</v>
      </c>
      <c r="BV137">
        <v>0.910022</v>
      </c>
      <c r="BW137">
        <v>3.3996699999999998E-2</v>
      </c>
      <c r="BX137">
        <v>2.1992500000000002E-2</v>
      </c>
      <c r="BY137">
        <v>3.3989199999999997E-2</v>
      </c>
      <c r="BZ137">
        <v>25</v>
      </c>
      <c r="CA137">
        <v>33528.5</v>
      </c>
      <c r="CB137">
        <v>1690384821</v>
      </c>
      <c r="CC137" t="s">
        <v>332</v>
      </c>
      <c r="CD137">
        <v>1690384820</v>
      </c>
      <c r="CE137">
        <v>1690384821</v>
      </c>
      <c r="CF137">
        <v>5</v>
      </c>
      <c r="CG137">
        <v>-2.5000000000000001E-2</v>
      </c>
      <c r="CH137">
        <v>0.104</v>
      </c>
      <c r="CI137">
        <v>-0.28799999999999998</v>
      </c>
      <c r="CJ137">
        <v>0.28000000000000003</v>
      </c>
      <c r="CK137">
        <v>800</v>
      </c>
      <c r="CL137">
        <v>24</v>
      </c>
      <c r="CM137">
        <v>0.08</v>
      </c>
      <c r="CN137">
        <v>0.11</v>
      </c>
      <c r="CO137">
        <v>-229.495925</v>
      </c>
      <c r="CP137">
        <v>-20.822870544089309</v>
      </c>
      <c r="CQ137">
        <v>2.004133034350513</v>
      </c>
      <c r="CR137">
        <v>-1</v>
      </c>
      <c r="CS137">
        <v>13.21576</v>
      </c>
      <c r="CT137">
        <v>1.4996645403376621</v>
      </c>
      <c r="CU137">
        <v>0.14652902579352681</v>
      </c>
      <c r="CV137">
        <v>-1</v>
      </c>
      <c r="CW137">
        <v>0</v>
      </c>
      <c r="CX137">
        <v>0</v>
      </c>
      <c r="CY137" t="s">
        <v>333</v>
      </c>
      <c r="CZ137">
        <v>2.36504</v>
      </c>
      <c r="DA137">
        <v>2.7138100000000001</v>
      </c>
      <c r="DB137">
        <v>0.115346</v>
      </c>
      <c r="DC137">
        <v>0.14563799999999999</v>
      </c>
      <c r="DD137">
        <v>0.112305</v>
      </c>
      <c r="DE137">
        <v>6.0065199999999999E-2</v>
      </c>
      <c r="DF137">
        <v>32320.400000000001</v>
      </c>
      <c r="DG137">
        <v>27556.799999999999</v>
      </c>
      <c r="DH137">
        <v>31188.7</v>
      </c>
      <c r="DI137">
        <v>28104.2</v>
      </c>
      <c r="DJ137">
        <v>37588</v>
      </c>
      <c r="DK137">
        <v>37565.800000000003</v>
      </c>
      <c r="DL137">
        <v>44388.3</v>
      </c>
      <c r="DM137">
        <v>42598</v>
      </c>
      <c r="DN137">
        <v>1.46932</v>
      </c>
      <c r="DO137">
        <v>2.0469300000000001</v>
      </c>
      <c r="DP137">
        <v>0.111647</v>
      </c>
      <c r="DQ137">
        <v>0.187941</v>
      </c>
      <c r="DR137">
        <v>25.163</v>
      </c>
      <c r="DS137">
        <v>24.918399999999998</v>
      </c>
      <c r="DT137">
        <v>54.1</v>
      </c>
      <c r="DU137">
        <v>28.8</v>
      </c>
      <c r="DV137">
        <v>21.801200000000001</v>
      </c>
      <c r="DW137">
        <v>61.0822</v>
      </c>
      <c r="DX137">
        <v>36.778799999999997</v>
      </c>
      <c r="DY137">
        <v>1</v>
      </c>
      <c r="DZ137">
        <v>-0.111692</v>
      </c>
      <c r="EA137">
        <v>-0.23880999999999999</v>
      </c>
      <c r="EB137">
        <v>20.190100000000001</v>
      </c>
      <c r="EC137">
        <v>5.24125</v>
      </c>
      <c r="ED137">
        <v>12.039899999999999</v>
      </c>
      <c r="EE137">
        <v>5.0169499999999996</v>
      </c>
      <c r="EF137">
        <v>3.2879499999999999</v>
      </c>
      <c r="EG137">
        <v>9999</v>
      </c>
      <c r="EH137">
        <v>9999</v>
      </c>
      <c r="EI137">
        <v>9999</v>
      </c>
      <c r="EJ137">
        <v>999.9</v>
      </c>
      <c r="EK137">
        <v>1.8689</v>
      </c>
      <c r="EL137">
        <v>1.8646199999999999</v>
      </c>
      <c r="EM137">
        <v>1.8692</v>
      </c>
      <c r="EN137">
        <v>1.8672299999999999</v>
      </c>
      <c r="EO137">
        <v>1.8633900000000001</v>
      </c>
      <c r="EP137">
        <v>1.8644700000000001</v>
      </c>
      <c r="EQ137">
        <v>1.87018</v>
      </c>
      <c r="ER137">
        <v>1.8694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-0.125</v>
      </c>
      <c r="FG137">
        <v>0.2797</v>
      </c>
      <c r="FH137">
        <v>0.26269369235785539</v>
      </c>
      <c r="FI137">
        <v>-6.1462078757559423E-4</v>
      </c>
      <c r="FJ137">
        <v>-1.8861989874597051E-7</v>
      </c>
      <c r="FK137">
        <v>1.1980462299894961E-10</v>
      </c>
      <c r="FL137">
        <v>0.27968571428570849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29.8</v>
      </c>
      <c r="FU137">
        <v>29.7</v>
      </c>
      <c r="FV137">
        <v>1.78101</v>
      </c>
      <c r="FW137">
        <v>2.5830099999999998</v>
      </c>
      <c r="FX137">
        <v>1.5490699999999999</v>
      </c>
      <c r="FY137">
        <v>2.3315399999999999</v>
      </c>
      <c r="FZ137">
        <v>1.50146</v>
      </c>
      <c r="GA137">
        <v>2.32422</v>
      </c>
      <c r="GB137">
        <v>33.535499999999999</v>
      </c>
      <c r="GC137">
        <v>23.982399999999998</v>
      </c>
      <c r="GD137">
        <v>19</v>
      </c>
      <c r="GE137">
        <v>279.06299999999999</v>
      </c>
      <c r="GF137">
        <v>589.55100000000004</v>
      </c>
      <c r="GG137">
        <v>24.6694</v>
      </c>
      <c r="GH137">
        <v>26.0014</v>
      </c>
      <c r="GI137">
        <v>30.0001</v>
      </c>
      <c r="GJ137">
        <v>26.145499999999998</v>
      </c>
      <c r="GK137">
        <v>26.131499999999999</v>
      </c>
      <c r="GL137">
        <v>35.624099999999999</v>
      </c>
      <c r="GM137">
        <v>54.735300000000002</v>
      </c>
      <c r="GN137">
        <v>78.610900000000001</v>
      </c>
      <c r="GO137">
        <v>24.6831</v>
      </c>
      <c r="GP137">
        <v>800</v>
      </c>
      <c r="GQ137">
        <v>10.128399999999999</v>
      </c>
      <c r="GR137">
        <v>99.795599999999993</v>
      </c>
      <c r="GS137">
        <v>99.649900000000002</v>
      </c>
    </row>
    <row r="138" spans="1:201" x14ac:dyDescent="0.25">
      <c r="A138">
        <v>122</v>
      </c>
      <c r="B138">
        <v>1690386615.5999999</v>
      </c>
      <c r="C138">
        <v>1281</v>
      </c>
      <c r="D138" t="s">
        <v>577</v>
      </c>
      <c r="E138" t="s">
        <v>578</v>
      </c>
      <c r="F138" t="s">
        <v>330</v>
      </c>
      <c r="H138">
        <v>1690386615.5999999</v>
      </c>
      <c r="I138">
        <f t="shared" si="30"/>
        <v>1.3283892794334307E-3</v>
      </c>
      <c r="J138">
        <f t="shared" si="31"/>
        <v>1.3283892794334307</v>
      </c>
      <c r="K138">
        <f t="shared" si="32"/>
        <v>21.577016409428449</v>
      </c>
      <c r="L138">
        <f t="shared" si="33"/>
        <v>563.67100000000005</v>
      </c>
      <c r="M138">
        <f t="shared" si="34"/>
        <v>162.60119510784995</v>
      </c>
      <c r="N138">
        <f t="shared" si="35"/>
        <v>16.057748014568109</v>
      </c>
      <c r="O138">
        <f t="shared" si="36"/>
        <v>55.665561837452003</v>
      </c>
      <c r="P138">
        <f t="shared" si="37"/>
        <v>8.9740923772933273E-2</v>
      </c>
      <c r="Q138">
        <f t="shared" si="38"/>
        <v>2.1573280506680215</v>
      </c>
      <c r="R138">
        <f t="shared" si="39"/>
        <v>8.7717444580139359E-2</v>
      </c>
      <c r="S138">
        <f t="shared" si="40"/>
        <v>5.5001404342384416E-2</v>
      </c>
      <c r="T138">
        <f t="shared" si="41"/>
        <v>276.11409904200008</v>
      </c>
      <c r="U138">
        <f t="shared" si="42"/>
        <v>28.006629683300147</v>
      </c>
      <c r="V138">
        <f t="shared" si="43"/>
        <v>28.006629683300147</v>
      </c>
      <c r="W138">
        <f t="shared" si="44"/>
        <v>3.7963065859466112</v>
      </c>
      <c r="X138">
        <f t="shared" si="45"/>
        <v>68.320232150323577</v>
      </c>
      <c r="Y138">
        <f t="shared" si="46"/>
        <v>2.3472778856631997</v>
      </c>
      <c r="Z138">
        <f t="shared" si="47"/>
        <v>3.435699516504179</v>
      </c>
      <c r="AA138">
        <f t="shared" si="48"/>
        <v>1.4490287002834115</v>
      </c>
      <c r="AB138">
        <f t="shared" si="49"/>
        <v>-58.581967223014296</v>
      </c>
      <c r="AC138">
        <f t="shared" si="50"/>
        <v>-197.87462874781664</v>
      </c>
      <c r="AD138">
        <f t="shared" si="51"/>
        <v>-19.82574671472663</v>
      </c>
      <c r="AE138">
        <f t="shared" si="52"/>
        <v>-0.16824364355747434</v>
      </c>
      <c r="AF138">
        <v>0</v>
      </c>
      <c r="AG138">
        <v>0</v>
      </c>
      <c r="AH138">
        <f t="shared" si="53"/>
        <v>1</v>
      </c>
      <c r="AI138">
        <f t="shared" si="54"/>
        <v>0</v>
      </c>
      <c r="AJ138">
        <f t="shared" si="55"/>
        <v>52265.297669542502</v>
      </c>
      <c r="AK138">
        <f t="shared" si="56"/>
        <v>1800</v>
      </c>
      <c r="AL138">
        <f t="shared" si="57"/>
        <v>1499.1145182</v>
      </c>
      <c r="AM138">
        <f t="shared" si="58"/>
        <v>0.83284139899999998</v>
      </c>
      <c r="AN138">
        <f t="shared" si="59"/>
        <v>0.15339672169000004</v>
      </c>
      <c r="AO138">
        <v>31.8</v>
      </c>
      <c r="AP138">
        <v>0.5</v>
      </c>
      <c r="AQ138" t="s">
        <v>331</v>
      </c>
      <c r="AR138">
        <v>2</v>
      </c>
      <c r="AS138">
        <v>1690386615.5999999</v>
      </c>
      <c r="AT138">
        <v>563.67100000000005</v>
      </c>
      <c r="AU138">
        <v>800.13599999999997</v>
      </c>
      <c r="AV138">
        <v>23.768599999999999</v>
      </c>
      <c r="AW138">
        <v>10.033300000000001</v>
      </c>
      <c r="AX138">
        <v>563.79399999999998</v>
      </c>
      <c r="AY138">
        <v>23.488900000000001</v>
      </c>
      <c r="AZ138">
        <v>300.23899999999998</v>
      </c>
      <c r="BA138">
        <v>98.6554</v>
      </c>
      <c r="BB138">
        <v>0.100012</v>
      </c>
      <c r="BC138">
        <v>26.305299999999999</v>
      </c>
      <c r="BD138">
        <v>26.994399999999999</v>
      </c>
      <c r="BE138">
        <v>27.996600000000001</v>
      </c>
      <c r="BF138">
        <v>0</v>
      </c>
      <c r="BG138">
        <v>0</v>
      </c>
      <c r="BH138">
        <v>9995.6200000000008</v>
      </c>
      <c r="BI138">
        <v>1074.55</v>
      </c>
      <c r="BJ138">
        <v>1.5278</v>
      </c>
      <c r="BK138">
        <v>-236.464</v>
      </c>
      <c r="BL138">
        <v>577.39499999999998</v>
      </c>
      <c r="BM138">
        <v>808.245</v>
      </c>
      <c r="BN138">
        <v>13.735200000000001</v>
      </c>
      <c r="BO138">
        <v>800.13599999999997</v>
      </c>
      <c r="BP138">
        <v>10.033300000000001</v>
      </c>
      <c r="BQ138">
        <v>2.3449</v>
      </c>
      <c r="BR138">
        <v>0.98984300000000003</v>
      </c>
      <c r="BS138">
        <v>19.988199999999999</v>
      </c>
      <c r="BT138">
        <v>6.7677300000000002</v>
      </c>
      <c r="BU138">
        <v>1800</v>
      </c>
      <c r="BV138">
        <v>0.91002300000000003</v>
      </c>
      <c r="BW138">
        <v>3.3996199999999997E-2</v>
      </c>
      <c r="BX138">
        <v>2.19922E-2</v>
      </c>
      <c r="BY138">
        <v>3.3988699999999997E-2</v>
      </c>
      <c r="BZ138">
        <v>25</v>
      </c>
      <c r="CA138">
        <v>33528.5</v>
      </c>
      <c r="CB138">
        <v>1690384821</v>
      </c>
      <c r="CC138" t="s">
        <v>332</v>
      </c>
      <c r="CD138">
        <v>1690384820</v>
      </c>
      <c r="CE138">
        <v>1690384821</v>
      </c>
      <c r="CF138">
        <v>5</v>
      </c>
      <c r="CG138">
        <v>-2.5000000000000001E-2</v>
      </c>
      <c r="CH138">
        <v>0.104</v>
      </c>
      <c r="CI138">
        <v>-0.28799999999999998</v>
      </c>
      <c r="CJ138">
        <v>0.28000000000000003</v>
      </c>
      <c r="CK138">
        <v>800</v>
      </c>
      <c r="CL138">
        <v>24</v>
      </c>
      <c r="CM138">
        <v>0.08</v>
      </c>
      <c r="CN138">
        <v>0.11</v>
      </c>
      <c r="CO138">
        <v>-232.94775000000001</v>
      </c>
      <c r="CP138">
        <v>-20.52135084427756</v>
      </c>
      <c r="CQ138">
        <v>1.9745994878708939</v>
      </c>
      <c r="CR138">
        <v>-1</v>
      </c>
      <c r="CS138">
        <v>13.465949999999999</v>
      </c>
      <c r="CT138">
        <v>1.515300562851758</v>
      </c>
      <c r="CU138">
        <v>0.1464954572674525</v>
      </c>
      <c r="CV138">
        <v>-1</v>
      </c>
      <c r="CW138">
        <v>0</v>
      </c>
      <c r="CX138">
        <v>0</v>
      </c>
      <c r="CY138" t="s">
        <v>333</v>
      </c>
      <c r="CZ138">
        <v>2.3650799999999998</v>
      </c>
      <c r="DA138">
        <v>2.7138</v>
      </c>
      <c r="DB138">
        <v>0.114857</v>
      </c>
      <c r="DC138">
        <v>0.145645</v>
      </c>
      <c r="DD138">
        <v>0.112401</v>
      </c>
      <c r="DE138">
        <v>5.90877E-2</v>
      </c>
      <c r="DF138">
        <v>32338.6</v>
      </c>
      <c r="DG138">
        <v>27556.400000000001</v>
      </c>
      <c r="DH138">
        <v>31188.9</v>
      </c>
      <c r="DI138">
        <v>28104.1</v>
      </c>
      <c r="DJ138">
        <v>37583.9</v>
      </c>
      <c r="DK138">
        <v>37604.800000000003</v>
      </c>
      <c r="DL138">
        <v>44388.3</v>
      </c>
      <c r="DM138">
        <v>42597.8</v>
      </c>
      <c r="DN138">
        <v>1.4699</v>
      </c>
      <c r="DO138">
        <v>2.0465</v>
      </c>
      <c r="DP138">
        <v>0.111759</v>
      </c>
      <c r="DQ138">
        <v>0.188053</v>
      </c>
      <c r="DR138">
        <v>25.164000000000001</v>
      </c>
      <c r="DS138">
        <v>24.918399999999998</v>
      </c>
      <c r="DT138">
        <v>53.9</v>
      </c>
      <c r="DU138">
        <v>28.8</v>
      </c>
      <c r="DV138">
        <v>21.7195</v>
      </c>
      <c r="DW138">
        <v>60.982199999999999</v>
      </c>
      <c r="DX138">
        <v>36.185899999999997</v>
      </c>
      <c r="DY138">
        <v>1</v>
      </c>
      <c r="DZ138">
        <v>-0.111509</v>
      </c>
      <c r="EA138">
        <v>6.3831700000000005E-2</v>
      </c>
      <c r="EB138">
        <v>20.190100000000001</v>
      </c>
      <c r="EC138">
        <v>5.2409499999999998</v>
      </c>
      <c r="ED138">
        <v>12.039899999999999</v>
      </c>
      <c r="EE138">
        <v>5.0164499999999999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</v>
      </c>
      <c r="EL138">
        <v>1.8646199999999999</v>
      </c>
      <c r="EM138">
        <v>1.8692</v>
      </c>
      <c r="EN138">
        <v>1.86724</v>
      </c>
      <c r="EO138">
        <v>1.8633999999999999</v>
      </c>
      <c r="EP138">
        <v>1.8644499999999999</v>
      </c>
      <c r="EQ138">
        <v>1.8701700000000001</v>
      </c>
      <c r="ER138">
        <v>1.8693599999999999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-0.123</v>
      </c>
      <c r="FG138">
        <v>0.2797</v>
      </c>
      <c r="FH138">
        <v>0.26269369235785539</v>
      </c>
      <c r="FI138">
        <v>-6.1462078757559423E-4</v>
      </c>
      <c r="FJ138">
        <v>-1.8861989874597051E-7</v>
      </c>
      <c r="FK138">
        <v>1.1980462299894961E-10</v>
      </c>
      <c r="FL138">
        <v>0.27968571428570849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29.9</v>
      </c>
      <c r="FU138">
        <v>29.9</v>
      </c>
      <c r="FV138">
        <v>1.78101</v>
      </c>
      <c r="FW138">
        <v>2.5878899999999998</v>
      </c>
      <c r="FX138">
        <v>1.5490699999999999</v>
      </c>
      <c r="FY138">
        <v>2.3315399999999999</v>
      </c>
      <c r="FZ138">
        <v>1.50146</v>
      </c>
      <c r="GA138">
        <v>2.3059099999999999</v>
      </c>
      <c r="GB138">
        <v>33.535499999999999</v>
      </c>
      <c r="GC138">
        <v>23.982399999999998</v>
      </c>
      <c r="GD138">
        <v>19</v>
      </c>
      <c r="GE138">
        <v>279.29599999999999</v>
      </c>
      <c r="GF138">
        <v>589.17200000000003</v>
      </c>
      <c r="GG138">
        <v>24.688099999999999</v>
      </c>
      <c r="GH138">
        <v>25.9998</v>
      </c>
      <c r="GI138">
        <v>30.0001</v>
      </c>
      <c r="GJ138">
        <v>26.1434</v>
      </c>
      <c r="GK138">
        <v>26.129300000000001</v>
      </c>
      <c r="GL138">
        <v>35.615699999999997</v>
      </c>
      <c r="GM138">
        <v>55.287599999999998</v>
      </c>
      <c r="GN138">
        <v>77.8339</v>
      </c>
      <c r="GO138">
        <v>24.642299999999999</v>
      </c>
      <c r="GP138">
        <v>800</v>
      </c>
      <c r="GQ138">
        <v>9.9050600000000006</v>
      </c>
      <c r="GR138">
        <v>99.796000000000006</v>
      </c>
      <c r="GS138">
        <v>99.649500000000003</v>
      </c>
    </row>
    <row r="139" spans="1:201" x14ac:dyDescent="0.25">
      <c r="A139">
        <v>123</v>
      </c>
      <c r="B139">
        <v>1690386625.5999999</v>
      </c>
      <c r="C139">
        <v>1291</v>
      </c>
      <c r="D139" t="s">
        <v>579</v>
      </c>
      <c r="E139" t="s">
        <v>580</v>
      </c>
      <c r="F139" t="s">
        <v>330</v>
      </c>
      <c r="H139">
        <v>1690386625.5999999</v>
      </c>
      <c r="I139">
        <f t="shared" si="30"/>
        <v>1.3486720125108736E-3</v>
      </c>
      <c r="J139">
        <f t="shared" si="31"/>
        <v>1.3486720125108735</v>
      </c>
      <c r="K139">
        <f t="shared" si="32"/>
        <v>21.871082000859026</v>
      </c>
      <c r="L139">
        <f t="shared" si="33"/>
        <v>560.35699999999997</v>
      </c>
      <c r="M139">
        <f t="shared" si="34"/>
        <v>160.10167061022923</v>
      </c>
      <c r="N139">
        <f t="shared" si="35"/>
        <v>15.810907403611504</v>
      </c>
      <c r="O139">
        <f t="shared" si="36"/>
        <v>55.338289764225998</v>
      </c>
      <c r="P139">
        <f t="shared" si="37"/>
        <v>9.1168287401108813E-2</v>
      </c>
      <c r="Q139">
        <f t="shared" si="38"/>
        <v>2.1526048870209222</v>
      </c>
      <c r="R139">
        <f t="shared" si="39"/>
        <v>8.9076267300080489E-2</v>
      </c>
      <c r="S139">
        <f t="shared" si="40"/>
        <v>5.5856628461526746E-2</v>
      </c>
      <c r="T139">
        <f t="shared" si="41"/>
        <v>276.11390183399999</v>
      </c>
      <c r="U139">
        <f t="shared" si="42"/>
        <v>28.008505004616346</v>
      </c>
      <c r="V139">
        <f t="shared" si="43"/>
        <v>28.008505004616346</v>
      </c>
      <c r="W139">
        <f t="shared" si="44"/>
        <v>3.7967216157084915</v>
      </c>
      <c r="X139">
        <f t="shared" si="45"/>
        <v>68.319607022749636</v>
      </c>
      <c r="Y139">
        <f t="shared" si="46"/>
        <v>2.3480186939098004</v>
      </c>
      <c r="Z139">
        <f t="shared" si="47"/>
        <v>3.4368152807552557</v>
      </c>
      <c r="AA139">
        <f t="shared" si="48"/>
        <v>1.4487029217986911</v>
      </c>
      <c r="AB139">
        <f t="shared" si="49"/>
        <v>-59.476435751729525</v>
      </c>
      <c r="AC139">
        <f t="shared" si="50"/>
        <v>-197.02076188958941</v>
      </c>
      <c r="AD139">
        <f t="shared" si="51"/>
        <v>-19.784236508624357</v>
      </c>
      <c r="AE139">
        <f t="shared" si="52"/>
        <v>-0.16753231594330487</v>
      </c>
      <c r="AF139">
        <v>0</v>
      </c>
      <c r="AG139">
        <v>0</v>
      </c>
      <c r="AH139">
        <f t="shared" si="53"/>
        <v>1</v>
      </c>
      <c r="AI139">
        <f t="shared" si="54"/>
        <v>0</v>
      </c>
      <c r="AJ139">
        <f t="shared" si="55"/>
        <v>52066.760997757294</v>
      </c>
      <c r="AK139">
        <f t="shared" si="56"/>
        <v>1800</v>
      </c>
      <c r="AL139">
        <f t="shared" si="57"/>
        <v>1499.1146694000001</v>
      </c>
      <c r="AM139">
        <f t="shared" si="58"/>
        <v>0.83284148300000005</v>
      </c>
      <c r="AN139">
        <f t="shared" si="59"/>
        <v>0.15339661213</v>
      </c>
      <c r="AO139">
        <v>31.8</v>
      </c>
      <c r="AP139">
        <v>0.5</v>
      </c>
      <c r="AQ139" t="s">
        <v>331</v>
      </c>
      <c r="AR139">
        <v>2</v>
      </c>
      <c r="AS139">
        <v>1690386625.5999999</v>
      </c>
      <c r="AT139">
        <v>560.35699999999997</v>
      </c>
      <c r="AU139">
        <v>800.09900000000005</v>
      </c>
      <c r="AV139">
        <v>23.7761</v>
      </c>
      <c r="AW139">
        <v>9.8260299999999994</v>
      </c>
      <c r="AX139">
        <v>560.476</v>
      </c>
      <c r="AY139">
        <v>23.496400000000001</v>
      </c>
      <c r="AZ139">
        <v>300.12799999999999</v>
      </c>
      <c r="BA139">
        <v>98.6554</v>
      </c>
      <c r="BB139">
        <v>0.100018</v>
      </c>
      <c r="BC139">
        <v>26.3108</v>
      </c>
      <c r="BD139">
        <v>27.009</v>
      </c>
      <c r="BE139">
        <v>27.9971</v>
      </c>
      <c r="BF139">
        <v>0</v>
      </c>
      <c r="BG139">
        <v>0</v>
      </c>
      <c r="BH139">
        <v>9956.25</v>
      </c>
      <c r="BI139">
        <v>1074.69</v>
      </c>
      <c r="BJ139">
        <v>1.56985</v>
      </c>
      <c r="BK139">
        <v>-239.74299999999999</v>
      </c>
      <c r="BL139">
        <v>574.00400000000002</v>
      </c>
      <c r="BM139">
        <v>808.03899999999999</v>
      </c>
      <c r="BN139">
        <v>13.950100000000001</v>
      </c>
      <c r="BO139">
        <v>800.09900000000005</v>
      </c>
      <c r="BP139">
        <v>9.8260299999999994</v>
      </c>
      <c r="BQ139">
        <v>2.3456399999999999</v>
      </c>
      <c r="BR139">
        <v>0.96939200000000003</v>
      </c>
      <c r="BS139">
        <v>19.993300000000001</v>
      </c>
      <c r="BT139">
        <v>6.4642799999999996</v>
      </c>
      <c r="BU139">
        <v>1800</v>
      </c>
      <c r="BV139">
        <v>0.910026</v>
      </c>
      <c r="BW139">
        <v>3.3994999999999997E-2</v>
      </c>
      <c r="BX139">
        <v>2.1991400000000001E-2</v>
      </c>
      <c r="BY139">
        <v>3.3987499999999997E-2</v>
      </c>
      <c r="BZ139">
        <v>25</v>
      </c>
      <c r="CA139">
        <v>33528.5</v>
      </c>
      <c r="CB139">
        <v>1690384821</v>
      </c>
      <c r="CC139" t="s">
        <v>332</v>
      </c>
      <c r="CD139">
        <v>1690384820</v>
      </c>
      <c r="CE139">
        <v>1690384821</v>
      </c>
      <c r="CF139">
        <v>5</v>
      </c>
      <c r="CG139">
        <v>-2.5000000000000001E-2</v>
      </c>
      <c r="CH139">
        <v>0.104</v>
      </c>
      <c r="CI139">
        <v>-0.28799999999999998</v>
      </c>
      <c r="CJ139">
        <v>0.28000000000000003</v>
      </c>
      <c r="CK139">
        <v>800</v>
      </c>
      <c r="CL139">
        <v>24</v>
      </c>
      <c r="CM139">
        <v>0.08</v>
      </c>
      <c r="CN139">
        <v>0.11</v>
      </c>
      <c r="CO139">
        <v>-235.9813</v>
      </c>
      <c r="CP139">
        <v>-20.199624765478131</v>
      </c>
      <c r="CQ139">
        <v>1.943671811289138</v>
      </c>
      <c r="CR139">
        <v>-1</v>
      </c>
      <c r="CS139">
        <v>13.685029999999999</v>
      </c>
      <c r="CT139">
        <v>1.3994476547841821</v>
      </c>
      <c r="CU139">
        <v>0.1350332148028773</v>
      </c>
      <c r="CV139">
        <v>-1</v>
      </c>
      <c r="CW139">
        <v>0</v>
      </c>
      <c r="CX139">
        <v>0</v>
      </c>
      <c r="CY139" t="s">
        <v>333</v>
      </c>
      <c r="CZ139">
        <v>2.3647300000000002</v>
      </c>
      <c r="DA139">
        <v>2.7137699999999998</v>
      </c>
      <c r="DB139">
        <v>0.114375</v>
      </c>
      <c r="DC139">
        <v>0.14563699999999999</v>
      </c>
      <c r="DD139">
        <v>0.112427</v>
      </c>
      <c r="DE139">
        <v>5.8146000000000003E-2</v>
      </c>
      <c r="DF139">
        <v>32356.6</v>
      </c>
      <c r="DG139">
        <v>27557.200000000001</v>
      </c>
      <c r="DH139">
        <v>31189.3</v>
      </c>
      <c r="DI139">
        <v>28104.7</v>
      </c>
      <c r="DJ139">
        <v>37583.4</v>
      </c>
      <c r="DK139">
        <v>37643.300000000003</v>
      </c>
      <c r="DL139">
        <v>44389.1</v>
      </c>
      <c r="DM139">
        <v>42598.7</v>
      </c>
      <c r="DN139">
        <v>1.4700200000000001</v>
      </c>
      <c r="DO139">
        <v>2.0463200000000001</v>
      </c>
      <c r="DP139">
        <v>0.112578</v>
      </c>
      <c r="DQ139">
        <v>0.18790399999999999</v>
      </c>
      <c r="DR139">
        <v>25.165099999999999</v>
      </c>
      <c r="DS139">
        <v>24.921399999999998</v>
      </c>
      <c r="DT139">
        <v>53.6</v>
      </c>
      <c r="DU139">
        <v>28.8</v>
      </c>
      <c r="DV139">
        <v>21.599900000000002</v>
      </c>
      <c r="DW139">
        <v>60.9422</v>
      </c>
      <c r="DX139">
        <v>36.546500000000002</v>
      </c>
      <c r="DY139">
        <v>1</v>
      </c>
      <c r="DZ139">
        <v>-0.112167</v>
      </c>
      <c r="EA139">
        <v>-0.117879</v>
      </c>
      <c r="EB139">
        <v>20.190200000000001</v>
      </c>
      <c r="EC139">
        <v>5.2409499999999998</v>
      </c>
      <c r="ED139">
        <v>12.039899999999999</v>
      </c>
      <c r="EE139">
        <v>5.0163000000000002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1.8689100000000001</v>
      </c>
      <c r="EL139">
        <v>1.8646199999999999</v>
      </c>
      <c r="EM139">
        <v>1.8692</v>
      </c>
      <c r="EN139">
        <v>1.8672299999999999</v>
      </c>
      <c r="EO139">
        <v>1.86338</v>
      </c>
      <c r="EP139">
        <v>1.8644499999999999</v>
      </c>
      <c r="EQ139">
        <v>1.8701700000000001</v>
      </c>
      <c r="ER139">
        <v>1.86938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-0.11899999999999999</v>
      </c>
      <c r="FG139">
        <v>0.2797</v>
      </c>
      <c r="FH139">
        <v>0.26269369235785539</v>
      </c>
      <c r="FI139">
        <v>-6.1462078757559423E-4</v>
      </c>
      <c r="FJ139">
        <v>-1.8861989874597051E-7</v>
      </c>
      <c r="FK139">
        <v>1.1980462299894961E-10</v>
      </c>
      <c r="FL139">
        <v>0.27968571428570849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30.1</v>
      </c>
      <c r="FU139">
        <v>30.1</v>
      </c>
      <c r="FV139">
        <v>1.78101</v>
      </c>
      <c r="FW139">
        <v>2.5842299999999998</v>
      </c>
      <c r="FX139">
        <v>1.5490699999999999</v>
      </c>
      <c r="FY139">
        <v>2.3303199999999999</v>
      </c>
      <c r="FZ139">
        <v>1.50146</v>
      </c>
      <c r="GA139">
        <v>2.3742700000000001</v>
      </c>
      <c r="GB139">
        <v>33.535499999999999</v>
      </c>
      <c r="GC139">
        <v>23.982399999999998</v>
      </c>
      <c r="GD139">
        <v>19</v>
      </c>
      <c r="GE139">
        <v>279.33800000000002</v>
      </c>
      <c r="GF139">
        <v>588.995</v>
      </c>
      <c r="GG139">
        <v>24.656600000000001</v>
      </c>
      <c r="GH139">
        <v>25.997599999999998</v>
      </c>
      <c r="GI139">
        <v>29.9999</v>
      </c>
      <c r="GJ139">
        <v>26.141100000000002</v>
      </c>
      <c r="GK139">
        <v>26.1266</v>
      </c>
      <c r="GL139">
        <v>35.604100000000003</v>
      </c>
      <c r="GM139">
        <v>55.590299999999999</v>
      </c>
      <c r="GN139">
        <v>77.447599999999994</v>
      </c>
      <c r="GO139">
        <v>24.667300000000001</v>
      </c>
      <c r="GP139">
        <v>800</v>
      </c>
      <c r="GQ139">
        <v>9.6933900000000008</v>
      </c>
      <c r="GR139">
        <v>99.797499999999999</v>
      </c>
      <c r="GS139">
        <v>99.651499999999999</v>
      </c>
    </row>
    <row r="140" spans="1:201" x14ac:dyDescent="0.25">
      <c r="A140">
        <v>124</v>
      </c>
      <c r="B140">
        <v>1690386635.5999999</v>
      </c>
      <c r="C140">
        <v>1301</v>
      </c>
      <c r="D140" t="s">
        <v>581</v>
      </c>
      <c r="E140" t="s">
        <v>582</v>
      </c>
      <c r="F140" t="s">
        <v>330</v>
      </c>
      <c r="H140">
        <v>1690386635.5999999</v>
      </c>
      <c r="I140">
        <f t="shared" si="30"/>
        <v>1.3697089540751274E-3</v>
      </c>
      <c r="J140">
        <f t="shared" si="31"/>
        <v>1.3697089540751273</v>
      </c>
      <c r="K140">
        <f t="shared" si="32"/>
        <v>22.181495008266754</v>
      </c>
      <c r="L140">
        <f t="shared" si="33"/>
        <v>556.92100000000005</v>
      </c>
      <c r="M140">
        <f t="shared" si="34"/>
        <v>158.59684669723887</v>
      </c>
      <c r="N140">
        <f t="shared" si="35"/>
        <v>15.662459229639888</v>
      </c>
      <c r="O140">
        <f t="shared" si="36"/>
        <v>54.999532703711303</v>
      </c>
      <c r="P140">
        <f t="shared" si="37"/>
        <v>9.2926170243416539E-2</v>
      </c>
      <c r="Q140">
        <f t="shared" si="38"/>
        <v>2.1625027306235363</v>
      </c>
      <c r="R140">
        <f t="shared" si="39"/>
        <v>9.0763426344338316E-2</v>
      </c>
      <c r="S140">
        <f t="shared" si="40"/>
        <v>5.6917263040650451E-2</v>
      </c>
      <c r="T140">
        <f t="shared" si="41"/>
        <v>276.11389159200002</v>
      </c>
      <c r="U140">
        <f t="shared" si="42"/>
        <v>27.994794269860513</v>
      </c>
      <c r="V140">
        <f t="shared" si="43"/>
        <v>27.994794269860513</v>
      </c>
      <c r="W140">
        <f t="shared" si="44"/>
        <v>3.7936881884943827</v>
      </c>
      <c r="X140">
        <f t="shared" si="45"/>
        <v>68.366451048456057</v>
      </c>
      <c r="Y140">
        <f t="shared" si="46"/>
        <v>2.3497118650928996</v>
      </c>
      <c r="Z140">
        <f t="shared" si="47"/>
        <v>3.4369370196318885</v>
      </c>
      <c r="AA140">
        <f t="shared" si="48"/>
        <v>1.4439763234014831</v>
      </c>
      <c r="AB140">
        <f t="shared" si="49"/>
        <v>-60.404164874713118</v>
      </c>
      <c r="AC140">
        <f t="shared" si="50"/>
        <v>-196.25826375156086</v>
      </c>
      <c r="AD140">
        <f t="shared" si="51"/>
        <v>-19.616178185980583</v>
      </c>
      <c r="AE140">
        <f t="shared" si="52"/>
        <v>-0.16471522025452145</v>
      </c>
      <c r="AF140">
        <v>0</v>
      </c>
      <c r="AG140">
        <v>0</v>
      </c>
      <c r="AH140">
        <f t="shared" si="53"/>
        <v>1</v>
      </c>
      <c r="AI140">
        <f t="shared" si="54"/>
        <v>0</v>
      </c>
      <c r="AJ140">
        <f t="shared" si="55"/>
        <v>52481.252827810335</v>
      </c>
      <c r="AK140">
        <f t="shared" si="56"/>
        <v>1800</v>
      </c>
      <c r="AL140">
        <f t="shared" si="57"/>
        <v>1499.1149592000002</v>
      </c>
      <c r="AM140">
        <f t="shared" si="58"/>
        <v>0.83284164400000005</v>
      </c>
      <c r="AN140">
        <f t="shared" si="59"/>
        <v>0.15339660644</v>
      </c>
      <c r="AO140">
        <v>31.8</v>
      </c>
      <c r="AP140">
        <v>0.5</v>
      </c>
      <c r="AQ140" t="s">
        <v>331</v>
      </c>
      <c r="AR140">
        <v>2</v>
      </c>
      <c r="AS140">
        <v>1690386635.5999999</v>
      </c>
      <c r="AT140">
        <v>556.92100000000005</v>
      </c>
      <c r="AU140">
        <v>800.07399999999996</v>
      </c>
      <c r="AV140">
        <v>23.792999999999999</v>
      </c>
      <c r="AW140">
        <v>9.6228400000000001</v>
      </c>
      <c r="AX140">
        <v>557.03800000000001</v>
      </c>
      <c r="AY140">
        <v>23.513300000000001</v>
      </c>
      <c r="AZ140">
        <v>300.07</v>
      </c>
      <c r="BA140">
        <v>98.656499999999994</v>
      </c>
      <c r="BB140">
        <v>9.9935300000000005E-2</v>
      </c>
      <c r="BC140">
        <v>26.311399999999999</v>
      </c>
      <c r="BD140">
        <v>27.0044</v>
      </c>
      <c r="BE140">
        <v>27.996700000000001</v>
      </c>
      <c r="BF140">
        <v>0</v>
      </c>
      <c r="BG140">
        <v>0</v>
      </c>
      <c r="BH140">
        <v>10038.799999999999</v>
      </c>
      <c r="BI140">
        <v>1074.74</v>
      </c>
      <c r="BJ140">
        <v>1.55583</v>
      </c>
      <c r="BK140">
        <v>-243.154</v>
      </c>
      <c r="BL140">
        <v>570.49400000000003</v>
      </c>
      <c r="BM140">
        <v>807.84799999999996</v>
      </c>
      <c r="BN140">
        <v>14.170199999999999</v>
      </c>
      <c r="BO140">
        <v>800.07399999999996</v>
      </c>
      <c r="BP140">
        <v>9.6228400000000001</v>
      </c>
      <c r="BQ140">
        <v>2.3473299999999999</v>
      </c>
      <c r="BR140">
        <v>0.94935499999999995</v>
      </c>
      <c r="BS140">
        <v>20.004899999999999</v>
      </c>
      <c r="BT140">
        <v>6.1614599999999999</v>
      </c>
      <c r="BU140">
        <v>1800</v>
      </c>
      <c r="BV140">
        <v>0.91002700000000003</v>
      </c>
      <c r="BW140">
        <v>3.39946E-2</v>
      </c>
      <c r="BX140">
        <v>2.1991199999999999E-2</v>
      </c>
      <c r="BY140">
        <v>3.3987200000000002E-2</v>
      </c>
      <c r="BZ140">
        <v>25</v>
      </c>
      <c r="CA140">
        <v>33528.6</v>
      </c>
      <c r="CB140">
        <v>1690384821</v>
      </c>
      <c r="CC140" t="s">
        <v>332</v>
      </c>
      <c r="CD140">
        <v>1690384820</v>
      </c>
      <c r="CE140">
        <v>1690384821</v>
      </c>
      <c r="CF140">
        <v>5</v>
      </c>
      <c r="CG140">
        <v>-2.5000000000000001E-2</v>
      </c>
      <c r="CH140">
        <v>0.104</v>
      </c>
      <c r="CI140">
        <v>-0.28799999999999998</v>
      </c>
      <c r="CJ140">
        <v>0.28000000000000003</v>
      </c>
      <c r="CK140">
        <v>800</v>
      </c>
      <c r="CL140">
        <v>24</v>
      </c>
      <c r="CM140">
        <v>0.08</v>
      </c>
      <c r="CN140">
        <v>0.11</v>
      </c>
      <c r="CO140">
        <v>-239.43487804878049</v>
      </c>
      <c r="CP140">
        <v>-20.281714285713559</v>
      </c>
      <c r="CQ140">
        <v>2.0002950781727291</v>
      </c>
      <c r="CR140">
        <v>-1</v>
      </c>
      <c r="CS140">
        <v>13.92134878048781</v>
      </c>
      <c r="CT140">
        <v>1.295916376306639</v>
      </c>
      <c r="CU140">
        <v>0.1279505432692766</v>
      </c>
      <c r="CV140">
        <v>-1</v>
      </c>
      <c r="CW140">
        <v>0</v>
      </c>
      <c r="CX140">
        <v>0</v>
      </c>
      <c r="CY140" t="s">
        <v>333</v>
      </c>
      <c r="CZ140">
        <v>2.3645299999999998</v>
      </c>
      <c r="DA140">
        <v>2.7137600000000002</v>
      </c>
      <c r="DB140">
        <v>0.113875</v>
      </c>
      <c r="DC140">
        <v>0.14563200000000001</v>
      </c>
      <c r="DD140">
        <v>0.112486</v>
      </c>
      <c r="DE140">
        <v>5.7216700000000002E-2</v>
      </c>
      <c r="DF140">
        <v>32375.5</v>
      </c>
      <c r="DG140">
        <v>27557.5</v>
      </c>
      <c r="DH140">
        <v>31189.9</v>
      </c>
      <c r="DI140">
        <v>28104.7</v>
      </c>
      <c r="DJ140">
        <v>37581.599999999999</v>
      </c>
      <c r="DK140">
        <v>37680.6</v>
      </c>
      <c r="DL140">
        <v>44390</v>
      </c>
      <c r="DM140">
        <v>42598.7</v>
      </c>
      <c r="DN140">
        <v>1.4700500000000001</v>
      </c>
      <c r="DO140">
        <v>2.0459999999999998</v>
      </c>
      <c r="DP140">
        <v>0.112168</v>
      </c>
      <c r="DQ140">
        <v>0.18768000000000001</v>
      </c>
      <c r="DR140">
        <v>25.167300000000001</v>
      </c>
      <c r="DS140">
        <v>24.924700000000001</v>
      </c>
      <c r="DT140">
        <v>53.4</v>
      </c>
      <c r="DU140">
        <v>28.8</v>
      </c>
      <c r="DV140">
        <v>21.522600000000001</v>
      </c>
      <c r="DW140">
        <v>60.6922</v>
      </c>
      <c r="DX140">
        <v>37.323700000000002</v>
      </c>
      <c r="DY140">
        <v>1</v>
      </c>
      <c r="DZ140">
        <v>-0.112647</v>
      </c>
      <c r="EA140">
        <v>-8.4528900000000004E-2</v>
      </c>
      <c r="EB140">
        <v>20.190100000000001</v>
      </c>
      <c r="EC140">
        <v>5.2411000000000003</v>
      </c>
      <c r="ED140">
        <v>12.039899999999999</v>
      </c>
      <c r="EE140">
        <v>5.0165499999999996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1.8689100000000001</v>
      </c>
      <c r="EL140">
        <v>1.8646199999999999</v>
      </c>
      <c r="EM140">
        <v>1.86921</v>
      </c>
      <c r="EN140">
        <v>1.86724</v>
      </c>
      <c r="EO140">
        <v>1.8633999999999999</v>
      </c>
      <c r="EP140">
        <v>1.8644700000000001</v>
      </c>
      <c r="EQ140">
        <v>1.8701700000000001</v>
      </c>
      <c r="ER140">
        <v>1.8694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-0.11700000000000001</v>
      </c>
      <c r="FG140">
        <v>0.2797</v>
      </c>
      <c r="FH140">
        <v>0.26269369235785539</v>
      </c>
      <c r="FI140">
        <v>-6.1462078757559423E-4</v>
      </c>
      <c r="FJ140">
        <v>-1.8861989874597051E-7</v>
      </c>
      <c r="FK140">
        <v>1.1980462299894961E-10</v>
      </c>
      <c r="FL140">
        <v>0.27968571428570849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30.3</v>
      </c>
      <c r="FU140">
        <v>30.2</v>
      </c>
      <c r="FV140">
        <v>1.77979</v>
      </c>
      <c r="FW140">
        <v>2.5769000000000002</v>
      </c>
      <c r="FX140">
        <v>1.5490699999999999</v>
      </c>
      <c r="FY140">
        <v>2.3315399999999999</v>
      </c>
      <c r="FZ140">
        <v>1.50146</v>
      </c>
      <c r="GA140">
        <v>2.3938000000000001</v>
      </c>
      <c r="GB140">
        <v>33.535499999999999</v>
      </c>
      <c r="GC140">
        <v>23.982399999999998</v>
      </c>
      <c r="GD140">
        <v>19</v>
      </c>
      <c r="GE140">
        <v>279.34199999999998</v>
      </c>
      <c r="GF140">
        <v>588.70600000000002</v>
      </c>
      <c r="GG140">
        <v>24.6587</v>
      </c>
      <c r="GH140">
        <v>25.9954</v>
      </c>
      <c r="GI140">
        <v>29.9999</v>
      </c>
      <c r="GJ140">
        <v>26.139500000000002</v>
      </c>
      <c r="GK140">
        <v>26.1249</v>
      </c>
      <c r="GL140">
        <v>35.599800000000002</v>
      </c>
      <c r="GM140">
        <v>56.473399999999998</v>
      </c>
      <c r="GN140">
        <v>76.647400000000005</v>
      </c>
      <c r="GO140">
        <v>24.659500000000001</v>
      </c>
      <c r="GP140">
        <v>800</v>
      </c>
      <c r="GQ140">
        <v>9.4750599999999991</v>
      </c>
      <c r="GR140">
        <v>99.799400000000006</v>
      </c>
      <c r="GS140">
        <v>99.651700000000005</v>
      </c>
    </row>
    <row r="141" spans="1:201" x14ac:dyDescent="0.25">
      <c r="A141">
        <v>125</v>
      </c>
      <c r="B141">
        <v>1690386645.5999999</v>
      </c>
      <c r="C141">
        <v>1311</v>
      </c>
      <c r="D141" t="s">
        <v>583</v>
      </c>
      <c r="E141" t="s">
        <v>584</v>
      </c>
      <c r="F141" t="s">
        <v>330</v>
      </c>
      <c r="H141">
        <v>1690386645.5999999</v>
      </c>
      <c r="I141">
        <f t="shared" si="30"/>
        <v>1.3940143088052288E-3</v>
      </c>
      <c r="J141">
        <f t="shared" si="31"/>
        <v>1.3940143088052288</v>
      </c>
      <c r="K141">
        <f t="shared" si="32"/>
        <v>22.497959559875419</v>
      </c>
      <c r="L141">
        <f t="shared" si="33"/>
        <v>553.66700000000003</v>
      </c>
      <c r="M141">
        <f t="shared" si="34"/>
        <v>157.80711179560561</v>
      </c>
      <c r="N141">
        <f t="shared" si="35"/>
        <v>15.584216423412791</v>
      </c>
      <c r="O141">
        <f t="shared" si="36"/>
        <v>54.677297216347405</v>
      </c>
      <c r="P141">
        <f t="shared" si="37"/>
        <v>9.4878031086756631E-2</v>
      </c>
      <c r="Q141">
        <f t="shared" si="38"/>
        <v>2.1578464288753612</v>
      </c>
      <c r="R141">
        <f t="shared" si="39"/>
        <v>9.2619927582747355E-2</v>
      </c>
      <c r="S141">
        <f t="shared" si="40"/>
        <v>5.8085860151854476E-2</v>
      </c>
      <c r="T141">
        <f t="shared" si="41"/>
        <v>276.11384126400003</v>
      </c>
      <c r="U141">
        <f t="shared" si="42"/>
        <v>27.983027123991661</v>
      </c>
      <c r="V141">
        <f t="shared" si="43"/>
        <v>27.983027123991661</v>
      </c>
      <c r="W141">
        <f t="shared" si="44"/>
        <v>3.7910864563109552</v>
      </c>
      <c r="X141">
        <f t="shared" si="45"/>
        <v>68.429763474684464</v>
      </c>
      <c r="Y141">
        <f t="shared" si="46"/>
        <v>2.3509577734131999</v>
      </c>
      <c r="Z141">
        <f t="shared" si="47"/>
        <v>3.4355778159059907</v>
      </c>
      <c r="AA141">
        <f t="shared" si="48"/>
        <v>1.4401286828977553</v>
      </c>
      <c r="AB141">
        <f t="shared" si="49"/>
        <v>-61.476031018310593</v>
      </c>
      <c r="AC141">
        <f t="shared" si="50"/>
        <v>-195.24619996065616</v>
      </c>
      <c r="AD141">
        <f t="shared" si="51"/>
        <v>-19.555326224682528</v>
      </c>
      <c r="AE141">
        <f t="shared" si="52"/>
        <v>-0.16371593964925069</v>
      </c>
      <c r="AF141">
        <v>0</v>
      </c>
      <c r="AG141">
        <v>0</v>
      </c>
      <c r="AH141">
        <f t="shared" si="53"/>
        <v>1</v>
      </c>
      <c r="AI141">
        <f t="shared" si="54"/>
        <v>0</v>
      </c>
      <c r="AJ141">
        <f t="shared" si="55"/>
        <v>52287.104653572067</v>
      </c>
      <c r="AK141">
        <f t="shared" si="56"/>
        <v>1800</v>
      </c>
      <c r="AL141">
        <f t="shared" si="57"/>
        <v>1499.1150833999998</v>
      </c>
      <c r="AM141">
        <f t="shared" si="58"/>
        <v>0.83284171299999987</v>
      </c>
      <c r="AN141">
        <f t="shared" si="59"/>
        <v>0.15339657848000002</v>
      </c>
      <c r="AO141">
        <v>31.8</v>
      </c>
      <c r="AP141">
        <v>0.5</v>
      </c>
      <c r="AQ141" t="s">
        <v>331</v>
      </c>
      <c r="AR141">
        <v>2</v>
      </c>
      <c r="AS141">
        <v>1690386645.5999999</v>
      </c>
      <c r="AT141">
        <v>553.66700000000003</v>
      </c>
      <c r="AU141">
        <v>800.19600000000003</v>
      </c>
      <c r="AV141">
        <v>23.806000000000001</v>
      </c>
      <c r="AW141">
        <v>9.3888599999999993</v>
      </c>
      <c r="AX141">
        <v>553.78200000000004</v>
      </c>
      <c r="AY141">
        <v>23.526299999999999</v>
      </c>
      <c r="AZ141">
        <v>300.15899999999999</v>
      </c>
      <c r="BA141">
        <v>98.654899999999998</v>
      </c>
      <c r="BB141">
        <v>9.9942199999999995E-2</v>
      </c>
      <c r="BC141">
        <v>26.3047</v>
      </c>
      <c r="BD141">
        <v>26.957100000000001</v>
      </c>
      <c r="BE141">
        <v>28.002500000000001</v>
      </c>
      <c r="BF141">
        <v>0</v>
      </c>
      <c r="BG141">
        <v>0</v>
      </c>
      <c r="BH141">
        <v>10000</v>
      </c>
      <c r="BI141">
        <v>1074.76</v>
      </c>
      <c r="BJ141">
        <v>1.56985</v>
      </c>
      <c r="BK141">
        <v>-246.529</v>
      </c>
      <c r="BL141">
        <v>567.16899999999998</v>
      </c>
      <c r="BM141">
        <v>807.78</v>
      </c>
      <c r="BN141">
        <v>14.4171</v>
      </c>
      <c r="BO141">
        <v>800.19600000000003</v>
      </c>
      <c r="BP141">
        <v>9.3888599999999993</v>
      </c>
      <c r="BQ141">
        <v>2.3485800000000001</v>
      </c>
      <c r="BR141">
        <v>0.926257</v>
      </c>
      <c r="BS141">
        <v>20.013500000000001</v>
      </c>
      <c r="BT141">
        <v>5.8052900000000003</v>
      </c>
      <c r="BU141">
        <v>1800</v>
      </c>
      <c r="BV141">
        <v>0.91002799999999995</v>
      </c>
      <c r="BW141">
        <v>3.3994299999999998E-2</v>
      </c>
      <c r="BX141">
        <v>2.1990900000000001E-2</v>
      </c>
      <c r="BY141">
        <v>3.3986799999999998E-2</v>
      </c>
      <c r="BZ141">
        <v>25</v>
      </c>
      <c r="CA141">
        <v>33528.5</v>
      </c>
      <c r="CB141">
        <v>1690384821</v>
      </c>
      <c r="CC141" t="s">
        <v>332</v>
      </c>
      <c r="CD141">
        <v>1690384820</v>
      </c>
      <c r="CE141">
        <v>1690384821</v>
      </c>
      <c r="CF141">
        <v>5</v>
      </c>
      <c r="CG141">
        <v>-2.5000000000000001E-2</v>
      </c>
      <c r="CH141">
        <v>0.104</v>
      </c>
      <c r="CI141">
        <v>-0.28799999999999998</v>
      </c>
      <c r="CJ141">
        <v>0.28000000000000003</v>
      </c>
      <c r="CK141">
        <v>800</v>
      </c>
      <c r="CL141">
        <v>24</v>
      </c>
      <c r="CM141">
        <v>0.08</v>
      </c>
      <c r="CN141">
        <v>0.11</v>
      </c>
      <c r="CO141">
        <v>-242.7856097560975</v>
      </c>
      <c r="CP141">
        <v>-19.96808362369277</v>
      </c>
      <c r="CQ141">
        <v>1.969574608993685</v>
      </c>
      <c r="CR141">
        <v>-1</v>
      </c>
      <c r="CS141">
        <v>14.149156097560979</v>
      </c>
      <c r="CT141">
        <v>1.3935763066202429</v>
      </c>
      <c r="CU141">
        <v>0.137656497279669</v>
      </c>
      <c r="CV141">
        <v>-1</v>
      </c>
      <c r="CW141">
        <v>0</v>
      </c>
      <c r="CX141">
        <v>0</v>
      </c>
      <c r="CY141" t="s">
        <v>333</v>
      </c>
      <c r="CZ141">
        <v>2.3648400000000001</v>
      </c>
      <c r="DA141">
        <v>2.71373</v>
      </c>
      <c r="DB141">
        <v>0.113397</v>
      </c>
      <c r="DC141">
        <v>0.14564099999999999</v>
      </c>
      <c r="DD141">
        <v>0.112528</v>
      </c>
      <c r="DE141">
        <v>5.6136900000000003E-2</v>
      </c>
      <c r="DF141">
        <v>32392.9</v>
      </c>
      <c r="DG141">
        <v>27557.3</v>
      </c>
      <c r="DH141">
        <v>31189.9</v>
      </c>
      <c r="DI141">
        <v>28104.799999999999</v>
      </c>
      <c r="DJ141">
        <v>37579.699999999997</v>
      </c>
      <c r="DK141">
        <v>37724</v>
      </c>
      <c r="DL141">
        <v>44390</v>
      </c>
      <c r="DM141">
        <v>42598.9</v>
      </c>
      <c r="DN141">
        <v>1.4702299999999999</v>
      </c>
      <c r="DO141">
        <v>2.04562</v>
      </c>
      <c r="DP141">
        <v>0.109151</v>
      </c>
      <c r="DQ141">
        <v>0.18790399999999999</v>
      </c>
      <c r="DR141">
        <v>25.1693</v>
      </c>
      <c r="DS141">
        <v>24.9268</v>
      </c>
      <c r="DT141">
        <v>53.1</v>
      </c>
      <c r="DU141">
        <v>28.8</v>
      </c>
      <c r="DV141">
        <v>21.400099999999998</v>
      </c>
      <c r="DW141">
        <v>61.102200000000003</v>
      </c>
      <c r="DX141">
        <v>36.9071</v>
      </c>
      <c r="DY141">
        <v>1</v>
      </c>
      <c r="DZ141">
        <v>-0.112553</v>
      </c>
      <c r="EA141">
        <v>-8.3060999999999996E-2</v>
      </c>
      <c r="EB141">
        <v>20.190200000000001</v>
      </c>
      <c r="EC141">
        <v>5.2411000000000003</v>
      </c>
      <c r="ED141">
        <v>12.039899999999999</v>
      </c>
      <c r="EE141">
        <v>5.0166500000000003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1.8689100000000001</v>
      </c>
      <c r="EL141">
        <v>1.8646100000000001</v>
      </c>
      <c r="EM141">
        <v>1.86921</v>
      </c>
      <c r="EN141">
        <v>1.8672299999999999</v>
      </c>
      <c r="EO141">
        <v>1.8633900000000001</v>
      </c>
      <c r="EP141">
        <v>1.8644400000000001</v>
      </c>
      <c r="EQ141">
        <v>1.8701700000000001</v>
      </c>
      <c r="ER141">
        <v>1.86941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-0.115</v>
      </c>
      <c r="FG141">
        <v>0.2797</v>
      </c>
      <c r="FH141">
        <v>0.26269369235785539</v>
      </c>
      <c r="FI141">
        <v>-6.1462078757559423E-4</v>
      </c>
      <c r="FJ141">
        <v>-1.8861989874597051E-7</v>
      </c>
      <c r="FK141">
        <v>1.1980462299894961E-10</v>
      </c>
      <c r="FL141">
        <v>0.27968571428570849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30.4</v>
      </c>
      <c r="FU141">
        <v>30.4</v>
      </c>
      <c r="FV141">
        <v>1.77979</v>
      </c>
      <c r="FW141">
        <v>2.5842299999999998</v>
      </c>
      <c r="FX141">
        <v>1.5490699999999999</v>
      </c>
      <c r="FY141">
        <v>2.3303199999999999</v>
      </c>
      <c r="FZ141">
        <v>1.50146</v>
      </c>
      <c r="GA141">
        <v>2.3339799999999999</v>
      </c>
      <c r="GB141">
        <v>33.535499999999999</v>
      </c>
      <c r="GC141">
        <v>23.982399999999998</v>
      </c>
      <c r="GD141">
        <v>19</v>
      </c>
      <c r="GE141">
        <v>279.40899999999999</v>
      </c>
      <c r="GF141">
        <v>588.36300000000006</v>
      </c>
      <c r="GG141">
        <v>24.659300000000002</v>
      </c>
      <c r="GH141">
        <v>25.9954</v>
      </c>
      <c r="GI141">
        <v>30.0001</v>
      </c>
      <c r="GJ141">
        <v>26.137799999999999</v>
      </c>
      <c r="GK141">
        <v>26.122199999999999</v>
      </c>
      <c r="GL141">
        <v>35.593499999999999</v>
      </c>
      <c r="GM141">
        <v>57.040399999999998</v>
      </c>
      <c r="GN141">
        <v>75.8797</v>
      </c>
      <c r="GO141">
        <v>24.659199999999998</v>
      </c>
      <c r="GP141">
        <v>800</v>
      </c>
      <c r="GQ141">
        <v>9.2550100000000004</v>
      </c>
      <c r="GR141">
        <v>99.799400000000006</v>
      </c>
      <c r="GS141">
        <v>99.652000000000001</v>
      </c>
    </row>
    <row r="142" spans="1:201" x14ac:dyDescent="0.25">
      <c r="A142">
        <v>126</v>
      </c>
      <c r="B142">
        <v>1690386655.5999999</v>
      </c>
      <c r="C142">
        <v>1321</v>
      </c>
      <c r="D142" t="s">
        <v>585</v>
      </c>
      <c r="E142" t="s">
        <v>586</v>
      </c>
      <c r="F142" t="s">
        <v>330</v>
      </c>
      <c r="H142">
        <v>1690386655.5999999</v>
      </c>
      <c r="I142">
        <f t="shared" si="30"/>
        <v>1.4151912816817082E-3</v>
      </c>
      <c r="J142">
        <f t="shared" si="31"/>
        <v>1.4151912816817083</v>
      </c>
      <c r="K142">
        <f t="shared" si="32"/>
        <v>22.786852603576708</v>
      </c>
      <c r="L142">
        <f t="shared" si="33"/>
        <v>550.46699999999998</v>
      </c>
      <c r="M142">
        <f t="shared" si="34"/>
        <v>155.99142284314618</v>
      </c>
      <c r="N142">
        <f t="shared" si="35"/>
        <v>15.405263664691329</v>
      </c>
      <c r="O142">
        <f t="shared" si="36"/>
        <v>54.362535575039999</v>
      </c>
      <c r="P142">
        <f t="shared" si="37"/>
        <v>9.6461847125183436E-2</v>
      </c>
      <c r="Q142">
        <f t="shared" si="38"/>
        <v>2.1521747635426198</v>
      </c>
      <c r="R142">
        <f t="shared" si="39"/>
        <v>9.4122735141946537E-2</v>
      </c>
      <c r="S142">
        <f t="shared" si="40"/>
        <v>5.9032145087036414E-2</v>
      </c>
      <c r="T142">
        <f t="shared" si="41"/>
        <v>276.11254658888578</v>
      </c>
      <c r="U142">
        <f t="shared" si="42"/>
        <v>27.980318416469633</v>
      </c>
      <c r="V142">
        <f t="shared" si="43"/>
        <v>27.980318416469633</v>
      </c>
      <c r="W142">
        <f t="shared" si="44"/>
        <v>3.7904877778045103</v>
      </c>
      <c r="X142">
        <f t="shared" si="45"/>
        <v>68.451625896578591</v>
      </c>
      <c r="Y142">
        <f t="shared" si="46"/>
        <v>2.3517921799680002</v>
      </c>
      <c r="Z142">
        <f t="shared" si="47"/>
        <v>3.435699516504179</v>
      </c>
      <c r="AA142">
        <f t="shared" si="48"/>
        <v>1.4386955978365101</v>
      </c>
      <c r="AB142">
        <f t="shared" si="49"/>
        <v>-62.40993552216333</v>
      </c>
      <c r="AC142">
        <f t="shared" si="50"/>
        <v>-194.34911362926687</v>
      </c>
      <c r="AD142">
        <f t="shared" si="51"/>
        <v>-19.516567955674532</v>
      </c>
      <c r="AE142">
        <f t="shared" si="52"/>
        <v>-0.16307051821894447</v>
      </c>
      <c r="AF142">
        <v>0</v>
      </c>
      <c r="AG142">
        <v>0</v>
      </c>
      <c r="AH142">
        <f t="shared" si="53"/>
        <v>1</v>
      </c>
      <c r="AI142">
        <f t="shared" si="54"/>
        <v>0</v>
      </c>
      <c r="AJ142">
        <f t="shared" si="55"/>
        <v>52049.783285734033</v>
      </c>
      <c r="AK142">
        <f t="shared" si="56"/>
        <v>1799.99</v>
      </c>
      <c r="AL142">
        <f t="shared" si="57"/>
        <v>1499.1060781866299</v>
      </c>
      <c r="AM142">
        <f t="shared" si="58"/>
        <v>0.83284133699999996</v>
      </c>
      <c r="AN142">
        <f t="shared" si="59"/>
        <v>0.15339671142</v>
      </c>
      <c r="AO142">
        <v>31.8</v>
      </c>
      <c r="AP142">
        <v>0.5</v>
      </c>
      <c r="AQ142" t="s">
        <v>331</v>
      </c>
      <c r="AR142">
        <v>2</v>
      </c>
      <c r="AS142">
        <v>1690386655.5999999</v>
      </c>
      <c r="AT142">
        <v>550.46699999999998</v>
      </c>
      <c r="AU142">
        <v>800.07799999999997</v>
      </c>
      <c r="AV142">
        <v>23.8139</v>
      </c>
      <c r="AW142">
        <v>9.1810799999999997</v>
      </c>
      <c r="AX142">
        <v>550.58000000000004</v>
      </c>
      <c r="AY142">
        <v>23.534300000000002</v>
      </c>
      <c r="AZ142">
        <v>300.22500000000002</v>
      </c>
      <c r="BA142">
        <v>98.6571</v>
      </c>
      <c r="BB142">
        <v>0.10002</v>
      </c>
      <c r="BC142">
        <v>26.305299999999999</v>
      </c>
      <c r="BD142">
        <v>26.9666</v>
      </c>
      <c r="BE142">
        <v>27.992100000000001</v>
      </c>
      <c r="BF142">
        <v>0</v>
      </c>
      <c r="BG142">
        <v>0</v>
      </c>
      <c r="BH142">
        <v>9952.5</v>
      </c>
      <c r="BI142">
        <v>1074.92</v>
      </c>
      <c r="BJ142">
        <v>1.56985</v>
      </c>
      <c r="BK142">
        <v>-249.61099999999999</v>
      </c>
      <c r="BL142">
        <v>563.89599999999996</v>
      </c>
      <c r="BM142">
        <v>807.49199999999996</v>
      </c>
      <c r="BN142">
        <v>14.632899999999999</v>
      </c>
      <c r="BO142">
        <v>800.07799999999997</v>
      </c>
      <c r="BP142">
        <v>9.1810799999999997</v>
      </c>
      <c r="BQ142">
        <v>2.3494100000000002</v>
      </c>
      <c r="BR142">
        <v>0.90577799999999997</v>
      </c>
      <c r="BS142">
        <v>20.019300000000001</v>
      </c>
      <c r="BT142">
        <v>5.4828799999999998</v>
      </c>
      <c r="BU142">
        <v>1799.99</v>
      </c>
      <c r="BV142">
        <v>0.91002300000000003</v>
      </c>
      <c r="BW142">
        <v>3.3993599999999999E-2</v>
      </c>
      <c r="BX142">
        <v>2.1993100000000002E-2</v>
      </c>
      <c r="BY142">
        <v>3.3989999999999999E-2</v>
      </c>
      <c r="BZ142">
        <v>25</v>
      </c>
      <c r="CA142">
        <v>33528.5</v>
      </c>
      <c r="CB142">
        <v>1690384821</v>
      </c>
      <c r="CC142" t="s">
        <v>332</v>
      </c>
      <c r="CD142">
        <v>1690384820</v>
      </c>
      <c r="CE142">
        <v>1690384821</v>
      </c>
      <c r="CF142">
        <v>5</v>
      </c>
      <c r="CG142">
        <v>-2.5000000000000001E-2</v>
      </c>
      <c r="CH142">
        <v>0.104</v>
      </c>
      <c r="CI142">
        <v>-0.28799999999999998</v>
      </c>
      <c r="CJ142">
        <v>0.28000000000000003</v>
      </c>
      <c r="CK142">
        <v>800</v>
      </c>
      <c r="CL142">
        <v>24</v>
      </c>
      <c r="CM142">
        <v>0.08</v>
      </c>
      <c r="CN142">
        <v>0.11</v>
      </c>
      <c r="CO142">
        <v>-246.1157804878049</v>
      </c>
      <c r="CP142">
        <v>-19.757289198606031</v>
      </c>
      <c r="CQ142">
        <v>1.9488817745893661</v>
      </c>
      <c r="CR142">
        <v>-1</v>
      </c>
      <c r="CS142">
        <v>14.379504878048779</v>
      </c>
      <c r="CT142">
        <v>1.361956097560999</v>
      </c>
      <c r="CU142">
        <v>0.13454587748027191</v>
      </c>
      <c r="CV142">
        <v>-1</v>
      </c>
      <c r="CW142">
        <v>0</v>
      </c>
      <c r="CX142">
        <v>0</v>
      </c>
      <c r="CY142" t="s">
        <v>333</v>
      </c>
      <c r="CZ142">
        <v>2.3650500000000001</v>
      </c>
      <c r="DA142">
        <v>2.7137699999999998</v>
      </c>
      <c r="DB142">
        <v>0.11293</v>
      </c>
      <c r="DC142">
        <v>0.14562600000000001</v>
      </c>
      <c r="DD142">
        <v>0.112557</v>
      </c>
      <c r="DE142">
        <v>5.5171900000000003E-2</v>
      </c>
      <c r="DF142">
        <v>32410.400000000001</v>
      </c>
      <c r="DG142">
        <v>27557.5</v>
      </c>
      <c r="DH142">
        <v>31190.3</v>
      </c>
      <c r="DI142">
        <v>28104.5</v>
      </c>
      <c r="DJ142">
        <v>37578.6</v>
      </c>
      <c r="DK142">
        <v>37762.199999999997</v>
      </c>
      <c r="DL142">
        <v>44390.3</v>
      </c>
      <c r="DM142">
        <v>42598.400000000001</v>
      </c>
      <c r="DN142">
        <v>1.4705999999999999</v>
      </c>
      <c r="DO142">
        <v>2.0451000000000001</v>
      </c>
      <c r="DP142">
        <v>0.109598</v>
      </c>
      <c r="DQ142">
        <v>0.18726999999999999</v>
      </c>
      <c r="DR142">
        <v>25.171500000000002</v>
      </c>
      <c r="DS142">
        <v>24.9268</v>
      </c>
      <c r="DT142">
        <v>52.9</v>
      </c>
      <c r="DU142">
        <v>28.8</v>
      </c>
      <c r="DV142">
        <v>21.316199999999998</v>
      </c>
      <c r="DW142">
        <v>61.632199999999997</v>
      </c>
      <c r="DX142">
        <v>36.25</v>
      </c>
      <c r="DY142">
        <v>1</v>
      </c>
      <c r="DZ142">
        <v>-0.112442</v>
      </c>
      <c r="EA142">
        <v>-0.27244299999999999</v>
      </c>
      <c r="EB142">
        <v>20.190000000000001</v>
      </c>
      <c r="EC142">
        <v>5.24125</v>
      </c>
      <c r="ED142">
        <v>12.039899999999999</v>
      </c>
      <c r="EE142">
        <v>5.0163000000000002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1.8689100000000001</v>
      </c>
      <c r="EL142">
        <v>1.8646199999999999</v>
      </c>
      <c r="EM142">
        <v>1.8692</v>
      </c>
      <c r="EN142">
        <v>1.86724</v>
      </c>
      <c r="EO142">
        <v>1.8633999999999999</v>
      </c>
      <c r="EP142">
        <v>1.86446</v>
      </c>
      <c r="EQ142">
        <v>1.8701700000000001</v>
      </c>
      <c r="ER142">
        <v>1.86941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-0.113</v>
      </c>
      <c r="FG142">
        <v>0.27960000000000002</v>
      </c>
      <c r="FH142">
        <v>0.26269369235785539</v>
      </c>
      <c r="FI142">
        <v>-6.1462078757559423E-4</v>
      </c>
      <c r="FJ142">
        <v>-1.8861989874597051E-7</v>
      </c>
      <c r="FK142">
        <v>1.1980462299894961E-10</v>
      </c>
      <c r="FL142">
        <v>0.27968571428570849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30.6</v>
      </c>
      <c r="FU142">
        <v>30.6</v>
      </c>
      <c r="FV142">
        <v>1.77979</v>
      </c>
      <c r="FW142">
        <v>2.5854499999999998</v>
      </c>
      <c r="FX142">
        <v>1.5490699999999999</v>
      </c>
      <c r="FY142">
        <v>2.3303199999999999</v>
      </c>
      <c r="FZ142">
        <v>1.50146</v>
      </c>
      <c r="GA142">
        <v>2.3144499999999999</v>
      </c>
      <c r="GB142">
        <v>33.535499999999999</v>
      </c>
      <c r="GC142">
        <v>23.973700000000001</v>
      </c>
      <c r="GD142">
        <v>19</v>
      </c>
      <c r="GE142">
        <v>279.56</v>
      </c>
      <c r="GF142">
        <v>587.90800000000002</v>
      </c>
      <c r="GG142">
        <v>24.7012</v>
      </c>
      <c r="GH142">
        <v>25.993300000000001</v>
      </c>
      <c r="GI142">
        <v>30.0002</v>
      </c>
      <c r="GJ142">
        <v>26.136199999999999</v>
      </c>
      <c r="GK142">
        <v>26.1206</v>
      </c>
      <c r="GL142">
        <v>35.585900000000002</v>
      </c>
      <c r="GM142">
        <v>57.62</v>
      </c>
      <c r="GN142">
        <v>75.104399999999998</v>
      </c>
      <c r="GO142">
        <v>24.724</v>
      </c>
      <c r="GP142">
        <v>800</v>
      </c>
      <c r="GQ142">
        <v>9.0360300000000002</v>
      </c>
      <c r="GR142">
        <v>99.800299999999993</v>
      </c>
      <c r="GS142">
        <v>99.650899999999993</v>
      </c>
    </row>
    <row r="143" spans="1:201" x14ac:dyDescent="0.25">
      <c r="A143">
        <v>127</v>
      </c>
      <c r="B143">
        <v>1690386665.5999999</v>
      </c>
      <c r="C143">
        <v>1331</v>
      </c>
      <c r="D143" t="s">
        <v>587</v>
      </c>
      <c r="E143" t="s">
        <v>588</v>
      </c>
      <c r="F143" t="s">
        <v>330</v>
      </c>
      <c r="H143">
        <v>1690386665.5999999</v>
      </c>
      <c r="I143">
        <f t="shared" si="30"/>
        <v>1.4380668415950721E-3</v>
      </c>
      <c r="J143">
        <f t="shared" si="31"/>
        <v>1.4380668415950721</v>
      </c>
      <c r="K143">
        <f t="shared" si="32"/>
        <v>23.091319798589023</v>
      </c>
      <c r="L143">
        <f t="shared" si="33"/>
        <v>547.06100000000004</v>
      </c>
      <c r="M143">
        <f t="shared" si="34"/>
        <v>154.26769929872094</v>
      </c>
      <c r="N143">
        <f t="shared" si="35"/>
        <v>15.235083828769969</v>
      </c>
      <c r="O143">
        <f t="shared" si="36"/>
        <v>54.026346619145002</v>
      </c>
      <c r="P143">
        <f t="shared" si="37"/>
        <v>9.8189945269480564E-2</v>
      </c>
      <c r="Q143">
        <f t="shared" si="38"/>
        <v>2.158929832088194</v>
      </c>
      <c r="R143">
        <f t="shared" si="39"/>
        <v>9.5774785623212538E-2</v>
      </c>
      <c r="S143">
        <f t="shared" si="40"/>
        <v>6.0071285661498122E-2</v>
      </c>
      <c r="T143">
        <f t="shared" si="41"/>
        <v>276.11531103600004</v>
      </c>
      <c r="U143">
        <f t="shared" si="42"/>
        <v>27.981466936829761</v>
      </c>
      <c r="V143">
        <f t="shared" si="43"/>
        <v>27.981466936829761</v>
      </c>
      <c r="W143">
        <f t="shared" si="44"/>
        <v>3.7907416136886742</v>
      </c>
      <c r="X143">
        <f t="shared" si="45"/>
        <v>68.460729628000323</v>
      </c>
      <c r="Y143">
        <f t="shared" si="46"/>
        <v>2.3540219619979998</v>
      </c>
      <c r="Z143">
        <f t="shared" si="47"/>
        <v>3.4384996695028049</v>
      </c>
      <c r="AA143">
        <f t="shared" si="48"/>
        <v>1.4367196516906744</v>
      </c>
      <c r="AB143">
        <f t="shared" si="49"/>
        <v>-63.418747714342679</v>
      </c>
      <c r="AC143">
        <f t="shared" si="50"/>
        <v>-193.48658672281934</v>
      </c>
      <c r="AD143">
        <f t="shared" si="51"/>
        <v>-19.370603325660987</v>
      </c>
      <c r="AE143">
        <f t="shared" si="52"/>
        <v>-0.16062672682295442</v>
      </c>
      <c r="AF143">
        <v>0</v>
      </c>
      <c r="AG143">
        <v>0</v>
      </c>
      <c r="AH143">
        <f t="shared" si="53"/>
        <v>1</v>
      </c>
      <c r="AI143">
        <f t="shared" si="54"/>
        <v>0</v>
      </c>
      <c r="AJ143">
        <f t="shared" si="55"/>
        <v>52330.039417206506</v>
      </c>
      <c r="AK143">
        <f t="shared" si="56"/>
        <v>1800</v>
      </c>
      <c r="AL143">
        <f t="shared" si="57"/>
        <v>1499.1160176000001</v>
      </c>
      <c r="AM143">
        <f t="shared" si="58"/>
        <v>0.83284223200000007</v>
      </c>
      <c r="AN143">
        <f t="shared" si="59"/>
        <v>0.15339739502000002</v>
      </c>
      <c r="AO143">
        <v>31.8</v>
      </c>
      <c r="AP143">
        <v>0.5</v>
      </c>
      <c r="AQ143" t="s">
        <v>331</v>
      </c>
      <c r="AR143">
        <v>2</v>
      </c>
      <c r="AS143">
        <v>1690386665.5999999</v>
      </c>
      <c r="AT143">
        <v>547.06100000000004</v>
      </c>
      <c r="AU143">
        <v>800.04499999999996</v>
      </c>
      <c r="AV143">
        <v>23.836400000000001</v>
      </c>
      <c r="AW143">
        <v>8.9634800000000006</v>
      </c>
      <c r="AX143">
        <v>547.17100000000005</v>
      </c>
      <c r="AY143">
        <v>23.556699999999999</v>
      </c>
      <c r="AZ143">
        <v>300.14600000000002</v>
      </c>
      <c r="BA143">
        <v>98.657399999999996</v>
      </c>
      <c r="BB143">
        <v>0.100045</v>
      </c>
      <c r="BC143">
        <v>26.319099999999999</v>
      </c>
      <c r="BD143">
        <v>26.9833</v>
      </c>
      <c r="BE143">
        <v>27.972300000000001</v>
      </c>
      <c r="BF143">
        <v>0</v>
      </c>
      <c r="BG143">
        <v>0</v>
      </c>
      <c r="BH143">
        <v>10008.799999999999</v>
      </c>
      <c r="BI143">
        <v>1075</v>
      </c>
      <c r="BJ143">
        <v>1.56985</v>
      </c>
      <c r="BK143">
        <v>-252.98400000000001</v>
      </c>
      <c r="BL143">
        <v>560.41899999999998</v>
      </c>
      <c r="BM143">
        <v>807.28099999999995</v>
      </c>
      <c r="BN143">
        <v>14.8729</v>
      </c>
      <c r="BO143">
        <v>800.04499999999996</v>
      </c>
      <c r="BP143">
        <v>8.9634800000000006</v>
      </c>
      <c r="BQ143">
        <v>2.3516400000000002</v>
      </c>
      <c r="BR143">
        <v>0.88431400000000004</v>
      </c>
      <c r="BS143">
        <v>20.034500000000001</v>
      </c>
      <c r="BT143">
        <v>5.1379700000000001</v>
      </c>
      <c r="BU143">
        <v>1800</v>
      </c>
      <c r="BV143">
        <v>0.91001600000000005</v>
      </c>
      <c r="BW143">
        <v>3.3993099999999998E-2</v>
      </c>
      <c r="BX143">
        <v>2.2000599999999999E-2</v>
      </c>
      <c r="BY143">
        <v>3.3990800000000002E-2</v>
      </c>
      <c r="BZ143">
        <v>25</v>
      </c>
      <c r="CA143">
        <v>33528.400000000001</v>
      </c>
      <c r="CB143">
        <v>1690384821</v>
      </c>
      <c r="CC143" t="s">
        <v>332</v>
      </c>
      <c r="CD143">
        <v>1690384820</v>
      </c>
      <c r="CE143">
        <v>1690384821</v>
      </c>
      <c r="CF143">
        <v>5</v>
      </c>
      <c r="CG143">
        <v>-2.5000000000000001E-2</v>
      </c>
      <c r="CH143">
        <v>0.104</v>
      </c>
      <c r="CI143">
        <v>-0.28799999999999998</v>
      </c>
      <c r="CJ143">
        <v>0.28000000000000003</v>
      </c>
      <c r="CK143">
        <v>800</v>
      </c>
      <c r="CL143">
        <v>24</v>
      </c>
      <c r="CM143">
        <v>0.08</v>
      </c>
      <c r="CN143">
        <v>0.11</v>
      </c>
      <c r="CO143">
        <v>-249.39502439024389</v>
      </c>
      <c r="CP143">
        <v>-19.436466898954841</v>
      </c>
      <c r="CQ143">
        <v>1.917297494478085</v>
      </c>
      <c r="CR143">
        <v>-1</v>
      </c>
      <c r="CS143">
        <v>14.60792195121951</v>
      </c>
      <c r="CT143">
        <v>1.3514822299651461</v>
      </c>
      <c r="CU143">
        <v>0.13345933063213719</v>
      </c>
      <c r="CV143">
        <v>-1</v>
      </c>
      <c r="CW143">
        <v>0</v>
      </c>
      <c r="CX143">
        <v>0</v>
      </c>
      <c r="CY143" t="s">
        <v>333</v>
      </c>
      <c r="CZ143">
        <v>2.3647800000000001</v>
      </c>
      <c r="DA143">
        <v>2.7138399999999998</v>
      </c>
      <c r="DB143">
        <v>0.11243</v>
      </c>
      <c r="DC143">
        <v>0.145619</v>
      </c>
      <c r="DD143">
        <v>0.112634</v>
      </c>
      <c r="DE143">
        <v>5.4151999999999999E-2</v>
      </c>
      <c r="DF143">
        <v>32428.1</v>
      </c>
      <c r="DG143">
        <v>27557.7</v>
      </c>
      <c r="DH143">
        <v>31189.8</v>
      </c>
      <c r="DI143">
        <v>28104.5</v>
      </c>
      <c r="DJ143">
        <v>37574.9</v>
      </c>
      <c r="DK143">
        <v>37803</v>
      </c>
      <c r="DL143">
        <v>44389.9</v>
      </c>
      <c r="DM143">
        <v>42598.400000000001</v>
      </c>
      <c r="DN143">
        <v>1.4706999999999999</v>
      </c>
      <c r="DO143">
        <v>2.0449999999999999</v>
      </c>
      <c r="DP143">
        <v>0.110529</v>
      </c>
      <c r="DQ143">
        <v>0.18592900000000001</v>
      </c>
      <c r="DR143">
        <v>25.172999999999998</v>
      </c>
      <c r="DS143">
        <v>24.928899999999999</v>
      </c>
      <c r="DT143">
        <v>52.6</v>
      </c>
      <c r="DU143">
        <v>28.8</v>
      </c>
      <c r="DV143">
        <v>21.196899999999999</v>
      </c>
      <c r="DW143">
        <v>61.292200000000001</v>
      </c>
      <c r="DX143">
        <v>36.726799999999997</v>
      </c>
      <c r="DY143">
        <v>1</v>
      </c>
      <c r="DZ143">
        <v>-0.112612</v>
      </c>
      <c r="EA143">
        <v>-0.27907399999999999</v>
      </c>
      <c r="EB143">
        <v>20.189800000000002</v>
      </c>
      <c r="EC143">
        <v>5.2413999999999996</v>
      </c>
      <c r="ED143">
        <v>12.039899999999999</v>
      </c>
      <c r="EE143">
        <v>5.0166000000000004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1.8689199999999999</v>
      </c>
      <c r="EL143">
        <v>1.8646199999999999</v>
      </c>
      <c r="EM143">
        <v>1.8692</v>
      </c>
      <c r="EN143">
        <v>1.8672500000000001</v>
      </c>
      <c r="EO143">
        <v>1.8633900000000001</v>
      </c>
      <c r="EP143">
        <v>1.86446</v>
      </c>
      <c r="EQ143">
        <v>1.8701700000000001</v>
      </c>
      <c r="ER143">
        <v>1.8693900000000001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-0.11</v>
      </c>
      <c r="FG143">
        <v>0.2797</v>
      </c>
      <c r="FH143">
        <v>0.26269369235785539</v>
      </c>
      <c r="FI143">
        <v>-6.1462078757559423E-4</v>
      </c>
      <c r="FJ143">
        <v>-1.8861989874597051E-7</v>
      </c>
      <c r="FK143">
        <v>1.1980462299894961E-10</v>
      </c>
      <c r="FL143">
        <v>0.27968571428570849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30.8</v>
      </c>
      <c r="FU143">
        <v>30.7</v>
      </c>
      <c r="FV143">
        <v>1.77979</v>
      </c>
      <c r="FW143">
        <v>2.5817899999999998</v>
      </c>
      <c r="FX143">
        <v>1.5490699999999999</v>
      </c>
      <c r="FY143">
        <v>2.3315399999999999</v>
      </c>
      <c r="FZ143">
        <v>1.50146</v>
      </c>
      <c r="GA143">
        <v>2.3706100000000001</v>
      </c>
      <c r="GB143">
        <v>33.535499999999999</v>
      </c>
      <c r="GC143">
        <v>23.982399999999998</v>
      </c>
      <c r="GD143">
        <v>19</v>
      </c>
      <c r="GE143">
        <v>279.59500000000003</v>
      </c>
      <c r="GF143">
        <v>587.81299999999999</v>
      </c>
      <c r="GG143">
        <v>24.7651</v>
      </c>
      <c r="GH143">
        <v>25.991</v>
      </c>
      <c r="GI143">
        <v>30</v>
      </c>
      <c r="GJ143">
        <v>26.134599999999999</v>
      </c>
      <c r="GK143">
        <v>26.119499999999999</v>
      </c>
      <c r="GL143">
        <v>35.579700000000003</v>
      </c>
      <c r="GM143">
        <v>58.2121</v>
      </c>
      <c r="GN143">
        <v>74.346299999999999</v>
      </c>
      <c r="GO143">
        <v>24.773399999999999</v>
      </c>
      <c r="GP143">
        <v>800</v>
      </c>
      <c r="GQ143">
        <v>8.8028700000000004</v>
      </c>
      <c r="GR143">
        <v>99.799099999999996</v>
      </c>
      <c r="GS143">
        <v>99.650800000000004</v>
      </c>
    </row>
    <row r="144" spans="1:201" x14ac:dyDescent="0.25">
      <c r="A144">
        <v>128</v>
      </c>
      <c r="B144">
        <v>1690386675.5999999</v>
      </c>
      <c r="C144">
        <v>1341</v>
      </c>
      <c r="D144" t="s">
        <v>589</v>
      </c>
      <c r="E144" t="s">
        <v>590</v>
      </c>
      <c r="F144" t="s">
        <v>330</v>
      </c>
      <c r="H144">
        <v>1690386675.5999999</v>
      </c>
      <c r="I144">
        <f t="shared" si="30"/>
        <v>1.4622783789827215E-3</v>
      </c>
      <c r="J144">
        <f t="shared" si="31"/>
        <v>1.4622783789827216</v>
      </c>
      <c r="K144">
        <f t="shared" si="32"/>
        <v>23.391559109062765</v>
      </c>
      <c r="L144">
        <f t="shared" si="33"/>
        <v>543.81899999999996</v>
      </c>
      <c r="M144">
        <f t="shared" si="34"/>
        <v>152.97464668345748</v>
      </c>
      <c r="N144">
        <f t="shared" si="35"/>
        <v>15.107421725391754</v>
      </c>
      <c r="O144">
        <f t="shared" si="36"/>
        <v>53.706304628904597</v>
      </c>
      <c r="P144">
        <f t="shared" si="37"/>
        <v>9.9996100527420861E-2</v>
      </c>
      <c r="Q144">
        <f t="shared" si="38"/>
        <v>2.1584788398320249</v>
      </c>
      <c r="R144">
        <f t="shared" si="39"/>
        <v>9.749198350560262E-2</v>
      </c>
      <c r="S144">
        <f t="shared" si="40"/>
        <v>6.1152251652934461E-2</v>
      </c>
      <c r="T144">
        <f t="shared" si="41"/>
        <v>276.11533150199995</v>
      </c>
      <c r="U144">
        <f t="shared" si="42"/>
        <v>27.981224766345704</v>
      </c>
      <c r="V144">
        <f t="shared" si="43"/>
        <v>27.981224766345704</v>
      </c>
      <c r="W144">
        <f t="shared" si="44"/>
        <v>3.790688090061106</v>
      </c>
      <c r="X144">
        <f t="shared" si="45"/>
        <v>68.472729208413369</v>
      </c>
      <c r="Y144">
        <f t="shared" si="46"/>
        <v>2.3555188856151004</v>
      </c>
      <c r="Z144">
        <f t="shared" si="47"/>
        <v>3.4400832460548005</v>
      </c>
      <c r="AA144">
        <f t="shared" si="48"/>
        <v>1.4351692044460056</v>
      </c>
      <c r="AB144">
        <f t="shared" si="49"/>
        <v>-64.486476513138015</v>
      </c>
      <c r="AC144">
        <f t="shared" si="50"/>
        <v>-192.51031752762398</v>
      </c>
      <c r="AD144">
        <f t="shared" si="51"/>
        <v>-19.277619221648685</v>
      </c>
      <c r="AE144">
        <f t="shared" si="52"/>
        <v>-0.15908176041077127</v>
      </c>
      <c r="AF144">
        <v>0</v>
      </c>
      <c r="AG144">
        <v>0</v>
      </c>
      <c r="AH144">
        <f t="shared" si="53"/>
        <v>1</v>
      </c>
      <c r="AI144">
        <f t="shared" si="54"/>
        <v>0</v>
      </c>
      <c r="AJ144">
        <f t="shared" si="55"/>
        <v>52309.782613623101</v>
      </c>
      <c r="AK144">
        <f t="shared" si="56"/>
        <v>1800</v>
      </c>
      <c r="AL144">
        <f t="shared" si="57"/>
        <v>1499.1143921999999</v>
      </c>
      <c r="AM144">
        <f t="shared" si="58"/>
        <v>0.83284132899999996</v>
      </c>
      <c r="AN144">
        <f t="shared" si="59"/>
        <v>0.15339740638999996</v>
      </c>
      <c r="AO144">
        <v>31.8</v>
      </c>
      <c r="AP144">
        <v>0.5</v>
      </c>
      <c r="AQ144" t="s">
        <v>331</v>
      </c>
      <c r="AR144">
        <v>2</v>
      </c>
      <c r="AS144">
        <v>1690386675.5999999</v>
      </c>
      <c r="AT144">
        <v>543.81899999999996</v>
      </c>
      <c r="AU144">
        <v>800.09799999999996</v>
      </c>
      <c r="AV144">
        <v>23.851500000000001</v>
      </c>
      <c r="AW144">
        <v>8.7270000000000003</v>
      </c>
      <c r="AX144">
        <v>543.92700000000002</v>
      </c>
      <c r="AY144">
        <v>23.5718</v>
      </c>
      <c r="AZ144">
        <v>300.11799999999999</v>
      </c>
      <c r="BA144">
        <v>98.657700000000006</v>
      </c>
      <c r="BB144">
        <v>9.99834E-2</v>
      </c>
      <c r="BC144">
        <v>26.326899999999998</v>
      </c>
      <c r="BD144">
        <v>26.983000000000001</v>
      </c>
      <c r="BE144">
        <v>27.989000000000001</v>
      </c>
      <c r="BF144">
        <v>0</v>
      </c>
      <c r="BG144">
        <v>0</v>
      </c>
      <c r="BH144">
        <v>10005</v>
      </c>
      <c r="BI144">
        <v>1075.05</v>
      </c>
      <c r="BJ144">
        <v>1.56985</v>
      </c>
      <c r="BK144">
        <v>-256.279</v>
      </c>
      <c r="BL144">
        <v>557.10699999999997</v>
      </c>
      <c r="BM144">
        <v>807.14200000000005</v>
      </c>
      <c r="BN144">
        <v>15.124499999999999</v>
      </c>
      <c r="BO144">
        <v>800.09799999999996</v>
      </c>
      <c r="BP144">
        <v>8.7270000000000003</v>
      </c>
      <c r="BQ144">
        <v>2.3531399999999998</v>
      </c>
      <c r="BR144">
        <v>0.86098600000000003</v>
      </c>
      <c r="BS144">
        <v>20.044799999999999</v>
      </c>
      <c r="BT144">
        <v>4.7546200000000001</v>
      </c>
      <c r="BU144">
        <v>1800</v>
      </c>
      <c r="BV144">
        <v>0.91000700000000001</v>
      </c>
      <c r="BW144">
        <v>3.3992500000000002E-2</v>
      </c>
      <c r="BX144">
        <v>2.2000200000000001E-2</v>
      </c>
      <c r="BY144">
        <v>3.4000700000000002E-2</v>
      </c>
      <c r="BZ144">
        <v>25</v>
      </c>
      <c r="CA144">
        <v>33528.400000000001</v>
      </c>
      <c r="CB144">
        <v>1690384821</v>
      </c>
      <c r="CC144" t="s">
        <v>332</v>
      </c>
      <c r="CD144">
        <v>1690384820</v>
      </c>
      <c r="CE144">
        <v>1690384821</v>
      </c>
      <c r="CF144">
        <v>5</v>
      </c>
      <c r="CG144">
        <v>-2.5000000000000001E-2</v>
      </c>
      <c r="CH144">
        <v>0.104</v>
      </c>
      <c r="CI144">
        <v>-0.28799999999999998</v>
      </c>
      <c r="CJ144">
        <v>0.28000000000000003</v>
      </c>
      <c r="CK144">
        <v>800</v>
      </c>
      <c r="CL144">
        <v>24</v>
      </c>
      <c r="CM144">
        <v>0.08</v>
      </c>
      <c r="CN144">
        <v>0.11</v>
      </c>
      <c r="CO144">
        <v>-252.64621951219519</v>
      </c>
      <c r="CP144">
        <v>-19.820968641114948</v>
      </c>
      <c r="CQ144">
        <v>1.9550164432244079</v>
      </c>
      <c r="CR144">
        <v>-1</v>
      </c>
      <c r="CS144">
        <v>14.85387317073171</v>
      </c>
      <c r="CT144">
        <v>1.5483742160278791</v>
      </c>
      <c r="CU144">
        <v>0.15296299731792351</v>
      </c>
      <c r="CV144">
        <v>-1</v>
      </c>
      <c r="CW144">
        <v>0</v>
      </c>
      <c r="CX144">
        <v>0</v>
      </c>
      <c r="CY144" t="s">
        <v>333</v>
      </c>
      <c r="CZ144">
        <v>2.3647</v>
      </c>
      <c r="DA144">
        <v>2.7137799999999999</v>
      </c>
      <c r="DB144">
        <v>0.111952</v>
      </c>
      <c r="DC144">
        <v>0.145621</v>
      </c>
      <c r="DD144">
        <v>0.11268499999999999</v>
      </c>
      <c r="DE144">
        <v>5.3034199999999997E-2</v>
      </c>
      <c r="DF144">
        <v>32445.599999999999</v>
      </c>
      <c r="DG144">
        <v>27557.7</v>
      </c>
      <c r="DH144">
        <v>31189.8</v>
      </c>
      <c r="DI144">
        <v>28104.6</v>
      </c>
      <c r="DJ144">
        <v>37572.699999999997</v>
      </c>
      <c r="DK144">
        <v>37848.1</v>
      </c>
      <c r="DL144">
        <v>44389.9</v>
      </c>
      <c r="DM144">
        <v>42598.7</v>
      </c>
      <c r="DN144">
        <v>1.47098</v>
      </c>
      <c r="DO144">
        <v>2.0445000000000002</v>
      </c>
      <c r="DP144">
        <v>0.110418</v>
      </c>
      <c r="DQ144">
        <v>0.18682299999999999</v>
      </c>
      <c r="DR144">
        <v>25.174600000000002</v>
      </c>
      <c r="DS144">
        <v>24.931000000000001</v>
      </c>
      <c r="DT144">
        <v>52.3</v>
      </c>
      <c r="DU144">
        <v>28.8</v>
      </c>
      <c r="DV144">
        <v>21.071100000000001</v>
      </c>
      <c r="DW144">
        <v>61.222200000000001</v>
      </c>
      <c r="DX144">
        <v>37.395800000000001</v>
      </c>
      <c r="DY144">
        <v>1</v>
      </c>
      <c r="DZ144">
        <v>-0.112724</v>
      </c>
      <c r="EA144">
        <v>-0.25402200000000003</v>
      </c>
      <c r="EB144">
        <v>20.189900000000002</v>
      </c>
      <c r="EC144">
        <v>5.24125</v>
      </c>
      <c r="ED144">
        <v>12.039899999999999</v>
      </c>
      <c r="EE144">
        <v>5.0169499999999996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1.8689100000000001</v>
      </c>
      <c r="EL144">
        <v>1.8646199999999999</v>
      </c>
      <c r="EM144">
        <v>1.8692</v>
      </c>
      <c r="EN144">
        <v>1.8672200000000001</v>
      </c>
      <c r="EO144">
        <v>1.86337</v>
      </c>
      <c r="EP144">
        <v>1.8644499999999999</v>
      </c>
      <c r="EQ144">
        <v>1.8701399999999999</v>
      </c>
      <c r="ER144">
        <v>1.86937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-0.108</v>
      </c>
      <c r="FG144">
        <v>0.2797</v>
      </c>
      <c r="FH144">
        <v>0.26269369235785539</v>
      </c>
      <c r="FI144">
        <v>-6.1462078757559423E-4</v>
      </c>
      <c r="FJ144">
        <v>-1.8861989874597051E-7</v>
      </c>
      <c r="FK144">
        <v>1.1980462299894961E-10</v>
      </c>
      <c r="FL144">
        <v>0.27968571428570849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30.9</v>
      </c>
      <c r="FU144">
        <v>30.9</v>
      </c>
      <c r="FV144">
        <v>1.77979</v>
      </c>
      <c r="FW144">
        <v>2.5769000000000002</v>
      </c>
      <c r="FX144">
        <v>1.5490699999999999</v>
      </c>
      <c r="FY144">
        <v>2.3315399999999999</v>
      </c>
      <c r="FZ144">
        <v>1.50146</v>
      </c>
      <c r="GA144">
        <v>2.3962400000000001</v>
      </c>
      <c r="GB144">
        <v>33.535499999999999</v>
      </c>
      <c r="GC144">
        <v>23.991199999999999</v>
      </c>
      <c r="GD144">
        <v>19</v>
      </c>
      <c r="GE144">
        <v>279.70100000000002</v>
      </c>
      <c r="GF144">
        <v>587.37300000000005</v>
      </c>
      <c r="GG144">
        <v>24.806100000000001</v>
      </c>
      <c r="GH144">
        <v>25.990500000000001</v>
      </c>
      <c r="GI144">
        <v>29.9999</v>
      </c>
      <c r="GJ144">
        <v>26.132300000000001</v>
      </c>
      <c r="GK144">
        <v>26.1173</v>
      </c>
      <c r="GL144">
        <v>35.572899999999997</v>
      </c>
      <c r="GM144">
        <v>58.7988</v>
      </c>
      <c r="GN144">
        <v>73.587299999999999</v>
      </c>
      <c r="GO144">
        <v>24.808800000000002</v>
      </c>
      <c r="GP144">
        <v>800</v>
      </c>
      <c r="GQ144">
        <v>8.5752799999999993</v>
      </c>
      <c r="GR144">
        <v>99.799199999999999</v>
      </c>
      <c r="GS144">
        <v>99.651499999999999</v>
      </c>
    </row>
    <row r="145" spans="1:201" x14ac:dyDescent="0.25">
      <c r="A145">
        <v>129</v>
      </c>
      <c r="B145">
        <v>1690386685.5999999</v>
      </c>
      <c r="C145">
        <v>1351</v>
      </c>
      <c r="D145" t="s">
        <v>591</v>
      </c>
      <c r="E145" t="s">
        <v>592</v>
      </c>
      <c r="F145" t="s">
        <v>330</v>
      </c>
      <c r="H145">
        <v>1690386685.5999999</v>
      </c>
      <c r="I145">
        <f t="shared" ref="I145:I208" si="60">(J145)/1000</f>
        <v>1.4863913674229377E-3</v>
      </c>
      <c r="J145">
        <f t="shared" ref="J145:J208" si="61">1000*AZ145*AH145*(AV145-AW145)/(100*AO145*(1000-AH145*AV145))</f>
        <v>1.4863913674229376</v>
      </c>
      <c r="K145">
        <f t="shared" ref="K145:K208" si="62">AZ145*AH145*(AU145-AT145*(1000-AH145*AW145)/(1000-AH145*AV145))/(100*AO145)</f>
        <v>23.683324068163902</v>
      </c>
      <c r="L145">
        <f t="shared" ref="L145:L208" si="63">AT145 - IF(AH145&gt;1, K145*AO145*100/(AJ145*BH145), 0)</f>
        <v>540.66399999999999</v>
      </c>
      <c r="M145">
        <f t="shared" ref="M145:M208" si="64">((S145-I145/2)*L145-K145)/(S145+I145/2)</f>
        <v>151.62569510158815</v>
      </c>
      <c r="N145">
        <f t="shared" ref="N145:N208" si="65">M145*(BA145+BB145)/1000</f>
        <v>14.973873910241707</v>
      </c>
      <c r="O145">
        <f t="shared" ref="O145:O208" si="66">(AT145 - IF(AH145&gt;1, K145*AO145*100/(AJ145*BH145), 0))*(BA145+BB145)/1000</f>
        <v>53.393552843287999</v>
      </c>
      <c r="P145">
        <f t="shared" ref="P145:P208" si="67">2/((1/R145-1/Q145)+SIGN(R145)*SQRT((1/R145-1/Q145)*(1/R145-1/Q145) + 4*AP145/((AP145+1)*(AP145+1))*(2*1/R145*1/Q145-1/Q145*1/Q145)))</f>
        <v>0.10174491635359882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2.1596494267150756</v>
      </c>
      <c r="R145">
        <f t="shared" ref="R145:R208" si="69">I145*(1000-(1000*0.61365*EXP(17.502*V145/(240.97+V145))/(BA145+BB145)+AV145)/2)/(1000*0.61365*EXP(17.502*V145/(240.97+V145))/(BA145+BB145)-AV145)</f>
        <v>9.9155033582507351E-2</v>
      </c>
      <c r="S145">
        <f t="shared" ref="S145:S208" si="70">1/((AP145+1)/(P145/1.6)+1/(Q145/1.37)) + AP145/((AP145+1)/(P145/1.6) + AP145/(Q145/1.37))</f>
        <v>6.2199095761945655E-2</v>
      </c>
      <c r="T145">
        <f t="shared" ref="T145:T208" si="71">(AK145*AN145)</f>
        <v>276.11550127800001</v>
      </c>
      <c r="U145">
        <f t="shared" ref="U145:U208" si="72">(BC145+(T145+2*0.95*0.0000000567*(((BC145+$B$7)+273)^4-(BC145+273)^4)-44100*I145)/(1.84*29.3*Q145+8*0.95*0.0000000567*(BC145+273)^3))</f>
        <v>27.980988645609983</v>
      </c>
      <c r="V145">
        <f t="shared" ref="V145:V208" si="73">($C$7*BD145+$D$7*BE145+$E$7*U145)</f>
        <v>27.980988645609983</v>
      </c>
      <c r="W145">
        <f t="shared" ref="W145:W208" si="74">0.61365*EXP(17.502*V145/(240.97+V145))</f>
        <v>3.7906359041614555</v>
      </c>
      <c r="X145">
        <f t="shared" ref="X145:X208" si="75">(Y145/Z145*100)</f>
        <v>68.459654495179606</v>
      </c>
      <c r="Y145">
        <f t="shared" ref="Y145:Y208" si="76">AV145*(BA145+BB145)/1000</f>
        <v>2.3563066356200002</v>
      </c>
      <c r="Z145">
        <f t="shared" ref="Z145:Z208" si="77">0.61365*EXP(17.502*BC145/(240.97+BC145))</f>
        <v>3.4418909253857146</v>
      </c>
      <c r="AA145">
        <f t="shared" ref="AA145:AA208" si="78">(W145-AV145*(BA145+BB145)/1000)</f>
        <v>1.4343292685414553</v>
      </c>
      <c r="AB145">
        <f t="shared" ref="AB145:AB208" si="79">(-I145*44100)</f>
        <v>-65.549859303351553</v>
      </c>
      <c r="AC145">
        <f t="shared" ref="AC145:AC208" si="80">2*29.3*Q145*0.92*(BC145-V145)</f>
        <v>-191.55099192485773</v>
      </c>
      <c r="AD145">
        <f t="shared" ref="AD145:AD208" si="81">2*0.95*0.0000000567*(((BC145+$B$7)+273)^4-(V145+273)^4)</f>
        <v>-19.171985722687577</v>
      </c>
      <c r="AE145">
        <f t="shared" ref="AE145:AE208" si="82">T145+AD145+AB145+AC145</f>
        <v>-0.15733567289683492</v>
      </c>
      <c r="AF145">
        <v>0</v>
      </c>
      <c r="AG145">
        <v>0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52357.244394533605</v>
      </c>
      <c r="AK145">
        <f t="shared" ref="AK145:AK208" si="86">$B$11*BI145+$C$11*BJ145+$D$11*BU145</f>
        <v>1800</v>
      </c>
      <c r="AL145">
        <f t="shared" ref="AL145:AL208" si="87">AK145*AM145</f>
        <v>1499.1132528000001</v>
      </c>
      <c r="AM145">
        <f t="shared" ref="AM145:AM208" si="88">($B$11*$D$9+$C$11*$D$9+$D$11*(BV145*$E$9+BW145*$F$9+BX145*$G$9+BY145*$H$9))/($B$11+$C$11+$D$11)</f>
        <v>0.83284069599999999</v>
      </c>
      <c r="AN145">
        <f t="shared" ref="AN145:AN208" si="89">($B$11*$K$9+$C$11*$K$9+$D$11*(BV145*$L$9+BW145*$M$9+BX145*$N$9+BY145*$O$9))/($B$11+$C$11+$D$11)</f>
        <v>0.15339750071</v>
      </c>
      <c r="AO145">
        <v>31.8</v>
      </c>
      <c r="AP145">
        <v>0.5</v>
      </c>
      <c r="AQ145" t="s">
        <v>331</v>
      </c>
      <c r="AR145">
        <v>2</v>
      </c>
      <c r="AS145">
        <v>1690386685.5999999</v>
      </c>
      <c r="AT145">
        <v>540.66399999999999</v>
      </c>
      <c r="AU145">
        <v>800.10299999999995</v>
      </c>
      <c r="AV145">
        <v>23.86</v>
      </c>
      <c r="AW145">
        <v>8.4874600000000004</v>
      </c>
      <c r="AX145">
        <v>540.77</v>
      </c>
      <c r="AY145">
        <v>23.580300000000001</v>
      </c>
      <c r="AZ145">
        <v>300.142</v>
      </c>
      <c r="BA145">
        <v>98.655600000000007</v>
      </c>
      <c r="BB145">
        <v>9.9917000000000006E-2</v>
      </c>
      <c r="BC145">
        <v>26.335799999999999</v>
      </c>
      <c r="BD145">
        <v>26.9681</v>
      </c>
      <c r="BE145">
        <v>27.995999999999999</v>
      </c>
      <c r="BF145">
        <v>0</v>
      </c>
      <c r="BG145">
        <v>0</v>
      </c>
      <c r="BH145">
        <v>10015</v>
      </c>
      <c r="BI145">
        <v>1075.21</v>
      </c>
      <c r="BJ145">
        <v>1.56985</v>
      </c>
      <c r="BK145">
        <v>-259.43900000000002</v>
      </c>
      <c r="BL145">
        <v>553.88</v>
      </c>
      <c r="BM145">
        <v>806.952</v>
      </c>
      <c r="BN145">
        <v>15.3725</v>
      </c>
      <c r="BO145">
        <v>800.10299999999995</v>
      </c>
      <c r="BP145">
        <v>8.4874600000000004</v>
      </c>
      <c r="BQ145">
        <v>2.35392</v>
      </c>
      <c r="BR145">
        <v>0.83733599999999997</v>
      </c>
      <c r="BS145">
        <v>20.0502</v>
      </c>
      <c r="BT145">
        <v>4.3565100000000001</v>
      </c>
      <c r="BU145">
        <v>1800</v>
      </c>
      <c r="BV145">
        <v>0.91000300000000001</v>
      </c>
      <c r="BW145">
        <v>3.3991899999999999E-2</v>
      </c>
      <c r="BX145">
        <v>2.20033E-2</v>
      </c>
      <c r="BY145">
        <v>3.4001299999999998E-2</v>
      </c>
      <c r="BZ145">
        <v>25</v>
      </c>
      <c r="CA145">
        <v>33528.300000000003</v>
      </c>
      <c r="CB145">
        <v>1690384821</v>
      </c>
      <c r="CC145" t="s">
        <v>332</v>
      </c>
      <c r="CD145">
        <v>1690384820</v>
      </c>
      <c r="CE145">
        <v>1690384821</v>
      </c>
      <c r="CF145">
        <v>5</v>
      </c>
      <c r="CG145">
        <v>-2.5000000000000001E-2</v>
      </c>
      <c r="CH145">
        <v>0.104</v>
      </c>
      <c r="CI145">
        <v>-0.28799999999999998</v>
      </c>
      <c r="CJ145">
        <v>0.28000000000000003</v>
      </c>
      <c r="CK145">
        <v>800</v>
      </c>
      <c r="CL145">
        <v>24</v>
      </c>
      <c r="CM145">
        <v>0.08</v>
      </c>
      <c r="CN145">
        <v>0.11</v>
      </c>
      <c r="CO145">
        <v>-256.11362500000001</v>
      </c>
      <c r="CP145">
        <v>-18.945196998123919</v>
      </c>
      <c r="CQ145">
        <v>1.8234906181209181</v>
      </c>
      <c r="CR145">
        <v>-1</v>
      </c>
      <c r="CS145">
        <v>15.118852499999999</v>
      </c>
      <c r="CT145">
        <v>1.4064416510318589</v>
      </c>
      <c r="CU145">
        <v>0.13561401658291061</v>
      </c>
      <c r="CV145">
        <v>-1</v>
      </c>
      <c r="CW145">
        <v>0</v>
      </c>
      <c r="CX145">
        <v>0</v>
      </c>
      <c r="CY145" t="s">
        <v>333</v>
      </c>
      <c r="CZ145">
        <v>2.3647900000000002</v>
      </c>
      <c r="DA145">
        <v>2.7137199999999999</v>
      </c>
      <c r="DB145">
        <v>0.111483</v>
      </c>
      <c r="DC145">
        <v>0.14561499999999999</v>
      </c>
      <c r="DD145">
        <v>0.11271200000000001</v>
      </c>
      <c r="DE145">
        <v>5.1890199999999997E-2</v>
      </c>
      <c r="DF145">
        <v>32462.9</v>
      </c>
      <c r="DG145">
        <v>27558.400000000001</v>
      </c>
      <c r="DH145">
        <v>31190</v>
      </c>
      <c r="DI145">
        <v>28105.1</v>
      </c>
      <c r="DJ145">
        <v>37571.599999999999</v>
      </c>
      <c r="DK145">
        <v>37894.699999999997</v>
      </c>
      <c r="DL145">
        <v>44389.9</v>
      </c>
      <c r="DM145">
        <v>42599.6</v>
      </c>
      <c r="DN145">
        <v>1.4706999999999999</v>
      </c>
      <c r="DO145">
        <v>2.0443699999999998</v>
      </c>
      <c r="DP145">
        <v>0.10929999999999999</v>
      </c>
      <c r="DQ145">
        <v>0.186972</v>
      </c>
      <c r="DR145">
        <v>25.177900000000001</v>
      </c>
      <c r="DS145">
        <v>24.935600000000001</v>
      </c>
      <c r="DT145">
        <v>52.1</v>
      </c>
      <c r="DU145">
        <v>28.8</v>
      </c>
      <c r="DV145">
        <v>20.992999999999999</v>
      </c>
      <c r="DW145">
        <v>61.242199999999997</v>
      </c>
      <c r="DX145">
        <v>36.939100000000003</v>
      </c>
      <c r="DY145">
        <v>1</v>
      </c>
      <c r="DZ145">
        <v>-0.11279500000000001</v>
      </c>
      <c r="EA145">
        <v>-0.230542</v>
      </c>
      <c r="EB145">
        <v>20.189800000000002</v>
      </c>
      <c r="EC145">
        <v>5.2411000000000003</v>
      </c>
      <c r="ED145">
        <v>12.039899999999999</v>
      </c>
      <c r="EE145">
        <v>5.0167999999999999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1.8689100000000001</v>
      </c>
      <c r="EL145">
        <v>1.8646199999999999</v>
      </c>
      <c r="EM145">
        <v>1.8692</v>
      </c>
      <c r="EN145">
        <v>1.8672500000000001</v>
      </c>
      <c r="EO145">
        <v>1.86338</v>
      </c>
      <c r="EP145">
        <v>1.86446</v>
      </c>
      <c r="EQ145">
        <v>1.87016</v>
      </c>
      <c r="ER145">
        <v>1.8693900000000001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-0.106</v>
      </c>
      <c r="FG145">
        <v>0.2797</v>
      </c>
      <c r="FH145">
        <v>0.26269369235785539</v>
      </c>
      <c r="FI145">
        <v>-6.1462078757559423E-4</v>
      </c>
      <c r="FJ145">
        <v>-1.8861989874597051E-7</v>
      </c>
      <c r="FK145">
        <v>1.1980462299894961E-10</v>
      </c>
      <c r="FL145">
        <v>0.27968571428570849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31.1</v>
      </c>
      <c r="FU145">
        <v>31.1</v>
      </c>
      <c r="FV145">
        <v>1.7785599999999999</v>
      </c>
      <c r="FW145">
        <v>2.5781200000000002</v>
      </c>
      <c r="FX145">
        <v>1.5490699999999999</v>
      </c>
      <c r="FY145">
        <v>2.3315399999999999</v>
      </c>
      <c r="FZ145">
        <v>1.50146</v>
      </c>
      <c r="GA145">
        <v>2.3706100000000001</v>
      </c>
      <c r="GB145">
        <v>33.535499999999999</v>
      </c>
      <c r="GC145">
        <v>23.991199999999999</v>
      </c>
      <c r="GD145">
        <v>19</v>
      </c>
      <c r="GE145">
        <v>279.57499999999999</v>
      </c>
      <c r="GF145">
        <v>587.24900000000002</v>
      </c>
      <c r="GG145">
        <v>24.835599999999999</v>
      </c>
      <c r="GH145">
        <v>25.988800000000001</v>
      </c>
      <c r="GI145">
        <v>30</v>
      </c>
      <c r="GJ145">
        <v>26.130199999999999</v>
      </c>
      <c r="GK145">
        <v>26.115600000000001</v>
      </c>
      <c r="GL145">
        <v>35.568199999999997</v>
      </c>
      <c r="GM145">
        <v>59.6815</v>
      </c>
      <c r="GN145">
        <v>72.810599999999994</v>
      </c>
      <c r="GO145">
        <v>24.833400000000001</v>
      </c>
      <c r="GP145">
        <v>800</v>
      </c>
      <c r="GQ145">
        <v>8.3468599999999995</v>
      </c>
      <c r="GR145">
        <v>99.799499999999995</v>
      </c>
      <c r="GS145">
        <v>99.653400000000005</v>
      </c>
    </row>
    <row r="146" spans="1:201" x14ac:dyDescent="0.25">
      <c r="A146">
        <v>130</v>
      </c>
      <c r="B146">
        <v>1690386695.5999999</v>
      </c>
      <c r="C146">
        <v>1361</v>
      </c>
      <c r="D146" t="s">
        <v>593</v>
      </c>
      <c r="E146" t="s">
        <v>594</v>
      </c>
      <c r="F146" t="s">
        <v>330</v>
      </c>
      <c r="H146">
        <v>1690386695.5999999</v>
      </c>
      <c r="I146">
        <f t="shared" si="60"/>
        <v>1.5094802845828197E-3</v>
      </c>
      <c r="J146">
        <f t="shared" si="61"/>
        <v>1.5094802845828197</v>
      </c>
      <c r="K146">
        <f t="shared" si="62"/>
        <v>23.966278268751793</v>
      </c>
      <c r="L146">
        <f t="shared" si="63"/>
        <v>537.52</v>
      </c>
      <c r="M146">
        <f t="shared" si="64"/>
        <v>150.16208524882805</v>
      </c>
      <c r="N146">
        <f t="shared" si="65"/>
        <v>14.829337966436135</v>
      </c>
      <c r="O146">
        <f t="shared" si="66"/>
        <v>53.083078398320005</v>
      </c>
      <c r="P146">
        <f t="shared" si="67"/>
        <v>0.10344216285629043</v>
      </c>
      <c r="Q146">
        <f t="shared" si="68"/>
        <v>2.1556827643119458</v>
      </c>
      <c r="R146">
        <f t="shared" si="69"/>
        <v>0.10076159116302941</v>
      </c>
      <c r="S146">
        <f t="shared" si="70"/>
        <v>6.3211047486540786E-2</v>
      </c>
      <c r="T146">
        <f t="shared" si="71"/>
        <v>276.11671858199992</v>
      </c>
      <c r="U146">
        <f t="shared" si="72"/>
        <v>27.981374452476519</v>
      </c>
      <c r="V146">
        <f t="shared" si="73"/>
        <v>27.981374452476519</v>
      </c>
      <c r="W146">
        <f t="shared" si="74"/>
        <v>3.7907211730600654</v>
      </c>
      <c r="X146">
        <f t="shared" si="75"/>
        <v>68.467163685539802</v>
      </c>
      <c r="Y146">
        <f t="shared" si="76"/>
        <v>2.3573441414405001</v>
      </c>
      <c r="Z146">
        <f t="shared" si="77"/>
        <v>3.4430287667055337</v>
      </c>
      <c r="AA146">
        <f t="shared" si="78"/>
        <v>1.4333770316195653</v>
      </c>
      <c r="AB146">
        <f t="shared" si="79"/>
        <v>-66.568080550102351</v>
      </c>
      <c r="AC146">
        <f t="shared" si="80"/>
        <v>-190.59318841006166</v>
      </c>
      <c r="AD146">
        <f t="shared" si="81"/>
        <v>-19.111793593825393</v>
      </c>
      <c r="AE146">
        <f t="shared" si="82"/>
        <v>-0.15634397198948591</v>
      </c>
      <c r="AF146">
        <v>0</v>
      </c>
      <c r="AG146">
        <v>0</v>
      </c>
      <c r="AH146">
        <f t="shared" si="83"/>
        <v>1</v>
      </c>
      <c r="AI146">
        <f t="shared" si="84"/>
        <v>0</v>
      </c>
      <c r="AJ146">
        <f t="shared" si="85"/>
        <v>52190.126858216179</v>
      </c>
      <c r="AK146">
        <f t="shared" si="86"/>
        <v>1800</v>
      </c>
      <c r="AL146">
        <f t="shared" si="87"/>
        <v>1499.1139512</v>
      </c>
      <c r="AM146">
        <f t="shared" si="88"/>
        <v>0.83284108400000001</v>
      </c>
      <c r="AN146">
        <f t="shared" si="89"/>
        <v>0.15339817698999997</v>
      </c>
      <c r="AO146">
        <v>31.8</v>
      </c>
      <c r="AP146">
        <v>0.5</v>
      </c>
      <c r="AQ146" t="s">
        <v>331</v>
      </c>
      <c r="AR146">
        <v>2</v>
      </c>
      <c r="AS146">
        <v>1690386695.5999999</v>
      </c>
      <c r="AT146">
        <v>537.52</v>
      </c>
      <c r="AU146">
        <v>800.03800000000001</v>
      </c>
      <c r="AV146">
        <v>23.8705</v>
      </c>
      <c r="AW146">
        <v>8.2593899999999998</v>
      </c>
      <c r="AX146">
        <v>537.62400000000002</v>
      </c>
      <c r="AY146">
        <v>23.590800000000002</v>
      </c>
      <c r="AZ146">
        <v>300.14299999999997</v>
      </c>
      <c r="BA146">
        <v>98.655500000000004</v>
      </c>
      <c r="BB146">
        <v>0.100041</v>
      </c>
      <c r="BC146">
        <v>26.3414</v>
      </c>
      <c r="BD146">
        <v>27.0259</v>
      </c>
      <c r="BE146">
        <v>27.997</v>
      </c>
      <c r="BF146">
        <v>0</v>
      </c>
      <c r="BG146">
        <v>0</v>
      </c>
      <c r="BH146">
        <v>9981.8799999999992</v>
      </c>
      <c r="BI146">
        <v>1075.3</v>
      </c>
      <c r="BJ146">
        <v>1.56985</v>
      </c>
      <c r="BK146">
        <v>-262.51799999999997</v>
      </c>
      <c r="BL146">
        <v>550.66499999999996</v>
      </c>
      <c r="BM146">
        <v>806.70100000000002</v>
      </c>
      <c r="BN146">
        <v>15.6111</v>
      </c>
      <c r="BO146">
        <v>800.03800000000001</v>
      </c>
      <c r="BP146">
        <v>8.2593899999999998</v>
      </c>
      <c r="BQ146">
        <v>2.3549500000000001</v>
      </c>
      <c r="BR146">
        <v>0.81483499999999998</v>
      </c>
      <c r="BS146">
        <v>20.057300000000001</v>
      </c>
      <c r="BT146">
        <v>3.9683899999999999</v>
      </c>
      <c r="BU146">
        <v>1800</v>
      </c>
      <c r="BV146">
        <v>0.90998999999999997</v>
      </c>
      <c r="BW146">
        <v>3.3991100000000003E-2</v>
      </c>
      <c r="BX146">
        <v>2.20097E-2</v>
      </c>
      <c r="BY146">
        <v>3.4009699999999997E-2</v>
      </c>
      <c r="BZ146">
        <v>25</v>
      </c>
      <c r="CA146">
        <v>33528.300000000003</v>
      </c>
      <c r="CB146">
        <v>1690384821</v>
      </c>
      <c r="CC146" t="s">
        <v>332</v>
      </c>
      <c r="CD146">
        <v>1690384820</v>
      </c>
      <c r="CE146">
        <v>1690384821</v>
      </c>
      <c r="CF146">
        <v>5</v>
      </c>
      <c r="CG146">
        <v>-2.5000000000000001E-2</v>
      </c>
      <c r="CH146">
        <v>0.104</v>
      </c>
      <c r="CI146">
        <v>-0.28799999999999998</v>
      </c>
      <c r="CJ146">
        <v>0.28000000000000003</v>
      </c>
      <c r="CK146">
        <v>800</v>
      </c>
      <c r="CL146">
        <v>24</v>
      </c>
      <c r="CM146">
        <v>0.08</v>
      </c>
      <c r="CN146">
        <v>0.11</v>
      </c>
      <c r="CO146">
        <v>-259.08826829268293</v>
      </c>
      <c r="CP146">
        <v>-19.216097560975431</v>
      </c>
      <c r="CQ146">
        <v>1.897192598891144</v>
      </c>
      <c r="CR146">
        <v>-1</v>
      </c>
      <c r="CS146">
        <v>15.34304634146342</v>
      </c>
      <c r="CT146">
        <v>1.5156418118467021</v>
      </c>
      <c r="CU146">
        <v>0.14959854260663699</v>
      </c>
      <c r="CV146">
        <v>-1</v>
      </c>
      <c r="CW146">
        <v>0</v>
      </c>
      <c r="CX146">
        <v>0</v>
      </c>
      <c r="CY146" t="s">
        <v>333</v>
      </c>
      <c r="CZ146">
        <v>2.3647999999999998</v>
      </c>
      <c r="DA146">
        <v>2.7138200000000001</v>
      </c>
      <c r="DB146">
        <v>0.111016</v>
      </c>
      <c r="DC146">
        <v>0.14560300000000001</v>
      </c>
      <c r="DD146">
        <v>0.112747</v>
      </c>
      <c r="DE146">
        <v>5.0791999999999997E-2</v>
      </c>
      <c r="DF146">
        <v>32480.400000000001</v>
      </c>
      <c r="DG146">
        <v>27558.9</v>
      </c>
      <c r="DH146">
        <v>31190.3</v>
      </c>
      <c r="DI146">
        <v>28105.3</v>
      </c>
      <c r="DJ146">
        <v>37570.5</v>
      </c>
      <c r="DK146">
        <v>37938.9</v>
      </c>
      <c r="DL146">
        <v>44390.5</v>
      </c>
      <c r="DM146">
        <v>42599.8</v>
      </c>
      <c r="DN146">
        <v>1.4705999999999999</v>
      </c>
      <c r="DO146">
        <v>2.0440999999999998</v>
      </c>
      <c r="DP146">
        <v>0.112578</v>
      </c>
      <c r="DQ146">
        <v>0.18671199999999999</v>
      </c>
      <c r="DR146">
        <v>25.182099999999998</v>
      </c>
      <c r="DS146">
        <v>24.940799999999999</v>
      </c>
      <c r="DT146">
        <v>51.8</v>
      </c>
      <c r="DU146">
        <v>28.8</v>
      </c>
      <c r="DV146">
        <v>20.873999999999999</v>
      </c>
      <c r="DW146">
        <v>61.2622</v>
      </c>
      <c r="DX146">
        <v>36.410299999999999</v>
      </c>
      <c r="DY146">
        <v>1</v>
      </c>
      <c r="DZ146">
        <v>-0.113028</v>
      </c>
      <c r="EA146">
        <v>-0.26373099999999999</v>
      </c>
      <c r="EB146">
        <v>20.189800000000002</v>
      </c>
      <c r="EC146">
        <v>5.24125</v>
      </c>
      <c r="ED146">
        <v>12.039899999999999</v>
      </c>
      <c r="EE146">
        <v>5.01675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1.8689100000000001</v>
      </c>
      <c r="EL146">
        <v>1.8646199999999999</v>
      </c>
      <c r="EM146">
        <v>1.8692</v>
      </c>
      <c r="EN146">
        <v>1.86724</v>
      </c>
      <c r="EO146">
        <v>1.86338</v>
      </c>
      <c r="EP146">
        <v>1.8644499999999999</v>
      </c>
      <c r="EQ146">
        <v>1.8701399999999999</v>
      </c>
      <c r="ER146">
        <v>1.8694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-0.104</v>
      </c>
      <c r="FG146">
        <v>0.2797</v>
      </c>
      <c r="FH146">
        <v>0.26269369235785539</v>
      </c>
      <c r="FI146">
        <v>-6.1462078757559423E-4</v>
      </c>
      <c r="FJ146">
        <v>-1.8861989874597051E-7</v>
      </c>
      <c r="FK146">
        <v>1.1980462299894961E-10</v>
      </c>
      <c r="FL146">
        <v>0.27968571428570849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31.3</v>
      </c>
      <c r="FU146">
        <v>31.2</v>
      </c>
      <c r="FV146">
        <v>1.7785599999999999</v>
      </c>
      <c r="FW146">
        <v>2.5793499999999998</v>
      </c>
      <c r="FX146">
        <v>1.5490699999999999</v>
      </c>
      <c r="FY146">
        <v>2.3315399999999999</v>
      </c>
      <c r="FZ146">
        <v>1.50146</v>
      </c>
      <c r="GA146">
        <v>2.3828100000000001</v>
      </c>
      <c r="GB146">
        <v>33.535499999999999</v>
      </c>
      <c r="GC146">
        <v>23.982399999999998</v>
      </c>
      <c r="GD146">
        <v>19</v>
      </c>
      <c r="GE146">
        <v>279.529</v>
      </c>
      <c r="GF146">
        <v>586.99599999999998</v>
      </c>
      <c r="GG146">
        <v>24.858899999999998</v>
      </c>
      <c r="GH146">
        <v>25.986599999999999</v>
      </c>
      <c r="GI146">
        <v>30.0001</v>
      </c>
      <c r="GJ146">
        <v>26.129100000000001</v>
      </c>
      <c r="GK146">
        <v>26.113399999999999</v>
      </c>
      <c r="GL146">
        <v>35.561599999999999</v>
      </c>
      <c r="GM146">
        <v>60.2515</v>
      </c>
      <c r="GN146">
        <v>72.028499999999994</v>
      </c>
      <c r="GO146">
        <v>24.864000000000001</v>
      </c>
      <c r="GP146">
        <v>800</v>
      </c>
      <c r="GQ146">
        <v>8.1175999999999995</v>
      </c>
      <c r="GR146">
        <v>99.800700000000006</v>
      </c>
      <c r="GS146">
        <v>99.653899999999993</v>
      </c>
    </row>
    <row r="147" spans="1:201" x14ac:dyDescent="0.25">
      <c r="A147">
        <v>131</v>
      </c>
      <c r="B147">
        <v>1690386705.5999999</v>
      </c>
      <c r="C147">
        <v>1371</v>
      </c>
      <c r="D147" t="s">
        <v>595</v>
      </c>
      <c r="E147" t="s">
        <v>596</v>
      </c>
      <c r="F147" t="s">
        <v>330</v>
      </c>
      <c r="H147">
        <v>1690386705.5999999</v>
      </c>
      <c r="I147">
        <f t="shared" si="60"/>
        <v>1.5317445560899966E-3</v>
      </c>
      <c r="J147">
        <f t="shared" si="61"/>
        <v>1.5317445560899965</v>
      </c>
      <c r="K147">
        <f t="shared" si="62"/>
        <v>24.263544689469271</v>
      </c>
      <c r="L147">
        <f t="shared" si="63"/>
        <v>534.346</v>
      </c>
      <c r="M147">
        <f t="shared" si="64"/>
        <v>148.55838784976569</v>
      </c>
      <c r="N147">
        <f t="shared" si="65"/>
        <v>14.670904939943945</v>
      </c>
      <c r="O147">
        <f t="shared" si="66"/>
        <v>52.7694160155202</v>
      </c>
      <c r="P147">
        <f t="shared" si="67"/>
        <v>0.10518126787076569</v>
      </c>
      <c r="Q147">
        <f t="shared" si="68"/>
        <v>2.1549283085352937</v>
      </c>
      <c r="R147">
        <f t="shared" si="69"/>
        <v>0.10241016258603697</v>
      </c>
      <c r="S147">
        <f t="shared" si="70"/>
        <v>6.4249243490551111E-2</v>
      </c>
      <c r="T147">
        <f t="shared" si="71"/>
        <v>276.11648051400005</v>
      </c>
      <c r="U147">
        <f t="shared" si="72"/>
        <v>27.974707401789409</v>
      </c>
      <c r="V147">
        <f t="shared" si="73"/>
        <v>27.974707401789409</v>
      </c>
      <c r="W147">
        <f t="shared" si="74"/>
        <v>3.78924789379696</v>
      </c>
      <c r="X147">
        <f t="shared" si="75"/>
        <v>68.488386804776297</v>
      </c>
      <c r="Y147">
        <f t="shared" si="76"/>
        <v>2.3581444498691893</v>
      </c>
      <c r="Z147">
        <f t="shared" si="77"/>
        <v>3.4431303756518541</v>
      </c>
      <c r="AA147">
        <f t="shared" si="78"/>
        <v>1.4311034439277708</v>
      </c>
      <c r="AB147">
        <f t="shared" si="79"/>
        <v>-67.549934923568856</v>
      </c>
      <c r="AC147">
        <f t="shared" si="80"/>
        <v>-189.69384090056576</v>
      </c>
      <c r="AD147">
        <f t="shared" si="81"/>
        <v>-19.027683177740268</v>
      </c>
      <c r="AE147">
        <f t="shared" si="82"/>
        <v>-0.15497848787481416</v>
      </c>
      <c r="AF147">
        <v>0</v>
      </c>
      <c r="AG147">
        <v>0</v>
      </c>
      <c r="AH147">
        <f t="shared" si="83"/>
        <v>1</v>
      </c>
      <c r="AI147">
        <f t="shared" si="84"/>
        <v>0</v>
      </c>
      <c r="AJ147">
        <f t="shared" si="85"/>
        <v>52158.471411846556</v>
      </c>
      <c r="AK147">
        <f t="shared" si="86"/>
        <v>1800</v>
      </c>
      <c r="AL147">
        <f t="shared" si="87"/>
        <v>1499.1118974000001</v>
      </c>
      <c r="AM147">
        <f t="shared" si="88"/>
        <v>0.83283994300000008</v>
      </c>
      <c r="AN147">
        <f t="shared" si="89"/>
        <v>0.15339804473000002</v>
      </c>
      <c r="AO147">
        <v>31.8</v>
      </c>
      <c r="AP147">
        <v>0.5</v>
      </c>
      <c r="AQ147" t="s">
        <v>331</v>
      </c>
      <c r="AR147">
        <v>2</v>
      </c>
      <c r="AS147">
        <v>1690386705.5999999</v>
      </c>
      <c r="AT147">
        <v>534.346</v>
      </c>
      <c r="AU147">
        <v>800.15700000000004</v>
      </c>
      <c r="AV147">
        <v>23.878699999999998</v>
      </c>
      <c r="AW147">
        <v>8.0334000000000003</v>
      </c>
      <c r="AX147">
        <v>534.44799999999998</v>
      </c>
      <c r="AY147">
        <v>23.5991</v>
      </c>
      <c r="AZ147">
        <v>300.06599999999997</v>
      </c>
      <c r="BA147">
        <v>98.655199999999994</v>
      </c>
      <c r="BB147">
        <v>9.9943699999999996E-2</v>
      </c>
      <c r="BC147">
        <v>26.341899999999999</v>
      </c>
      <c r="BD147">
        <v>27.008700000000001</v>
      </c>
      <c r="BE147">
        <v>27.998699999999999</v>
      </c>
      <c r="BF147">
        <v>0</v>
      </c>
      <c r="BG147">
        <v>0</v>
      </c>
      <c r="BH147">
        <v>9975.6200000000008</v>
      </c>
      <c r="BI147">
        <v>1075.4100000000001</v>
      </c>
      <c r="BJ147">
        <v>1.56985</v>
      </c>
      <c r="BK147">
        <v>-265.81</v>
      </c>
      <c r="BL147">
        <v>547.41800000000001</v>
      </c>
      <c r="BM147">
        <v>806.63699999999994</v>
      </c>
      <c r="BN147">
        <v>15.8453</v>
      </c>
      <c r="BO147">
        <v>800.15700000000004</v>
      </c>
      <c r="BP147">
        <v>8.0334000000000003</v>
      </c>
      <c r="BQ147">
        <v>2.3557600000000001</v>
      </c>
      <c r="BR147">
        <v>0.79253600000000002</v>
      </c>
      <c r="BS147">
        <v>20.062799999999999</v>
      </c>
      <c r="BT147">
        <v>3.5743200000000002</v>
      </c>
      <c r="BU147">
        <v>1800</v>
      </c>
      <c r="BV147">
        <v>0.90998500000000004</v>
      </c>
      <c r="BW147">
        <v>3.3990699999999999E-2</v>
      </c>
      <c r="BX147">
        <v>2.2009399999999998E-2</v>
      </c>
      <c r="BY147">
        <v>3.4014500000000003E-2</v>
      </c>
      <c r="BZ147">
        <v>25</v>
      </c>
      <c r="CA147">
        <v>33528.199999999997</v>
      </c>
      <c r="CB147">
        <v>1690384821</v>
      </c>
      <c r="CC147" t="s">
        <v>332</v>
      </c>
      <c r="CD147">
        <v>1690384820</v>
      </c>
      <c r="CE147">
        <v>1690384821</v>
      </c>
      <c r="CF147">
        <v>5</v>
      </c>
      <c r="CG147">
        <v>-2.5000000000000001E-2</v>
      </c>
      <c r="CH147">
        <v>0.104</v>
      </c>
      <c r="CI147">
        <v>-0.28799999999999998</v>
      </c>
      <c r="CJ147">
        <v>0.28000000000000003</v>
      </c>
      <c r="CK147">
        <v>800</v>
      </c>
      <c r="CL147">
        <v>24</v>
      </c>
      <c r="CM147">
        <v>0.08</v>
      </c>
      <c r="CN147">
        <v>0.11</v>
      </c>
      <c r="CO147">
        <v>-262.26117073170741</v>
      </c>
      <c r="CP147">
        <v>-18.538097560976279</v>
      </c>
      <c r="CQ147">
        <v>1.8294933711934911</v>
      </c>
      <c r="CR147">
        <v>-1</v>
      </c>
      <c r="CS147">
        <v>15.583124390243899</v>
      </c>
      <c r="CT147">
        <v>1.373404181184692</v>
      </c>
      <c r="CU147">
        <v>0.1356799332368821</v>
      </c>
      <c r="CV147">
        <v>-1</v>
      </c>
      <c r="CW147">
        <v>0</v>
      </c>
      <c r="CX147">
        <v>0</v>
      </c>
      <c r="CY147" t="s">
        <v>333</v>
      </c>
      <c r="CZ147">
        <v>2.3645299999999998</v>
      </c>
      <c r="DA147">
        <v>2.7137099999999998</v>
      </c>
      <c r="DB147">
        <v>0.110543</v>
      </c>
      <c r="DC147">
        <v>0.14561299999999999</v>
      </c>
      <c r="DD147">
        <v>0.112775</v>
      </c>
      <c r="DE147">
        <v>4.9693599999999997E-2</v>
      </c>
      <c r="DF147">
        <v>32497.1</v>
      </c>
      <c r="DG147">
        <v>27558.7</v>
      </c>
      <c r="DH147">
        <v>31189.8</v>
      </c>
      <c r="DI147">
        <v>28105.4</v>
      </c>
      <c r="DJ147">
        <v>37568.9</v>
      </c>
      <c r="DK147">
        <v>37983.1</v>
      </c>
      <c r="DL147">
        <v>44390.1</v>
      </c>
      <c r="DM147">
        <v>42599.9</v>
      </c>
      <c r="DN147">
        <v>1.4709000000000001</v>
      </c>
      <c r="DO147">
        <v>2.0438700000000001</v>
      </c>
      <c r="DP147">
        <v>0.111274</v>
      </c>
      <c r="DQ147">
        <v>0.186525</v>
      </c>
      <c r="DR147">
        <v>25.186199999999999</v>
      </c>
      <c r="DS147">
        <v>24.945599999999999</v>
      </c>
      <c r="DT147">
        <v>51.5</v>
      </c>
      <c r="DU147">
        <v>28.8</v>
      </c>
      <c r="DV147">
        <v>20.749300000000002</v>
      </c>
      <c r="DW147">
        <v>61.402200000000001</v>
      </c>
      <c r="DX147">
        <v>36.502400000000002</v>
      </c>
      <c r="DY147">
        <v>1</v>
      </c>
      <c r="DZ147">
        <v>-0.112876</v>
      </c>
      <c r="EA147">
        <v>-6.7483699999999994E-2</v>
      </c>
      <c r="EB147">
        <v>20.190100000000001</v>
      </c>
      <c r="EC147">
        <v>5.2408000000000001</v>
      </c>
      <c r="ED147">
        <v>12.039899999999999</v>
      </c>
      <c r="EE147">
        <v>5.0161499999999997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1.8689100000000001</v>
      </c>
      <c r="EL147">
        <v>1.8646199999999999</v>
      </c>
      <c r="EM147">
        <v>1.8692</v>
      </c>
      <c r="EN147">
        <v>1.8672299999999999</v>
      </c>
      <c r="EO147">
        <v>1.8633900000000001</v>
      </c>
      <c r="EP147">
        <v>1.8644700000000001</v>
      </c>
      <c r="EQ147">
        <v>1.87016</v>
      </c>
      <c r="ER147">
        <v>1.8693599999999999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-0.10199999999999999</v>
      </c>
      <c r="FG147">
        <v>0.27960000000000002</v>
      </c>
      <c r="FH147">
        <v>0.26269369235785539</v>
      </c>
      <c r="FI147">
        <v>-6.1462078757559423E-4</v>
      </c>
      <c r="FJ147">
        <v>-1.8861989874597051E-7</v>
      </c>
      <c r="FK147">
        <v>1.1980462299894961E-10</v>
      </c>
      <c r="FL147">
        <v>0.27968571428570849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31.4</v>
      </c>
      <c r="FU147">
        <v>31.4</v>
      </c>
      <c r="FV147">
        <v>1.7785599999999999</v>
      </c>
      <c r="FW147">
        <v>2.5817899999999998</v>
      </c>
      <c r="FX147">
        <v>1.5490699999999999</v>
      </c>
      <c r="FY147">
        <v>2.3315399999999999</v>
      </c>
      <c r="FZ147">
        <v>1.50146</v>
      </c>
      <c r="GA147">
        <v>2.36328</v>
      </c>
      <c r="GB147">
        <v>33.535499999999999</v>
      </c>
      <c r="GC147">
        <v>23.982399999999998</v>
      </c>
      <c r="GD147">
        <v>19</v>
      </c>
      <c r="GE147">
        <v>279.64999999999998</v>
      </c>
      <c r="GF147">
        <v>586.78499999999997</v>
      </c>
      <c r="GG147">
        <v>24.7684</v>
      </c>
      <c r="GH147">
        <v>25.9861</v>
      </c>
      <c r="GI147">
        <v>29.9999</v>
      </c>
      <c r="GJ147">
        <v>26.128</v>
      </c>
      <c r="GK147">
        <v>26.1112</v>
      </c>
      <c r="GL147">
        <v>35.551499999999997</v>
      </c>
      <c r="GM147">
        <v>60.816899999999997</v>
      </c>
      <c r="GN147">
        <v>71.239000000000004</v>
      </c>
      <c r="GO147">
        <v>24.782900000000001</v>
      </c>
      <c r="GP147">
        <v>800</v>
      </c>
      <c r="GQ147">
        <v>7.8889100000000001</v>
      </c>
      <c r="GR147">
        <v>99.799499999999995</v>
      </c>
      <c r="GS147">
        <v>99.654300000000006</v>
      </c>
    </row>
    <row r="148" spans="1:201" x14ac:dyDescent="0.25">
      <c r="A148">
        <v>132</v>
      </c>
      <c r="B148">
        <v>1690386715.5999999</v>
      </c>
      <c r="C148">
        <v>1381</v>
      </c>
      <c r="D148" t="s">
        <v>597</v>
      </c>
      <c r="E148" t="s">
        <v>598</v>
      </c>
      <c r="F148" t="s">
        <v>330</v>
      </c>
      <c r="H148">
        <v>1690386715.5999999</v>
      </c>
      <c r="I148">
        <f t="shared" si="60"/>
        <v>1.5541507087462967E-3</v>
      </c>
      <c r="J148">
        <f t="shared" si="61"/>
        <v>1.5541507087462967</v>
      </c>
      <c r="K148">
        <f t="shared" si="62"/>
        <v>24.531893831660959</v>
      </c>
      <c r="L148">
        <f t="shared" si="63"/>
        <v>531.34400000000005</v>
      </c>
      <c r="M148">
        <f t="shared" si="64"/>
        <v>147.64327753104169</v>
      </c>
      <c r="N148">
        <f t="shared" si="65"/>
        <v>14.581160986247689</v>
      </c>
      <c r="O148">
        <f t="shared" si="66"/>
        <v>52.475212773896011</v>
      </c>
      <c r="P148">
        <f t="shared" si="67"/>
        <v>0.10695608554788999</v>
      </c>
      <c r="Q148">
        <f t="shared" si="68"/>
        <v>2.1572280744674375</v>
      </c>
      <c r="R148">
        <f t="shared" si="69"/>
        <v>0.10409500909651237</v>
      </c>
      <c r="S148">
        <f t="shared" si="70"/>
        <v>6.5310062357233592E-2</v>
      </c>
      <c r="T148">
        <f t="shared" si="71"/>
        <v>276.11655870599998</v>
      </c>
      <c r="U148">
        <f t="shared" si="72"/>
        <v>27.963199775793743</v>
      </c>
      <c r="V148">
        <f t="shared" si="73"/>
        <v>27.963199775793743</v>
      </c>
      <c r="W148">
        <f t="shared" si="74"/>
        <v>3.7867061235449717</v>
      </c>
      <c r="X148">
        <f t="shared" si="75"/>
        <v>68.495640458632209</v>
      </c>
      <c r="Y148">
        <f t="shared" si="76"/>
        <v>2.3580879861701503</v>
      </c>
      <c r="Z148">
        <f t="shared" si="77"/>
        <v>3.4426833158736754</v>
      </c>
      <c r="AA148">
        <f t="shared" si="78"/>
        <v>1.4286181373748215</v>
      </c>
      <c r="AB148">
        <f t="shared" si="79"/>
        <v>-68.538046255711691</v>
      </c>
      <c r="AC148">
        <f t="shared" si="80"/>
        <v>-188.81380312464745</v>
      </c>
      <c r="AD148">
        <f t="shared" si="81"/>
        <v>-18.917920555142803</v>
      </c>
      <c r="AE148">
        <f t="shared" si="82"/>
        <v>-0.15321122950197719</v>
      </c>
      <c r="AF148">
        <v>0</v>
      </c>
      <c r="AG148">
        <v>0</v>
      </c>
      <c r="AH148">
        <f t="shared" si="83"/>
        <v>1</v>
      </c>
      <c r="AI148">
        <f t="shared" si="84"/>
        <v>0</v>
      </c>
      <c r="AJ148">
        <f t="shared" si="85"/>
        <v>52255.191161293013</v>
      </c>
      <c r="AK148">
        <f t="shared" si="86"/>
        <v>1800</v>
      </c>
      <c r="AL148">
        <f t="shared" si="87"/>
        <v>1499.1128855999998</v>
      </c>
      <c r="AM148">
        <f t="shared" si="88"/>
        <v>0.83284049199999988</v>
      </c>
      <c r="AN148">
        <f t="shared" si="89"/>
        <v>0.15339808817</v>
      </c>
      <c r="AO148">
        <v>31.8</v>
      </c>
      <c r="AP148">
        <v>0.5</v>
      </c>
      <c r="AQ148" t="s">
        <v>331</v>
      </c>
      <c r="AR148">
        <v>2</v>
      </c>
      <c r="AS148">
        <v>1690386715.5999999</v>
      </c>
      <c r="AT148">
        <v>531.34400000000005</v>
      </c>
      <c r="AU148">
        <v>800.07899999999995</v>
      </c>
      <c r="AV148">
        <v>23.877099999999999</v>
      </c>
      <c r="AW148">
        <v>7.79983</v>
      </c>
      <c r="AX148">
        <v>531.44299999999998</v>
      </c>
      <c r="AY148">
        <v>23.5975</v>
      </c>
      <c r="AZ148">
        <v>300.06299999999999</v>
      </c>
      <c r="BA148">
        <v>98.659400000000005</v>
      </c>
      <c r="BB148">
        <v>9.9996500000000002E-2</v>
      </c>
      <c r="BC148">
        <v>26.339700000000001</v>
      </c>
      <c r="BD148">
        <v>27.004200000000001</v>
      </c>
      <c r="BE148">
        <v>27.992100000000001</v>
      </c>
      <c r="BF148">
        <v>0</v>
      </c>
      <c r="BG148">
        <v>0</v>
      </c>
      <c r="BH148">
        <v>9994.3799999999992</v>
      </c>
      <c r="BI148">
        <v>1075.52</v>
      </c>
      <c r="BJ148">
        <v>1.56985</v>
      </c>
      <c r="BK148">
        <v>-268.73500000000001</v>
      </c>
      <c r="BL148">
        <v>544.34100000000001</v>
      </c>
      <c r="BM148">
        <v>806.36800000000005</v>
      </c>
      <c r="BN148">
        <v>16.077300000000001</v>
      </c>
      <c r="BO148">
        <v>800.07899999999995</v>
      </c>
      <c r="BP148">
        <v>7.79983</v>
      </c>
      <c r="BQ148">
        <v>2.3557100000000002</v>
      </c>
      <c r="BR148">
        <v>0.76952699999999996</v>
      </c>
      <c r="BS148">
        <v>20.0625</v>
      </c>
      <c r="BT148">
        <v>3.15727</v>
      </c>
      <c r="BU148">
        <v>1800</v>
      </c>
      <c r="BV148">
        <v>0.90998699999999999</v>
      </c>
      <c r="BW148">
        <v>3.3990100000000002E-2</v>
      </c>
      <c r="BX148">
        <v>2.20091E-2</v>
      </c>
      <c r="BY148">
        <v>3.40139E-2</v>
      </c>
      <c r="BZ148">
        <v>25</v>
      </c>
      <c r="CA148">
        <v>33528.300000000003</v>
      </c>
      <c r="CB148">
        <v>1690384821</v>
      </c>
      <c r="CC148" t="s">
        <v>332</v>
      </c>
      <c r="CD148">
        <v>1690384820</v>
      </c>
      <c r="CE148">
        <v>1690384821</v>
      </c>
      <c r="CF148">
        <v>5</v>
      </c>
      <c r="CG148">
        <v>-2.5000000000000001E-2</v>
      </c>
      <c r="CH148">
        <v>0.104</v>
      </c>
      <c r="CI148">
        <v>-0.28799999999999998</v>
      </c>
      <c r="CJ148">
        <v>0.28000000000000003</v>
      </c>
      <c r="CK148">
        <v>800</v>
      </c>
      <c r="CL148">
        <v>24</v>
      </c>
      <c r="CM148">
        <v>0.08</v>
      </c>
      <c r="CN148">
        <v>0.11</v>
      </c>
      <c r="CO148">
        <v>-265.60444999999999</v>
      </c>
      <c r="CP148">
        <v>-18.810574108817558</v>
      </c>
      <c r="CQ148">
        <v>1.810450620011496</v>
      </c>
      <c r="CR148">
        <v>-1</v>
      </c>
      <c r="CS148">
        <v>15.833959999999999</v>
      </c>
      <c r="CT148">
        <v>1.4576983114446631</v>
      </c>
      <c r="CU148">
        <v>0.1404043300614338</v>
      </c>
      <c r="CV148">
        <v>-1</v>
      </c>
      <c r="CW148">
        <v>0</v>
      </c>
      <c r="CX148">
        <v>0</v>
      </c>
      <c r="CY148" t="s">
        <v>333</v>
      </c>
      <c r="CZ148">
        <v>2.3645399999999999</v>
      </c>
      <c r="DA148">
        <v>2.7137799999999999</v>
      </c>
      <c r="DB148">
        <v>0.1101</v>
      </c>
      <c r="DC148">
        <v>0.14560600000000001</v>
      </c>
      <c r="DD148">
        <v>0.112775</v>
      </c>
      <c r="DE148">
        <v>4.85499E-2</v>
      </c>
      <c r="DF148">
        <v>32514.400000000001</v>
      </c>
      <c r="DG148">
        <v>27559.200000000001</v>
      </c>
      <c r="DH148">
        <v>31190.9</v>
      </c>
      <c r="DI148">
        <v>28105.7</v>
      </c>
      <c r="DJ148">
        <v>37569.9</v>
      </c>
      <c r="DK148">
        <v>38029.4</v>
      </c>
      <c r="DL148">
        <v>44391.3</v>
      </c>
      <c r="DM148">
        <v>42600.5</v>
      </c>
      <c r="DN148">
        <v>1.47058</v>
      </c>
      <c r="DO148">
        <v>2.0431499999999998</v>
      </c>
      <c r="DP148">
        <v>0.11086500000000001</v>
      </c>
      <c r="DQ148">
        <v>0.18592900000000001</v>
      </c>
      <c r="DR148">
        <v>25.188500000000001</v>
      </c>
      <c r="DS148">
        <v>24.948699999999999</v>
      </c>
      <c r="DT148">
        <v>51.2</v>
      </c>
      <c r="DU148">
        <v>28.8</v>
      </c>
      <c r="DV148">
        <v>20.6297</v>
      </c>
      <c r="DW148">
        <v>60.732199999999999</v>
      </c>
      <c r="DX148">
        <v>37.183500000000002</v>
      </c>
      <c r="DY148">
        <v>1</v>
      </c>
      <c r="DZ148">
        <v>-0.113318</v>
      </c>
      <c r="EA148">
        <v>-0.11575199999999999</v>
      </c>
      <c r="EB148">
        <v>20.1904</v>
      </c>
      <c r="EC148">
        <v>5.24125</v>
      </c>
      <c r="ED148">
        <v>12.039899999999999</v>
      </c>
      <c r="EE148">
        <v>5.0170000000000003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</v>
      </c>
      <c r="EL148">
        <v>1.8646199999999999</v>
      </c>
      <c r="EM148">
        <v>1.8692</v>
      </c>
      <c r="EN148">
        <v>1.8672299999999999</v>
      </c>
      <c r="EO148">
        <v>1.8633999999999999</v>
      </c>
      <c r="EP148">
        <v>1.8644700000000001</v>
      </c>
      <c r="EQ148">
        <v>1.87019</v>
      </c>
      <c r="ER148">
        <v>1.8693900000000001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-9.9000000000000005E-2</v>
      </c>
      <c r="FG148">
        <v>0.27960000000000002</v>
      </c>
      <c r="FH148">
        <v>0.26269369235785539</v>
      </c>
      <c r="FI148">
        <v>-6.1462078757559423E-4</v>
      </c>
      <c r="FJ148">
        <v>-1.8861989874597051E-7</v>
      </c>
      <c r="FK148">
        <v>1.1980462299894961E-10</v>
      </c>
      <c r="FL148">
        <v>0.27968571428570849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31.6</v>
      </c>
      <c r="FU148">
        <v>31.6</v>
      </c>
      <c r="FV148">
        <v>1.7773399999999999</v>
      </c>
      <c r="FW148">
        <v>2.5817899999999998</v>
      </c>
      <c r="FX148">
        <v>1.5490699999999999</v>
      </c>
      <c r="FY148">
        <v>2.3315399999999999</v>
      </c>
      <c r="FZ148">
        <v>1.50146</v>
      </c>
      <c r="GA148">
        <v>2.3815900000000001</v>
      </c>
      <c r="GB148">
        <v>33.535499999999999</v>
      </c>
      <c r="GC148">
        <v>23.982399999999998</v>
      </c>
      <c r="GD148">
        <v>19</v>
      </c>
      <c r="GE148">
        <v>279.50400000000002</v>
      </c>
      <c r="GF148">
        <v>586.15899999999999</v>
      </c>
      <c r="GG148">
        <v>24.768000000000001</v>
      </c>
      <c r="GH148">
        <v>25.984500000000001</v>
      </c>
      <c r="GI148">
        <v>30</v>
      </c>
      <c r="GJ148">
        <v>26.125800000000002</v>
      </c>
      <c r="GK148">
        <v>26.109000000000002</v>
      </c>
      <c r="GL148">
        <v>35.543999999999997</v>
      </c>
      <c r="GM148">
        <v>61.3855</v>
      </c>
      <c r="GN148">
        <v>70.444800000000001</v>
      </c>
      <c r="GO148">
        <v>24.772500000000001</v>
      </c>
      <c r="GP148">
        <v>800</v>
      </c>
      <c r="GQ148">
        <v>7.6613600000000002</v>
      </c>
      <c r="GR148">
        <v>99.802400000000006</v>
      </c>
      <c r="GS148">
        <v>99.655500000000004</v>
      </c>
    </row>
    <row r="149" spans="1:201" x14ac:dyDescent="0.25">
      <c r="A149">
        <v>133</v>
      </c>
      <c r="B149">
        <v>1690386725.5999999</v>
      </c>
      <c r="C149">
        <v>1391</v>
      </c>
      <c r="D149" t="s">
        <v>599</v>
      </c>
      <c r="E149" t="s">
        <v>600</v>
      </c>
      <c r="F149" t="s">
        <v>330</v>
      </c>
      <c r="H149">
        <v>1690386725.5999999</v>
      </c>
      <c r="I149">
        <f t="shared" si="60"/>
        <v>1.5767642844812268E-3</v>
      </c>
      <c r="J149">
        <f t="shared" si="61"/>
        <v>1.5767642844812269</v>
      </c>
      <c r="K149">
        <f t="shared" si="62"/>
        <v>24.828002078193869</v>
      </c>
      <c r="L149">
        <f t="shared" si="63"/>
        <v>528.13699999999994</v>
      </c>
      <c r="M149">
        <f t="shared" si="64"/>
        <v>146.0361806490327</v>
      </c>
      <c r="N149">
        <f t="shared" si="65"/>
        <v>14.422109111829863</v>
      </c>
      <c r="O149">
        <f t="shared" si="66"/>
        <v>52.157276410151987</v>
      </c>
      <c r="P149">
        <f t="shared" si="67"/>
        <v>0.10873626843364652</v>
      </c>
      <c r="Q149">
        <f t="shared" si="68"/>
        <v>2.1529247033573555</v>
      </c>
      <c r="R149">
        <f t="shared" si="69"/>
        <v>0.10577484200909766</v>
      </c>
      <c r="S149">
        <f t="shared" si="70"/>
        <v>6.6368630712884985E-2</v>
      </c>
      <c r="T149">
        <f t="shared" si="71"/>
        <v>276.11642773799997</v>
      </c>
      <c r="U149">
        <f t="shared" si="72"/>
        <v>27.957836853502503</v>
      </c>
      <c r="V149">
        <f t="shared" si="73"/>
        <v>27.957836853502503</v>
      </c>
      <c r="W149">
        <f t="shared" si="74"/>
        <v>3.7855220854420928</v>
      </c>
      <c r="X149">
        <f t="shared" si="75"/>
        <v>68.529056285383049</v>
      </c>
      <c r="Y149">
        <f t="shared" si="76"/>
        <v>2.3591687635055996</v>
      </c>
      <c r="Z149">
        <f t="shared" si="77"/>
        <v>3.4425817184480914</v>
      </c>
      <c r="AA149">
        <f t="shared" si="78"/>
        <v>1.4263533219364932</v>
      </c>
      <c r="AB149">
        <f t="shared" si="79"/>
        <v>-69.535304945622102</v>
      </c>
      <c r="AC149">
        <f t="shared" si="80"/>
        <v>-187.87271376663344</v>
      </c>
      <c r="AD149">
        <f t="shared" si="81"/>
        <v>-18.860701636838197</v>
      </c>
      <c r="AE149">
        <f t="shared" si="82"/>
        <v>-0.15229261109377035</v>
      </c>
      <c r="AF149">
        <v>0</v>
      </c>
      <c r="AG149">
        <v>0</v>
      </c>
      <c r="AH149">
        <f t="shared" si="83"/>
        <v>1</v>
      </c>
      <c r="AI149">
        <f t="shared" si="84"/>
        <v>0</v>
      </c>
      <c r="AJ149">
        <f t="shared" si="85"/>
        <v>52075.217358698806</v>
      </c>
      <c r="AK149">
        <f t="shared" si="86"/>
        <v>1800</v>
      </c>
      <c r="AL149">
        <f t="shared" si="87"/>
        <v>1499.1120017999999</v>
      </c>
      <c r="AM149">
        <f t="shared" si="88"/>
        <v>0.832840001</v>
      </c>
      <c r="AN149">
        <f t="shared" si="89"/>
        <v>0.15339801540999998</v>
      </c>
      <c r="AO149">
        <v>31.8</v>
      </c>
      <c r="AP149">
        <v>0.5</v>
      </c>
      <c r="AQ149" t="s">
        <v>331</v>
      </c>
      <c r="AR149">
        <v>2</v>
      </c>
      <c r="AS149">
        <v>1690386725.5999999</v>
      </c>
      <c r="AT149">
        <v>528.13699999999994</v>
      </c>
      <c r="AU149">
        <v>800.03399999999999</v>
      </c>
      <c r="AV149">
        <v>23.8886</v>
      </c>
      <c r="AW149">
        <v>7.5805800000000003</v>
      </c>
      <c r="AX149">
        <v>528.23400000000004</v>
      </c>
      <c r="AY149">
        <v>23.608899999999998</v>
      </c>
      <c r="AZ149">
        <v>300.11799999999999</v>
      </c>
      <c r="BA149">
        <v>98.656999999999996</v>
      </c>
      <c r="BB149">
        <v>0.100096</v>
      </c>
      <c r="BC149">
        <v>26.339200000000002</v>
      </c>
      <c r="BD149">
        <v>26.972999999999999</v>
      </c>
      <c r="BE149">
        <v>27.967700000000001</v>
      </c>
      <c r="BF149">
        <v>0</v>
      </c>
      <c r="BG149">
        <v>0</v>
      </c>
      <c r="BH149">
        <v>9958.75</v>
      </c>
      <c r="BI149">
        <v>1075.6199999999999</v>
      </c>
      <c r="BJ149">
        <v>1.56985</v>
      </c>
      <c r="BK149">
        <v>-271.89699999999999</v>
      </c>
      <c r="BL149">
        <v>541.06200000000001</v>
      </c>
      <c r="BM149">
        <v>806.14499999999998</v>
      </c>
      <c r="BN149">
        <v>16.308</v>
      </c>
      <c r="BO149">
        <v>800.03399999999999</v>
      </c>
      <c r="BP149">
        <v>7.5805800000000003</v>
      </c>
      <c r="BQ149">
        <v>2.3567800000000001</v>
      </c>
      <c r="BR149">
        <v>0.74787700000000001</v>
      </c>
      <c r="BS149">
        <v>20.069800000000001</v>
      </c>
      <c r="BT149">
        <v>2.7546599999999999</v>
      </c>
      <c r="BU149">
        <v>1800</v>
      </c>
      <c r="BV149">
        <v>0.90998599999999996</v>
      </c>
      <c r="BW149">
        <v>3.3991399999999998E-2</v>
      </c>
      <c r="BX149">
        <v>2.2008799999999999E-2</v>
      </c>
      <c r="BY149">
        <v>3.4013500000000002E-2</v>
      </c>
      <c r="BZ149">
        <v>25</v>
      </c>
      <c r="CA149">
        <v>33528.400000000001</v>
      </c>
      <c r="CB149">
        <v>1690384821</v>
      </c>
      <c r="CC149" t="s">
        <v>332</v>
      </c>
      <c r="CD149">
        <v>1690384820</v>
      </c>
      <c r="CE149">
        <v>1690384821</v>
      </c>
      <c r="CF149">
        <v>5</v>
      </c>
      <c r="CG149">
        <v>-2.5000000000000001E-2</v>
      </c>
      <c r="CH149">
        <v>0.104</v>
      </c>
      <c r="CI149">
        <v>-0.28799999999999998</v>
      </c>
      <c r="CJ149">
        <v>0.28000000000000003</v>
      </c>
      <c r="CK149">
        <v>800</v>
      </c>
      <c r="CL149">
        <v>24</v>
      </c>
      <c r="CM149">
        <v>0.08</v>
      </c>
      <c r="CN149">
        <v>0.11</v>
      </c>
      <c r="CO149">
        <v>-268.48973170731699</v>
      </c>
      <c r="CP149">
        <v>-18.565275261324359</v>
      </c>
      <c r="CQ149">
        <v>1.831520799831156</v>
      </c>
      <c r="CR149">
        <v>-1</v>
      </c>
      <c r="CS149">
        <v>16.048721951219509</v>
      </c>
      <c r="CT149">
        <v>1.3496655052264801</v>
      </c>
      <c r="CU149">
        <v>0.13334866001539011</v>
      </c>
      <c r="CV149">
        <v>-1</v>
      </c>
      <c r="CW149">
        <v>0</v>
      </c>
      <c r="CX149">
        <v>0</v>
      </c>
      <c r="CY149" t="s">
        <v>333</v>
      </c>
      <c r="CZ149">
        <v>2.3647</v>
      </c>
      <c r="DA149">
        <v>2.7138499999999999</v>
      </c>
      <c r="DB149">
        <v>0.10961700000000001</v>
      </c>
      <c r="DC149">
        <v>0.145593</v>
      </c>
      <c r="DD149">
        <v>0.11281099999999999</v>
      </c>
      <c r="DE149">
        <v>4.7462999999999998E-2</v>
      </c>
      <c r="DF149">
        <v>32531.5</v>
      </c>
      <c r="DG149">
        <v>27559.8</v>
      </c>
      <c r="DH149">
        <v>31190.400000000001</v>
      </c>
      <c r="DI149">
        <v>28105.9</v>
      </c>
      <c r="DJ149">
        <v>37567.9</v>
      </c>
      <c r="DK149">
        <v>38073.1</v>
      </c>
      <c r="DL149">
        <v>44390.9</v>
      </c>
      <c r="DM149">
        <v>42600.7</v>
      </c>
      <c r="DN149">
        <v>1.4715</v>
      </c>
      <c r="DO149">
        <v>2.0431499999999998</v>
      </c>
      <c r="DP149">
        <v>0.108741</v>
      </c>
      <c r="DQ149">
        <v>0.18417800000000001</v>
      </c>
      <c r="DR149">
        <v>25.192</v>
      </c>
      <c r="DS149">
        <v>24.9529</v>
      </c>
      <c r="DT149">
        <v>50.8</v>
      </c>
      <c r="DU149">
        <v>28.8</v>
      </c>
      <c r="DV149">
        <v>20.469100000000001</v>
      </c>
      <c r="DW149">
        <v>61.232199999999999</v>
      </c>
      <c r="DX149">
        <v>37.431899999999999</v>
      </c>
      <c r="DY149">
        <v>1</v>
      </c>
      <c r="DZ149">
        <v>-0.113234</v>
      </c>
      <c r="EA149">
        <v>-0.127358</v>
      </c>
      <c r="EB149">
        <v>20.190200000000001</v>
      </c>
      <c r="EC149">
        <v>5.24125</v>
      </c>
      <c r="ED149">
        <v>12.039899999999999</v>
      </c>
      <c r="EE149">
        <v>5.0167000000000002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</v>
      </c>
      <c r="EL149">
        <v>1.8646199999999999</v>
      </c>
      <c r="EM149">
        <v>1.8692</v>
      </c>
      <c r="EN149">
        <v>1.86724</v>
      </c>
      <c r="EO149">
        <v>1.86338</v>
      </c>
      <c r="EP149">
        <v>1.86446</v>
      </c>
      <c r="EQ149">
        <v>1.87018</v>
      </c>
      <c r="ER149">
        <v>1.8693900000000001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-9.7000000000000003E-2</v>
      </c>
      <c r="FG149">
        <v>0.2797</v>
      </c>
      <c r="FH149">
        <v>0.26269369235785539</v>
      </c>
      <c r="FI149">
        <v>-6.1462078757559423E-4</v>
      </c>
      <c r="FJ149">
        <v>-1.8861989874597051E-7</v>
      </c>
      <c r="FK149">
        <v>1.1980462299894961E-10</v>
      </c>
      <c r="FL149">
        <v>0.27968571428570849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31.8</v>
      </c>
      <c r="FU149">
        <v>31.7</v>
      </c>
      <c r="FV149">
        <v>1.7773399999999999</v>
      </c>
      <c r="FW149">
        <v>2.5781200000000002</v>
      </c>
      <c r="FX149">
        <v>1.5490699999999999</v>
      </c>
      <c r="FY149">
        <v>2.3315399999999999</v>
      </c>
      <c r="FZ149">
        <v>1.50146</v>
      </c>
      <c r="GA149">
        <v>2.36938</v>
      </c>
      <c r="GB149">
        <v>33.535499999999999</v>
      </c>
      <c r="GC149">
        <v>23.982399999999998</v>
      </c>
      <c r="GD149">
        <v>19</v>
      </c>
      <c r="GE149">
        <v>279.88499999999999</v>
      </c>
      <c r="GF149">
        <v>586.13599999999997</v>
      </c>
      <c r="GG149">
        <v>24.767600000000002</v>
      </c>
      <c r="GH149">
        <v>25.9834</v>
      </c>
      <c r="GI149">
        <v>30.0001</v>
      </c>
      <c r="GJ149">
        <v>26.1236</v>
      </c>
      <c r="GK149">
        <v>26.106999999999999</v>
      </c>
      <c r="GL149">
        <v>35.543599999999998</v>
      </c>
      <c r="GM149">
        <v>61.990099999999998</v>
      </c>
      <c r="GN149">
        <v>69.636899999999997</v>
      </c>
      <c r="GO149">
        <v>24.768799999999999</v>
      </c>
      <c r="GP149">
        <v>800</v>
      </c>
      <c r="GQ149">
        <v>7.4283299999999999</v>
      </c>
      <c r="GR149">
        <v>99.801199999999994</v>
      </c>
      <c r="GS149">
        <v>99.656099999999995</v>
      </c>
    </row>
    <row r="150" spans="1:201" x14ac:dyDescent="0.25">
      <c r="A150">
        <v>134</v>
      </c>
      <c r="B150">
        <v>1690386735.5999999</v>
      </c>
      <c r="C150">
        <v>1401</v>
      </c>
      <c r="D150" t="s">
        <v>601</v>
      </c>
      <c r="E150" t="s">
        <v>602</v>
      </c>
      <c r="F150" t="s">
        <v>330</v>
      </c>
      <c r="H150">
        <v>1690386735.5999999</v>
      </c>
      <c r="I150">
        <f t="shared" si="60"/>
        <v>1.6008502867757629E-3</v>
      </c>
      <c r="J150">
        <f t="shared" si="61"/>
        <v>1.6008502867757628</v>
      </c>
      <c r="K150">
        <f t="shared" si="62"/>
        <v>25.111781128447273</v>
      </c>
      <c r="L150">
        <f t="shared" si="63"/>
        <v>525.11900000000003</v>
      </c>
      <c r="M150">
        <f t="shared" si="64"/>
        <v>145.17158316269146</v>
      </c>
      <c r="N150">
        <f t="shared" si="65"/>
        <v>14.336705175149884</v>
      </c>
      <c r="O150">
        <f t="shared" si="66"/>
        <v>51.859159491513502</v>
      </c>
      <c r="P150">
        <f t="shared" si="67"/>
        <v>0.1106350445369699</v>
      </c>
      <c r="Q150">
        <f t="shared" si="68"/>
        <v>2.1594392456362526</v>
      </c>
      <c r="R150">
        <f t="shared" si="69"/>
        <v>0.10757982727994218</v>
      </c>
      <c r="S150">
        <f t="shared" si="70"/>
        <v>6.7504863641616175E-2</v>
      </c>
      <c r="T150">
        <f t="shared" si="71"/>
        <v>276.11651916000005</v>
      </c>
      <c r="U150">
        <f t="shared" si="72"/>
        <v>27.950587697690914</v>
      </c>
      <c r="V150">
        <f t="shared" si="73"/>
        <v>27.950587697690914</v>
      </c>
      <c r="W150">
        <f t="shared" si="74"/>
        <v>3.7839221138526087</v>
      </c>
      <c r="X150">
        <f t="shared" si="75"/>
        <v>68.533107466481695</v>
      </c>
      <c r="Y150">
        <f t="shared" si="76"/>
        <v>2.3600742340237</v>
      </c>
      <c r="Z150">
        <f t="shared" si="77"/>
        <v>3.4436994341427898</v>
      </c>
      <c r="AA150">
        <f t="shared" si="78"/>
        <v>1.4238478798289087</v>
      </c>
      <c r="AB150">
        <f t="shared" si="79"/>
        <v>-70.597497646811149</v>
      </c>
      <c r="AC150">
        <f t="shared" si="80"/>
        <v>-186.95694570899704</v>
      </c>
      <c r="AD150">
        <f t="shared" si="81"/>
        <v>-18.711980051050656</v>
      </c>
      <c r="AE150">
        <f t="shared" si="82"/>
        <v>-0.14990424685879589</v>
      </c>
      <c r="AF150">
        <v>0</v>
      </c>
      <c r="AG150">
        <v>0</v>
      </c>
      <c r="AH150">
        <f t="shared" si="83"/>
        <v>1</v>
      </c>
      <c r="AI150">
        <f t="shared" si="84"/>
        <v>0</v>
      </c>
      <c r="AJ150">
        <f t="shared" si="85"/>
        <v>52346.907176401204</v>
      </c>
      <c r="AK150">
        <f t="shared" si="86"/>
        <v>1800</v>
      </c>
      <c r="AL150">
        <f t="shared" si="87"/>
        <v>1499.1101009999998</v>
      </c>
      <c r="AM150">
        <f t="shared" si="88"/>
        <v>0.83283894499999989</v>
      </c>
      <c r="AN150">
        <f t="shared" si="89"/>
        <v>0.15339806620000002</v>
      </c>
      <c r="AO150">
        <v>31.8</v>
      </c>
      <c r="AP150">
        <v>0.5</v>
      </c>
      <c r="AQ150" t="s">
        <v>331</v>
      </c>
      <c r="AR150">
        <v>2</v>
      </c>
      <c r="AS150">
        <v>1690386735.5999999</v>
      </c>
      <c r="AT150">
        <v>525.11900000000003</v>
      </c>
      <c r="AU150">
        <v>800.05700000000002</v>
      </c>
      <c r="AV150">
        <v>23.8978</v>
      </c>
      <c r="AW150">
        <v>7.3437999999999999</v>
      </c>
      <c r="AX150">
        <v>525.21400000000006</v>
      </c>
      <c r="AY150">
        <v>23.618099999999998</v>
      </c>
      <c r="AZ150">
        <v>300.17200000000003</v>
      </c>
      <c r="BA150">
        <v>98.656999999999996</v>
      </c>
      <c r="BB150">
        <v>9.99665E-2</v>
      </c>
      <c r="BC150">
        <v>26.3447</v>
      </c>
      <c r="BD150">
        <v>26.988600000000002</v>
      </c>
      <c r="BE150">
        <v>27.966200000000001</v>
      </c>
      <c r="BF150">
        <v>0</v>
      </c>
      <c r="BG150">
        <v>0</v>
      </c>
      <c r="BH150">
        <v>10013.1</v>
      </c>
      <c r="BI150">
        <v>1075.7</v>
      </c>
      <c r="BJ150">
        <v>1.56985</v>
      </c>
      <c r="BK150">
        <v>-274.93799999999999</v>
      </c>
      <c r="BL150">
        <v>537.976</v>
      </c>
      <c r="BM150">
        <v>805.976</v>
      </c>
      <c r="BN150">
        <v>16.553999999999998</v>
      </c>
      <c r="BO150">
        <v>800.05700000000002</v>
      </c>
      <c r="BP150">
        <v>7.3437999999999999</v>
      </c>
      <c r="BQ150">
        <v>2.3576800000000002</v>
      </c>
      <c r="BR150">
        <v>0.72451699999999997</v>
      </c>
      <c r="BS150">
        <v>20.076000000000001</v>
      </c>
      <c r="BT150">
        <v>2.3085300000000002</v>
      </c>
      <c r="BU150">
        <v>1800</v>
      </c>
      <c r="BV150">
        <v>0.90997899999999998</v>
      </c>
      <c r="BW150">
        <v>3.39992E-2</v>
      </c>
      <c r="BX150">
        <v>2.20085E-2</v>
      </c>
      <c r="BY150">
        <v>3.4013000000000002E-2</v>
      </c>
      <c r="BZ150">
        <v>25</v>
      </c>
      <c r="CA150">
        <v>33528.199999999997</v>
      </c>
      <c r="CB150">
        <v>1690384821</v>
      </c>
      <c r="CC150" t="s">
        <v>332</v>
      </c>
      <c r="CD150">
        <v>1690384820</v>
      </c>
      <c r="CE150">
        <v>1690384821</v>
      </c>
      <c r="CF150">
        <v>5</v>
      </c>
      <c r="CG150">
        <v>-2.5000000000000001E-2</v>
      </c>
      <c r="CH150">
        <v>0.104</v>
      </c>
      <c r="CI150">
        <v>-0.28799999999999998</v>
      </c>
      <c r="CJ150">
        <v>0.28000000000000003</v>
      </c>
      <c r="CK150">
        <v>800</v>
      </c>
      <c r="CL150">
        <v>24</v>
      </c>
      <c r="CM150">
        <v>0.08</v>
      </c>
      <c r="CN150">
        <v>0.11</v>
      </c>
      <c r="CO150">
        <v>-271.48635000000002</v>
      </c>
      <c r="CP150">
        <v>-18.574514071294239</v>
      </c>
      <c r="CQ150">
        <v>1.7875863552567171</v>
      </c>
      <c r="CR150">
        <v>-1</v>
      </c>
      <c r="CS150">
        <v>16.27946</v>
      </c>
      <c r="CT150">
        <v>1.490240150093771</v>
      </c>
      <c r="CU150">
        <v>0.14368517982032819</v>
      </c>
      <c r="CV150">
        <v>-1</v>
      </c>
      <c r="CW150">
        <v>0</v>
      </c>
      <c r="CX150">
        <v>0</v>
      </c>
      <c r="CY150" t="s">
        <v>333</v>
      </c>
      <c r="CZ150">
        <v>2.3648799999999999</v>
      </c>
      <c r="DA150">
        <v>2.7137699999999998</v>
      </c>
      <c r="DB150">
        <v>0.109164</v>
      </c>
      <c r="DC150">
        <v>0.145592</v>
      </c>
      <c r="DD150">
        <v>0.112842</v>
      </c>
      <c r="DE150">
        <v>4.6278899999999998E-2</v>
      </c>
      <c r="DF150">
        <v>32548.3</v>
      </c>
      <c r="DG150">
        <v>27559.7</v>
      </c>
      <c r="DH150">
        <v>31190.6</v>
      </c>
      <c r="DI150">
        <v>28105.8</v>
      </c>
      <c r="DJ150">
        <v>37566.5</v>
      </c>
      <c r="DK150">
        <v>38120.5</v>
      </c>
      <c r="DL150">
        <v>44390.8</v>
      </c>
      <c r="DM150">
        <v>42600.6</v>
      </c>
      <c r="DN150">
        <v>1.4715800000000001</v>
      </c>
      <c r="DO150">
        <v>2.0428700000000002</v>
      </c>
      <c r="DP150">
        <v>0.109524</v>
      </c>
      <c r="DQ150">
        <v>0.18376899999999999</v>
      </c>
      <c r="DR150">
        <v>25.194800000000001</v>
      </c>
      <c r="DS150">
        <v>24.958100000000002</v>
      </c>
      <c r="DT150">
        <v>50.5</v>
      </c>
      <c r="DU150">
        <v>28.8</v>
      </c>
      <c r="DV150">
        <v>20.3476</v>
      </c>
      <c r="DW150">
        <v>61.342199999999998</v>
      </c>
      <c r="DX150">
        <v>36.902999999999999</v>
      </c>
      <c r="DY150">
        <v>1</v>
      </c>
      <c r="DZ150">
        <v>-0.11328000000000001</v>
      </c>
      <c r="EA150">
        <v>-0.17424300000000001</v>
      </c>
      <c r="EB150">
        <v>20.190000000000001</v>
      </c>
      <c r="EC150">
        <v>5.24125</v>
      </c>
      <c r="ED150">
        <v>12.039899999999999</v>
      </c>
      <c r="EE150">
        <v>5.0168999999999997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</v>
      </c>
      <c r="EL150">
        <v>1.8646199999999999</v>
      </c>
      <c r="EM150">
        <v>1.86921</v>
      </c>
      <c r="EN150">
        <v>1.86724</v>
      </c>
      <c r="EO150">
        <v>1.8633999999999999</v>
      </c>
      <c r="EP150">
        <v>1.86446</v>
      </c>
      <c r="EQ150">
        <v>1.8701700000000001</v>
      </c>
      <c r="ER150">
        <v>1.8693900000000001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-9.5000000000000001E-2</v>
      </c>
      <c r="FG150">
        <v>0.2797</v>
      </c>
      <c r="FH150">
        <v>0.26269369235785539</v>
      </c>
      <c r="FI150">
        <v>-6.1462078757559423E-4</v>
      </c>
      <c r="FJ150">
        <v>-1.8861989874597051E-7</v>
      </c>
      <c r="FK150">
        <v>1.1980462299894961E-10</v>
      </c>
      <c r="FL150">
        <v>0.27968571428570849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31.9</v>
      </c>
      <c r="FU150">
        <v>31.9</v>
      </c>
      <c r="FV150">
        <v>1.7773399999999999</v>
      </c>
      <c r="FW150">
        <v>2.5744600000000002</v>
      </c>
      <c r="FX150">
        <v>1.5490699999999999</v>
      </c>
      <c r="FY150">
        <v>2.3315399999999999</v>
      </c>
      <c r="FZ150">
        <v>1.50146</v>
      </c>
      <c r="GA150">
        <v>2.3791500000000001</v>
      </c>
      <c r="GB150">
        <v>33.535499999999999</v>
      </c>
      <c r="GC150">
        <v>23.991199999999999</v>
      </c>
      <c r="GD150">
        <v>19</v>
      </c>
      <c r="GE150">
        <v>279.91199999999998</v>
      </c>
      <c r="GF150">
        <v>585.89</v>
      </c>
      <c r="GG150">
        <v>24.785</v>
      </c>
      <c r="GH150">
        <v>25.982299999999999</v>
      </c>
      <c r="GI150">
        <v>30.0001</v>
      </c>
      <c r="GJ150">
        <v>26.122499999999999</v>
      </c>
      <c r="GK150">
        <v>26.1053</v>
      </c>
      <c r="GL150">
        <v>35.538699999999999</v>
      </c>
      <c r="GM150">
        <v>62.546999999999997</v>
      </c>
      <c r="GN150">
        <v>68.831500000000005</v>
      </c>
      <c r="GO150">
        <v>24.786899999999999</v>
      </c>
      <c r="GP150">
        <v>800</v>
      </c>
      <c r="GQ150">
        <v>7.1922800000000002</v>
      </c>
      <c r="GR150">
        <v>99.801400000000001</v>
      </c>
      <c r="GS150">
        <v>99.655699999999996</v>
      </c>
    </row>
    <row r="151" spans="1:201" x14ac:dyDescent="0.25">
      <c r="A151">
        <v>135</v>
      </c>
      <c r="B151">
        <v>1690386745.5999999</v>
      </c>
      <c r="C151">
        <v>1411</v>
      </c>
      <c r="D151" t="s">
        <v>603</v>
      </c>
      <c r="E151" t="s">
        <v>604</v>
      </c>
      <c r="F151" t="s">
        <v>330</v>
      </c>
      <c r="H151">
        <v>1690386745.5999999</v>
      </c>
      <c r="I151">
        <f t="shared" si="60"/>
        <v>1.6226113670836852E-3</v>
      </c>
      <c r="J151">
        <f t="shared" si="61"/>
        <v>1.6226113670836853</v>
      </c>
      <c r="K151">
        <f t="shared" si="62"/>
        <v>25.375348329311059</v>
      </c>
      <c r="L151">
        <f t="shared" si="63"/>
        <v>522.26199999999994</v>
      </c>
      <c r="M151">
        <f t="shared" si="64"/>
        <v>144.05452417436877</v>
      </c>
      <c r="N151">
        <f t="shared" si="65"/>
        <v>14.226918731010423</v>
      </c>
      <c r="O151">
        <f t="shared" si="66"/>
        <v>51.578935634823999</v>
      </c>
      <c r="P151">
        <f t="shared" si="67"/>
        <v>0.11234832927384315</v>
      </c>
      <c r="Q151">
        <f t="shared" si="68"/>
        <v>2.1567922107758655</v>
      </c>
      <c r="R151">
        <f t="shared" si="69"/>
        <v>0.10919545567403241</v>
      </c>
      <c r="S151">
        <f t="shared" si="70"/>
        <v>6.8523063051138255E-2</v>
      </c>
      <c r="T151">
        <f t="shared" si="71"/>
        <v>276.11670468599993</v>
      </c>
      <c r="U151">
        <f t="shared" si="72"/>
        <v>27.942678034956142</v>
      </c>
      <c r="V151">
        <f t="shared" si="73"/>
        <v>27.942678034956142</v>
      </c>
      <c r="W151">
        <f t="shared" si="74"/>
        <v>3.7821770339451257</v>
      </c>
      <c r="X151">
        <f t="shared" si="75"/>
        <v>68.547432997282314</v>
      </c>
      <c r="Y151">
        <f t="shared" si="76"/>
        <v>2.3602610700176001</v>
      </c>
      <c r="Z151">
        <f t="shared" si="77"/>
        <v>3.4432523098438663</v>
      </c>
      <c r="AA151">
        <f t="shared" si="78"/>
        <v>1.4219159639275256</v>
      </c>
      <c r="AB151">
        <f t="shared" si="79"/>
        <v>-71.557161288390517</v>
      </c>
      <c r="AC151">
        <f t="shared" si="80"/>
        <v>-186.06387203508888</v>
      </c>
      <c r="AD151">
        <f t="shared" si="81"/>
        <v>-18.644507473737143</v>
      </c>
      <c r="AE151">
        <f t="shared" si="82"/>
        <v>-0.14883611121658191</v>
      </c>
      <c r="AF151">
        <v>0</v>
      </c>
      <c r="AG151">
        <v>0</v>
      </c>
      <c r="AH151">
        <f t="shared" si="83"/>
        <v>1</v>
      </c>
      <c r="AI151">
        <f t="shared" si="84"/>
        <v>0</v>
      </c>
      <c r="AJ151">
        <f t="shared" si="85"/>
        <v>52236.478719275896</v>
      </c>
      <c r="AK151">
        <f t="shared" si="86"/>
        <v>1800</v>
      </c>
      <c r="AL151">
        <f t="shared" si="87"/>
        <v>1499.1082775999998</v>
      </c>
      <c r="AM151">
        <f t="shared" si="88"/>
        <v>0.83283793199999989</v>
      </c>
      <c r="AN151">
        <f t="shared" si="89"/>
        <v>0.15339816926999997</v>
      </c>
      <c r="AO151">
        <v>31.8</v>
      </c>
      <c r="AP151">
        <v>0.5</v>
      </c>
      <c r="AQ151" t="s">
        <v>331</v>
      </c>
      <c r="AR151">
        <v>2</v>
      </c>
      <c r="AS151">
        <v>1690386745.5999999</v>
      </c>
      <c r="AT151">
        <v>522.26199999999994</v>
      </c>
      <c r="AU151">
        <v>800.09100000000001</v>
      </c>
      <c r="AV151">
        <v>23.898800000000001</v>
      </c>
      <c r="AW151">
        <v>7.1181700000000001</v>
      </c>
      <c r="AX151">
        <v>522.35500000000002</v>
      </c>
      <c r="AY151">
        <v>23.6191</v>
      </c>
      <c r="AZ151">
        <v>300.14299999999997</v>
      </c>
      <c r="BA151">
        <v>98.660600000000002</v>
      </c>
      <c r="BB151">
        <v>0.100052</v>
      </c>
      <c r="BC151">
        <v>26.342500000000001</v>
      </c>
      <c r="BD151">
        <v>26.98</v>
      </c>
      <c r="BE151">
        <v>27.968599999999999</v>
      </c>
      <c r="BF151">
        <v>0</v>
      </c>
      <c r="BG151">
        <v>0</v>
      </c>
      <c r="BH151">
        <v>9990.6200000000008</v>
      </c>
      <c r="BI151">
        <v>1075.8900000000001</v>
      </c>
      <c r="BJ151">
        <v>1.56985</v>
      </c>
      <c r="BK151">
        <v>-277.82799999999997</v>
      </c>
      <c r="BL151">
        <v>535.04899999999998</v>
      </c>
      <c r="BM151">
        <v>805.827</v>
      </c>
      <c r="BN151">
        <v>16.7806</v>
      </c>
      <c r="BO151">
        <v>800.09100000000001</v>
      </c>
      <c r="BP151">
        <v>7.1181700000000001</v>
      </c>
      <c r="BQ151">
        <v>2.3578700000000001</v>
      </c>
      <c r="BR151">
        <v>0.70228199999999996</v>
      </c>
      <c r="BS151">
        <v>20.077300000000001</v>
      </c>
      <c r="BT151">
        <v>1.8718999999999999</v>
      </c>
      <c r="BU151">
        <v>1800</v>
      </c>
      <c r="BV151">
        <v>0.90997099999999997</v>
      </c>
      <c r="BW151">
        <v>3.40086E-2</v>
      </c>
      <c r="BX151">
        <v>2.2008099999999999E-2</v>
      </c>
      <c r="BY151">
        <v>3.4012300000000002E-2</v>
      </c>
      <c r="BZ151">
        <v>25</v>
      </c>
      <c r="CA151">
        <v>33528.1</v>
      </c>
      <c r="CB151">
        <v>1690384821</v>
      </c>
      <c r="CC151" t="s">
        <v>332</v>
      </c>
      <c r="CD151">
        <v>1690384820</v>
      </c>
      <c r="CE151">
        <v>1690384821</v>
      </c>
      <c r="CF151">
        <v>5</v>
      </c>
      <c r="CG151">
        <v>-2.5000000000000001E-2</v>
      </c>
      <c r="CH151">
        <v>0.104</v>
      </c>
      <c r="CI151">
        <v>-0.28799999999999998</v>
      </c>
      <c r="CJ151">
        <v>0.28000000000000003</v>
      </c>
      <c r="CK151">
        <v>800</v>
      </c>
      <c r="CL151">
        <v>24</v>
      </c>
      <c r="CM151">
        <v>0.08</v>
      </c>
      <c r="CN151">
        <v>0.11</v>
      </c>
      <c r="CO151">
        <v>-274.54199999999997</v>
      </c>
      <c r="CP151">
        <v>-18.099444652907639</v>
      </c>
      <c r="CQ151">
        <v>1.741746479829944</v>
      </c>
      <c r="CR151">
        <v>-1</v>
      </c>
      <c r="CS151">
        <v>16.523812499999998</v>
      </c>
      <c r="CT151">
        <v>1.4491485928705501</v>
      </c>
      <c r="CU151">
        <v>0.13955026368212251</v>
      </c>
      <c r="CV151">
        <v>-1</v>
      </c>
      <c r="CW151">
        <v>0</v>
      </c>
      <c r="CX151">
        <v>0</v>
      </c>
      <c r="CY151" t="s">
        <v>333</v>
      </c>
      <c r="CZ151">
        <v>2.3647999999999998</v>
      </c>
      <c r="DA151">
        <v>2.7138300000000002</v>
      </c>
      <c r="DB151">
        <v>0.108738</v>
      </c>
      <c r="DC151">
        <v>0.145597</v>
      </c>
      <c r="DD151">
        <v>0.11285000000000001</v>
      </c>
      <c r="DE151">
        <v>4.5140600000000003E-2</v>
      </c>
      <c r="DF151">
        <v>32563.9</v>
      </c>
      <c r="DG151">
        <v>27559.5</v>
      </c>
      <c r="DH151">
        <v>31190.6</v>
      </c>
      <c r="DI151">
        <v>28105.7</v>
      </c>
      <c r="DJ151">
        <v>37566.199999999997</v>
      </c>
      <c r="DK151">
        <v>38166.199999999997</v>
      </c>
      <c r="DL151">
        <v>44390.9</v>
      </c>
      <c r="DM151">
        <v>42600.7</v>
      </c>
      <c r="DN151">
        <v>1.4713700000000001</v>
      </c>
      <c r="DO151">
        <v>2.04217</v>
      </c>
      <c r="DP151">
        <v>0.108778</v>
      </c>
      <c r="DQ151">
        <v>0.18365699999999999</v>
      </c>
      <c r="DR151">
        <v>25.198399999999999</v>
      </c>
      <c r="DS151">
        <v>24.962499999999999</v>
      </c>
      <c r="DT151">
        <v>50.1</v>
      </c>
      <c r="DU151">
        <v>28.8</v>
      </c>
      <c r="DV151">
        <v>20.186299999999999</v>
      </c>
      <c r="DW151">
        <v>61.002200000000002</v>
      </c>
      <c r="DX151">
        <v>36.586500000000001</v>
      </c>
      <c r="DY151">
        <v>1</v>
      </c>
      <c r="DZ151">
        <v>-0.113298</v>
      </c>
      <c r="EA151">
        <v>-0.21702299999999999</v>
      </c>
      <c r="EB151">
        <v>20.190000000000001</v>
      </c>
      <c r="EC151">
        <v>5.2409499999999998</v>
      </c>
      <c r="ED151">
        <v>12.039899999999999</v>
      </c>
      <c r="EE151">
        <v>5.0168999999999997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</v>
      </c>
      <c r="EL151">
        <v>1.8646199999999999</v>
      </c>
      <c r="EM151">
        <v>1.8692</v>
      </c>
      <c r="EN151">
        <v>1.8672299999999999</v>
      </c>
      <c r="EO151">
        <v>1.86338</v>
      </c>
      <c r="EP151">
        <v>1.8644499999999999</v>
      </c>
      <c r="EQ151">
        <v>1.8701700000000001</v>
      </c>
      <c r="ER151">
        <v>1.86938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-9.2999999999999999E-2</v>
      </c>
      <c r="FG151">
        <v>0.2797</v>
      </c>
      <c r="FH151">
        <v>0.26269369235785539</v>
      </c>
      <c r="FI151">
        <v>-6.1462078757559423E-4</v>
      </c>
      <c r="FJ151">
        <v>-1.8861989874597051E-7</v>
      </c>
      <c r="FK151">
        <v>1.1980462299894961E-10</v>
      </c>
      <c r="FL151">
        <v>0.27968571428570849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32.1</v>
      </c>
      <c r="FU151">
        <v>32.1</v>
      </c>
      <c r="FV151">
        <v>1.7773399999999999</v>
      </c>
      <c r="FW151">
        <v>2.5878899999999998</v>
      </c>
      <c r="FX151">
        <v>1.5490699999999999</v>
      </c>
      <c r="FY151">
        <v>2.3315399999999999</v>
      </c>
      <c r="FZ151">
        <v>1.50146</v>
      </c>
      <c r="GA151">
        <v>2.2961399999999998</v>
      </c>
      <c r="GB151">
        <v>33.535499999999999</v>
      </c>
      <c r="GC151">
        <v>23.973700000000001</v>
      </c>
      <c r="GD151">
        <v>19</v>
      </c>
      <c r="GE151">
        <v>279.822</v>
      </c>
      <c r="GF151">
        <v>585.30200000000002</v>
      </c>
      <c r="GG151">
        <v>24.8004</v>
      </c>
      <c r="GH151">
        <v>25.9801</v>
      </c>
      <c r="GI151">
        <v>30.0001</v>
      </c>
      <c r="GJ151">
        <v>26.121400000000001</v>
      </c>
      <c r="GK151">
        <v>26.104700000000001</v>
      </c>
      <c r="GL151">
        <v>35.528100000000002</v>
      </c>
      <c r="GM151">
        <v>63.398000000000003</v>
      </c>
      <c r="GN151">
        <v>68.053200000000004</v>
      </c>
      <c r="GO151">
        <v>24.81</v>
      </c>
      <c r="GP151">
        <v>800</v>
      </c>
      <c r="GQ151">
        <v>6.9681100000000002</v>
      </c>
      <c r="GR151">
        <v>99.801599999999993</v>
      </c>
      <c r="GS151">
        <v>99.655799999999999</v>
      </c>
    </row>
    <row r="152" spans="1:201" x14ac:dyDescent="0.25">
      <c r="A152">
        <v>136</v>
      </c>
      <c r="B152">
        <v>1690386755.5999999</v>
      </c>
      <c r="C152">
        <v>1421</v>
      </c>
      <c r="D152" t="s">
        <v>605</v>
      </c>
      <c r="E152" t="s">
        <v>606</v>
      </c>
      <c r="F152" t="s">
        <v>330</v>
      </c>
      <c r="H152">
        <v>1690386755.5999999</v>
      </c>
      <c r="I152">
        <f t="shared" si="60"/>
        <v>1.6437797573000152E-3</v>
      </c>
      <c r="J152">
        <f t="shared" si="61"/>
        <v>1.6437797573000152</v>
      </c>
      <c r="K152">
        <f t="shared" si="62"/>
        <v>25.652487936689038</v>
      </c>
      <c r="L152">
        <f t="shared" si="63"/>
        <v>519.36099999999999</v>
      </c>
      <c r="M152">
        <f t="shared" si="64"/>
        <v>142.34154415768717</v>
      </c>
      <c r="N152">
        <f t="shared" si="65"/>
        <v>14.057250394610389</v>
      </c>
      <c r="O152">
        <f t="shared" si="66"/>
        <v>51.290631033954298</v>
      </c>
      <c r="P152">
        <f t="shared" si="67"/>
        <v>0.11396178165092431</v>
      </c>
      <c r="Q152">
        <f t="shared" si="68"/>
        <v>2.1563027845062361</v>
      </c>
      <c r="R152">
        <f t="shared" si="69"/>
        <v>0.11071839366238979</v>
      </c>
      <c r="S152">
        <f t="shared" si="70"/>
        <v>6.9482712773755992E-2</v>
      </c>
      <c r="T152">
        <f t="shared" si="71"/>
        <v>276.11819683546025</v>
      </c>
      <c r="U152">
        <f t="shared" si="72"/>
        <v>27.939610366840277</v>
      </c>
      <c r="V152">
        <f t="shared" si="73"/>
        <v>27.939610366840277</v>
      </c>
      <c r="W152">
        <f t="shared" si="74"/>
        <v>3.7815004145668074</v>
      </c>
      <c r="X152">
        <f t="shared" si="75"/>
        <v>68.55018413591759</v>
      </c>
      <c r="Y152">
        <f t="shared" si="76"/>
        <v>2.3608991714064298</v>
      </c>
      <c r="Z152">
        <f t="shared" si="77"/>
        <v>3.4440449740081909</v>
      </c>
      <c r="AA152">
        <f t="shared" si="78"/>
        <v>1.4206012431603776</v>
      </c>
      <c r="AB152">
        <f t="shared" si="79"/>
        <v>-72.490687296930673</v>
      </c>
      <c r="AC152">
        <f t="shared" si="80"/>
        <v>-185.21165424975393</v>
      </c>
      <c r="AD152">
        <f t="shared" si="81"/>
        <v>-18.563399615585624</v>
      </c>
      <c r="AE152">
        <f t="shared" si="82"/>
        <v>-0.1475443268099923</v>
      </c>
      <c r="AF152">
        <v>0</v>
      </c>
      <c r="AG152">
        <v>0</v>
      </c>
      <c r="AH152">
        <f t="shared" si="83"/>
        <v>1</v>
      </c>
      <c r="AI152">
        <f t="shared" si="84"/>
        <v>0</v>
      </c>
      <c r="AJ152">
        <f t="shared" si="85"/>
        <v>52215.237953816315</v>
      </c>
      <c r="AK152">
        <f t="shared" si="86"/>
        <v>1800.01</v>
      </c>
      <c r="AL152">
        <f t="shared" si="87"/>
        <v>1499.11743578393</v>
      </c>
      <c r="AM152">
        <f t="shared" si="88"/>
        <v>0.83283839299999995</v>
      </c>
      <c r="AN152">
        <f t="shared" si="89"/>
        <v>0.15339814602999999</v>
      </c>
      <c r="AO152">
        <v>31.8</v>
      </c>
      <c r="AP152">
        <v>0.5</v>
      </c>
      <c r="AQ152" t="s">
        <v>331</v>
      </c>
      <c r="AR152">
        <v>2</v>
      </c>
      <c r="AS152">
        <v>1690386755.5999999</v>
      </c>
      <c r="AT152">
        <v>519.36099999999999</v>
      </c>
      <c r="AU152">
        <v>800.23500000000001</v>
      </c>
      <c r="AV152">
        <v>23.906099999999999</v>
      </c>
      <c r="AW152">
        <v>6.9041300000000003</v>
      </c>
      <c r="AX152">
        <v>519.452</v>
      </c>
      <c r="AY152">
        <v>23.6264</v>
      </c>
      <c r="AZ152">
        <v>300.09800000000001</v>
      </c>
      <c r="BA152">
        <v>98.657200000000003</v>
      </c>
      <c r="BB152">
        <v>9.99863E-2</v>
      </c>
      <c r="BC152">
        <v>26.346399999999999</v>
      </c>
      <c r="BD152">
        <v>26.994399999999999</v>
      </c>
      <c r="BE152">
        <v>27.956700000000001</v>
      </c>
      <c r="BF152">
        <v>0</v>
      </c>
      <c r="BG152">
        <v>0</v>
      </c>
      <c r="BH152">
        <v>9986.8799999999992</v>
      </c>
      <c r="BI152">
        <v>1075.8699999999999</v>
      </c>
      <c r="BJ152">
        <v>1.56985</v>
      </c>
      <c r="BK152">
        <v>-280.87400000000002</v>
      </c>
      <c r="BL152">
        <v>532.08100000000002</v>
      </c>
      <c r="BM152">
        <v>805.79899999999998</v>
      </c>
      <c r="BN152">
        <v>17.001899999999999</v>
      </c>
      <c r="BO152">
        <v>800.23500000000001</v>
      </c>
      <c r="BP152">
        <v>6.9041300000000003</v>
      </c>
      <c r="BQ152">
        <v>2.3585099999999999</v>
      </c>
      <c r="BR152">
        <v>0.68114300000000005</v>
      </c>
      <c r="BS152">
        <v>20.081700000000001</v>
      </c>
      <c r="BT152">
        <v>1.4452799999999999</v>
      </c>
      <c r="BU152">
        <v>1800.01</v>
      </c>
      <c r="BV152">
        <v>0.90997399999999995</v>
      </c>
      <c r="BW152">
        <v>3.4007599999999999E-2</v>
      </c>
      <c r="BX152">
        <v>2.20074E-2</v>
      </c>
      <c r="BY152">
        <v>3.4011300000000001E-2</v>
      </c>
      <c r="BZ152">
        <v>25</v>
      </c>
      <c r="CA152">
        <v>33528.300000000003</v>
      </c>
      <c r="CB152">
        <v>1690384821</v>
      </c>
      <c r="CC152" t="s">
        <v>332</v>
      </c>
      <c r="CD152">
        <v>1690384820</v>
      </c>
      <c r="CE152">
        <v>1690384821</v>
      </c>
      <c r="CF152">
        <v>5</v>
      </c>
      <c r="CG152">
        <v>-2.5000000000000001E-2</v>
      </c>
      <c r="CH152">
        <v>0.104</v>
      </c>
      <c r="CI152">
        <v>-0.28799999999999998</v>
      </c>
      <c r="CJ152">
        <v>0.28000000000000003</v>
      </c>
      <c r="CK152">
        <v>800</v>
      </c>
      <c r="CL152">
        <v>24</v>
      </c>
      <c r="CM152">
        <v>0.08</v>
      </c>
      <c r="CN152">
        <v>0.11</v>
      </c>
      <c r="CO152">
        <v>-277.56487804878049</v>
      </c>
      <c r="CP152">
        <v>-17.32875261324056</v>
      </c>
      <c r="CQ152">
        <v>1.7094664721117641</v>
      </c>
      <c r="CR152">
        <v>-1</v>
      </c>
      <c r="CS152">
        <v>16.761504878048779</v>
      </c>
      <c r="CT152">
        <v>1.3697101045296229</v>
      </c>
      <c r="CU152">
        <v>0.1351545690577281</v>
      </c>
      <c r="CV152">
        <v>-1</v>
      </c>
      <c r="CW152">
        <v>0</v>
      </c>
      <c r="CX152">
        <v>0</v>
      </c>
      <c r="CY152" t="s">
        <v>333</v>
      </c>
      <c r="CZ152">
        <v>2.36469</v>
      </c>
      <c r="DA152">
        <v>2.7137600000000002</v>
      </c>
      <c r="DB152">
        <v>0.108297</v>
      </c>
      <c r="DC152">
        <v>0.14560600000000001</v>
      </c>
      <c r="DD152">
        <v>0.112871</v>
      </c>
      <c r="DE152">
        <v>4.4047500000000003E-2</v>
      </c>
      <c r="DF152">
        <v>32580.400000000001</v>
      </c>
      <c r="DG152">
        <v>27559.4</v>
      </c>
      <c r="DH152">
        <v>31191</v>
      </c>
      <c r="DI152">
        <v>28105.9</v>
      </c>
      <c r="DJ152">
        <v>37565.699999999997</v>
      </c>
      <c r="DK152">
        <v>38210.300000000003</v>
      </c>
      <c r="DL152">
        <v>44391.5</v>
      </c>
      <c r="DM152">
        <v>42601</v>
      </c>
      <c r="DN152">
        <v>1.4721299999999999</v>
      </c>
      <c r="DO152">
        <v>2.0419499999999999</v>
      </c>
      <c r="DP152">
        <v>0.109337</v>
      </c>
      <c r="DQ152">
        <v>0.18257599999999999</v>
      </c>
      <c r="DR152">
        <v>25.203700000000001</v>
      </c>
      <c r="DS152">
        <v>24.9682</v>
      </c>
      <c r="DT152">
        <v>49.8</v>
      </c>
      <c r="DU152">
        <v>28.8</v>
      </c>
      <c r="DV152">
        <v>20.0672</v>
      </c>
      <c r="DW152">
        <v>61.352200000000003</v>
      </c>
      <c r="DX152">
        <v>36.822899999999997</v>
      </c>
      <c r="DY152">
        <v>1</v>
      </c>
      <c r="DZ152">
        <v>-0.113277</v>
      </c>
      <c r="EA152">
        <v>-0.21360599999999999</v>
      </c>
      <c r="EB152">
        <v>20.190000000000001</v>
      </c>
      <c r="EC152">
        <v>5.2411000000000003</v>
      </c>
      <c r="ED152">
        <v>12.039899999999999</v>
      </c>
      <c r="EE152">
        <v>5.0168999999999997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1.8689100000000001</v>
      </c>
      <c r="EL152">
        <v>1.8646199999999999</v>
      </c>
      <c r="EM152">
        <v>1.8692</v>
      </c>
      <c r="EN152">
        <v>1.8672299999999999</v>
      </c>
      <c r="EO152">
        <v>1.86338</v>
      </c>
      <c r="EP152">
        <v>1.8644700000000001</v>
      </c>
      <c r="EQ152">
        <v>1.8701700000000001</v>
      </c>
      <c r="ER152">
        <v>1.8694299999999999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-9.0999999999999998E-2</v>
      </c>
      <c r="FG152">
        <v>0.2797</v>
      </c>
      <c r="FH152">
        <v>0.26269369235785539</v>
      </c>
      <c r="FI152">
        <v>-6.1462078757559423E-4</v>
      </c>
      <c r="FJ152">
        <v>-1.8861989874597051E-7</v>
      </c>
      <c r="FK152">
        <v>1.1980462299894961E-10</v>
      </c>
      <c r="FL152">
        <v>0.27968571428570849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32.299999999999997</v>
      </c>
      <c r="FU152">
        <v>32.200000000000003</v>
      </c>
      <c r="FV152">
        <v>1.7761199999999999</v>
      </c>
      <c r="FW152">
        <v>2.5842299999999998</v>
      </c>
      <c r="FX152">
        <v>1.5490699999999999</v>
      </c>
      <c r="FY152">
        <v>2.3315399999999999</v>
      </c>
      <c r="FZ152">
        <v>1.50146</v>
      </c>
      <c r="GA152">
        <v>2.36694</v>
      </c>
      <c r="GB152">
        <v>33.535499999999999</v>
      </c>
      <c r="GC152">
        <v>23.973700000000001</v>
      </c>
      <c r="GD152">
        <v>19</v>
      </c>
      <c r="GE152">
        <v>280.13</v>
      </c>
      <c r="GF152">
        <v>585.09100000000001</v>
      </c>
      <c r="GG152">
        <v>24.827200000000001</v>
      </c>
      <c r="GH152">
        <v>25.9801</v>
      </c>
      <c r="GI152">
        <v>30.0002</v>
      </c>
      <c r="GJ152">
        <v>26.119199999999999</v>
      </c>
      <c r="GK152">
        <v>26.102499999999999</v>
      </c>
      <c r="GL152">
        <v>35.518500000000003</v>
      </c>
      <c r="GM152">
        <v>64.007800000000003</v>
      </c>
      <c r="GN152">
        <v>67.235399999999998</v>
      </c>
      <c r="GO152">
        <v>24.8292</v>
      </c>
      <c r="GP152">
        <v>800</v>
      </c>
      <c r="GQ152">
        <v>6.7305999999999999</v>
      </c>
      <c r="GR152">
        <v>99.802899999999994</v>
      </c>
      <c r="GS152">
        <v>99.656599999999997</v>
      </c>
    </row>
    <row r="153" spans="1:201" x14ac:dyDescent="0.25">
      <c r="A153">
        <v>137</v>
      </c>
      <c r="B153">
        <v>1690386765.5999999</v>
      </c>
      <c r="C153">
        <v>1431</v>
      </c>
      <c r="D153" t="s">
        <v>607</v>
      </c>
      <c r="E153" t="s">
        <v>608</v>
      </c>
      <c r="F153" t="s">
        <v>330</v>
      </c>
      <c r="H153">
        <v>1690386765.5999999</v>
      </c>
      <c r="I153">
        <f t="shared" si="60"/>
        <v>1.6682514342056382E-3</v>
      </c>
      <c r="J153">
        <f t="shared" si="61"/>
        <v>1.6682514342056383</v>
      </c>
      <c r="K153">
        <f t="shared" si="62"/>
        <v>25.909852098017428</v>
      </c>
      <c r="L153">
        <f t="shared" si="63"/>
        <v>516.58000000000004</v>
      </c>
      <c r="M153">
        <f t="shared" si="64"/>
        <v>141.96683534447078</v>
      </c>
      <c r="N153">
        <f t="shared" si="65"/>
        <v>14.020395648790739</v>
      </c>
      <c r="O153">
        <f t="shared" si="66"/>
        <v>51.016534718680006</v>
      </c>
      <c r="P153">
        <f t="shared" si="67"/>
        <v>0.11588704213865184</v>
      </c>
      <c r="Q153">
        <f t="shared" si="68"/>
        <v>2.1602786201416455</v>
      </c>
      <c r="R153">
        <f t="shared" si="69"/>
        <v>0.11254085441371069</v>
      </c>
      <c r="S153">
        <f t="shared" si="70"/>
        <v>7.063062765993583E-2</v>
      </c>
      <c r="T153">
        <f t="shared" si="71"/>
        <v>276.11658354600002</v>
      </c>
      <c r="U153">
        <f t="shared" si="72"/>
        <v>27.931795909999494</v>
      </c>
      <c r="V153">
        <f t="shared" si="73"/>
        <v>27.931795909999494</v>
      </c>
      <c r="W153">
        <f t="shared" si="74"/>
        <v>3.7797772981745901</v>
      </c>
      <c r="X153">
        <f t="shared" si="75"/>
        <v>68.549897653670897</v>
      </c>
      <c r="Y153">
        <f t="shared" si="76"/>
        <v>2.3613491651584</v>
      </c>
      <c r="Z153">
        <f t="shared" si="77"/>
        <v>3.4447158142940681</v>
      </c>
      <c r="AA153">
        <f t="shared" si="78"/>
        <v>1.4184281330161901</v>
      </c>
      <c r="AB153">
        <f t="shared" si="79"/>
        <v>-73.569888248468644</v>
      </c>
      <c r="AC153">
        <f t="shared" si="80"/>
        <v>-184.25870676550841</v>
      </c>
      <c r="AD153">
        <f t="shared" si="81"/>
        <v>-18.433481063874204</v>
      </c>
      <c r="AE153">
        <f t="shared" si="82"/>
        <v>-0.14549253185123234</v>
      </c>
      <c r="AF153">
        <v>0</v>
      </c>
      <c r="AG153">
        <v>0</v>
      </c>
      <c r="AH153">
        <f t="shared" si="83"/>
        <v>1</v>
      </c>
      <c r="AI153">
        <f t="shared" si="84"/>
        <v>0</v>
      </c>
      <c r="AJ153">
        <f t="shared" si="85"/>
        <v>52381.252274226114</v>
      </c>
      <c r="AK153">
        <f t="shared" si="86"/>
        <v>1800</v>
      </c>
      <c r="AL153">
        <f t="shared" si="87"/>
        <v>1499.1091056</v>
      </c>
      <c r="AM153">
        <f t="shared" si="88"/>
        <v>0.83283839199999998</v>
      </c>
      <c r="AN153">
        <f t="shared" si="89"/>
        <v>0.15339810197000001</v>
      </c>
      <c r="AO153">
        <v>31.8</v>
      </c>
      <c r="AP153">
        <v>0.5</v>
      </c>
      <c r="AQ153" t="s">
        <v>331</v>
      </c>
      <c r="AR153">
        <v>2</v>
      </c>
      <c r="AS153">
        <v>1690386765.5999999</v>
      </c>
      <c r="AT153">
        <v>516.58000000000004</v>
      </c>
      <c r="AU153">
        <v>800.24400000000003</v>
      </c>
      <c r="AV153">
        <v>23.910399999999999</v>
      </c>
      <c r="AW153">
        <v>6.6567699999999999</v>
      </c>
      <c r="AX153">
        <v>516.66899999999998</v>
      </c>
      <c r="AY153">
        <v>23.630700000000001</v>
      </c>
      <c r="AZ153">
        <v>300.12200000000001</v>
      </c>
      <c r="BA153">
        <v>98.658199999999994</v>
      </c>
      <c r="BB153">
        <v>0.100046</v>
      </c>
      <c r="BC153">
        <v>26.349699999999999</v>
      </c>
      <c r="BD153">
        <v>26.99</v>
      </c>
      <c r="BE153">
        <v>27.959599999999998</v>
      </c>
      <c r="BF153">
        <v>0</v>
      </c>
      <c r="BG153">
        <v>0</v>
      </c>
      <c r="BH153">
        <v>10020</v>
      </c>
      <c r="BI153">
        <v>1075.8800000000001</v>
      </c>
      <c r="BJ153">
        <v>1.2951299999999999</v>
      </c>
      <c r="BK153">
        <v>-283.66399999999999</v>
      </c>
      <c r="BL153">
        <v>529.23400000000004</v>
      </c>
      <c r="BM153">
        <v>805.60599999999999</v>
      </c>
      <c r="BN153">
        <v>17.253599999999999</v>
      </c>
      <c r="BO153">
        <v>800.24400000000003</v>
      </c>
      <c r="BP153">
        <v>6.6567699999999999</v>
      </c>
      <c r="BQ153">
        <v>2.3589600000000002</v>
      </c>
      <c r="BR153">
        <v>0.65674500000000002</v>
      </c>
      <c r="BS153">
        <v>20.084800000000001</v>
      </c>
      <c r="BT153">
        <v>0.93810300000000002</v>
      </c>
      <c r="BU153">
        <v>1800</v>
      </c>
      <c r="BV153">
        <v>0.90997499999999998</v>
      </c>
      <c r="BW153">
        <v>3.4007200000000001E-2</v>
      </c>
      <c r="BX153">
        <v>2.2007100000000002E-2</v>
      </c>
      <c r="BY153">
        <v>3.4010899999999997E-2</v>
      </c>
      <c r="BZ153">
        <v>25</v>
      </c>
      <c r="CA153">
        <v>33528.1</v>
      </c>
      <c r="CB153">
        <v>1690384821</v>
      </c>
      <c r="CC153" t="s">
        <v>332</v>
      </c>
      <c r="CD153">
        <v>1690384820</v>
      </c>
      <c r="CE153">
        <v>1690384821</v>
      </c>
      <c r="CF153">
        <v>5</v>
      </c>
      <c r="CG153">
        <v>-2.5000000000000001E-2</v>
      </c>
      <c r="CH153">
        <v>0.104</v>
      </c>
      <c r="CI153">
        <v>-0.28799999999999998</v>
      </c>
      <c r="CJ153">
        <v>0.28000000000000003</v>
      </c>
      <c r="CK153">
        <v>800</v>
      </c>
      <c r="CL153">
        <v>24</v>
      </c>
      <c r="CM153">
        <v>0.08</v>
      </c>
      <c r="CN153">
        <v>0.11</v>
      </c>
      <c r="CO153">
        <v>-280.44268292682932</v>
      </c>
      <c r="CP153">
        <v>-17.392264808362398</v>
      </c>
      <c r="CQ153">
        <v>1.716667410136737</v>
      </c>
      <c r="CR153">
        <v>-1</v>
      </c>
      <c r="CS153">
        <v>16.989946341463408</v>
      </c>
      <c r="CT153">
        <v>1.393703832752639</v>
      </c>
      <c r="CU153">
        <v>0.1375095333237219</v>
      </c>
      <c r="CV153">
        <v>-1</v>
      </c>
      <c r="CW153">
        <v>0</v>
      </c>
      <c r="CX153">
        <v>0</v>
      </c>
      <c r="CY153" t="s">
        <v>333</v>
      </c>
      <c r="CZ153">
        <v>2.36477</v>
      </c>
      <c r="DA153">
        <v>2.7138599999999999</v>
      </c>
      <c r="DB153">
        <v>0.107877</v>
      </c>
      <c r="DC153">
        <v>0.14560400000000001</v>
      </c>
      <c r="DD153">
        <v>0.112887</v>
      </c>
      <c r="DE153">
        <v>4.2772900000000003E-2</v>
      </c>
      <c r="DF153">
        <v>32595.8</v>
      </c>
      <c r="DG153">
        <v>27559.3</v>
      </c>
      <c r="DH153">
        <v>31191.1</v>
      </c>
      <c r="DI153">
        <v>28105.8</v>
      </c>
      <c r="DJ153">
        <v>37565.1</v>
      </c>
      <c r="DK153">
        <v>38261.199999999997</v>
      </c>
      <c r="DL153">
        <v>44391.7</v>
      </c>
      <c r="DM153">
        <v>42600.800000000003</v>
      </c>
      <c r="DN153">
        <v>1.47177</v>
      </c>
      <c r="DO153">
        <v>2.0413299999999999</v>
      </c>
      <c r="DP153">
        <v>0.108741</v>
      </c>
      <c r="DQ153">
        <v>0.18231600000000001</v>
      </c>
      <c r="DR153">
        <v>25.209</v>
      </c>
      <c r="DS153">
        <v>24.9754</v>
      </c>
      <c r="DT153">
        <v>49.4</v>
      </c>
      <c r="DU153">
        <v>28.8</v>
      </c>
      <c r="DV153">
        <v>19.9054</v>
      </c>
      <c r="DW153">
        <v>60.652200000000001</v>
      </c>
      <c r="DX153">
        <v>37.415900000000001</v>
      </c>
      <c r="DY153">
        <v>1</v>
      </c>
      <c r="DZ153">
        <v>-0.11325200000000001</v>
      </c>
      <c r="EA153">
        <v>-0.21046000000000001</v>
      </c>
      <c r="EB153">
        <v>20.190100000000001</v>
      </c>
      <c r="EC153">
        <v>5.2411000000000003</v>
      </c>
      <c r="ED153">
        <v>12.039899999999999</v>
      </c>
      <c r="EE153">
        <v>5.0167999999999999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</v>
      </c>
      <c r="EL153">
        <v>1.8646199999999999</v>
      </c>
      <c r="EM153">
        <v>1.8692</v>
      </c>
      <c r="EN153">
        <v>1.8672299999999999</v>
      </c>
      <c r="EO153">
        <v>1.86337</v>
      </c>
      <c r="EP153">
        <v>1.8644499999999999</v>
      </c>
      <c r="EQ153">
        <v>1.87018</v>
      </c>
      <c r="ER153">
        <v>1.8693900000000001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-8.8999999999999996E-2</v>
      </c>
      <c r="FG153">
        <v>0.2797</v>
      </c>
      <c r="FH153">
        <v>0.26269369235785539</v>
      </c>
      <c r="FI153">
        <v>-6.1462078757559423E-4</v>
      </c>
      <c r="FJ153">
        <v>-1.8861989874597051E-7</v>
      </c>
      <c r="FK153">
        <v>1.1980462299894961E-10</v>
      </c>
      <c r="FL153">
        <v>0.27968571428570849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32.4</v>
      </c>
      <c r="FU153">
        <v>32.4</v>
      </c>
      <c r="FV153">
        <v>1.7761199999999999</v>
      </c>
      <c r="FW153">
        <v>2.5842299999999998</v>
      </c>
      <c r="FX153">
        <v>1.5490699999999999</v>
      </c>
      <c r="FY153">
        <v>2.3315399999999999</v>
      </c>
      <c r="FZ153">
        <v>1.50146</v>
      </c>
      <c r="GA153">
        <v>2.323</v>
      </c>
      <c r="GB153">
        <v>33.535499999999999</v>
      </c>
      <c r="GC153">
        <v>23.973700000000001</v>
      </c>
      <c r="GD153">
        <v>19</v>
      </c>
      <c r="GE153">
        <v>279.97199999999998</v>
      </c>
      <c r="GF153">
        <v>584.54999999999995</v>
      </c>
      <c r="GG153">
        <v>24.840299999999999</v>
      </c>
      <c r="GH153">
        <v>25.978400000000001</v>
      </c>
      <c r="GI153">
        <v>30.0001</v>
      </c>
      <c r="GJ153">
        <v>26.117000000000001</v>
      </c>
      <c r="GK153">
        <v>26.100300000000001</v>
      </c>
      <c r="GL153">
        <v>35.5107</v>
      </c>
      <c r="GM153">
        <v>64.917199999999994</v>
      </c>
      <c r="GN153">
        <v>66.442899999999995</v>
      </c>
      <c r="GO153">
        <v>24.843900000000001</v>
      </c>
      <c r="GP153">
        <v>800</v>
      </c>
      <c r="GQ153">
        <v>6.5014799999999999</v>
      </c>
      <c r="GR153">
        <v>99.803200000000004</v>
      </c>
      <c r="GS153">
        <v>99.656000000000006</v>
      </c>
    </row>
    <row r="154" spans="1:201" x14ac:dyDescent="0.25">
      <c r="A154">
        <v>138</v>
      </c>
      <c r="B154">
        <v>1690386775.5999999</v>
      </c>
      <c r="C154">
        <v>1441</v>
      </c>
      <c r="D154" t="s">
        <v>609</v>
      </c>
      <c r="E154" t="s">
        <v>610</v>
      </c>
      <c r="F154" t="s">
        <v>330</v>
      </c>
      <c r="H154">
        <v>1690386775.5999999</v>
      </c>
      <c r="I154">
        <f t="shared" si="60"/>
        <v>1.6922432665028011E-3</v>
      </c>
      <c r="J154">
        <f t="shared" si="61"/>
        <v>1.6922432665028011</v>
      </c>
      <c r="K154">
        <f t="shared" si="62"/>
        <v>26.168257112404543</v>
      </c>
      <c r="L154">
        <f t="shared" si="63"/>
        <v>513.69600000000003</v>
      </c>
      <c r="M154">
        <f t="shared" si="64"/>
        <v>140.72434722554706</v>
      </c>
      <c r="N154">
        <f t="shared" si="65"/>
        <v>13.897976385130162</v>
      </c>
      <c r="O154">
        <f t="shared" si="66"/>
        <v>50.732762438707205</v>
      </c>
      <c r="P154">
        <f t="shared" si="67"/>
        <v>0.11760576148414809</v>
      </c>
      <c r="Q154">
        <f t="shared" si="68"/>
        <v>2.1534896883083396</v>
      </c>
      <c r="R154">
        <f t="shared" si="69"/>
        <v>0.11415065568283948</v>
      </c>
      <c r="S154">
        <f t="shared" si="70"/>
        <v>7.1646132156835907E-2</v>
      </c>
      <c r="T154">
        <f t="shared" si="71"/>
        <v>276.11654495400001</v>
      </c>
      <c r="U154">
        <f t="shared" si="72"/>
        <v>27.936431489348507</v>
      </c>
      <c r="V154">
        <f t="shared" si="73"/>
        <v>27.936431489348507</v>
      </c>
      <c r="W154">
        <f t="shared" si="74"/>
        <v>3.7807993777466402</v>
      </c>
      <c r="X154">
        <f t="shared" si="75"/>
        <v>68.541980524590031</v>
      </c>
      <c r="Y154">
        <f t="shared" si="76"/>
        <v>2.3622472138608002</v>
      </c>
      <c r="Z154">
        <f t="shared" si="77"/>
        <v>3.4464239226547058</v>
      </c>
      <c r="AA154">
        <f t="shared" si="78"/>
        <v>1.41855216388584</v>
      </c>
      <c r="AB154">
        <f t="shared" si="79"/>
        <v>-74.627928052773527</v>
      </c>
      <c r="AC154">
        <f t="shared" si="80"/>
        <v>-183.24260668873521</v>
      </c>
      <c r="AD154">
        <f t="shared" si="81"/>
        <v>-18.390818100937242</v>
      </c>
      <c r="AE154">
        <f t="shared" si="82"/>
        <v>-0.14480788844596759</v>
      </c>
      <c r="AF154">
        <v>0</v>
      </c>
      <c r="AG154">
        <v>0</v>
      </c>
      <c r="AH154">
        <f t="shared" si="83"/>
        <v>1</v>
      </c>
      <c r="AI154">
        <f t="shared" si="84"/>
        <v>0</v>
      </c>
      <c r="AJ154">
        <f t="shared" si="85"/>
        <v>52095.609195697201</v>
      </c>
      <c r="AK154">
        <f t="shared" si="86"/>
        <v>1800</v>
      </c>
      <c r="AL154">
        <f t="shared" si="87"/>
        <v>1499.1092604</v>
      </c>
      <c r="AM154">
        <f t="shared" si="88"/>
        <v>0.83283847799999999</v>
      </c>
      <c r="AN154">
        <f t="shared" si="89"/>
        <v>0.15339808053000001</v>
      </c>
      <c r="AO154">
        <v>31.8</v>
      </c>
      <c r="AP154">
        <v>0.5</v>
      </c>
      <c r="AQ154" t="s">
        <v>331</v>
      </c>
      <c r="AR154">
        <v>2</v>
      </c>
      <c r="AS154">
        <v>1690386775.5999999</v>
      </c>
      <c r="AT154">
        <v>513.69600000000003</v>
      </c>
      <c r="AU154">
        <v>800.14800000000002</v>
      </c>
      <c r="AV154">
        <v>23.919</v>
      </c>
      <c r="AW154">
        <v>6.4192</v>
      </c>
      <c r="AX154">
        <v>513.78300000000002</v>
      </c>
      <c r="AY154">
        <v>23.639299999999999</v>
      </c>
      <c r="AZ154">
        <v>300.15300000000002</v>
      </c>
      <c r="BA154">
        <v>98.660300000000007</v>
      </c>
      <c r="BB154">
        <v>9.9983199999999994E-2</v>
      </c>
      <c r="BC154">
        <v>26.3581</v>
      </c>
      <c r="BD154">
        <v>27.023800000000001</v>
      </c>
      <c r="BE154">
        <v>27.954499999999999</v>
      </c>
      <c r="BF154">
        <v>0</v>
      </c>
      <c r="BG154">
        <v>0</v>
      </c>
      <c r="BH154">
        <v>9963.1200000000008</v>
      </c>
      <c r="BI154">
        <v>1075.94</v>
      </c>
      <c r="BJ154">
        <v>1.3680099999999999</v>
      </c>
      <c r="BK154">
        <v>-286.452</v>
      </c>
      <c r="BL154">
        <v>526.28399999999999</v>
      </c>
      <c r="BM154">
        <v>805.31700000000001</v>
      </c>
      <c r="BN154">
        <v>17.4998</v>
      </c>
      <c r="BO154">
        <v>800.14800000000002</v>
      </c>
      <c r="BP154">
        <v>6.4192</v>
      </c>
      <c r="BQ154">
        <v>2.3598499999999998</v>
      </c>
      <c r="BR154">
        <v>0.63331999999999999</v>
      </c>
      <c r="BS154">
        <v>20.090900000000001</v>
      </c>
      <c r="BT154">
        <v>0.43519000000000002</v>
      </c>
      <c r="BU154">
        <v>1800</v>
      </c>
      <c r="BV154">
        <v>0.90997600000000001</v>
      </c>
      <c r="BW154">
        <v>3.4006799999999997E-2</v>
      </c>
      <c r="BX154">
        <v>2.2006899999999999E-2</v>
      </c>
      <c r="BY154">
        <v>3.4010499999999999E-2</v>
      </c>
      <c r="BZ154">
        <v>25.041699999999999</v>
      </c>
      <c r="CA154">
        <v>33528.1</v>
      </c>
      <c r="CB154">
        <v>1690384821</v>
      </c>
      <c r="CC154" t="s">
        <v>332</v>
      </c>
      <c r="CD154">
        <v>1690384820</v>
      </c>
      <c r="CE154">
        <v>1690384821</v>
      </c>
      <c r="CF154">
        <v>5</v>
      </c>
      <c r="CG154">
        <v>-2.5000000000000001E-2</v>
      </c>
      <c r="CH154">
        <v>0.104</v>
      </c>
      <c r="CI154">
        <v>-0.28799999999999998</v>
      </c>
      <c r="CJ154">
        <v>0.28000000000000003</v>
      </c>
      <c r="CK154">
        <v>800</v>
      </c>
      <c r="CL154">
        <v>24</v>
      </c>
      <c r="CM154">
        <v>0.08</v>
      </c>
      <c r="CN154">
        <v>0.11</v>
      </c>
      <c r="CO154">
        <v>-283.50352500000002</v>
      </c>
      <c r="CP154">
        <v>-16.91393245778475</v>
      </c>
      <c r="CQ154">
        <v>1.628624726379591</v>
      </c>
      <c r="CR154">
        <v>-1</v>
      </c>
      <c r="CS154">
        <v>17.243987499999999</v>
      </c>
      <c r="CT154">
        <v>1.448522701688522</v>
      </c>
      <c r="CU154">
        <v>0.1394065102272844</v>
      </c>
      <c r="CV154">
        <v>-1</v>
      </c>
      <c r="CW154">
        <v>0</v>
      </c>
      <c r="CX154">
        <v>0</v>
      </c>
      <c r="CY154" t="s">
        <v>333</v>
      </c>
      <c r="CZ154">
        <v>2.3648699999999998</v>
      </c>
      <c r="DA154">
        <v>2.71374</v>
      </c>
      <c r="DB154">
        <v>0.107442</v>
      </c>
      <c r="DC154">
        <v>0.145591</v>
      </c>
      <c r="DD154">
        <v>0.112918</v>
      </c>
      <c r="DE154">
        <v>4.15354E-2</v>
      </c>
      <c r="DF154">
        <v>32611.7</v>
      </c>
      <c r="DG154">
        <v>27560.1</v>
      </c>
      <c r="DH154">
        <v>31191.1</v>
      </c>
      <c r="DI154">
        <v>28106.2</v>
      </c>
      <c r="DJ154">
        <v>37563.800000000003</v>
      </c>
      <c r="DK154">
        <v>38311.5</v>
      </c>
      <c r="DL154">
        <v>44391.7</v>
      </c>
      <c r="DM154">
        <v>42601.599999999999</v>
      </c>
      <c r="DN154">
        <v>1.4721</v>
      </c>
      <c r="DO154">
        <v>2.0414699999999999</v>
      </c>
      <c r="DP154">
        <v>0.110418</v>
      </c>
      <c r="DQ154">
        <v>0.181645</v>
      </c>
      <c r="DR154">
        <v>25.215399999999999</v>
      </c>
      <c r="DS154">
        <v>24.981300000000001</v>
      </c>
      <c r="DT154">
        <v>49.1</v>
      </c>
      <c r="DU154">
        <v>28.8</v>
      </c>
      <c r="DV154">
        <v>19.7864</v>
      </c>
      <c r="DW154">
        <v>61.122199999999999</v>
      </c>
      <c r="DX154">
        <v>37.115400000000001</v>
      </c>
      <c r="DY154">
        <v>1</v>
      </c>
      <c r="DZ154">
        <v>-0.11394799999999999</v>
      </c>
      <c r="EA154">
        <v>-2.7377499999999999E-2</v>
      </c>
      <c r="EB154">
        <v>20.1904</v>
      </c>
      <c r="EC154">
        <v>5.2411000000000003</v>
      </c>
      <c r="ED154">
        <v>12.039899999999999</v>
      </c>
      <c r="EE154">
        <v>5.0168499999999998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1.8689100000000001</v>
      </c>
      <c r="EL154">
        <v>1.8646199999999999</v>
      </c>
      <c r="EM154">
        <v>1.8692</v>
      </c>
      <c r="EN154">
        <v>1.8672299999999999</v>
      </c>
      <c r="EO154">
        <v>1.8633599999999999</v>
      </c>
      <c r="EP154">
        <v>1.8644499999999999</v>
      </c>
      <c r="EQ154">
        <v>1.87015</v>
      </c>
      <c r="ER154">
        <v>1.8693900000000001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-8.6999999999999994E-2</v>
      </c>
      <c r="FG154">
        <v>0.2797</v>
      </c>
      <c r="FH154">
        <v>0.26269369235785539</v>
      </c>
      <c r="FI154">
        <v>-6.1462078757559423E-4</v>
      </c>
      <c r="FJ154">
        <v>-1.8861989874597051E-7</v>
      </c>
      <c r="FK154">
        <v>1.1980462299894961E-10</v>
      </c>
      <c r="FL154">
        <v>0.27968571428570849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32.6</v>
      </c>
      <c r="FU154">
        <v>32.6</v>
      </c>
      <c r="FV154">
        <v>1.7761199999999999</v>
      </c>
      <c r="FW154">
        <v>2.5793499999999998</v>
      </c>
      <c r="FX154">
        <v>1.5490699999999999</v>
      </c>
      <c r="FY154">
        <v>2.3315399999999999</v>
      </c>
      <c r="FZ154">
        <v>1.50146</v>
      </c>
      <c r="GA154">
        <v>2.3584000000000001</v>
      </c>
      <c r="GB154">
        <v>33.535499999999999</v>
      </c>
      <c r="GC154">
        <v>23.982399999999998</v>
      </c>
      <c r="GD154">
        <v>19</v>
      </c>
      <c r="GE154">
        <v>280.10899999999998</v>
      </c>
      <c r="GF154">
        <v>584.65099999999995</v>
      </c>
      <c r="GG154">
        <v>24.8443</v>
      </c>
      <c r="GH154">
        <v>25.977900000000002</v>
      </c>
      <c r="GI154">
        <v>29.9999</v>
      </c>
      <c r="GJ154">
        <v>26.117000000000001</v>
      </c>
      <c r="GK154">
        <v>26.098199999999999</v>
      </c>
      <c r="GL154">
        <v>35.505099999999999</v>
      </c>
      <c r="GM154">
        <v>65.516300000000001</v>
      </c>
      <c r="GN154">
        <v>65.311800000000005</v>
      </c>
      <c r="GO154">
        <v>24.811499999999999</v>
      </c>
      <c r="GP154">
        <v>800</v>
      </c>
      <c r="GQ154">
        <v>6.2606900000000003</v>
      </c>
      <c r="GR154">
        <v>99.803299999999993</v>
      </c>
      <c r="GS154">
        <v>99.657700000000006</v>
      </c>
    </row>
    <row r="155" spans="1:201" x14ac:dyDescent="0.25">
      <c r="A155">
        <v>139</v>
      </c>
      <c r="B155">
        <v>1690386785.5999999</v>
      </c>
      <c r="C155">
        <v>1451</v>
      </c>
      <c r="D155" t="s">
        <v>611</v>
      </c>
      <c r="E155" t="s">
        <v>612</v>
      </c>
      <c r="F155" t="s">
        <v>330</v>
      </c>
      <c r="H155">
        <v>1690386785.5999999</v>
      </c>
      <c r="I155">
        <f t="shared" si="60"/>
        <v>1.7111849163862355E-3</v>
      </c>
      <c r="J155">
        <f t="shared" si="61"/>
        <v>1.7111849163862354</v>
      </c>
      <c r="K155">
        <f t="shared" si="62"/>
        <v>26.404972022744914</v>
      </c>
      <c r="L155">
        <f t="shared" si="63"/>
        <v>511.05500000000001</v>
      </c>
      <c r="M155">
        <f t="shared" si="64"/>
        <v>139.07792340758209</v>
      </c>
      <c r="N155">
        <f t="shared" si="65"/>
        <v>13.735098601781191</v>
      </c>
      <c r="O155">
        <f t="shared" si="66"/>
        <v>50.470920502330493</v>
      </c>
      <c r="P155">
        <f t="shared" si="67"/>
        <v>0.11900710497472103</v>
      </c>
      <c r="Q155">
        <f t="shared" si="68"/>
        <v>2.1567643054835468</v>
      </c>
      <c r="R155">
        <f t="shared" si="69"/>
        <v>0.11547570023650523</v>
      </c>
      <c r="S155">
        <f t="shared" si="70"/>
        <v>7.2480866551831613E-2</v>
      </c>
      <c r="T155">
        <f t="shared" si="71"/>
        <v>276.11647414200007</v>
      </c>
      <c r="U155">
        <f t="shared" si="72"/>
        <v>27.928216176199385</v>
      </c>
      <c r="V155">
        <f t="shared" si="73"/>
        <v>27.928216176199385</v>
      </c>
      <c r="W155">
        <f t="shared" si="74"/>
        <v>3.7789881825556728</v>
      </c>
      <c r="X155">
        <f t="shared" si="75"/>
        <v>68.504479517221966</v>
      </c>
      <c r="Y155">
        <f t="shared" si="76"/>
        <v>2.3610244367852102</v>
      </c>
      <c r="Z155">
        <f t="shared" si="77"/>
        <v>3.446525619089845</v>
      </c>
      <c r="AA155">
        <f t="shared" si="78"/>
        <v>1.4179637457704626</v>
      </c>
      <c r="AB155">
        <f t="shared" si="79"/>
        <v>-75.463254812632982</v>
      </c>
      <c r="AC155">
        <f t="shared" si="80"/>
        <v>-182.50786996685807</v>
      </c>
      <c r="AD155">
        <f t="shared" si="81"/>
        <v>-18.288560151182878</v>
      </c>
      <c r="AE155">
        <f t="shared" si="82"/>
        <v>-0.14321078867385495</v>
      </c>
      <c r="AF155">
        <v>0</v>
      </c>
      <c r="AG155">
        <v>0</v>
      </c>
      <c r="AH155">
        <f t="shared" si="83"/>
        <v>1</v>
      </c>
      <c r="AI155">
        <f t="shared" si="84"/>
        <v>0</v>
      </c>
      <c r="AJ155">
        <f t="shared" si="85"/>
        <v>52232.451671108734</v>
      </c>
      <c r="AK155">
        <f t="shared" si="86"/>
        <v>1800</v>
      </c>
      <c r="AL155">
        <f t="shared" si="87"/>
        <v>1499.1099641999999</v>
      </c>
      <c r="AM155">
        <f t="shared" si="88"/>
        <v>0.83283886899999993</v>
      </c>
      <c r="AN155">
        <f t="shared" si="89"/>
        <v>0.15339804119000003</v>
      </c>
      <c r="AO155">
        <v>31.8</v>
      </c>
      <c r="AP155">
        <v>0.5</v>
      </c>
      <c r="AQ155" t="s">
        <v>331</v>
      </c>
      <c r="AR155">
        <v>2</v>
      </c>
      <c r="AS155">
        <v>1690386785.5999999</v>
      </c>
      <c r="AT155">
        <v>511.05500000000001</v>
      </c>
      <c r="AU155">
        <v>800.04700000000003</v>
      </c>
      <c r="AV155">
        <v>23.9071</v>
      </c>
      <c r="AW155">
        <v>6.2126200000000003</v>
      </c>
      <c r="AX155">
        <v>511.13900000000001</v>
      </c>
      <c r="AY155">
        <v>23.627500000000001</v>
      </c>
      <c r="AZ155">
        <v>300.17700000000002</v>
      </c>
      <c r="BA155">
        <v>98.658299999999997</v>
      </c>
      <c r="BB155">
        <v>9.9995100000000003E-2</v>
      </c>
      <c r="BC155">
        <v>26.358599999999999</v>
      </c>
      <c r="BD155">
        <v>26.991700000000002</v>
      </c>
      <c r="BE155">
        <v>27.956099999999999</v>
      </c>
      <c r="BF155">
        <v>0</v>
      </c>
      <c r="BG155">
        <v>0</v>
      </c>
      <c r="BH155">
        <v>9990.6200000000008</v>
      </c>
      <c r="BI155">
        <v>1075.99</v>
      </c>
      <c r="BJ155">
        <v>1.4016500000000001</v>
      </c>
      <c r="BK155">
        <v>-288.99299999999999</v>
      </c>
      <c r="BL155">
        <v>523.572</v>
      </c>
      <c r="BM155">
        <v>805.04899999999998</v>
      </c>
      <c r="BN155">
        <v>17.694500000000001</v>
      </c>
      <c r="BO155">
        <v>800.04700000000003</v>
      </c>
      <c r="BP155">
        <v>6.2126200000000003</v>
      </c>
      <c r="BQ155">
        <v>2.3586399999999998</v>
      </c>
      <c r="BR155">
        <v>0.61292599999999997</v>
      </c>
      <c r="BS155">
        <v>20.082599999999999</v>
      </c>
      <c r="BT155">
        <v>-1.6243299999999999E-2</v>
      </c>
      <c r="BU155">
        <v>1800</v>
      </c>
      <c r="BV155">
        <v>0.90997899999999998</v>
      </c>
      <c r="BW155">
        <v>3.40057E-2</v>
      </c>
      <c r="BX155">
        <v>2.20062E-2</v>
      </c>
      <c r="BY155">
        <v>3.4009499999999998E-2</v>
      </c>
      <c r="BZ155">
        <v>25.083300000000001</v>
      </c>
      <c r="CA155">
        <v>33528.199999999997</v>
      </c>
      <c r="CB155">
        <v>1690384821</v>
      </c>
      <c r="CC155" t="s">
        <v>332</v>
      </c>
      <c r="CD155">
        <v>1690384820</v>
      </c>
      <c r="CE155">
        <v>1690384821</v>
      </c>
      <c r="CF155">
        <v>5</v>
      </c>
      <c r="CG155">
        <v>-2.5000000000000001E-2</v>
      </c>
      <c r="CH155">
        <v>0.104</v>
      </c>
      <c r="CI155">
        <v>-0.28799999999999998</v>
      </c>
      <c r="CJ155">
        <v>0.28000000000000003</v>
      </c>
      <c r="CK155">
        <v>800</v>
      </c>
      <c r="CL155">
        <v>24</v>
      </c>
      <c r="CM155">
        <v>0.08</v>
      </c>
      <c r="CN155">
        <v>0.11</v>
      </c>
      <c r="CO155">
        <v>-286.06636585365851</v>
      </c>
      <c r="CP155">
        <v>-16.18101742160275</v>
      </c>
      <c r="CQ155">
        <v>1.5962720251718441</v>
      </c>
      <c r="CR155">
        <v>-1</v>
      </c>
      <c r="CS155">
        <v>17.46462682926829</v>
      </c>
      <c r="CT155">
        <v>1.3905595818815339</v>
      </c>
      <c r="CU155">
        <v>0.13745981235218449</v>
      </c>
      <c r="CV155">
        <v>-1</v>
      </c>
      <c r="CW155">
        <v>0</v>
      </c>
      <c r="CX155">
        <v>0</v>
      </c>
      <c r="CY155" t="s">
        <v>333</v>
      </c>
      <c r="CZ155">
        <v>2.3649399999999998</v>
      </c>
      <c r="DA155">
        <v>2.7137799999999999</v>
      </c>
      <c r="DB155">
        <v>0.10703799999999999</v>
      </c>
      <c r="DC155">
        <v>0.14557200000000001</v>
      </c>
      <c r="DD155">
        <v>0.11287700000000001</v>
      </c>
      <c r="DE155">
        <v>4.0446200000000002E-2</v>
      </c>
      <c r="DF155">
        <v>32626.3</v>
      </c>
      <c r="DG155">
        <v>27561.1</v>
      </c>
      <c r="DH155">
        <v>31190.799999999999</v>
      </c>
      <c r="DI155">
        <v>28106.6</v>
      </c>
      <c r="DJ155">
        <v>37565</v>
      </c>
      <c r="DK155">
        <v>38355.599999999999</v>
      </c>
      <c r="DL155">
        <v>44391.199999999997</v>
      </c>
      <c r="DM155">
        <v>42602.1</v>
      </c>
      <c r="DN155">
        <v>1.4721</v>
      </c>
      <c r="DO155">
        <v>2.04135</v>
      </c>
      <c r="DP155">
        <v>0.108071</v>
      </c>
      <c r="DQ155">
        <v>0.181422</v>
      </c>
      <c r="DR155">
        <v>25.221800000000002</v>
      </c>
      <c r="DS155">
        <v>24.986599999999999</v>
      </c>
      <c r="DT155">
        <v>48.7</v>
      </c>
      <c r="DU155">
        <v>28.8</v>
      </c>
      <c r="DV155">
        <v>19.621600000000001</v>
      </c>
      <c r="DW155">
        <v>61.142200000000003</v>
      </c>
      <c r="DX155">
        <v>36.458300000000001</v>
      </c>
      <c r="DY155">
        <v>1</v>
      </c>
      <c r="DZ155">
        <v>-0.113986</v>
      </c>
      <c r="EA155">
        <v>-5.5748899999999997E-2</v>
      </c>
      <c r="EB155">
        <v>20.1904</v>
      </c>
      <c r="EC155">
        <v>5.2409499999999998</v>
      </c>
      <c r="ED155">
        <v>12.039899999999999</v>
      </c>
      <c r="EE155">
        <v>5.0168999999999997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</v>
      </c>
      <c r="EL155">
        <v>1.8646199999999999</v>
      </c>
      <c r="EM155">
        <v>1.8692</v>
      </c>
      <c r="EN155">
        <v>1.86724</v>
      </c>
      <c r="EO155">
        <v>1.86338</v>
      </c>
      <c r="EP155">
        <v>1.86446</v>
      </c>
      <c r="EQ155">
        <v>1.87018</v>
      </c>
      <c r="ER155">
        <v>1.86941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-8.4000000000000005E-2</v>
      </c>
      <c r="FG155">
        <v>0.27960000000000002</v>
      </c>
      <c r="FH155">
        <v>0.26269369235785539</v>
      </c>
      <c r="FI155">
        <v>-6.1462078757559423E-4</v>
      </c>
      <c r="FJ155">
        <v>-1.8861989874597051E-7</v>
      </c>
      <c r="FK155">
        <v>1.1980462299894961E-10</v>
      </c>
      <c r="FL155">
        <v>0.27968571428570849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32.799999999999997</v>
      </c>
      <c r="FU155">
        <v>32.700000000000003</v>
      </c>
      <c r="FV155">
        <v>1.7748999999999999</v>
      </c>
      <c r="FW155">
        <v>2.5769000000000002</v>
      </c>
      <c r="FX155">
        <v>1.5490699999999999</v>
      </c>
      <c r="FY155">
        <v>2.3315399999999999</v>
      </c>
      <c r="FZ155">
        <v>1.50146</v>
      </c>
      <c r="GA155">
        <v>2.3767100000000001</v>
      </c>
      <c r="GB155">
        <v>33.535499999999999</v>
      </c>
      <c r="GC155">
        <v>23.982399999999998</v>
      </c>
      <c r="GD155">
        <v>19</v>
      </c>
      <c r="GE155">
        <v>280.09899999999999</v>
      </c>
      <c r="GF155">
        <v>584.54600000000005</v>
      </c>
      <c r="GG155">
        <v>24.781600000000001</v>
      </c>
      <c r="GH155">
        <v>25.976299999999998</v>
      </c>
      <c r="GI155">
        <v>30</v>
      </c>
      <c r="GJ155">
        <v>26.114899999999999</v>
      </c>
      <c r="GK155">
        <v>26.098099999999999</v>
      </c>
      <c r="GL155">
        <v>35.498699999999999</v>
      </c>
      <c r="GM155">
        <v>66.380399999999995</v>
      </c>
      <c r="GN155">
        <v>64.551400000000001</v>
      </c>
      <c r="GO155">
        <v>24.7822</v>
      </c>
      <c r="GP155">
        <v>800</v>
      </c>
      <c r="GQ155">
        <v>6.0375100000000002</v>
      </c>
      <c r="GR155">
        <v>99.802199999999999</v>
      </c>
      <c r="GS155">
        <v>99.659000000000006</v>
      </c>
    </row>
    <row r="156" spans="1:201" x14ac:dyDescent="0.25">
      <c r="A156">
        <v>140</v>
      </c>
      <c r="B156">
        <v>1690386795.5999999</v>
      </c>
      <c r="C156">
        <v>1461</v>
      </c>
      <c r="D156" t="s">
        <v>613</v>
      </c>
      <c r="E156" t="s">
        <v>614</v>
      </c>
      <c r="F156" t="s">
        <v>330</v>
      </c>
      <c r="H156">
        <v>1690386795.5999999</v>
      </c>
      <c r="I156">
        <f t="shared" si="60"/>
        <v>1.733478994639922E-3</v>
      </c>
      <c r="J156">
        <f t="shared" si="61"/>
        <v>1.7334789946399221</v>
      </c>
      <c r="K156">
        <f t="shared" si="62"/>
        <v>26.646371259424004</v>
      </c>
      <c r="L156">
        <f t="shared" si="63"/>
        <v>508.32799999999997</v>
      </c>
      <c r="M156">
        <f t="shared" si="64"/>
        <v>138.22206098977202</v>
      </c>
      <c r="N156">
        <f t="shared" si="65"/>
        <v>13.650836494119847</v>
      </c>
      <c r="O156">
        <f t="shared" si="66"/>
        <v>50.202567981506398</v>
      </c>
      <c r="P156">
        <f t="shared" si="67"/>
        <v>0.12074309766395995</v>
      </c>
      <c r="Q156">
        <f t="shared" si="68"/>
        <v>2.1566387809538474</v>
      </c>
      <c r="R156">
        <f t="shared" si="69"/>
        <v>0.11710940271854765</v>
      </c>
      <c r="S156">
        <f t="shared" si="70"/>
        <v>7.3510740754491391E-2</v>
      </c>
      <c r="T156">
        <f t="shared" si="71"/>
        <v>276.116394834</v>
      </c>
      <c r="U156">
        <f t="shared" si="72"/>
        <v>27.919508931853422</v>
      </c>
      <c r="V156">
        <f t="shared" si="73"/>
        <v>27.919508931853422</v>
      </c>
      <c r="W156">
        <f t="shared" si="74"/>
        <v>3.7770693597942051</v>
      </c>
      <c r="X156">
        <f t="shared" si="75"/>
        <v>68.497343068987036</v>
      </c>
      <c r="Y156">
        <f t="shared" si="76"/>
        <v>2.3606252290543797</v>
      </c>
      <c r="Z156">
        <f t="shared" si="77"/>
        <v>3.4463018903913953</v>
      </c>
      <c r="AA156">
        <f t="shared" si="78"/>
        <v>1.4164441307398254</v>
      </c>
      <c r="AB156">
        <f t="shared" si="79"/>
        <v>-76.446423663620564</v>
      </c>
      <c r="AC156">
        <f t="shared" si="80"/>
        <v>-181.61276345069501</v>
      </c>
      <c r="AD156">
        <f t="shared" si="81"/>
        <v>-18.199030270881792</v>
      </c>
      <c r="AE156">
        <f t="shared" si="82"/>
        <v>-0.14182255119737874</v>
      </c>
      <c r="AF156">
        <v>0</v>
      </c>
      <c r="AG156">
        <v>0</v>
      </c>
      <c r="AH156">
        <f t="shared" si="83"/>
        <v>1</v>
      </c>
      <c r="AI156">
        <f t="shared" si="84"/>
        <v>0</v>
      </c>
      <c r="AJ156">
        <f t="shared" si="85"/>
        <v>52227.429866522798</v>
      </c>
      <c r="AK156">
        <f t="shared" si="86"/>
        <v>1800</v>
      </c>
      <c r="AL156">
        <f t="shared" si="87"/>
        <v>1499.1099623999999</v>
      </c>
      <c r="AM156">
        <f t="shared" si="88"/>
        <v>0.83283886799999995</v>
      </c>
      <c r="AN156">
        <f t="shared" si="89"/>
        <v>0.15339799712999999</v>
      </c>
      <c r="AO156">
        <v>31.8</v>
      </c>
      <c r="AP156">
        <v>0.5</v>
      </c>
      <c r="AQ156" t="s">
        <v>331</v>
      </c>
      <c r="AR156">
        <v>2</v>
      </c>
      <c r="AS156">
        <v>1690386795.5999999</v>
      </c>
      <c r="AT156">
        <v>508.32799999999997</v>
      </c>
      <c r="AU156">
        <v>800.12</v>
      </c>
      <c r="AV156">
        <v>23.9026</v>
      </c>
      <c r="AW156">
        <v>5.9669299999999996</v>
      </c>
      <c r="AX156">
        <v>508.411</v>
      </c>
      <c r="AY156">
        <v>23.622900000000001</v>
      </c>
      <c r="AZ156">
        <v>300</v>
      </c>
      <c r="BA156">
        <v>98.660200000000003</v>
      </c>
      <c r="BB156">
        <v>9.99863E-2</v>
      </c>
      <c r="BC156">
        <v>26.357500000000002</v>
      </c>
      <c r="BD156">
        <v>26.971299999999999</v>
      </c>
      <c r="BE156">
        <v>27.943000000000001</v>
      </c>
      <c r="BF156">
        <v>0</v>
      </c>
      <c r="BG156">
        <v>0</v>
      </c>
      <c r="BH156">
        <v>9989.3799999999992</v>
      </c>
      <c r="BI156">
        <v>1076.02</v>
      </c>
      <c r="BJ156">
        <v>1.4016500000000001</v>
      </c>
      <c r="BK156">
        <v>-291.79199999999997</v>
      </c>
      <c r="BL156">
        <v>520.77599999999995</v>
      </c>
      <c r="BM156">
        <v>804.923</v>
      </c>
      <c r="BN156">
        <v>17.935700000000001</v>
      </c>
      <c r="BO156">
        <v>800.12</v>
      </c>
      <c r="BP156">
        <v>5.9669299999999996</v>
      </c>
      <c r="BQ156">
        <v>2.3582399999999999</v>
      </c>
      <c r="BR156">
        <v>0.58869800000000005</v>
      </c>
      <c r="BS156">
        <v>20.079799999999999</v>
      </c>
      <c r="BT156">
        <v>-0.57018599999999997</v>
      </c>
      <c r="BU156">
        <v>1800</v>
      </c>
      <c r="BV156">
        <v>0.90998000000000001</v>
      </c>
      <c r="BW156">
        <v>3.4005300000000002E-2</v>
      </c>
      <c r="BX156">
        <v>2.2005899999999998E-2</v>
      </c>
      <c r="BY156">
        <v>3.40091E-2</v>
      </c>
      <c r="BZ156">
        <v>25.25</v>
      </c>
      <c r="CA156">
        <v>33528.199999999997</v>
      </c>
      <c r="CB156">
        <v>1690384821</v>
      </c>
      <c r="CC156" t="s">
        <v>332</v>
      </c>
      <c r="CD156">
        <v>1690384820</v>
      </c>
      <c r="CE156">
        <v>1690384821</v>
      </c>
      <c r="CF156">
        <v>5</v>
      </c>
      <c r="CG156">
        <v>-2.5000000000000001E-2</v>
      </c>
      <c r="CH156">
        <v>0.104</v>
      </c>
      <c r="CI156">
        <v>-0.28799999999999998</v>
      </c>
      <c r="CJ156">
        <v>0.28000000000000003</v>
      </c>
      <c r="CK156">
        <v>800</v>
      </c>
      <c r="CL156">
        <v>24</v>
      </c>
      <c r="CM156">
        <v>0.08</v>
      </c>
      <c r="CN156">
        <v>0.11</v>
      </c>
      <c r="CO156">
        <v>-288.76834146341457</v>
      </c>
      <c r="CP156">
        <v>-15.94703832752664</v>
      </c>
      <c r="CQ156">
        <v>1.573229296697753</v>
      </c>
      <c r="CR156">
        <v>-1</v>
      </c>
      <c r="CS156">
        <v>17.692399999999999</v>
      </c>
      <c r="CT156">
        <v>1.3183275261324241</v>
      </c>
      <c r="CU156">
        <v>0.1304348487027053</v>
      </c>
      <c r="CV156">
        <v>-1</v>
      </c>
      <c r="CW156">
        <v>0</v>
      </c>
      <c r="CX156">
        <v>0</v>
      </c>
      <c r="CY156" t="s">
        <v>333</v>
      </c>
      <c r="CZ156">
        <v>2.36435</v>
      </c>
      <c r="DA156">
        <v>2.7137699999999998</v>
      </c>
      <c r="DB156">
        <v>0.106624</v>
      </c>
      <c r="DC156">
        <v>0.14557899999999999</v>
      </c>
      <c r="DD156">
        <v>0.11286400000000001</v>
      </c>
      <c r="DE156">
        <v>3.9138399999999997E-2</v>
      </c>
      <c r="DF156">
        <v>32641.1</v>
      </c>
      <c r="DG156">
        <v>27560.9</v>
      </c>
      <c r="DH156">
        <v>31190.6</v>
      </c>
      <c r="DI156">
        <v>28106.7</v>
      </c>
      <c r="DJ156">
        <v>37565.4</v>
      </c>
      <c r="DK156">
        <v>38408.199999999997</v>
      </c>
      <c r="DL156">
        <v>44391.1</v>
      </c>
      <c r="DM156">
        <v>42602.3</v>
      </c>
      <c r="DN156">
        <v>1.4719</v>
      </c>
      <c r="DO156">
        <v>2.0409000000000002</v>
      </c>
      <c r="DP156">
        <v>0.106655</v>
      </c>
      <c r="DQ156">
        <v>0.18026700000000001</v>
      </c>
      <c r="DR156">
        <v>25.224499999999999</v>
      </c>
      <c r="DS156">
        <v>24.9924</v>
      </c>
      <c r="DT156">
        <v>48.3</v>
      </c>
      <c r="DU156">
        <v>28.8</v>
      </c>
      <c r="DV156">
        <v>19.460999999999999</v>
      </c>
      <c r="DW156">
        <v>60.982199999999999</v>
      </c>
      <c r="DX156">
        <v>36.818899999999999</v>
      </c>
      <c r="DY156">
        <v>1</v>
      </c>
      <c r="DZ156">
        <v>-0.11388</v>
      </c>
      <c r="EA156">
        <v>-0.18656600000000001</v>
      </c>
      <c r="EB156">
        <v>20.190200000000001</v>
      </c>
      <c r="EC156">
        <v>5.2411000000000003</v>
      </c>
      <c r="ED156">
        <v>12.039899999999999</v>
      </c>
      <c r="EE156">
        <v>5.0168999999999997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</v>
      </c>
      <c r="EL156">
        <v>1.8646199999999999</v>
      </c>
      <c r="EM156">
        <v>1.8692</v>
      </c>
      <c r="EN156">
        <v>1.86724</v>
      </c>
      <c r="EO156">
        <v>1.8633999999999999</v>
      </c>
      <c r="EP156">
        <v>1.86446</v>
      </c>
      <c r="EQ156">
        <v>1.87019</v>
      </c>
      <c r="ER156">
        <v>1.8694299999999999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-8.3000000000000004E-2</v>
      </c>
      <c r="FG156">
        <v>0.2797</v>
      </c>
      <c r="FH156">
        <v>0.26269369235785539</v>
      </c>
      <c r="FI156">
        <v>-6.1462078757559423E-4</v>
      </c>
      <c r="FJ156">
        <v>-1.8861989874597051E-7</v>
      </c>
      <c r="FK156">
        <v>1.1980462299894961E-10</v>
      </c>
      <c r="FL156">
        <v>0.27968571428570849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32.9</v>
      </c>
      <c r="FU156">
        <v>32.9</v>
      </c>
      <c r="FV156">
        <v>1.7748999999999999</v>
      </c>
      <c r="FW156">
        <v>2.5866699999999998</v>
      </c>
      <c r="FX156">
        <v>1.5490699999999999</v>
      </c>
      <c r="FY156">
        <v>2.3315399999999999</v>
      </c>
      <c r="FZ156">
        <v>1.50146</v>
      </c>
      <c r="GA156">
        <v>2.3584000000000001</v>
      </c>
      <c r="GB156">
        <v>33.535499999999999</v>
      </c>
      <c r="GC156">
        <v>23.982399999999998</v>
      </c>
      <c r="GD156">
        <v>19</v>
      </c>
      <c r="GE156">
        <v>280.00599999999997</v>
      </c>
      <c r="GF156">
        <v>584.149</v>
      </c>
      <c r="GG156">
        <v>24.793900000000001</v>
      </c>
      <c r="GH156">
        <v>25.9757</v>
      </c>
      <c r="GI156">
        <v>30.0001</v>
      </c>
      <c r="GJ156">
        <v>26.1126</v>
      </c>
      <c r="GK156">
        <v>26.0959</v>
      </c>
      <c r="GL156">
        <v>35.493400000000001</v>
      </c>
      <c r="GM156">
        <v>67.244500000000002</v>
      </c>
      <c r="GN156">
        <v>63.7928</v>
      </c>
      <c r="GO156">
        <v>24.805599999999998</v>
      </c>
      <c r="GP156">
        <v>800</v>
      </c>
      <c r="GQ156">
        <v>5.8101599999999998</v>
      </c>
      <c r="GR156">
        <v>99.8018</v>
      </c>
      <c r="GS156">
        <v>99.659400000000005</v>
      </c>
    </row>
    <row r="157" spans="1:201" x14ac:dyDescent="0.25">
      <c r="A157">
        <v>141</v>
      </c>
      <c r="B157">
        <v>1690386806</v>
      </c>
      <c r="C157">
        <v>1471.400000095367</v>
      </c>
      <c r="D157" t="s">
        <v>615</v>
      </c>
      <c r="E157" t="s">
        <v>616</v>
      </c>
      <c r="F157" t="s">
        <v>330</v>
      </c>
      <c r="H157">
        <v>1690386806</v>
      </c>
      <c r="I157">
        <f t="shared" si="60"/>
        <v>1.756923298796933E-3</v>
      </c>
      <c r="J157">
        <f t="shared" si="61"/>
        <v>1.756923298796933</v>
      </c>
      <c r="K157">
        <f t="shared" si="62"/>
        <v>26.890752195133039</v>
      </c>
      <c r="L157">
        <f t="shared" si="63"/>
        <v>505.74200000000002</v>
      </c>
      <c r="M157">
        <f t="shared" si="64"/>
        <v>137.84612349412382</v>
      </c>
      <c r="N157">
        <f t="shared" si="65"/>
        <v>13.613811353174519</v>
      </c>
      <c r="O157">
        <f t="shared" si="66"/>
        <v>49.947550260059998</v>
      </c>
      <c r="P157">
        <f t="shared" si="67"/>
        <v>0.12262746645502125</v>
      </c>
      <c r="Q157">
        <f t="shared" si="68"/>
        <v>2.1591158424842525</v>
      </c>
      <c r="R157">
        <f t="shared" si="69"/>
        <v>0.11888551906680245</v>
      </c>
      <c r="S157">
        <f t="shared" si="70"/>
        <v>7.4630137038767294E-2</v>
      </c>
      <c r="T157">
        <f t="shared" si="71"/>
        <v>276.11485124208207</v>
      </c>
      <c r="U157">
        <f t="shared" si="72"/>
        <v>27.907590165251836</v>
      </c>
      <c r="V157">
        <f t="shared" si="73"/>
        <v>27.907590165251836</v>
      </c>
      <c r="W157">
        <f t="shared" si="74"/>
        <v>3.7744441893854312</v>
      </c>
      <c r="X157">
        <f t="shared" si="75"/>
        <v>68.495575121557522</v>
      </c>
      <c r="Y157">
        <f t="shared" si="76"/>
        <v>2.3602578377910004</v>
      </c>
      <c r="Z157">
        <f t="shared" si="77"/>
        <v>3.4458544710403629</v>
      </c>
      <c r="AA157">
        <f t="shared" si="78"/>
        <v>1.4141863515944308</v>
      </c>
      <c r="AB157">
        <f t="shared" si="79"/>
        <v>-77.480317476944748</v>
      </c>
      <c r="AC157">
        <f t="shared" si="80"/>
        <v>-180.69007301076024</v>
      </c>
      <c r="AD157">
        <f t="shared" si="81"/>
        <v>-18.084518881853235</v>
      </c>
      <c r="AE157">
        <f t="shared" si="82"/>
        <v>-0.14005812747615209</v>
      </c>
      <c r="AF157">
        <v>0</v>
      </c>
      <c r="AG157">
        <v>0</v>
      </c>
      <c r="AH157">
        <f t="shared" si="83"/>
        <v>1</v>
      </c>
      <c r="AI157">
        <f t="shared" si="84"/>
        <v>0</v>
      </c>
      <c r="AJ157">
        <f t="shared" si="85"/>
        <v>52331.583275191413</v>
      </c>
      <c r="AK157">
        <f t="shared" si="86"/>
        <v>1799.99</v>
      </c>
      <c r="AL157">
        <f t="shared" si="87"/>
        <v>1499.1019148097603</v>
      </c>
      <c r="AM157">
        <f t="shared" si="88"/>
        <v>0.83283902400000009</v>
      </c>
      <c r="AN157">
        <f t="shared" si="89"/>
        <v>0.15339799178999999</v>
      </c>
      <c r="AO157">
        <v>31.8</v>
      </c>
      <c r="AP157">
        <v>0.5</v>
      </c>
      <c r="AQ157" t="s">
        <v>331</v>
      </c>
      <c r="AR157">
        <v>2</v>
      </c>
      <c r="AS157">
        <v>1690386806</v>
      </c>
      <c r="AT157">
        <v>505.74200000000002</v>
      </c>
      <c r="AU157">
        <v>800.07799999999997</v>
      </c>
      <c r="AV157">
        <v>23.898700000000002</v>
      </c>
      <c r="AW157">
        <v>5.7280800000000003</v>
      </c>
      <c r="AX157">
        <v>505.82299999999998</v>
      </c>
      <c r="AY157">
        <v>23.619</v>
      </c>
      <c r="AZ157">
        <v>300.12700000000001</v>
      </c>
      <c r="BA157">
        <v>98.660899999999998</v>
      </c>
      <c r="BB157">
        <v>0.10002999999999999</v>
      </c>
      <c r="BC157">
        <v>26.3553</v>
      </c>
      <c r="BD157">
        <v>26.9941</v>
      </c>
      <c r="BE157">
        <v>27.943200000000001</v>
      </c>
      <c r="BF157">
        <v>0</v>
      </c>
      <c r="BG157">
        <v>0</v>
      </c>
      <c r="BH157">
        <v>10010</v>
      </c>
      <c r="BI157">
        <v>1076.1400000000001</v>
      </c>
      <c r="BJ157">
        <v>1.5137799999999999</v>
      </c>
      <c r="BK157">
        <v>-294.33600000000001</v>
      </c>
      <c r="BL157">
        <v>518.12400000000002</v>
      </c>
      <c r="BM157">
        <v>804.68700000000001</v>
      </c>
      <c r="BN157">
        <v>18.1706</v>
      </c>
      <c r="BO157">
        <v>800.07799999999997</v>
      </c>
      <c r="BP157">
        <v>5.7280800000000003</v>
      </c>
      <c r="BQ157">
        <v>2.3578700000000001</v>
      </c>
      <c r="BR157">
        <v>0.565137</v>
      </c>
      <c r="BS157">
        <v>20.077300000000001</v>
      </c>
      <c r="BT157">
        <v>-1.12859</v>
      </c>
      <c r="BU157">
        <v>1799.99</v>
      </c>
      <c r="BV157">
        <v>0.90998100000000004</v>
      </c>
      <c r="BW157">
        <v>3.4005000000000001E-2</v>
      </c>
      <c r="BX157">
        <v>2.20057E-2</v>
      </c>
      <c r="BY157">
        <v>3.4008700000000003E-2</v>
      </c>
      <c r="BZ157">
        <v>25.291699999999999</v>
      </c>
      <c r="CA157">
        <v>33528.1</v>
      </c>
      <c r="CB157">
        <v>1690384821</v>
      </c>
      <c r="CC157" t="s">
        <v>332</v>
      </c>
      <c r="CD157">
        <v>1690384820</v>
      </c>
      <c r="CE157">
        <v>1690384821</v>
      </c>
      <c r="CF157">
        <v>5</v>
      </c>
      <c r="CG157">
        <v>-2.5000000000000001E-2</v>
      </c>
      <c r="CH157">
        <v>0.104</v>
      </c>
      <c r="CI157">
        <v>-0.28799999999999998</v>
      </c>
      <c r="CJ157">
        <v>0.28000000000000003</v>
      </c>
      <c r="CK157">
        <v>800</v>
      </c>
      <c r="CL157">
        <v>24</v>
      </c>
      <c r="CM157">
        <v>0.08</v>
      </c>
      <c r="CN157">
        <v>0.11</v>
      </c>
      <c r="CO157">
        <v>-291.54780487804879</v>
      </c>
      <c r="CP157">
        <v>-15.694042757918959</v>
      </c>
      <c r="CQ157">
        <v>1.541476932250085</v>
      </c>
      <c r="CR157">
        <v>-1</v>
      </c>
      <c r="CS157">
        <v>17.92208048780488</v>
      </c>
      <c r="CT157">
        <v>1.3469910829364551</v>
      </c>
      <c r="CU157">
        <v>0.1324677249591748</v>
      </c>
      <c r="CV157">
        <v>-1</v>
      </c>
      <c r="CW157">
        <v>0</v>
      </c>
      <c r="CX157">
        <v>0</v>
      </c>
      <c r="CY157" t="s">
        <v>333</v>
      </c>
      <c r="CZ157">
        <v>2.36476</v>
      </c>
      <c r="DA157">
        <v>2.7138300000000002</v>
      </c>
      <c r="DB157">
        <v>0.106229</v>
      </c>
      <c r="DC157">
        <v>0.14557100000000001</v>
      </c>
      <c r="DD157">
        <v>0.11285199999999999</v>
      </c>
      <c r="DE157">
        <v>3.7851099999999999E-2</v>
      </c>
      <c r="DF157">
        <v>32655.7</v>
      </c>
      <c r="DG157">
        <v>27561</v>
      </c>
      <c r="DH157">
        <v>31190.799999999999</v>
      </c>
      <c r="DI157">
        <v>28106.5</v>
      </c>
      <c r="DJ157">
        <v>37566.1</v>
      </c>
      <c r="DK157">
        <v>38459.800000000003</v>
      </c>
      <c r="DL157">
        <v>44391.199999999997</v>
      </c>
      <c r="DM157">
        <v>42602.3</v>
      </c>
      <c r="DN157">
        <v>1.4726300000000001</v>
      </c>
      <c r="DO157">
        <v>2.0402</v>
      </c>
      <c r="DP157">
        <v>0.10781</v>
      </c>
      <c r="DQ157">
        <v>0.17993200000000001</v>
      </c>
      <c r="DR157">
        <v>25.228400000000001</v>
      </c>
      <c r="DS157">
        <v>24.998000000000001</v>
      </c>
      <c r="DT157">
        <v>47.9</v>
      </c>
      <c r="DU157">
        <v>28.8</v>
      </c>
      <c r="DV157">
        <v>19.3018</v>
      </c>
      <c r="DW157">
        <v>60.722200000000001</v>
      </c>
      <c r="DX157">
        <v>36.570500000000003</v>
      </c>
      <c r="DY157">
        <v>1</v>
      </c>
      <c r="DZ157">
        <v>-0.113966</v>
      </c>
      <c r="EA157">
        <v>-0.108415</v>
      </c>
      <c r="EB157">
        <v>20.190300000000001</v>
      </c>
      <c r="EC157">
        <v>5.2411000000000003</v>
      </c>
      <c r="ED157">
        <v>12.039899999999999</v>
      </c>
      <c r="EE157">
        <v>5.0168499999999998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</v>
      </c>
      <c r="EL157">
        <v>1.8646199999999999</v>
      </c>
      <c r="EM157">
        <v>1.8692</v>
      </c>
      <c r="EN157">
        <v>1.8672299999999999</v>
      </c>
      <c r="EO157">
        <v>1.8633999999999999</v>
      </c>
      <c r="EP157">
        <v>1.86446</v>
      </c>
      <c r="EQ157">
        <v>1.87019</v>
      </c>
      <c r="ER157">
        <v>1.86941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-8.1000000000000003E-2</v>
      </c>
      <c r="FG157">
        <v>0.2797</v>
      </c>
      <c r="FH157">
        <v>0.26269369235785539</v>
      </c>
      <c r="FI157">
        <v>-6.1462078757559423E-4</v>
      </c>
      <c r="FJ157">
        <v>-1.8861989874597051E-7</v>
      </c>
      <c r="FK157">
        <v>1.1980462299894961E-10</v>
      </c>
      <c r="FL157">
        <v>0.27968571428570849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33.1</v>
      </c>
      <c r="FU157">
        <v>33.1</v>
      </c>
      <c r="FV157">
        <v>1.7748999999999999</v>
      </c>
      <c r="FW157">
        <v>2.5830099999999998</v>
      </c>
      <c r="FX157">
        <v>1.5490699999999999</v>
      </c>
      <c r="FY157">
        <v>2.3315399999999999</v>
      </c>
      <c r="FZ157">
        <v>1.50146</v>
      </c>
      <c r="GA157">
        <v>2.34131</v>
      </c>
      <c r="GB157">
        <v>33.535499999999999</v>
      </c>
      <c r="GC157">
        <v>23.973700000000001</v>
      </c>
      <c r="GD157">
        <v>19</v>
      </c>
      <c r="GE157">
        <v>280.31200000000001</v>
      </c>
      <c r="GF157">
        <v>583.54700000000003</v>
      </c>
      <c r="GG157">
        <v>24.818999999999999</v>
      </c>
      <c r="GH157">
        <v>25.9757</v>
      </c>
      <c r="GI157">
        <v>30</v>
      </c>
      <c r="GJ157">
        <v>26.1126</v>
      </c>
      <c r="GK157">
        <v>26.093800000000002</v>
      </c>
      <c r="GL157">
        <v>35.486499999999999</v>
      </c>
      <c r="GM157">
        <v>67.854100000000003</v>
      </c>
      <c r="GN157">
        <v>63.029400000000003</v>
      </c>
      <c r="GO157">
        <v>24.805900000000001</v>
      </c>
      <c r="GP157">
        <v>800</v>
      </c>
      <c r="GQ157">
        <v>5.5751400000000002</v>
      </c>
      <c r="GR157">
        <v>99.802199999999999</v>
      </c>
      <c r="GS157">
        <v>99.659199999999998</v>
      </c>
    </row>
    <row r="158" spans="1:201" x14ac:dyDescent="0.25">
      <c r="A158">
        <v>142</v>
      </c>
      <c r="B158">
        <v>1690386816</v>
      </c>
      <c r="C158">
        <v>1481.400000095367</v>
      </c>
      <c r="D158" t="s">
        <v>617</v>
      </c>
      <c r="E158" t="s">
        <v>618</v>
      </c>
      <c r="F158" t="s">
        <v>330</v>
      </c>
      <c r="H158">
        <v>1690386816</v>
      </c>
      <c r="I158">
        <f t="shared" si="60"/>
        <v>1.778596927590884E-3</v>
      </c>
      <c r="J158">
        <f t="shared" si="61"/>
        <v>1.7785969275908839</v>
      </c>
      <c r="K158">
        <f t="shared" si="62"/>
        <v>27.145716212100538</v>
      </c>
      <c r="L158">
        <f t="shared" si="63"/>
        <v>503.03300000000002</v>
      </c>
      <c r="M158">
        <f t="shared" si="64"/>
        <v>136.00555565920675</v>
      </c>
      <c r="N158">
        <f t="shared" si="65"/>
        <v>13.432176063825686</v>
      </c>
      <c r="O158">
        <f t="shared" si="66"/>
        <v>49.680528042878002</v>
      </c>
      <c r="P158">
        <f t="shared" si="67"/>
        <v>0.1241193603710697</v>
      </c>
      <c r="Q158">
        <f t="shared" si="68"/>
        <v>2.1541094892625985</v>
      </c>
      <c r="R158">
        <f t="shared" si="69"/>
        <v>0.12027873162894458</v>
      </c>
      <c r="S158">
        <f t="shared" si="70"/>
        <v>7.550937305991004E-2</v>
      </c>
      <c r="T158">
        <f t="shared" si="71"/>
        <v>276.1145677256572</v>
      </c>
      <c r="U158">
        <f t="shared" si="72"/>
        <v>27.911172822018713</v>
      </c>
      <c r="V158">
        <f t="shared" si="73"/>
        <v>27.911172822018713</v>
      </c>
      <c r="W158">
        <f t="shared" si="74"/>
        <v>3.7752331208030907</v>
      </c>
      <c r="X158">
        <f t="shared" si="75"/>
        <v>68.461619946668208</v>
      </c>
      <c r="Y158">
        <f t="shared" si="76"/>
        <v>2.3601739586816004</v>
      </c>
      <c r="Z158">
        <f t="shared" si="77"/>
        <v>3.4474410049312048</v>
      </c>
      <c r="AA158">
        <f t="shared" si="78"/>
        <v>1.4150591621214903</v>
      </c>
      <c r="AB158">
        <f t="shared" si="79"/>
        <v>-78.436124506757992</v>
      </c>
      <c r="AC158">
        <f t="shared" si="80"/>
        <v>-179.78133600759602</v>
      </c>
      <c r="AD158">
        <f t="shared" si="81"/>
        <v>-18.036411277541799</v>
      </c>
      <c r="AE158">
        <f t="shared" si="82"/>
        <v>-0.13930406623862268</v>
      </c>
      <c r="AF158">
        <v>0</v>
      </c>
      <c r="AG158">
        <v>0</v>
      </c>
      <c r="AH158">
        <f t="shared" si="83"/>
        <v>1</v>
      </c>
      <c r="AI158">
        <f t="shared" si="84"/>
        <v>0</v>
      </c>
      <c r="AJ158">
        <f t="shared" si="85"/>
        <v>52120.680984806189</v>
      </c>
      <c r="AK158">
        <f t="shared" si="86"/>
        <v>1799.99</v>
      </c>
      <c r="AL158">
        <f t="shared" si="87"/>
        <v>1499.10167901107</v>
      </c>
      <c r="AM158">
        <f t="shared" si="88"/>
        <v>0.83283889300000002</v>
      </c>
      <c r="AN158">
        <f t="shared" si="89"/>
        <v>0.15339783428000001</v>
      </c>
      <c r="AO158">
        <v>31.8</v>
      </c>
      <c r="AP158">
        <v>0.5</v>
      </c>
      <c r="AQ158" t="s">
        <v>331</v>
      </c>
      <c r="AR158">
        <v>2</v>
      </c>
      <c r="AS158">
        <v>1690386816</v>
      </c>
      <c r="AT158">
        <v>503.03300000000002</v>
      </c>
      <c r="AU158">
        <v>800.19200000000001</v>
      </c>
      <c r="AV158">
        <v>23.897600000000001</v>
      </c>
      <c r="AW158">
        <v>5.4993100000000004</v>
      </c>
      <c r="AX158">
        <v>503.11200000000002</v>
      </c>
      <c r="AY158">
        <v>23.617899999999999</v>
      </c>
      <c r="AZ158">
        <v>300.07</v>
      </c>
      <c r="BA158">
        <v>98.661900000000003</v>
      </c>
      <c r="BB158">
        <v>0.100066</v>
      </c>
      <c r="BC158">
        <v>26.363099999999999</v>
      </c>
      <c r="BD158">
        <v>26.984200000000001</v>
      </c>
      <c r="BE158">
        <v>27.926100000000002</v>
      </c>
      <c r="BF158">
        <v>0</v>
      </c>
      <c r="BG158">
        <v>0</v>
      </c>
      <c r="BH158">
        <v>9968.1200000000008</v>
      </c>
      <c r="BI158">
        <v>1076.21</v>
      </c>
      <c r="BJ158">
        <v>1.5137799999999999</v>
      </c>
      <c r="BK158">
        <v>-297.15899999999999</v>
      </c>
      <c r="BL158">
        <v>515.34799999999996</v>
      </c>
      <c r="BM158">
        <v>804.61699999999996</v>
      </c>
      <c r="BN158">
        <v>18.398299999999999</v>
      </c>
      <c r="BO158">
        <v>800.19200000000001</v>
      </c>
      <c r="BP158">
        <v>5.4993100000000004</v>
      </c>
      <c r="BQ158">
        <v>2.35778</v>
      </c>
      <c r="BR158">
        <v>0.54257299999999997</v>
      </c>
      <c r="BS158">
        <v>20.076699999999999</v>
      </c>
      <c r="BT158">
        <v>-1.6830499999999999</v>
      </c>
      <c r="BU158">
        <v>1799.99</v>
      </c>
      <c r="BV158">
        <v>0.90998400000000002</v>
      </c>
      <c r="BW158">
        <v>3.4003600000000002E-2</v>
      </c>
      <c r="BX158">
        <v>2.2004900000000001E-2</v>
      </c>
      <c r="BY158">
        <v>3.40074E-2</v>
      </c>
      <c r="BZ158">
        <v>25.291699999999999</v>
      </c>
      <c r="CA158">
        <v>33528.1</v>
      </c>
      <c r="CB158">
        <v>1690384821</v>
      </c>
      <c r="CC158" t="s">
        <v>332</v>
      </c>
      <c r="CD158">
        <v>1690384820</v>
      </c>
      <c r="CE158">
        <v>1690384821</v>
      </c>
      <c r="CF158">
        <v>5</v>
      </c>
      <c r="CG158">
        <v>-2.5000000000000001E-2</v>
      </c>
      <c r="CH158">
        <v>0.104</v>
      </c>
      <c r="CI158">
        <v>-0.28799999999999998</v>
      </c>
      <c r="CJ158">
        <v>0.28000000000000003</v>
      </c>
      <c r="CK158">
        <v>800</v>
      </c>
      <c r="CL158">
        <v>24</v>
      </c>
      <c r="CM158">
        <v>0.08</v>
      </c>
      <c r="CN158">
        <v>0.11</v>
      </c>
      <c r="CO158">
        <v>-294.01570731707318</v>
      </c>
      <c r="CP158">
        <v>-15.473459410009029</v>
      </c>
      <c r="CQ158">
        <v>1.516613159415519</v>
      </c>
      <c r="CR158">
        <v>-1</v>
      </c>
      <c r="CS158">
        <v>18.139109756097561</v>
      </c>
      <c r="CT158">
        <v>1.3982553884621529</v>
      </c>
      <c r="CU158">
        <v>0.1371666670112123</v>
      </c>
      <c r="CV158">
        <v>-1</v>
      </c>
      <c r="CW158">
        <v>0</v>
      </c>
      <c r="CX158">
        <v>0</v>
      </c>
      <c r="CY158" t="s">
        <v>333</v>
      </c>
      <c r="CZ158">
        <v>2.3645800000000001</v>
      </c>
      <c r="DA158">
        <v>2.7138300000000002</v>
      </c>
      <c r="DB158">
        <v>0.10581500000000001</v>
      </c>
      <c r="DC158">
        <v>0.14558199999999999</v>
      </c>
      <c r="DD158">
        <v>0.11285000000000001</v>
      </c>
      <c r="DE158">
        <v>3.6603400000000001E-2</v>
      </c>
      <c r="DF158">
        <v>32670.7</v>
      </c>
      <c r="DG158">
        <v>27561.200000000001</v>
      </c>
      <c r="DH158">
        <v>31190.6</v>
      </c>
      <c r="DI158">
        <v>28107.1</v>
      </c>
      <c r="DJ158">
        <v>37565.800000000003</v>
      </c>
      <c r="DK158">
        <v>38510.400000000001</v>
      </c>
      <c r="DL158">
        <v>44390.9</v>
      </c>
      <c r="DM158">
        <v>42603</v>
      </c>
      <c r="DN158">
        <v>1.47275</v>
      </c>
      <c r="DO158">
        <v>2.0398200000000002</v>
      </c>
      <c r="DP158">
        <v>0.106879</v>
      </c>
      <c r="DQ158">
        <v>0.17844099999999999</v>
      </c>
      <c r="DR158">
        <v>25.233799999999999</v>
      </c>
      <c r="DS158">
        <v>25.005299999999998</v>
      </c>
      <c r="DT158">
        <v>47.5</v>
      </c>
      <c r="DU158">
        <v>28.8</v>
      </c>
      <c r="DV158">
        <v>19.135999999999999</v>
      </c>
      <c r="DW158">
        <v>60.982199999999999</v>
      </c>
      <c r="DX158">
        <v>37.411900000000003</v>
      </c>
      <c r="DY158">
        <v>1</v>
      </c>
      <c r="DZ158">
        <v>-0.11393</v>
      </c>
      <c r="EA158">
        <v>-0.17472499999999999</v>
      </c>
      <c r="EB158">
        <v>20.190100000000001</v>
      </c>
      <c r="EC158">
        <v>5.2409499999999998</v>
      </c>
      <c r="ED158">
        <v>12.039899999999999</v>
      </c>
      <c r="EE158">
        <v>5.01675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</v>
      </c>
      <c r="EL158">
        <v>1.8646199999999999</v>
      </c>
      <c r="EM158">
        <v>1.8692</v>
      </c>
      <c r="EN158">
        <v>1.8672599999999999</v>
      </c>
      <c r="EO158">
        <v>1.86338</v>
      </c>
      <c r="EP158">
        <v>1.8644700000000001</v>
      </c>
      <c r="EQ158">
        <v>1.8702000000000001</v>
      </c>
      <c r="ER158">
        <v>1.8694500000000001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-7.9000000000000001E-2</v>
      </c>
      <c r="FG158">
        <v>0.2797</v>
      </c>
      <c r="FH158">
        <v>0.26269369235785539</v>
      </c>
      <c r="FI158">
        <v>-6.1462078757559423E-4</v>
      </c>
      <c r="FJ158">
        <v>-1.8861989874597051E-7</v>
      </c>
      <c r="FK158">
        <v>1.1980462299894961E-10</v>
      </c>
      <c r="FL158">
        <v>0.27968571428570849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33.299999999999997</v>
      </c>
      <c r="FU158">
        <v>33.200000000000003</v>
      </c>
      <c r="FV158">
        <v>1.7748999999999999</v>
      </c>
      <c r="FW158">
        <v>2.5781200000000002</v>
      </c>
      <c r="FX158">
        <v>1.5490699999999999</v>
      </c>
      <c r="FY158">
        <v>2.3315399999999999</v>
      </c>
      <c r="FZ158">
        <v>1.50146</v>
      </c>
      <c r="GA158">
        <v>2.3889200000000002</v>
      </c>
      <c r="GB158">
        <v>33.535499999999999</v>
      </c>
      <c r="GC158">
        <v>23.982399999999998</v>
      </c>
      <c r="GD158">
        <v>19</v>
      </c>
      <c r="GE158">
        <v>280.35500000000002</v>
      </c>
      <c r="GF158">
        <v>583.22400000000005</v>
      </c>
      <c r="GG158">
        <v>24.814800000000002</v>
      </c>
      <c r="GH158">
        <v>25.973500000000001</v>
      </c>
      <c r="GI158">
        <v>30.0002</v>
      </c>
      <c r="GJ158">
        <v>26.110399999999998</v>
      </c>
      <c r="GK158">
        <v>26.092500000000001</v>
      </c>
      <c r="GL158">
        <v>35.475700000000003</v>
      </c>
      <c r="GM158">
        <v>68.457400000000007</v>
      </c>
      <c r="GN158">
        <v>61.867699999999999</v>
      </c>
      <c r="GO158">
        <v>24.819299999999998</v>
      </c>
      <c r="GP158">
        <v>800</v>
      </c>
      <c r="GQ158">
        <v>5.3436000000000003</v>
      </c>
      <c r="GR158">
        <v>99.801500000000004</v>
      </c>
      <c r="GS158">
        <v>99.660899999999998</v>
      </c>
    </row>
    <row r="159" spans="1:201" x14ac:dyDescent="0.25">
      <c r="A159">
        <v>143</v>
      </c>
      <c r="B159">
        <v>1690386826</v>
      </c>
      <c r="C159">
        <v>1491.400000095367</v>
      </c>
      <c r="D159" t="s">
        <v>619</v>
      </c>
      <c r="E159" t="s">
        <v>620</v>
      </c>
      <c r="F159" t="s">
        <v>330</v>
      </c>
      <c r="H159">
        <v>1690386826</v>
      </c>
      <c r="I159">
        <f t="shared" si="60"/>
        <v>1.8010889479116998E-3</v>
      </c>
      <c r="J159">
        <f t="shared" si="61"/>
        <v>1.8010889479116998</v>
      </c>
      <c r="K159">
        <f t="shared" si="62"/>
        <v>27.378510414393244</v>
      </c>
      <c r="L159">
        <f t="shared" si="63"/>
        <v>500.56400000000002</v>
      </c>
      <c r="M159">
        <f t="shared" si="64"/>
        <v>135.44961705340404</v>
      </c>
      <c r="N159">
        <f t="shared" si="65"/>
        <v>13.377524983971753</v>
      </c>
      <c r="O159">
        <f t="shared" si="66"/>
        <v>49.437625308579996</v>
      </c>
      <c r="P159">
        <f t="shared" si="67"/>
        <v>0.12587979923156978</v>
      </c>
      <c r="Q159">
        <f t="shared" si="68"/>
        <v>2.1575808615452674</v>
      </c>
      <c r="R159">
        <f t="shared" si="69"/>
        <v>0.12193745520418593</v>
      </c>
      <c r="S159">
        <f t="shared" si="70"/>
        <v>7.655482848146164E-2</v>
      </c>
      <c r="T159">
        <f t="shared" si="71"/>
        <v>276.11619650999995</v>
      </c>
      <c r="U159">
        <f t="shared" si="72"/>
        <v>27.902262022265141</v>
      </c>
      <c r="V159">
        <f t="shared" si="73"/>
        <v>27.902262022265141</v>
      </c>
      <c r="W159">
        <f t="shared" si="74"/>
        <v>3.7732711531339396</v>
      </c>
      <c r="X159">
        <f t="shared" si="75"/>
        <v>68.445300999537807</v>
      </c>
      <c r="Y159">
        <f t="shared" si="76"/>
        <v>2.3597645485849998</v>
      </c>
      <c r="Z159">
        <f t="shared" si="77"/>
        <v>3.447664798202779</v>
      </c>
      <c r="AA159">
        <f t="shared" si="78"/>
        <v>1.4135066045489397</v>
      </c>
      <c r="AB159">
        <f t="shared" si="79"/>
        <v>-79.428022602905969</v>
      </c>
      <c r="AC159">
        <f t="shared" si="80"/>
        <v>-178.90660448776589</v>
      </c>
      <c r="AD159">
        <f t="shared" si="81"/>
        <v>-17.919075603667828</v>
      </c>
      <c r="AE159">
        <f t="shared" si="82"/>
        <v>-0.1375061843397134</v>
      </c>
      <c r="AF159">
        <v>0</v>
      </c>
      <c r="AG159">
        <v>0</v>
      </c>
      <c r="AH159">
        <f t="shared" si="83"/>
        <v>1</v>
      </c>
      <c r="AI159">
        <f t="shared" si="84"/>
        <v>0</v>
      </c>
      <c r="AJ159">
        <f t="shared" si="85"/>
        <v>52265.782605924927</v>
      </c>
      <c r="AK159">
        <f t="shared" si="86"/>
        <v>1800</v>
      </c>
      <c r="AL159">
        <f t="shared" si="87"/>
        <v>1499.1110999999999</v>
      </c>
      <c r="AM159">
        <f t="shared" si="88"/>
        <v>0.83283949999999995</v>
      </c>
      <c r="AN159">
        <f t="shared" si="89"/>
        <v>0.15339788694999998</v>
      </c>
      <c r="AO159">
        <v>31.8</v>
      </c>
      <c r="AP159">
        <v>0.5</v>
      </c>
      <c r="AQ159" t="s">
        <v>331</v>
      </c>
      <c r="AR159">
        <v>2</v>
      </c>
      <c r="AS159">
        <v>1690386826</v>
      </c>
      <c r="AT159">
        <v>500.56400000000002</v>
      </c>
      <c r="AU159">
        <v>800.15099999999995</v>
      </c>
      <c r="AV159">
        <v>23.893000000000001</v>
      </c>
      <c r="AW159">
        <v>5.26891</v>
      </c>
      <c r="AX159">
        <v>500.64100000000002</v>
      </c>
      <c r="AY159">
        <v>23.613299999999999</v>
      </c>
      <c r="AZ159">
        <v>300.18200000000002</v>
      </c>
      <c r="BA159">
        <v>98.663799999999995</v>
      </c>
      <c r="BB159">
        <v>0.100045</v>
      </c>
      <c r="BC159">
        <v>26.3642</v>
      </c>
      <c r="BD159">
        <v>26.988199999999999</v>
      </c>
      <c r="BE159">
        <v>27.930800000000001</v>
      </c>
      <c r="BF159">
        <v>0</v>
      </c>
      <c r="BG159">
        <v>0</v>
      </c>
      <c r="BH159">
        <v>9996.8799999999992</v>
      </c>
      <c r="BI159">
        <v>1076.31</v>
      </c>
      <c r="BJ159">
        <v>1.5137799999999999</v>
      </c>
      <c r="BK159">
        <v>-299.58699999999999</v>
      </c>
      <c r="BL159">
        <v>512.81700000000001</v>
      </c>
      <c r="BM159">
        <v>804.38900000000001</v>
      </c>
      <c r="BN159">
        <v>18.624099999999999</v>
      </c>
      <c r="BO159">
        <v>800.15099999999995</v>
      </c>
      <c r="BP159">
        <v>5.26891</v>
      </c>
      <c r="BQ159">
        <v>2.35737</v>
      </c>
      <c r="BR159">
        <v>0.51985000000000003</v>
      </c>
      <c r="BS159">
        <v>20.073899999999998</v>
      </c>
      <c r="BT159">
        <v>-2.26247</v>
      </c>
      <c r="BU159">
        <v>1800</v>
      </c>
      <c r="BV159">
        <v>0.90998599999999996</v>
      </c>
      <c r="BW159">
        <v>3.4003100000000001E-2</v>
      </c>
      <c r="BX159">
        <v>2.20045E-2</v>
      </c>
      <c r="BY159">
        <v>3.40069E-2</v>
      </c>
      <c r="BZ159">
        <v>25.166699999999999</v>
      </c>
      <c r="CA159">
        <v>33528.300000000003</v>
      </c>
      <c r="CB159">
        <v>1690384821</v>
      </c>
      <c r="CC159" t="s">
        <v>332</v>
      </c>
      <c r="CD159">
        <v>1690384820</v>
      </c>
      <c r="CE159">
        <v>1690384821</v>
      </c>
      <c r="CF159">
        <v>5</v>
      </c>
      <c r="CG159">
        <v>-2.5000000000000001E-2</v>
      </c>
      <c r="CH159">
        <v>0.104</v>
      </c>
      <c r="CI159">
        <v>-0.28799999999999998</v>
      </c>
      <c r="CJ159">
        <v>0.28000000000000003</v>
      </c>
      <c r="CK159">
        <v>800</v>
      </c>
      <c r="CL159">
        <v>24</v>
      </c>
      <c r="CM159">
        <v>0.08</v>
      </c>
      <c r="CN159">
        <v>0.11</v>
      </c>
      <c r="CO159">
        <v>-296.69995121951217</v>
      </c>
      <c r="CP159">
        <v>-15.007986062717491</v>
      </c>
      <c r="CQ159">
        <v>1.483316323207436</v>
      </c>
      <c r="CR159">
        <v>-1</v>
      </c>
      <c r="CS159">
        <v>18.378253658536579</v>
      </c>
      <c r="CT159">
        <v>1.3146229965157019</v>
      </c>
      <c r="CU159">
        <v>0.1298168636825402</v>
      </c>
      <c r="CV159">
        <v>-1</v>
      </c>
      <c r="CW159">
        <v>0</v>
      </c>
      <c r="CX159">
        <v>0</v>
      </c>
      <c r="CY159" t="s">
        <v>333</v>
      </c>
      <c r="CZ159">
        <v>2.3649399999999998</v>
      </c>
      <c r="DA159">
        <v>2.7138300000000002</v>
      </c>
      <c r="DB159">
        <v>0.105438</v>
      </c>
      <c r="DC159">
        <v>0.14557600000000001</v>
      </c>
      <c r="DD159">
        <v>0.11283700000000001</v>
      </c>
      <c r="DE159">
        <v>3.5331899999999999E-2</v>
      </c>
      <c r="DF159">
        <v>32684.6</v>
      </c>
      <c r="DG159">
        <v>27560.799999999999</v>
      </c>
      <c r="DH159">
        <v>31190.7</v>
      </c>
      <c r="DI159">
        <v>28106.5</v>
      </c>
      <c r="DJ159">
        <v>37566.6</v>
      </c>
      <c r="DK159">
        <v>38560.5</v>
      </c>
      <c r="DL159">
        <v>44391.199999999997</v>
      </c>
      <c r="DM159">
        <v>42601.9</v>
      </c>
      <c r="DN159">
        <v>1.4729000000000001</v>
      </c>
      <c r="DO159">
        <v>2.0396700000000001</v>
      </c>
      <c r="DP159">
        <v>0.106767</v>
      </c>
      <c r="DQ159">
        <v>0.17834800000000001</v>
      </c>
      <c r="DR159">
        <v>25.239599999999999</v>
      </c>
      <c r="DS159">
        <v>25.011500000000002</v>
      </c>
      <c r="DT159">
        <v>47.1</v>
      </c>
      <c r="DU159">
        <v>28.8</v>
      </c>
      <c r="DV159">
        <v>18.9757</v>
      </c>
      <c r="DW159">
        <v>61.032200000000003</v>
      </c>
      <c r="DX159">
        <v>37.435899999999997</v>
      </c>
      <c r="DY159">
        <v>1</v>
      </c>
      <c r="DZ159">
        <v>-0.114159</v>
      </c>
      <c r="EA159">
        <v>-0.20125299999999999</v>
      </c>
      <c r="EB159">
        <v>20.190200000000001</v>
      </c>
      <c r="EC159">
        <v>5.2409499999999998</v>
      </c>
      <c r="ED159">
        <v>12.039899999999999</v>
      </c>
      <c r="EE159">
        <v>5.01675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1.8689100000000001</v>
      </c>
      <c r="EL159">
        <v>1.8646199999999999</v>
      </c>
      <c r="EM159">
        <v>1.86921</v>
      </c>
      <c r="EN159">
        <v>1.8672500000000001</v>
      </c>
      <c r="EO159">
        <v>1.8633900000000001</v>
      </c>
      <c r="EP159">
        <v>1.8644700000000001</v>
      </c>
      <c r="EQ159">
        <v>1.87019</v>
      </c>
      <c r="ER159">
        <v>1.86941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-7.6999999999999999E-2</v>
      </c>
      <c r="FG159">
        <v>0.2797</v>
      </c>
      <c r="FH159">
        <v>0.26269369235785539</v>
      </c>
      <c r="FI159">
        <v>-6.1462078757559423E-4</v>
      </c>
      <c r="FJ159">
        <v>-1.8861989874597051E-7</v>
      </c>
      <c r="FK159">
        <v>1.1980462299894961E-10</v>
      </c>
      <c r="FL159">
        <v>0.27968571428570849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33.4</v>
      </c>
      <c r="FU159">
        <v>33.4</v>
      </c>
      <c r="FV159">
        <v>1.7736799999999999</v>
      </c>
      <c r="FW159">
        <v>2.5756800000000002</v>
      </c>
      <c r="FX159">
        <v>1.5490699999999999</v>
      </c>
      <c r="FY159">
        <v>2.3315399999999999</v>
      </c>
      <c r="FZ159">
        <v>1.50146</v>
      </c>
      <c r="GA159">
        <v>2.3730500000000001</v>
      </c>
      <c r="GB159">
        <v>33.512999999999998</v>
      </c>
      <c r="GC159">
        <v>23.991199999999999</v>
      </c>
      <c r="GD159">
        <v>19</v>
      </c>
      <c r="GE159">
        <v>280.40899999999999</v>
      </c>
      <c r="GF159">
        <v>583.08900000000006</v>
      </c>
      <c r="GG159">
        <v>24.8339</v>
      </c>
      <c r="GH159">
        <v>25.973500000000001</v>
      </c>
      <c r="GI159">
        <v>30.0001</v>
      </c>
      <c r="GJ159">
        <v>26.1082</v>
      </c>
      <c r="GK159">
        <v>26.0916</v>
      </c>
      <c r="GL159">
        <v>35.475200000000001</v>
      </c>
      <c r="GM159">
        <v>69.364099999999993</v>
      </c>
      <c r="GN159">
        <v>61.085500000000003</v>
      </c>
      <c r="GO159">
        <v>24.8371</v>
      </c>
      <c r="GP159">
        <v>800</v>
      </c>
      <c r="GQ159">
        <v>5.1179100000000002</v>
      </c>
      <c r="GR159">
        <v>99.802199999999999</v>
      </c>
      <c r="GS159">
        <v>99.658699999999996</v>
      </c>
    </row>
    <row r="160" spans="1:201" x14ac:dyDescent="0.25">
      <c r="A160">
        <v>144</v>
      </c>
      <c r="B160">
        <v>1690386836</v>
      </c>
      <c r="C160">
        <v>1501.400000095367</v>
      </c>
      <c r="D160" t="s">
        <v>621</v>
      </c>
      <c r="E160" t="s">
        <v>622</v>
      </c>
      <c r="F160" t="s">
        <v>330</v>
      </c>
      <c r="H160">
        <v>1690386836</v>
      </c>
      <c r="I160">
        <f t="shared" si="60"/>
        <v>1.8226261750698576E-3</v>
      </c>
      <c r="J160">
        <f t="shared" si="61"/>
        <v>1.8226261750698576</v>
      </c>
      <c r="K160">
        <f t="shared" si="62"/>
        <v>27.587126166846456</v>
      </c>
      <c r="L160">
        <f t="shared" si="63"/>
        <v>498.23500000000001</v>
      </c>
      <c r="M160">
        <f t="shared" si="64"/>
        <v>135.01342420213541</v>
      </c>
      <c r="N160">
        <f t="shared" si="65"/>
        <v>13.333946161229948</v>
      </c>
      <c r="O160">
        <f t="shared" si="66"/>
        <v>49.205763833485001</v>
      </c>
      <c r="P160">
        <f t="shared" si="67"/>
        <v>0.12754139142827262</v>
      </c>
      <c r="Q160">
        <f t="shared" si="68"/>
        <v>2.1598474976744253</v>
      </c>
      <c r="R160">
        <f t="shared" si="69"/>
        <v>0.12350018451114263</v>
      </c>
      <c r="S160">
        <f t="shared" si="70"/>
        <v>7.7540035119379375E-2</v>
      </c>
      <c r="T160">
        <f t="shared" si="71"/>
        <v>276.11450715599364</v>
      </c>
      <c r="U160">
        <f t="shared" si="72"/>
        <v>27.895557365459819</v>
      </c>
      <c r="V160">
        <f t="shared" si="73"/>
        <v>27.895557365459819</v>
      </c>
      <c r="W160">
        <f t="shared" si="74"/>
        <v>3.771795517554978</v>
      </c>
      <c r="X160">
        <f t="shared" si="75"/>
        <v>68.429559663187135</v>
      </c>
      <c r="Y160">
        <f t="shared" si="76"/>
        <v>2.3595281476165</v>
      </c>
      <c r="Z160">
        <f t="shared" si="77"/>
        <v>3.4481124228041016</v>
      </c>
      <c r="AA160">
        <f t="shared" si="78"/>
        <v>1.412267369938478</v>
      </c>
      <c r="AB160">
        <f t="shared" si="79"/>
        <v>-80.377814320580725</v>
      </c>
      <c r="AC160">
        <f t="shared" si="80"/>
        <v>-178.05768059387393</v>
      </c>
      <c r="AD160">
        <f t="shared" si="81"/>
        <v>-17.814930143759867</v>
      </c>
      <c r="AE160">
        <f t="shared" si="82"/>
        <v>-0.13591790222088207</v>
      </c>
      <c r="AF160">
        <v>0</v>
      </c>
      <c r="AG160">
        <v>0</v>
      </c>
      <c r="AH160">
        <f t="shared" si="83"/>
        <v>1</v>
      </c>
      <c r="AI160">
        <f t="shared" si="84"/>
        <v>0</v>
      </c>
      <c r="AJ160">
        <f t="shared" si="85"/>
        <v>52360.294927645446</v>
      </c>
      <c r="AK160">
        <f t="shared" si="86"/>
        <v>1799.99</v>
      </c>
      <c r="AL160">
        <f t="shared" si="87"/>
        <v>1499.10209300877</v>
      </c>
      <c r="AM160">
        <f t="shared" si="88"/>
        <v>0.83283912299999996</v>
      </c>
      <c r="AN160">
        <f t="shared" si="89"/>
        <v>0.15339780062999997</v>
      </c>
      <c r="AO160">
        <v>31.8</v>
      </c>
      <c r="AP160">
        <v>0.5</v>
      </c>
      <c r="AQ160" t="s">
        <v>331</v>
      </c>
      <c r="AR160">
        <v>2</v>
      </c>
      <c r="AS160">
        <v>1690386836</v>
      </c>
      <c r="AT160">
        <v>498.23500000000001</v>
      </c>
      <c r="AU160">
        <v>800.06</v>
      </c>
      <c r="AV160">
        <v>23.891500000000001</v>
      </c>
      <c r="AW160">
        <v>5.04725</v>
      </c>
      <c r="AX160">
        <v>498.31099999999998</v>
      </c>
      <c r="AY160">
        <v>23.611799999999999</v>
      </c>
      <c r="AZ160">
        <v>300.22300000000001</v>
      </c>
      <c r="BA160">
        <v>98.6601</v>
      </c>
      <c r="BB160">
        <v>0.100051</v>
      </c>
      <c r="BC160">
        <v>26.366399999999999</v>
      </c>
      <c r="BD160">
        <v>26.975200000000001</v>
      </c>
      <c r="BE160">
        <v>27.9223</v>
      </c>
      <c r="BF160">
        <v>0</v>
      </c>
      <c r="BG160">
        <v>0</v>
      </c>
      <c r="BH160">
        <v>10016.200000000001</v>
      </c>
      <c r="BI160">
        <v>1076.44</v>
      </c>
      <c r="BJ160">
        <v>1.5137799999999999</v>
      </c>
      <c r="BK160">
        <v>-301.82499999999999</v>
      </c>
      <c r="BL160">
        <v>510.43</v>
      </c>
      <c r="BM160">
        <v>804.11900000000003</v>
      </c>
      <c r="BN160">
        <v>18.8443</v>
      </c>
      <c r="BO160">
        <v>800.06</v>
      </c>
      <c r="BP160">
        <v>5.04725</v>
      </c>
      <c r="BQ160">
        <v>2.3571399999999998</v>
      </c>
      <c r="BR160">
        <v>0.49796200000000002</v>
      </c>
      <c r="BS160">
        <v>20.072299999999998</v>
      </c>
      <c r="BT160">
        <v>-2.84226</v>
      </c>
      <c r="BU160">
        <v>1799.99</v>
      </c>
      <c r="BV160">
        <v>0.90998599999999996</v>
      </c>
      <c r="BW160">
        <v>3.4002900000000003E-2</v>
      </c>
      <c r="BX160">
        <v>2.20044E-2</v>
      </c>
      <c r="BY160">
        <v>3.4006700000000001E-2</v>
      </c>
      <c r="BZ160">
        <v>25.041699999999999</v>
      </c>
      <c r="CA160">
        <v>33528.199999999997</v>
      </c>
      <c r="CB160">
        <v>1690384821</v>
      </c>
      <c r="CC160" t="s">
        <v>332</v>
      </c>
      <c r="CD160">
        <v>1690384820</v>
      </c>
      <c r="CE160">
        <v>1690384821</v>
      </c>
      <c r="CF160">
        <v>5</v>
      </c>
      <c r="CG160">
        <v>-2.5000000000000001E-2</v>
      </c>
      <c r="CH160">
        <v>0.104</v>
      </c>
      <c r="CI160">
        <v>-0.28799999999999998</v>
      </c>
      <c r="CJ160">
        <v>0.28000000000000003</v>
      </c>
      <c r="CK160">
        <v>800</v>
      </c>
      <c r="CL160">
        <v>24</v>
      </c>
      <c r="CM160">
        <v>0.08</v>
      </c>
      <c r="CN160">
        <v>0.11</v>
      </c>
      <c r="CO160">
        <v>-299.38769999999988</v>
      </c>
      <c r="CP160">
        <v>-14.56129080675357</v>
      </c>
      <c r="CQ160">
        <v>1.4044859593459831</v>
      </c>
      <c r="CR160">
        <v>-1</v>
      </c>
      <c r="CS160">
        <v>18.614954999999998</v>
      </c>
      <c r="CT160">
        <v>1.312072795497174</v>
      </c>
      <c r="CU160">
        <v>0.12633566588655809</v>
      </c>
      <c r="CV160">
        <v>-1</v>
      </c>
      <c r="CW160">
        <v>0</v>
      </c>
      <c r="CX160">
        <v>0</v>
      </c>
      <c r="CY160" t="s">
        <v>333</v>
      </c>
      <c r="CZ160">
        <v>2.3650600000000002</v>
      </c>
      <c r="DA160">
        <v>2.7138599999999999</v>
      </c>
      <c r="DB160">
        <v>0.105075</v>
      </c>
      <c r="DC160">
        <v>0.14555599999999999</v>
      </c>
      <c r="DD160">
        <v>0.112828</v>
      </c>
      <c r="DE160">
        <v>3.40921E-2</v>
      </c>
      <c r="DF160">
        <v>32697.9</v>
      </c>
      <c r="DG160">
        <v>27561.5</v>
      </c>
      <c r="DH160">
        <v>31190.799999999999</v>
      </c>
      <c r="DI160">
        <v>28106.5</v>
      </c>
      <c r="DJ160">
        <v>37567</v>
      </c>
      <c r="DK160">
        <v>38610.199999999997</v>
      </c>
      <c r="DL160">
        <v>44391.199999999997</v>
      </c>
      <c r="DM160">
        <v>42601.9</v>
      </c>
      <c r="DN160">
        <v>1.4732499999999999</v>
      </c>
      <c r="DO160">
        <v>2.0393699999999999</v>
      </c>
      <c r="DP160">
        <v>0.105724</v>
      </c>
      <c r="DQ160">
        <v>0.17760300000000001</v>
      </c>
      <c r="DR160">
        <v>25.2437</v>
      </c>
      <c r="DS160">
        <v>25.0153</v>
      </c>
      <c r="DT160">
        <v>46.7</v>
      </c>
      <c r="DU160">
        <v>28.8</v>
      </c>
      <c r="DV160">
        <v>18.819099999999999</v>
      </c>
      <c r="DW160">
        <v>60.902200000000001</v>
      </c>
      <c r="DX160">
        <v>36.554499999999997</v>
      </c>
      <c r="DY160">
        <v>1</v>
      </c>
      <c r="DZ160">
        <v>-0.11412600000000001</v>
      </c>
      <c r="EA160">
        <v>-0.21637500000000001</v>
      </c>
      <c r="EB160">
        <v>20.190100000000001</v>
      </c>
      <c r="EC160">
        <v>5.2415500000000002</v>
      </c>
      <c r="ED160">
        <v>12.039899999999999</v>
      </c>
      <c r="EE160">
        <v>5.0172999999999996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1.8689100000000001</v>
      </c>
      <c r="EL160">
        <v>1.8646199999999999</v>
      </c>
      <c r="EM160">
        <v>1.8692</v>
      </c>
      <c r="EN160">
        <v>1.8672599999999999</v>
      </c>
      <c r="EO160">
        <v>1.8633999999999999</v>
      </c>
      <c r="EP160">
        <v>1.8644700000000001</v>
      </c>
      <c r="EQ160">
        <v>1.87019</v>
      </c>
      <c r="ER160">
        <v>1.8694200000000001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-7.5999999999999998E-2</v>
      </c>
      <c r="FG160">
        <v>0.2797</v>
      </c>
      <c r="FH160">
        <v>0.26269369235785539</v>
      </c>
      <c r="FI160">
        <v>-6.1462078757559423E-4</v>
      </c>
      <c r="FJ160">
        <v>-1.8861989874597051E-7</v>
      </c>
      <c r="FK160">
        <v>1.1980462299894961E-10</v>
      </c>
      <c r="FL160">
        <v>0.27968571428570849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33.6</v>
      </c>
      <c r="FU160">
        <v>33.6</v>
      </c>
      <c r="FV160">
        <v>1.7736799999999999</v>
      </c>
      <c r="FW160">
        <v>2.5842299999999998</v>
      </c>
      <c r="FX160">
        <v>1.5490699999999999</v>
      </c>
      <c r="FY160">
        <v>2.3315399999999999</v>
      </c>
      <c r="FZ160">
        <v>1.50146</v>
      </c>
      <c r="GA160">
        <v>2.2863799999999999</v>
      </c>
      <c r="GB160">
        <v>33.535499999999999</v>
      </c>
      <c r="GC160">
        <v>23.973700000000001</v>
      </c>
      <c r="GD160">
        <v>19</v>
      </c>
      <c r="GE160">
        <v>280.55700000000002</v>
      </c>
      <c r="GF160">
        <v>582.81600000000003</v>
      </c>
      <c r="GG160">
        <v>24.859000000000002</v>
      </c>
      <c r="GH160">
        <v>25.971299999999999</v>
      </c>
      <c r="GI160">
        <v>30.0001</v>
      </c>
      <c r="GJ160">
        <v>26.1082</v>
      </c>
      <c r="GK160">
        <v>26.089400000000001</v>
      </c>
      <c r="GL160">
        <v>35.467199999999998</v>
      </c>
      <c r="GM160">
        <v>70.240600000000001</v>
      </c>
      <c r="GN160">
        <v>60.298299999999998</v>
      </c>
      <c r="GO160">
        <v>24.8598</v>
      </c>
      <c r="GP160">
        <v>800</v>
      </c>
      <c r="GQ160">
        <v>4.8927100000000001</v>
      </c>
      <c r="GR160">
        <v>99.802300000000002</v>
      </c>
      <c r="GS160">
        <v>99.658799999999999</v>
      </c>
    </row>
    <row r="161" spans="1:201" x14ac:dyDescent="0.25">
      <c r="A161">
        <v>145</v>
      </c>
      <c r="B161">
        <v>1690386846</v>
      </c>
      <c r="C161">
        <v>1511.400000095367</v>
      </c>
      <c r="D161" t="s">
        <v>623</v>
      </c>
      <c r="E161" t="s">
        <v>624</v>
      </c>
      <c r="F161" t="s">
        <v>330</v>
      </c>
      <c r="H161">
        <v>1690386846</v>
      </c>
      <c r="I161">
        <f t="shared" si="60"/>
        <v>1.8425568474258302E-3</v>
      </c>
      <c r="J161">
        <f t="shared" si="61"/>
        <v>1.8425568474258303</v>
      </c>
      <c r="K161">
        <f t="shared" si="62"/>
        <v>27.780285396398224</v>
      </c>
      <c r="L161">
        <f t="shared" si="63"/>
        <v>495.94299999999998</v>
      </c>
      <c r="M161">
        <f t="shared" si="64"/>
        <v>134.06976248208383</v>
      </c>
      <c r="N161">
        <f t="shared" si="65"/>
        <v>13.240718212731025</v>
      </c>
      <c r="O161">
        <f t="shared" si="66"/>
        <v>48.979288028901998</v>
      </c>
      <c r="P161">
        <f t="shared" si="67"/>
        <v>0.12895333575019013</v>
      </c>
      <c r="Q161">
        <f t="shared" si="68"/>
        <v>2.1569346743183373</v>
      </c>
      <c r="R161">
        <f t="shared" si="69"/>
        <v>0.1248183321412749</v>
      </c>
      <c r="S161">
        <f t="shared" si="70"/>
        <v>7.8371925914340682E-2</v>
      </c>
      <c r="T161">
        <f t="shared" si="71"/>
        <v>276.11596182600005</v>
      </c>
      <c r="U161">
        <f t="shared" si="72"/>
        <v>27.895265537077734</v>
      </c>
      <c r="V161">
        <f t="shared" si="73"/>
        <v>27.895265537077734</v>
      </c>
      <c r="W161">
        <f t="shared" si="74"/>
        <v>3.7717313001492787</v>
      </c>
      <c r="X161">
        <f t="shared" si="75"/>
        <v>68.398106810347713</v>
      </c>
      <c r="Y161">
        <f t="shared" si="76"/>
        <v>2.3590978177008002</v>
      </c>
      <c r="Z161">
        <f t="shared" si="77"/>
        <v>3.4490688817484938</v>
      </c>
      <c r="AA161">
        <f t="shared" si="78"/>
        <v>1.4126334824484785</v>
      </c>
      <c r="AB161">
        <f t="shared" si="79"/>
        <v>-81.256756971479106</v>
      </c>
      <c r="AC161">
        <f t="shared" si="80"/>
        <v>-177.2370745578194</v>
      </c>
      <c r="AD161">
        <f t="shared" si="81"/>
        <v>-17.757164991129539</v>
      </c>
      <c r="AE161">
        <f t="shared" si="82"/>
        <v>-0.1350346944279579</v>
      </c>
      <c r="AF161">
        <v>0</v>
      </c>
      <c r="AG161">
        <v>0</v>
      </c>
      <c r="AH161">
        <f t="shared" si="83"/>
        <v>1</v>
      </c>
      <c r="AI161">
        <f t="shared" si="84"/>
        <v>0</v>
      </c>
      <c r="AJ161">
        <f t="shared" si="85"/>
        <v>52237.437227446193</v>
      </c>
      <c r="AK161">
        <f t="shared" si="86"/>
        <v>1800</v>
      </c>
      <c r="AL161">
        <f t="shared" si="87"/>
        <v>1499.1104195999999</v>
      </c>
      <c r="AM161">
        <f t="shared" si="88"/>
        <v>0.83283912199999988</v>
      </c>
      <c r="AN161">
        <f t="shared" si="89"/>
        <v>0.15339775657000002</v>
      </c>
      <c r="AO161">
        <v>31.8</v>
      </c>
      <c r="AP161">
        <v>0.5</v>
      </c>
      <c r="AQ161" t="s">
        <v>331</v>
      </c>
      <c r="AR161">
        <v>2</v>
      </c>
      <c r="AS161">
        <v>1690386846</v>
      </c>
      <c r="AT161">
        <v>495.94299999999998</v>
      </c>
      <c r="AU161">
        <v>800</v>
      </c>
      <c r="AV161">
        <v>23.8872</v>
      </c>
      <c r="AW161">
        <v>4.8289299999999997</v>
      </c>
      <c r="AX161">
        <v>496.017</v>
      </c>
      <c r="AY161">
        <v>23.607500000000002</v>
      </c>
      <c r="AZ161">
        <v>300.09899999999999</v>
      </c>
      <c r="BA161">
        <v>98.659899999999993</v>
      </c>
      <c r="BB161">
        <v>0.10001400000000001</v>
      </c>
      <c r="BC161">
        <v>26.371099999999998</v>
      </c>
      <c r="BD161">
        <v>26.985199999999999</v>
      </c>
      <c r="BE161">
        <v>27.930700000000002</v>
      </c>
      <c r="BF161">
        <v>0</v>
      </c>
      <c r="BG161">
        <v>0</v>
      </c>
      <c r="BH161">
        <v>9991.8799999999992</v>
      </c>
      <c r="BI161">
        <v>1076.52</v>
      </c>
      <c r="BJ161">
        <v>1.5137799999999999</v>
      </c>
      <c r="BK161">
        <v>-304.05700000000002</v>
      </c>
      <c r="BL161">
        <v>508.08</v>
      </c>
      <c r="BM161">
        <v>803.88199999999995</v>
      </c>
      <c r="BN161">
        <v>19.058199999999999</v>
      </c>
      <c r="BO161">
        <v>800</v>
      </c>
      <c r="BP161">
        <v>4.8289299999999997</v>
      </c>
      <c r="BQ161">
        <v>2.3567100000000001</v>
      </c>
      <c r="BR161">
        <v>0.47642200000000001</v>
      </c>
      <c r="BS161">
        <v>20.069299999999998</v>
      </c>
      <c r="BT161">
        <v>-3.4353199999999999</v>
      </c>
      <c r="BU161">
        <v>1800</v>
      </c>
      <c r="BV161">
        <v>0.90998699999999999</v>
      </c>
      <c r="BW161">
        <v>3.4002499999999998E-2</v>
      </c>
      <c r="BX161">
        <v>2.2004099999999999E-2</v>
      </c>
      <c r="BY161">
        <v>3.4006300000000003E-2</v>
      </c>
      <c r="BZ161">
        <v>25.125</v>
      </c>
      <c r="CA161">
        <v>33528.199999999997</v>
      </c>
      <c r="CB161">
        <v>1690384821</v>
      </c>
      <c r="CC161" t="s">
        <v>332</v>
      </c>
      <c r="CD161">
        <v>1690384820</v>
      </c>
      <c r="CE161">
        <v>1690384821</v>
      </c>
      <c r="CF161">
        <v>5</v>
      </c>
      <c r="CG161">
        <v>-2.5000000000000001E-2</v>
      </c>
      <c r="CH161">
        <v>0.104</v>
      </c>
      <c r="CI161">
        <v>-0.28799999999999998</v>
      </c>
      <c r="CJ161">
        <v>0.28000000000000003</v>
      </c>
      <c r="CK161">
        <v>800</v>
      </c>
      <c r="CL161">
        <v>24</v>
      </c>
      <c r="CM161">
        <v>0.08</v>
      </c>
      <c r="CN161">
        <v>0.11</v>
      </c>
      <c r="CO161">
        <v>-301.56610000000001</v>
      </c>
      <c r="CP161">
        <v>-13.96903564727902</v>
      </c>
      <c r="CQ161">
        <v>1.3456572334736661</v>
      </c>
      <c r="CR161">
        <v>-1</v>
      </c>
      <c r="CS161">
        <v>18.815127499999999</v>
      </c>
      <c r="CT161">
        <v>1.350692307692323</v>
      </c>
      <c r="CU161">
        <v>0.1299966633946813</v>
      </c>
      <c r="CV161">
        <v>-1</v>
      </c>
      <c r="CW161">
        <v>0</v>
      </c>
      <c r="CX161">
        <v>0</v>
      </c>
      <c r="CY161" t="s">
        <v>333</v>
      </c>
      <c r="CZ161">
        <v>2.3646099999999999</v>
      </c>
      <c r="DA161">
        <v>2.7138</v>
      </c>
      <c r="DB161">
        <v>0.104722</v>
      </c>
      <c r="DC161">
        <v>0.14554400000000001</v>
      </c>
      <c r="DD161">
        <v>0.112814</v>
      </c>
      <c r="DE161">
        <v>3.2857200000000003E-2</v>
      </c>
      <c r="DF161">
        <v>32710.3</v>
      </c>
      <c r="DG161">
        <v>27561.9</v>
      </c>
      <c r="DH161">
        <v>31190.3</v>
      </c>
      <c r="DI161">
        <v>28106.5</v>
      </c>
      <c r="DJ161">
        <v>37567.1</v>
      </c>
      <c r="DK161">
        <v>38659.800000000003</v>
      </c>
      <c r="DL161">
        <v>44390.7</v>
      </c>
      <c r="DM161">
        <v>42602.1</v>
      </c>
      <c r="DN161">
        <v>1.47322</v>
      </c>
      <c r="DO161">
        <v>2.03918</v>
      </c>
      <c r="DP161">
        <v>0.106208</v>
      </c>
      <c r="DQ161">
        <v>0.17799400000000001</v>
      </c>
      <c r="DR161">
        <v>25.245799999999999</v>
      </c>
      <c r="DS161">
        <v>25.017199999999999</v>
      </c>
      <c r="DT161">
        <v>46.4</v>
      </c>
      <c r="DU161">
        <v>28.8</v>
      </c>
      <c r="DV161">
        <v>18.696200000000001</v>
      </c>
      <c r="DW161">
        <v>60.8322</v>
      </c>
      <c r="DX161">
        <v>36.710700000000003</v>
      </c>
      <c r="DY161">
        <v>1</v>
      </c>
      <c r="DZ161">
        <v>-0.114019</v>
      </c>
      <c r="EA161">
        <v>-0.28218100000000002</v>
      </c>
      <c r="EB161">
        <v>20.189900000000002</v>
      </c>
      <c r="EC161">
        <v>5.2411000000000003</v>
      </c>
      <c r="ED161">
        <v>12.039899999999999</v>
      </c>
      <c r="EE161">
        <v>5.0166500000000003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</v>
      </c>
      <c r="EL161">
        <v>1.8646199999999999</v>
      </c>
      <c r="EM161">
        <v>1.8692</v>
      </c>
      <c r="EN161">
        <v>1.8672299999999999</v>
      </c>
      <c r="EO161">
        <v>1.8633900000000001</v>
      </c>
      <c r="EP161">
        <v>1.8644700000000001</v>
      </c>
      <c r="EQ161">
        <v>1.8701700000000001</v>
      </c>
      <c r="ER161">
        <v>1.8694200000000001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-7.3999999999999996E-2</v>
      </c>
      <c r="FG161">
        <v>0.2797</v>
      </c>
      <c r="FH161">
        <v>0.26269369235785539</v>
      </c>
      <c r="FI161">
        <v>-6.1462078757559423E-4</v>
      </c>
      <c r="FJ161">
        <v>-1.8861989874597051E-7</v>
      </c>
      <c r="FK161">
        <v>1.1980462299894961E-10</v>
      </c>
      <c r="FL161">
        <v>0.27968571428570849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33.799999999999997</v>
      </c>
      <c r="FU161">
        <v>33.799999999999997</v>
      </c>
      <c r="FV161">
        <v>1.7736799999999999</v>
      </c>
      <c r="FW161">
        <v>2.5866699999999998</v>
      </c>
      <c r="FX161">
        <v>1.5490699999999999</v>
      </c>
      <c r="FY161">
        <v>2.3315399999999999</v>
      </c>
      <c r="FZ161">
        <v>1.50146</v>
      </c>
      <c r="GA161">
        <v>2.3144499999999999</v>
      </c>
      <c r="GB161">
        <v>33.535499999999999</v>
      </c>
      <c r="GC161">
        <v>23.982399999999998</v>
      </c>
      <c r="GD161">
        <v>19</v>
      </c>
      <c r="GE161">
        <v>280.536</v>
      </c>
      <c r="GF161">
        <v>582.63199999999995</v>
      </c>
      <c r="GG161">
        <v>24.885999999999999</v>
      </c>
      <c r="GH161">
        <v>25.971299999999999</v>
      </c>
      <c r="GI161">
        <v>30.0002</v>
      </c>
      <c r="GJ161">
        <v>26.106100000000001</v>
      </c>
      <c r="GK161">
        <v>26.087599999999998</v>
      </c>
      <c r="GL161">
        <v>35.462200000000003</v>
      </c>
      <c r="GM161">
        <v>70.814499999999995</v>
      </c>
      <c r="GN161">
        <v>59.515099999999997</v>
      </c>
      <c r="GO161">
        <v>24.894300000000001</v>
      </c>
      <c r="GP161">
        <v>800</v>
      </c>
      <c r="GQ161">
        <v>4.67225</v>
      </c>
      <c r="GR161">
        <v>99.800899999999999</v>
      </c>
      <c r="GS161">
        <v>99.659000000000006</v>
      </c>
    </row>
    <row r="162" spans="1:201" x14ac:dyDescent="0.25">
      <c r="A162">
        <v>146</v>
      </c>
      <c r="B162">
        <v>1690386856</v>
      </c>
      <c r="C162">
        <v>1521.400000095367</v>
      </c>
      <c r="D162" t="s">
        <v>625</v>
      </c>
      <c r="E162" t="s">
        <v>626</v>
      </c>
      <c r="F162" t="s">
        <v>330</v>
      </c>
      <c r="H162">
        <v>1690386856</v>
      </c>
      <c r="I162">
        <f t="shared" si="60"/>
        <v>1.8643454556215762E-3</v>
      </c>
      <c r="J162">
        <f t="shared" si="61"/>
        <v>1.8643454556215762</v>
      </c>
      <c r="K162">
        <f t="shared" si="62"/>
        <v>28.001680978767354</v>
      </c>
      <c r="L162">
        <f t="shared" si="63"/>
        <v>493.53500000000003</v>
      </c>
      <c r="M162">
        <f t="shared" si="64"/>
        <v>133.44808104198844</v>
      </c>
      <c r="N162">
        <f t="shared" si="65"/>
        <v>13.179238055844635</v>
      </c>
      <c r="O162">
        <f t="shared" si="66"/>
        <v>48.74116737463401</v>
      </c>
      <c r="P162">
        <f t="shared" si="67"/>
        <v>0.13065814583990942</v>
      </c>
      <c r="Q162">
        <f t="shared" si="68"/>
        <v>2.1643965376799263</v>
      </c>
      <c r="R162">
        <f t="shared" si="69"/>
        <v>0.12642914177408957</v>
      </c>
      <c r="S162">
        <f t="shared" si="70"/>
        <v>7.9386770256563544E-2</v>
      </c>
      <c r="T162">
        <f t="shared" si="71"/>
        <v>276.11605026000001</v>
      </c>
      <c r="U162">
        <f t="shared" si="72"/>
        <v>27.887786453141157</v>
      </c>
      <c r="V162">
        <f t="shared" si="73"/>
        <v>27.887786453141157</v>
      </c>
      <c r="W162">
        <f t="shared" si="74"/>
        <v>3.7700858385873688</v>
      </c>
      <c r="X162">
        <f t="shared" si="75"/>
        <v>68.374584866494104</v>
      </c>
      <c r="Y162">
        <f t="shared" si="76"/>
        <v>2.35895458233716</v>
      </c>
      <c r="Z162">
        <f t="shared" si="77"/>
        <v>3.4500459299945656</v>
      </c>
      <c r="AA162">
        <f t="shared" si="78"/>
        <v>1.4111312562502087</v>
      </c>
      <c r="AB162">
        <f t="shared" si="79"/>
        <v>-82.217634592911509</v>
      </c>
      <c r="AC162">
        <f t="shared" si="80"/>
        <v>-176.41741312657081</v>
      </c>
      <c r="AD162">
        <f t="shared" si="81"/>
        <v>-17.613870871575685</v>
      </c>
      <c r="AE162">
        <f t="shared" si="82"/>
        <v>-0.13286833105797768</v>
      </c>
      <c r="AF162">
        <v>0</v>
      </c>
      <c r="AG162">
        <v>0</v>
      </c>
      <c r="AH162">
        <f t="shared" si="83"/>
        <v>1</v>
      </c>
      <c r="AI162">
        <f t="shared" si="84"/>
        <v>0</v>
      </c>
      <c r="AJ162">
        <f t="shared" si="85"/>
        <v>52549.547573339594</v>
      </c>
      <c r="AK162">
        <f t="shared" si="86"/>
        <v>1800</v>
      </c>
      <c r="AL162">
        <f t="shared" si="87"/>
        <v>1499.111118</v>
      </c>
      <c r="AM162">
        <f t="shared" si="88"/>
        <v>0.83283951000000001</v>
      </c>
      <c r="AN162">
        <f t="shared" si="89"/>
        <v>0.1533978057</v>
      </c>
      <c r="AO162">
        <v>31.8</v>
      </c>
      <c r="AP162">
        <v>0.5</v>
      </c>
      <c r="AQ162" t="s">
        <v>331</v>
      </c>
      <c r="AR162">
        <v>2</v>
      </c>
      <c r="AS162">
        <v>1690386856</v>
      </c>
      <c r="AT162">
        <v>493.53500000000003</v>
      </c>
      <c r="AU162">
        <v>800.10199999999998</v>
      </c>
      <c r="AV162">
        <v>23.885899999999999</v>
      </c>
      <c r="AW162">
        <v>4.5961299999999996</v>
      </c>
      <c r="AX162">
        <v>493.608</v>
      </c>
      <c r="AY162">
        <v>23.606200000000001</v>
      </c>
      <c r="AZ162">
        <v>300.00400000000002</v>
      </c>
      <c r="BA162">
        <v>98.659300000000002</v>
      </c>
      <c r="BB162">
        <v>9.9992399999999995E-2</v>
      </c>
      <c r="BC162">
        <v>26.375900000000001</v>
      </c>
      <c r="BD162">
        <v>26.977900000000002</v>
      </c>
      <c r="BE162">
        <v>27.940300000000001</v>
      </c>
      <c r="BF162">
        <v>0</v>
      </c>
      <c r="BG162">
        <v>0</v>
      </c>
      <c r="BH162">
        <v>10054.4</v>
      </c>
      <c r="BI162">
        <v>1076.6300000000001</v>
      </c>
      <c r="BJ162">
        <v>1.5137799999999999</v>
      </c>
      <c r="BK162">
        <v>-306.56599999999997</v>
      </c>
      <c r="BL162">
        <v>505.613</v>
      </c>
      <c r="BM162">
        <v>803.79600000000005</v>
      </c>
      <c r="BN162">
        <v>19.2897</v>
      </c>
      <c r="BO162">
        <v>800.10199999999998</v>
      </c>
      <c r="BP162">
        <v>4.5961299999999996</v>
      </c>
      <c r="BQ162">
        <v>2.35656</v>
      </c>
      <c r="BR162">
        <v>0.45345099999999999</v>
      </c>
      <c r="BS162">
        <v>20.068300000000001</v>
      </c>
      <c r="BT162">
        <v>-4.0945900000000002</v>
      </c>
      <c r="BU162">
        <v>1800</v>
      </c>
      <c r="BV162">
        <v>0.90998800000000002</v>
      </c>
      <c r="BW162">
        <v>3.4002299999999999E-2</v>
      </c>
      <c r="BX162">
        <v>2.2003999999999999E-2</v>
      </c>
      <c r="BY162">
        <v>3.4006000000000002E-2</v>
      </c>
      <c r="BZ162">
        <v>25.083300000000001</v>
      </c>
      <c r="CA162">
        <v>33528.300000000003</v>
      </c>
      <c r="CB162">
        <v>1690384821</v>
      </c>
      <c r="CC162" t="s">
        <v>332</v>
      </c>
      <c r="CD162">
        <v>1690384820</v>
      </c>
      <c r="CE162">
        <v>1690384821</v>
      </c>
      <c r="CF162">
        <v>5</v>
      </c>
      <c r="CG162">
        <v>-2.5000000000000001E-2</v>
      </c>
      <c r="CH162">
        <v>0.104</v>
      </c>
      <c r="CI162">
        <v>-0.28799999999999998</v>
      </c>
      <c r="CJ162">
        <v>0.28000000000000003</v>
      </c>
      <c r="CK162">
        <v>800</v>
      </c>
      <c r="CL162">
        <v>24</v>
      </c>
      <c r="CM162">
        <v>0.08</v>
      </c>
      <c r="CN162">
        <v>0.11</v>
      </c>
      <c r="CO162">
        <v>-303.89522499999998</v>
      </c>
      <c r="CP162">
        <v>-14.081166979361869</v>
      </c>
      <c r="CQ162">
        <v>1.357056805876232</v>
      </c>
      <c r="CR162">
        <v>-1</v>
      </c>
      <c r="CS162">
        <v>19.036407499999999</v>
      </c>
      <c r="CT162">
        <v>1.313539587241991</v>
      </c>
      <c r="CU162">
        <v>0.12641581267290081</v>
      </c>
      <c r="CV162">
        <v>-1</v>
      </c>
      <c r="CW162">
        <v>0</v>
      </c>
      <c r="CX162">
        <v>0</v>
      </c>
      <c r="CY162" t="s">
        <v>333</v>
      </c>
      <c r="CZ162">
        <v>2.3643299999999998</v>
      </c>
      <c r="DA162">
        <v>2.7138300000000002</v>
      </c>
      <c r="DB162">
        <v>0.104348</v>
      </c>
      <c r="DC162">
        <v>0.14555100000000001</v>
      </c>
      <c r="DD162">
        <v>0.11280900000000001</v>
      </c>
      <c r="DE162">
        <v>3.1523299999999997E-2</v>
      </c>
      <c r="DF162">
        <v>32724.400000000001</v>
      </c>
      <c r="DG162">
        <v>27561.8</v>
      </c>
      <c r="DH162">
        <v>31190.7</v>
      </c>
      <c r="DI162">
        <v>28106.7</v>
      </c>
      <c r="DJ162">
        <v>37567.699999999997</v>
      </c>
      <c r="DK162">
        <v>38713.5</v>
      </c>
      <c r="DL162">
        <v>44391.3</v>
      </c>
      <c r="DM162">
        <v>42602.400000000001</v>
      </c>
      <c r="DN162">
        <v>1.4730000000000001</v>
      </c>
      <c r="DO162">
        <v>2.0386799999999998</v>
      </c>
      <c r="DP162">
        <v>0.10576099999999999</v>
      </c>
      <c r="DQ162">
        <v>0.17846000000000001</v>
      </c>
      <c r="DR162">
        <v>25.245799999999999</v>
      </c>
      <c r="DS162">
        <v>25.019300000000001</v>
      </c>
      <c r="DT162">
        <v>46</v>
      </c>
      <c r="DU162">
        <v>28.8</v>
      </c>
      <c r="DV162">
        <v>18.5367</v>
      </c>
      <c r="DW162">
        <v>60.402200000000001</v>
      </c>
      <c r="DX162">
        <v>37.548099999999998</v>
      </c>
      <c r="DY162">
        <v>1</v>
      </c>
      <c r="DZ162">
        <v>-0.114428</v>
      </c>
      <c r="EA162">
        <v>-0.23522899999999999</v>
      </c>
      <c r="EB162">
        <v>20.190200000000001</v>
      </c>
      <c r="EC162">
        <v>5.2409499999999998</v>
      </c>
      <c r="ED162">
        <v>12.039899999999999</v>
      </c>
      <c r="EE162">
        <v>5.0166000000000004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1.8689100000000001</v>
      </c>
      <c r="EL162">
        <v>1.8646199999999999</v>
      </c>
      <c r="EM162">
        <v>1.8692</v>
      </c>
      <c r="EN162">
        <v>1.86724</v>
      </c>
      <c r="EO162">
        <v>1.86338</v>
      </c>
      <c r="EP162">
        <v>1.8644700000000001</v>
      </c>
      <c r="EQ162">
        <v>1.87018</v>
      </c>
      <c r="ER162">
        <v>1.86941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-7.2999999999999995E-2</v>
      </c>
      <c r="FG162">
        <v>0.2797</v>
      </c>
      <c r="FH162">
        <v>0.26269369235785539</v>
      </c>
      <c r="FI162">
        <v>-6.1462078757559423E-4</v>
      </c>
      <c r="FJ162">
        <v>-1.8861989874597051E-7</v>
      </c>
      <c r="FK162">
        <v>1.1980462299894961E-10</v>
      </c>
      <c r="FL162">
        <v>0.27968571428570849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33.9</v>
      </c>
      <c r="FU162">
        <v>33.9</v>
      </c>
      <c r="FV162">
        <v>1.7736799999999999</v>
      </c>
      <c r="FW162">
        <v>2.5817899999999998</v>
      </c>
      <c r="FX162">
        <v>1.5490699999999999</v>
      </c>
      <c r="FY162">
        <v>2.3315399999999999</v>
      </c>
      <c r="FZ162">
        <v>1.50146</v>
      </c>
      <c r="GA162">
        <v>2.3950200000000001</v>
      </c>
      <c r="GB162">
        <v>33.535499999999999</v>
      </c>
      <c r="GC162">
        <v>23.982399999999998</v>
      </c>
      <c r="GD162">
        <v>19</v>
      </c>
      <c r="GE162">
        <v>280.44200000000001</v>
      </c>
      <c r="GF162">
        <v>582.21500000000003</v>
      </c>
      <c r="GG162">
        <v>24.9132</v>
      </c>
      <c r="GH162">
        <v>25.970500000000001</v>
      </c>
      <c r="GI162">
        <v>30.0001</v>
      </c>
      <c r="GJ162">
        <v>26.106100000000001</v>
      </c>
      <c r="GK162">
        <v>26.087199999999999</v>
      </c>
      <c r="GL162">
        <v>35.455599999999997</v>
      </c>
      <c r="GM162">
        <v>71.653400000000005</v>
      </c>
      <c r="GN162">
        <v>58.7194</v>
      </c>
      <c r="GO162">
        <v>24.910299999999999</v>
      </c>
      <c r="GP162">
        <v>800</v>
      </c>
      <c r="GQ162">
        <v>4.4468800000000002</v>
      </c>
      <c r="GR162">
        <v>99.802199999999999</v>
      </c>
      <c r="GS162">
        <v>99.659599999999998</v>
      </c>
    </row>
    <row r="163" spans="1:201" x14ac:dyDescent="0.25">
      <c r="A163">
        <v>147</v>
      </c>
      <c r="B163">
        <v>1690386866</v>
      </c>
      <c r="C163">
        <v>1531.400000095367</v>
      </c>
      <c r="D163" t="s">
        <v>627</v>
      </c>
      <c r="E163" t="s">
        <v>628</v>
      </c>
      <c r="F163" t="s">
        <v>330</v>
      </c>
      <c r="H163">
        <v>1690386866</v>
      </c>
      <c r="I163">
        <f t="shared" si="60"/>
        <v>1.885261829947123E-3</v>
      </c>
      <c r="J163">
        <f t="shared" si="61"/>
        <v>1.8852618299471231</v>
      </c>
      <c r="K163">
        <f t="shared" si="62"/>
        <v>28.214379673487791</v>
      </c>
      <c r="L163">
        <f t="shared" si="63"/>
        <v>491.28100000000001</v>
      </c>
      <c r="M163">
        <f t="shared" si="64"/>
        <v>132.50966255862903</v>
      </c>
      <c r="N163">
        <f t="shared" si="65"/>
        <v>13.08665626193514</v>
      </c>
      <c r="O163">
        <f t="shared" si="66"/>
        <v>48.518918929214998</v>
      </c>
      <c r="P163">
        <f t="shared" si="67"/>
        <v>0.13218543857442011</v>
      </c>
      <c r="Q163">
        <f t="shared" si="68"/>
        <v>2.1567106448629634</v>
      </c>
      <c r="R163">
        <f t="shared" si="69"/>
        <v>0.12784387685785081</v>
      </c>
      <c r="S163">
        <f t="shared" si="70"/>
        <v>8.0280616177133057E-2</v>
      </c>
      <c r="T163">
        <f t="shared" si="71"/>
        <v>276.11591362200005</v>
      </c>
      <c r="U163">
        <f t="shared" si="72"/>
        <v>27.88676855789398</v>
      </c>
      <c r="V163">
        <f t="shared" si="73"/>
        <v>27.88676855789398</v>
      </c>
      <c r="W163">
        <f t="shared" si="74"/>
        <v>3.7698619414748227</v>
      </c>
      <c r="X163">
        <f t="shared" si="75"/>
        <v>68.361253328571209</v>
      </c>
      <c r="Y163">
        <f t="shared" si="76"/>
        <v>2.3586755622434996</v>
      </c>
      <c r="Z163">
        <f t="shared" si="77"/>
        <v>3.4503105888166976</v>
      </c>
      <c r="AA163">
        <f t="shared" si="78"/>
        <v>1.4111863792313231</v>
      </c>
      <c r="AB163">
        <f t="shared" si="79"/>
        <v>-83.140046700668123</v>
      </c>
      <c r="AC163">
        <f t="shared" si="80"/>
        <v>-175.52143738300015</v>
      </c>
      <c r="AD163">
        <f t="shared" si="81"/>
        <v>-17.586891242242352</v>
      </c>
      <c r="AE163">
        <f t="shared" si="82"/>
        <v>-0.13246170391056467</v>
      </c>
      <c r="AF163">
        <v>0</v>
      </c>
      <c r="AG163">
        <v>0</v>
      </c>
      <c r="AH163">
        <f t="shared" si="83"/>
        <v>1</v>
      </c>
      <c r="AI163">
        <f t="shared" si="84"/>
        <v>0</v>
      </c>
      <c r="AJ163">
        <f t="shared" si="85"/>
        <v>52226.996907069159</v>
      </c>
      <c r="AK163">
        <f t="shared" si="86"/>
        <v>1800</v>
      </c>
      <c r="AL163">
        <f t="shared" si="87"/>
        <v>1499.1108552000003</v>
      </c>
      <c r="AM163">
        <f t="shared" si="88"/>
        <v>0.83283936400000014</v>
      </c>
      <c r="AN163">
        <f t="shared" si="89"/>
        <v>0.15339772979000002</v>
      </c>
      <c r="AO163">
        <v>31.8</v>
      </c>
      <c r="AP163">
        <v>0.5</v>
      </c>
      <c r="AQ163" t="s">
        <v>331</v>
      </c>
      <c r="AR163">
        <v>2</v>
      </c>
      <c r="AS163">
        <v>1690386866</v>
      </c>
      <c r="AT163">
        <v>491.28100000000001</v>
      </c>
      <c r="AU163">
        <v>800.06299999999999</v>
      </c>
      <c r="AV163">
        <v>23.882899999999999</v>
      </c>
      <c r="AW163">
        <v>4.3832199999999997</v>
      </c>
      <c r="AX163">
        <v>491.351</v>
      </c>
      <c r="AY163">
        <v>23.603200000000001</v>
      </c>
      <c r="AZ163">
        <v>300.10500000000002</v>
      </c>
      <c r="BA163">
        <v>98.66</v>
      </c>
      <c r="BB163">
        <v>0.10001500000000001</v>
      </c>
      <c r="BC163">
        <v>26.377199999999998</v>
      </c>
      <c r="BD163">
        <v>26.994700000000002</v>
      </c>
      <c r="BE163">
        <v>27.9373</v>
      </c>
      <c r="BF163">
        <v>0</v>
      </c>
      <c r="BG163">
        <v>0</v>
      </c>
      <c r="BH163">
        <v>9990</v>
      </c>
      <c r="BI163">
        <v>1076.6099999999999</v>
      </c>
      <c r="BJ163">
        <v>1.5137799999999999</v>
      </c>
      <c r="BK163">
        <v>-308.78199999999998</v>
      </c>
      <c r="BL163">
        <v>503.30099999999999</v>
      </c>
      <c r="BM163">
        <v>803.58500000000004</v>
      </c>
      <c r="BN163">
        <v>19.499700000000001</v>
      </c>
      <c r="BO163">
        <v>800.06299999999999</v>
      </c>
      <c r="BP163">
        <v>4.3832199999999997</v>
      </c>
      <c r="BQ163">
        <v>2.35629</v>
      </c>
      <c r="BR163">
        <v>0.43244899999999997</v>
      </c>
      <c r="BS163">
        <v>20.066500000000001</v>
      </c>
      <c r="BT163">
        <v>-4.7238499999999997</v>
      </c>
      <c r="BU163">
        <v>1800</v>
      </c>
      <c r="BV163">
        <v>0.90998900000000005</v>
      </c>
      <c r="BW163">
        <v>3.4001799999999999E-2</v>
      </c>
      <c r="BX163">
        <v>2.2003700000000001E-2</v>
      </c>
      <c r="BY163">
        <v>3.4005500000000001E-2</v>
      </c>
      <c r="BZ163">
        <v>25</v>
      </c>
      <c r="CA163">
        <v>33528.300000000003</v>
      </c>
      <c r="CB163">
        <v>1690384821</v>
      </c>
      <c r="CC163" t="s">
        <v>332</v>
      </c>
      <c r="CD163">
        <v>1690384820</v>
      </c>
      <c r="CE163">
        <v>1690384821</v>
      </c>
      <c r="CF163">
        <v>5</v>
      </c>
      <c r="CG163">
        <v>-2.5000000000000001E-2</v>
      </c>
      <c r="CH163">
        <v>0.104</v>
      </c>
      <c r="CI163">
        <v>-0.28799999999999998</v>
      </c>
      <c r="CJ163">
        <v>0.28000000000000003</v>
      </c>
      <c r="CK163">
        <v>800</v>
      </c>
      <c r="CL163">
        <v>24</v>
      </c>
      <c r="CM163">
        <v>0.08</v>
      </c>
      <c r="CN163">
        <v>0.11</v>
      </c>
      <c r="CO163">
        <v>-306.23282499999999</v>
      </c>
      <c r="CP163">
        <v>-14.283320825515389</v>
      </c>
      <c r="CQ163">
        <v>1.375400139732075</v>
      </c>
      <c r="CR163">
        <v>-1</v>
      </c>
      <c r="CS163">
        <v>19.25553</v>
      </c>
      <c r="CT163">
        <v>1.3234829268292509</v>
      </c>
      <c r="CU163">
        <v>0.12736995760382441</v>
      </c>
      <c r="CV163">
        <v>-1</v>
      </c>
      <c r="CW163">
        <v>0</v>
      </c>
      <c r="CX163">
        <v>0</v>
      </c>
      <c r="CY163" t="s">
        <v>333</v>
      </c>
      <c r="CZ163">
        <v>2.36463</v>
      </c>
      <c r="DA163">
        <v>2.7138</v>
      </c>
      <c r="DB163">
        <v>0.104</v>
      </c>
      <c r="DC163">
        <v>0.14554400000000001</v>
      </c>
      <c r="DD163">
        <v>0.112801</v>
      </c>
      <c r="DE163">
        <v>3.0288200000000001E-2</v>
      </c>
      <c r="DF163">
        <v>32737.1</v>
      </c>
      <c r="DG163">
        <v>27562.3</v>
      </c>
      <c r="DH163">
        <v>31190.7</v>
      </c>
      <c r="DI163">
        <v>28107</v>
      </c>
      <c r="DJ163">
        <v>37567.9</v>
      </c>
      <c r="DK163">
        <v>38763.4</v>
      </c>
      <c r="DL163">
        <v>44391.1</v>
      </c>
      <c r="DM163">
        <v>42602.8</v>
      </c>
      <c r="DN163">
        <v>1.4736</v>
      </c>
      <c r="DO163">
        <v>2.0384199999999999</v>
      </c>
      <c r="DP163">
        <v>0.106785</v>
      </c>
      <c r="DQ163">
        <v>0.178143</v>
      </c>
      <c r="DR163">
        <v>25.245799999999999</v>
      </c>
      <c r="DS163">
        <v>25.0214</v>
      </c>
      <c r="DT163">
        <v>45.6</v>
      </c>
      <c r="DU163">
        <v>28.8</v>
      </c>
      <c r="DV163">
        <v>18.375499999999999</v>
      </c>
      <c r="DW163">
        <v>61.052199999999999</v>
      </c>
      <c r="DX163">
        <v>37.5321</v>
      </c>
      <c r="DY163">
        <v>1</v>
      </c>
      <c r="DZ163">
        <v>-0.114306</v>
      </c>
      <c r="EA163">
        <v>-0.23456199999999999</v>
      </c>
      <c r="EB163">
        <v>20.190100000000001</v>
      </c>
      <c r="EC163">
        <v>5.2409499999999998</v>
      </c>
      <c r="ED163">
        <v>12.039899999999999</v>
      </c>
      <c r="EE163">
        <v>5.0168999999999997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</v>
      </c>
      <c r="EL163">
        <v>1.8646199999999999</v>
      </c>
      <c r="EM163">
        <v>1.8692</v>
      </c>
      <c r="EN163">
        <v>1.8672299999999999</v>
      </c>
      <c r="EO163">
        <v>1.86337</v>
      </c>
      <c r="EP163">
        <v>1.8644700000000001</v>
      </c>
      <c r="EQ163">
        <v>1.87018</v>
      </c>
      <c r="ER163">
        <v>1.8693900000000001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-7.0000000000000007E-2</v>
      </c>
      <c r="FG163">
        <v>0.2797</v>
      </c>
      <c r="FH163">
        <v>0.26269369235785539</v>
      </c>
      <c r="FI163">
        <v>-6.1462078757559423E-4</v>
      </c>
      <c r="FJ163">
        <v>-1.8861989874597051E-7</v>
      </c>
      <c r="FK163">
        <v>1.1980462299894961E-10</v>
      </c>
      <c r="FL163">
        <v>0.27968571428570849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34.1</v>
      </c>
      <c r="FU163">
        <v>34.1</v>
      </c>
      <c r="FV163">
        <v>1.7724599999999999</v>
      </c>
      <c r="FW163">
        <v>2.5781200000000002</v>
      </c>
      <c r="FX163">
        <v>1.5490699999999999</v>
      </c>
      <c r="FY163">
        <v>2.3315399999999999</v>
      </c>
      <c r="FZ163">
        <v>1.50146</v>
      </c>
      <c r="GA163">
        <v>2.3803700000000001</v>
      </c>
      <c r="GB163">
        <v>33.535499999999999</v>
      </c>
      <c r="GC163">
        <v>23.982399999999998</v>
      </c>
      <c r="GD163">
        <v>19</v>
      </c>
      <c r="GE163">
        <v>280.68599999999998</v>
      </c>
      <c r="GF163">
        <v>581.98400000000004</v>
      </c>
      <c r="GG163">
        <v>24.930199999999999</v>
      </c>
      <c r="GH163">
        <v>25.969100000000001</v>
      </c>
      <c r="GI163">
        <v>30.0001</v>
      </c>
      <c r="GJ163">
        <v>26.103899999999999</v>
      </c>
      <c r="GK163">
        <v>26.085100000000001</v>
      </c>
      <c r="GL163">
        <v>35.448799999999999</v>
      </c>
      <c r="GM163">
        <v>72.526499999999999</v>
      </c>
      <c r="GN163">
        <v>57.518000000000001</v>
      </c>
      <c r="GO163">
        <v>24.9284</v>
      </c>
      <c r="GP163">
        <v>800</v>
      </c>
      <c r="GQ163">
        <v>4.2218200000000001</v>
      </c>
      <c r="GR163">
        <v>99.801900000000003</v>
      </c>
      <c r="GS163">
        <v>99.660700000000006</v>
      </c>
    </row>
    <row r="164" spans="1:201" x14ac:dyDescent="0.25">
      <c r="A164">
        <v>148</v>
      </c>
      <c r="B164">
        <v>1690386876</v>
      </c>
      <c r="C164">
        <v>1541.400000095367</v>
      </c>
      <c r="D164" t="s">
        <v>629</v>
      </c>
      <c r="E164" t="s">
        <v>630</v>
      </c>
      <c r="F164" t="s">
        <v>330</v>
      </c>
      <c r="H164">
        <v>1690386876</v>
      </c>
      <c r="I164">
        <f t="shared" si="60"/>
        <v>1.9046380366641422E-3</v>
      </c>
      <c r="J164">
        <f t="shared" si="61"/>
        <v>1.9046380366641422</v>
      </c>
      <c r="K164">
        <f t="shared" si="62"/>
        <v>28.43527014883437</v>
      </c>
      <c r="L164">
        <f t="shared" si="63"/>
        <v>489.06400000000002</v>
      </c>
      <c r="M164">
        <f t="shared" si="64"/>
        <v>131.04892622420905</v>
      </c>
      <c r="N164">
        <f t="shared" si="65"/>
        <v>12.942722328245898</v>
      </c>
      <c r="O164">
        <f t="shared" si="66"/>
        <v>48.301193570344005</v>
      </c>
      <c r="P164">
        <f t="shared" si="67"/>
        <v>0.13352698620550277</v>
      </c>
      <c r="Q164">
        <f t="shared" si="68"/>
        <v>2.1586794583124052</v>
      </c>
      <c r="R164">
        <f t="shared" si="69"/>
        <v>0.1291023361210947</v>
      </c>
      <c r="S164">
        <f t="shared" si="70"/>
        <v>8.1074283202301201E-2</v>
      </c>
      <c r="T164">
        <f t="shared" si="71"/>
        <v>276.11598968999999</v>
      </c>
      <c r="U164">
        <f t="shared" si="72"/>
        <v>27.885029578182525</v>
      </c>
      <c r="V164">
        <f t="shared" si="73"/>
        <v>27.885029578182525</v>
      </c>
      <c r="W164">
        <f t="shared" si="74"/>
        <v>3.7694794608446509</v>
      </c>
      <c r="X164">
        <f t="shared" si="75"/>
        <v>68.306221930554415</v>
      </c>
      <c r="Y164">
        <f t="shared" si="76"/>
        <v>2.3576391488078001</v>
      </c>
      <c r="Z164">
        <f t="shared" si="77"/>
        <v>3.4515730517269207</v>
      </c>
      <c r="AA164">
        <f t="shared" si="78"/>
        <v>1.4118403120368508</v>
      </c>
      <c r="AB164">
        <f t="shared" si="79"/>
        <v>-83.994537416888676</v>
      </c>
      <c r="AC164">
        <f t="shared" si="80"/>
        <v>-174.75773866916583</v>
      </c>
      <c r="AD164">
        <f t="shared" si="81"/>
        <v>-17.49478881602619</v>
      </c>
      <c r="AE164">
        <f t="shared" si="82"/>
        <v>-0.13107521208070239</v>
      </c>
      <c r="AF164">
        <v>0</v>
      </c>
      <c r="AG164">
        <v>0</v>
      </c>
      <c r="AH164">
        <f t="shared" si="83"/>
        <v>1</v>
      </c>
      <c r="AI164">
        <f t="shared" si="84"/>
        <v>0</v>
      </c>
      <c r="AJ164">
        <f t="shared" si="85"/>
        <v>52308.418078028073</v>
      </c>
      <c r="AK164">
        <f t="shared" si="86"/>
        <v>1800</v>
      </c>
      <c r="AL164">
        <f t="shared" si="87"/>
        <v>1499.1115319999999</v>
      </c>
      <c r="AM164">
        <f t="shared" si="88"/>
        <v>0.83283973999999994</v>
      </c>
      <c r="AN164">
        <f t="shared" si="89"/>
        <v>0.15339777204999999</v>
      </c>
      <c r="AO164">
        <v>31.8</v>
      </c>
      <c r="AP164">
        <v>0.5</v>
      </c>
      <c r="AQ164" t="s">
        <v>331</v>
      </c>
      <c r="AR164">
        <v>2</v>
      </c>
      <c r="AS164">
        <v>1690386876</v>
      </c>
      <c r="AT164">
        <v>489.06400000000002</v>
      </c>
      <c r="AU164">
        <v>800.07899999999995</v>
      </c>
      <c r="AV164">
        <v>23.8718</v>
      </c>
      <c r="AW164">
        <v>4.1818499999999998</v>
      </c>
      <c r="AX164">
        <v>489.13299999999998</v>
      </c>
      <c r="AY164">
        <v>23.592099999999999</v>
      </c>
      <c r="AZ164">
        <v>300.26299999999998</v>
      </c>
      <c r="BA164">
        <v>98.662400000000005</v>
      </c>
      <c r="BB164">
        <v>0.100121</v>
      </c>
      <c r="BC164">
        <v>26.383400000000002</v>
      </c>
      <c r="BD164">
        <v>26.992899999999999</v>
      </c>
      <c r="BE164">
        <v>27.919599999999999</v>
      </c>
      <c r="BF164">
        <v>0</v>
      </c>
      <c r="BG164">
        <v>0</v>
      </c>
      <c r="BH164">
        <v>10006.200000000001</v>
      </c>
      <c r="BI164">
        <v>1076.82</v>
      </c>
      <c r="BJ164">
        <v>1.5137799999999999</v>
      </c>
      <c r="BK164">
        <v>-311.01499999999999</v>
      </c>
      <c r="BL164">
        <v>501.024</v>
      </c>
      <c r="BM164">
        <v>803.43899999999996</v>
      </c>
      <c r="BN164">
        <v>19.690000000000001</v>
      </c>
      <c r="BO164">
        <v>800.07899999999995</v>
      </c>
      <c r="BP164">
        <v>4.1818499999999998</v>
      </c>
      <c r="BQ164">
        <v>2.3552499999999998</v>
      </c>
      <c r="BR164">
        <v>0.41259099999999999</v>
      </c>
      <c r="BS164">
        <v>20.0593</v>
      </c>
      <c r="BT164">
        <v>-5.3442800000000004</v>
      </c>
      <c r="BU164">
        <v>1800</v>
      </c>
      <c r="BV164">
        <v>0.90998999999999997</v>
      </c>
      <c r="BW164">
        <v>3.40016E-2</v>
      </c>
      <c r="BX164">
        <v>2.2003499999999999E-2</v>
      </c>
      <c r="BY164">
        <v>3.4005300000000002E-2</v>
      </c>
      <c r="BZ164">
        <v>25</v>
      </c>
      <c r="CA164">
        <v>33528.300000000003</v>
      </c>
      <c r="CB164">
        <v>1690384821</v>
      </c>
      <c r="CC164" t="s">
        <v>332</v>
      </c>
      <c r="CD164">
        <v>1690384820</v>
      </c>
      <c r="CE164">
        <v>1690384821</v>
      </c>
      <c r="CF164">
        <v>5</v>
      </c>
      <c r="CG164">
        <v>-2.5000000000000001E-2</v>
      </c>
      <c r="CH164">
        <v>0.104</v>
      </c>
      <c r="CI164">
        <v>-0.28799999999999998</v>
      </c>
      <c r="CJ164">
        <v>0.28000000000000003</v>
      </c>
      <c r="CK164">
        <v>800</v>
      </c>
      <c r="CL164">
        <v>24</v>
      </c>
      <c r="CM164">
        <v>0.08</v>
      </c>
      <c r="CN164">
        <v>0.11</v>
      </c>
      <c r="CO164">
        <v>-308.50542499999989</v>
      </c>
      <c r="CP164">
        <v>-13.193121951219229</v>
      </c>
      <c r="CQ164">
        <v>1.2697141585313609</v>
      </c>
      <c r="CR164">
        <v>-1</v>
      </c>
      <c r="CS164">
        <v>19.472157500000002</v>
      </c>
      <c r="CT164">
        <v>1.2635538461538369</v>
      </c>
      <c r="CU164">
        <v>0.1216124929591938</v>
      </c>
      <c r="CV164">
        <v>-1</v>
      </c>
      <c r="CW164">
        <v>0</v>
      </c>
      <c r="CX164">
        <v>0</v>
      </c>
      <c r="CY164" t="s">
        <v>333</v>
      </c>
      <c r="CZ164">
        <v>2.3651300000000002</v>
      </c>
      <c r="DA164">
        <v>2.7139199999999999</v>
      </c>
      <c r="DB164">
        <v>0.103658</v>
      </c>
      <c r="DC164">
        <v>0.14554600000000001</v>
      </c>
      <c r="DD164">
        <v>0.11276600000000001</v>
      </c>
      <c r="DE164">
        <v>2.9106E-2</v>
      </c>
      <c r="DF164">
        <v>32749.8</v>
      </c>
      <c r="DG164">
        <v>27561.7</v>
      </c>
      <c r="DH164">
        <v>31190.9</v>
      </c>
      <c r="DI164">
        <v>28106.5</v>
      </c>
      <c r="DJ164">
        <v>37569.800000000003</v>
      </c>
      <c r="DK164">
        <v>38810.1</v>
      </c>
      <c r="DL164">
        <v>44391.7</v>
      </c>
      <c r="DM164">
        <v>42602</v>
      </c>
      <c r="DN164">
        <v>1.47357</v>
      </c>
      <c r="DO164">
        <v>2.0379299999999998</v>
      </c>
      <c r="DP164">
        <v>0.106674</v>
      </c>
      <c r="DQ164">
        <v>0.17693300000000001</v>
      </c>
      <c r="DR164">
        <v>25.245799999999999</v>
      </c>
      <c r="DS164">
        <v>25.023499999999999</v>
      </c>
      <c r="DT164">
        <v>45.3</v>
      </c>
      <c r="DU164">
        <v>28.8</v>
      </c>
      <c r="DV164">
        <v>18.252800000000001</v>
      </c>
      <c r="DW164">
        <v>61.5822</v>
      </c>
      <c r="DX164">
        <v>36.5745</v>
      </c>
      <c r="DY164">
        <v>1</v>
      </c>
      <c r="DZ164">
        <v>-0.114413</v>
      </c>
      <c r="EA164">
        <v>4.0969499999999999E-2</v>
      </c>
      <c r="EB164">
        <v>20.190200000000001</v>
      </c>
      <c r="EC164">
        <v>5.24125</v>
      </c>
      <c r="ED164">
        <v>12.039899999999999</v>
      </c>
      <c r="EE164">
        <v>5.0164499999999999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</v>
      </c>
      <c r="EL164">
        <v>1.8646199999999999</v>
      </c>
      <c r="EM164">
        <v>1.8692</v>
      </c>
      <c r="EN164">
        <v>1.86724</v>
      </c>
      <c r="EO164">
        <v>1.8633900000000001</v>
      </c>
      <c r="EP164">
        <v>1.86446</v>
      </c>
      <c r="EQ164">
        <v>1.87019</v>
      </c>
      <c r="ER164">
        <v>1.86938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-6.9000000000000006E-2</v>
      </c>
      <c r="FG164">
        <v>0.2797</v>
      </c>
      <c r="FH164">
        <v>0.26269369235785539</v>
      </c>
      <c r="FI164">
        <v>-6.1462078757559423E-4</v>
      </c>
      <c r="FJ164">
        <v>-1.8861989874597051E-7</v>
      </c>
      <c r="FK164">
        <v>1.1980462299894961E-10</v>
      </c>
      <c r="FL164">
        <v>0.27968571428570849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34.299999999999997</v>
      </c>
      <c r="FU164">
        <v>34.200000000000003</v>
      </c>
      <c r="FV164">
        <v>1.7724599999999999</v>
      </c>
      <c r="FW164">
        <v>2.5842299999999998</v>
      </c>
      <c r="FX164">
        <v>1.5490699999999999</v>
      </c>
      <c r="FY164">
        <v>2.3315399999999999</v>
      </c>
      <c r="FZ164">
        <v>1.50146</v>
      </c>
      <c r="GA164">
        <v>2.2814899999999998</v>
      </c>
      <c r="GB164">
        <v>33.512999999999998</v>
      </c>
      <c r="GC164">
        <v>23.982399999999998</v>
      </c>
      <c r="GD164">
        <v>19</v>
      </c>
      <c r="GE164">
        <v>280.67399999999998</v>
      </c>
      <c r="GF164">
        <v>581.55899999999997</v>
      </c>
      <c r="GG164">
        <v>24.911200000000001</v>
      </c>
      <c r="GH164">
        <v>25.969100000000001</v>
      </c>
      <c r="GI164">
        <v>30.0001</v>
      </c>
      <c r="GJ164">
        <v>26.1036</v>
      </c>
      <c r="GK164">
        <v>26.0838</v>
      </c>
      <c r="GL164">
        <v>35.439300000000003</v>
      </c>
      <c r="GM164">
        <v>73.4084</v>
      </c>
      <c r="GN164">
        <v>56.7104</v>
      </c>
      <c r="GO164">
        <v>24.872900000000001</v>
      </c>
      <c r="GP164">
        <v>800</v>
      </c>
      <c r="GQ164">
        <v>4.0026799999999998</v>
      </c>
      <c r="GR164">
        <v>99.802899999999994</v>
      </c>
      <c r="GS164">
        <v>99.658699999999996</v>
      </c>
    </row>
    <row r="165" spans="1:201" x14ac:dyDescent="0.25">
      <c r="A165">
        <v>149</v>
      </c>
      <c r="B165">
        <v>1690386886</v>
      </c>
      <c r="C165">
        <v>1551.400000095367</v>
      </c>
      <c r="D165" t="s">
        <v>631</v>
      </c>
      <c r="E165" t="s">
        <v>632</v>
      </c>
      <c r="F165" t="s">
        <v>330</v>
      </c>
      <c r="H165">
        <v>1690386886</v>
      </c>
      <c r="I165">
        <f t="shared" si="60"/>
        <v>1.9229528538240621E-3</v>
      </c>
      <c r="J165">
        <f t="shared" si="61"/>
        <v>1.9229528538240621</v>
      </c>
      <c r="K165">
        <f t="shared" si="62"/>
        <v>28.610827153372437</v>
      </c>
      <c r="L165">
        <f t="shared" si="63"/>
        <v>487.03300000000002</v>
      </c>
      <c r="M165">
        <f t="shared" si="64"/>
        <v>130.1893059359063</v>
      </c>
      <c r="N165">
        <f t="shared" si="65"/>
        <v>12.85778461411067</v>
      </c>
      <c r="O165">
        <f t="shared" si="66"/>
        <v>48.100459319194002</v>
      </c>
      <c r="P165">
        <f t="shared" si="67"/>
        <v>0.1348343046980261</v>
      </c>
      <c r="Q165">
        <f t="shared" si="68"/>
        <v>2.1543375950842805</v>
      </c>
      <c r="R165">
        <f t="shared" si="69"/>
        <v>0.13031540266376412</v>
      </c>
      <c r="S165">
        <f t="shared" si="70"/>
        <v>8.1840515431522903E-2</v>
      </c>
      <c r="T165">
        <f t="shared" si="71"/>
        <v>276.11573515200007</v>
      </c>
      <c r="U165">
        <f t="shared" si="72"/>
        <v>27.876362426139888</v>
      </c>
      <c r="V165">
        <f t="shared" si="73"/>
        <v>27.876362426139888</v>
      </c>
      <c r="W165">
        <f t="shared" si="74"/>
        <v>3.767573665271621</v>
      </c>
      <c r="X165">
        <f t="shared" si="75"/>
        <v>68.261884035142785</v>
      </c>
      <c r="Y165">
        <f t="shared" si="76"/>
        <v>2.3553998895255996</v>
      </c>
      <c r="Z165">
        <f t="shared" si="77"/>
        <v>3.4505345447438658</v>
      </c>
      <c r="AA165">
        <f t="shared" si="78"/>
        <v>1.4121737757460213</v>
      </c>
      <c r="AB165">
        <f t="shared" si="79"/>
        <v>-84.802220853641145</v>
      </c>
      <c r="AC165">
        <f t="shared" si="80"/>
        <v>-173.99193380449321</v>
      </c>
      <c r="AD165">
        <f t="shared" si="81"/>
        <v>-17.452028229449855</v>
      </c>
      <c r="AE165">
        <f t="shared" si="82"/>
        <v>-0.13044773558414136</v>
      </c>
      <c r="AF165">
        <v>0</v>
      </c>
      <c r="AG165">
        <v>0</v>
      </c>
      <c r="AH165">
        <f t="shared" si="83"/>
        <v>1</v>
      </c>
      <c r="AI165">
        <f t="shared" si="84"/>
        <v>0</v>
      </c>
      <c r="AJ165">
        <f t="shared" si="85"/>
        <v>52127.575456994979</v>
      </c>
      <c r="AK165">
        <f t="shared" si="86"/>
        <v>1800</v>
      </c>
      <c r="AL165">
        <f t="shared" si="87"/>
        <v>1499.1114222000001</v>
      </c>
      <c r="AM165">
        <f t="shared" si="88"/>
        <v>0.83283967900000011</v>
      </c>
      <c r="AN165">
        <f t="shared" si="89"/>
        <v>0.15339763064000003</v>
      </c>
      <c r="AO165">
        <v>31.8</v>
      </c>
      <c r="AP165">
        <v>0.5</v>
      </c>
      <c r="AQ165" t="s">
        <v>331</v>
      </c>
      <c r="AR165">
        <v>2</v>
      </c>
      <c r="AS165">
        <v>1690386886</v>
      </c>
      <c r="AT165">
        <v>487.03300000000002</v>
      </c>
      <c r="AU165">
        <v>800.04</v>
      </c>
      <c r="AV165">
        <v>23.8492</v>
      </c>
      <c r="AW165">
        <v>3.9644200000000001</v>
      </c>
      <c r="AX165">
        <v>487.101</v>
      </c>
      <c r="AY165">
        <v>23.569500000000001</v>
      </c>
      <c r="AZ165">
        <v>300.18700000000001</v>
      </c>
      <c r="BA165">
        <v>98.662099999999995</v>
      </c>
      <c r="BB165">
        <v>0.100118</v>
      </c>
      <c r="BC165">
        <v>26.378299999999999</v>
      </c>
      <c r="BD165">
        <v>26.9785</v>
      </c>
      <c r="BE165">
        <v>27.907399999999999</v>
      </c>
      <c r="BF165">
        <v>0</v>
      </c>
      <c r="BG165">
        <v>0</v>
      </c>
      <c r="BH165">
        <v>9970</v>
      </c>
      <c r="BI165">
        <v>1076.8499999999999</v>
      </c>
      <c r="BJ165">
        <v>1.5137799999999999</v>
      </c>
      <c r="BK165">
        <v>-313.00599999999997</v>
      </c>
      <c r="BL165">
        <v>498.93299999999999</v>
      </c>
      <c r="BM165">
        <v>803.22400000000005</v>
      </c>
      <c r="BN165">
        <v>19.884799999999998</v>
      </c>
      <c r="BO165">
        <v>800.04</v>
      </c>
      <c r="BP165">
        <v>3.9644200000000001</v>
      </c>
      <c r="BQ165">
        <v>2.3530099999999998</v>
      </c>
      <c r="BR165">
        <v>0.39113700000000001</v>
      </c>
      <c r="BS165">
        <v>20.044</v>
      </c>
      <c r="BT165">
        <v>-6.0451499999999996</v>
      </c>
      <c r="BU165">
        <v>1800</v>
      </c>
      <c r="BV165">
        <v>0.90999300000000005</v>
      </c>
      <c r="BW165">
        <v>3.4000299999999997E-2</v>
      </c>
      <c r="BX165">
        <v>2.20027E-2</v>
      </c>
      <c r="BY165">
        <v>3.4004E-2</v>
      </c>
      <c r="BZ165">
        <v>25</v>
      </c>
      <c r="CA165">
        <v>33528.300000000003</v>
      </c>
      <c r="CB165">
        <v>1690384821</v>
      </c>
      <c r="CC165" t="s">
        <v>332</v>
      </c>
      <c r="CD165">
        <v>1690384820</v>
      </c>
      <c r="CE165">
        <v>1690384821</v>
      </c>
      <c r="CF165">
        <v>5</v>
      </c>
      <c r="CG165">
        <v>-2.5000000000000001E-2</v>
      </c>
      <c r="CH165">
        <v>0.104</v>
      </c>
      <c r="CI165">
        <v>-0.28799999999999998</v>
      </c>
      <c r="CJ165">
        <v>0.28000000000000003</v>
      </c>
      <c r="CK165">
        <v>800</v>
      </c>
      <c r="CL165">
        <v>24</v>
      </c>
      <c r="CM165">
        <v>0.08</v>
      </c>
      <c r="CN165">
        <v>0.11</v>
      </c>
      <c r="CO165">
        <v>-310.73365853658538</v>
      </c>
      <c r="CP165">
        <v>-12.748264808362631</v>
      </c>
      <c r="CQ165">
        <v>1.2586736071183811</v>
      </c>
      <c r="CR165">
        <v>-1</v>
      </c>
      <c r="CS165">
        <v>19.681868292682921</v>
      </c>
      <c r="CT165">
        <v>1.2015344947734781</v>
      </c>
      <c r="CU165">
        <v>0.11866426186273001</v>
      </c>
      <c r="CV165">
        <v>-1</v>
      </c>
      <c r="CW165">
        <v>0</v>
      </c>
      <c r="CX165">
        <v>0</v>
      </c>
      <c r="CY165" t="s">
        <v>333</v>
      </c>
      <c r="CZ165">
        <v>2.3648400000000001</v>
      </c>
      <c r="DA165">
        <v>2.7138800000000001</v>
      </c>
      <c r="DB165">
        <v>0.103341</v>
      </c>
      <c r="DC165">
        <v>0.145536</v>
      </c>
      <c r="DD165">
        <v>0.11269</v>
      </c>
      <c r="DE165">
        <v>2.7812099999999999E-2</v>
      </c>
      <c r="DF165">
        <v>32761.5</v>
      </c>
      <c r="DG165">
        <v>27562.6</v>
      </c>
      <c r="DH165">
        <v>31191</v>
      </c>
      <c r="DI165">
        <v>28107.1</v>
      </c>
      <c r="DJ165">
        <v>37573.1</v>
      </c>
      <c r="DK165">
        <v>38862.9</v>
      </c>
      <c r="DL165">
        <v>44391.8</v>
      </c>
      <c r="DM165">
        <v>42603.1</v>
      </c>
      <c r="DN165">
        <v>1.474</v>
      </c>
      <c r="DO165">
        <v>2.0374300000000001</v>
      </c>
      <c r="DP165">
        <v>0.105798</v>
      </c>
      <c r="DQ165">
        <v>0.17605699999999999</v>
      </c>
      <c r="DR165">
        <v>25.245799999999999</v>
      </c>
      <c r="DS165">
        <v>25.025600000000001</v>
      </c>
      <c r="DT165">
        <v>45</v>
      </c>
      <c r="DU165">
        <v>28.8</v>
      </c>
      <c r="DV165">
        <v>18.130500000000001</v>
      </c>
      <c r="DW165">
        <v>60.822200000000002</v>
      </c>
      <c r="DX165">
        <v>36.847000000000001</v>
      </c>
      <c r="DY165">
        <v>1</v>
      </c>
      <c r="DZ165">
        <v>-0.114578</v>
      </c>
      <c r="EA165">
        <v>-0.13474900000000001</v>
      </c>
      <c r="EB165">
        <v>20.190300000000001</v>
      </c>
      <c r="EC165">
        <v>5.24125</v>
      </c>
      <c r="ED165">
        <v>12.039899999999999</v>
      </c>
      <c r="EE165">
        <v>5.0166000000000004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</v>
      </c>
      <c r="EL165">
        <v>1.8646199999999999</v>
      </c>
      <c r="EM165">
        <v>1.8692</v>
      </c>
      <c r="EN165">
        <v>1.86724</v>
      </c>
      <c r="EO165">
        <v>1.8633900000000001</v>
      </c>
      <c r="EP165">
        <v>1.8644700000000001</v>
      </c>
      <c r="EQ165">
        <v>1.87016</v>
      </c>
      <c r="ER165">
        <v>1.86938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-6.8000000000000005E-2</v>
      </c>
      <c r="FG165">
        <v>0.2797</v>
      </c>
      <c r="FH165">
        <v>0.26269369235785539</v>
      </c>
      <c r="FI165">
        <v>-6.1462078757559423E-4</v>
      </c>
      <c r="FJ165">
        <v>-1.8861989874597051E-7</v>
      </c>
      <c r="FK165">
        <v>1.1980462299894961E-10</v>
      </c>
      <c r="FL165">
        <v>0.27968571428570849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34.4</v>
      </c>
      <c r="FU165">
        <v>34.4</v>
      </c>
      <c r="FV165">
        <v>1.7724599999999999</v>
      </c>
      <c r="FW165">
        <v>2.5805699999999998</v>
      </c>
      <c r="FX165">
        <v>1.5490699999999999</v>
      </c>
      <c r="FY165">
        <v>2.3315399999999999</v>
      </c>
      <c r="FZ165">
        <v>1.50146</v>
      </c>
      <c r="GA165">
        <v>2.3339799999999999</v>
      </c>
      <c r="GB165">
        <v>33.535499999999999</v>
      </c>
      <c r="GC165">
        <v>23.982399999999998</v>
      </c>
      <c r="GD165">
        <v>19</v>
      </c>
      <c r="GE165">
        <v>280.84500000000003</v>
      </c>
      <c r="GF165">
        <v>581.13699999999994</v>
      </c>
      <c r="GG165">
        <v>24.863299999999999</v>
      </c>
      <c r="GH165">
        <v>25.966999999999999</v>
      </c>
      <c r="GI165">
        <v>29.9999</v>
      </c>
      <c r="GJ165">
        <v>26.101700000000001</v>
      </c>
      <c r="GK165">
        <v>26.082899999999999</v>
      </c>
      <c r="GL165">
        <v>35.437199999999997</v>
      </c>
      <c r="GM165">
        <v>74.319199999999995</v>
      </c>
      <c r="GN165">
        <v>55.899900000000002</v>
      </c>
      <c r="GO165">
        <v>24.870100000000001</v>
      </c>
      <c r="GP165">
        <v>800</v>
      </c>
      <c r="GQ165">
        <v>3.7974199999999998</v>
      </c>
      <c r="GR165">
        <v>99.803200000000004</v>
      </c>
      <c r="GS165">
        <v>99.661100000000005</v>
      </c>
    </row>
    <row r="166" spans="1:201" x14ac:dyDescent="0.25">
      <c r="A166">
        <v>150</v>
      </c>
      <c r="B166">
        <v>1690386896</v>
      </c>
      <c r="C166">
        <v>1561.400000095367</v>
      </c>
      <c r="D166" t="s">
        <v>633</v>
      </c>
      <c r="E166" t="s">
        <v>634</v>
      </c>
      <c r="F166" t="s">
        <v>330</v>
      </c>
      <c r="H166">
        <v>1690386896</v>
      </c>
      <c r="I166">
        <f t="shared" si="60"/>
        <v>1.9424724372785656E-3</v>
      </c>
      <c r="J166">
        <f t="shared" si="61"/>
        <v>1.9424724372785656</v>
      </c>
      <c r="K166">
        <f t="shared" si="62"/>
        <v>28.799662556455129</v>
      </c>
      <c r="L166">
        <f t="shared" si="63"/>
        <v>484.863</v>
      </c>
      <c r="M166">
        <f t="shared" si="64"/>
        <v>129.97407167897853</v>
      </c>
      <c r="N166">
        <f t="shared" si="65"/>
        <v>12.836336396650056</v>
      </c>
      <c r="O166">
        <f t="shared" si="66"/>
        <v>47.885432024174698</v>
      </c>
      <c r="P166">
        <f t="shared" si="67"/>
        <v>0.13650706109131502</v>
      </c>
      <c r="Q166">
        <f t="shared" si="68"/>
        <v>2.1611344839296027</v>
      </c>
      <c r="R166">
        <f t="shared" si="69"/>
        <v>0.13189144258026722</v>
      </c>
      <c r="S166">
        <f t="shared" si="70"/>
        <v>8.2833845305087778E-2</v>
      </c>
      <c r="T166">
        <f t="shared" si="71"/>
        <v>276.11575389000006</v>
      </c>
      <c r="U166">
        <f t="shared" si="72"/>
        <v>27.859563009718819</v>
      </c>
      <c r="V166">
        <f t="shared" si="73"/>
        <v>27.859563009718819</v>
      </c>
      <c r="W166">
        <f t="shared" si="74"/>
        <v>3.763882082928709</v>
      </c>
      <c r="X166">
        <f t="shared" si="75"/>
        <v>68.256460262135249</v>
      </c>
      <c r="Y166">
        <f t="shared" si="76"/>
        <v>2.3544068257225499</v>
      </c>
      <c r="Z166">
        <f t="shared" si="77"/>
        <v>3.4493538291915198</v>
      </c>
      <c r="AA166">
        <f t="shared" si="78"/>
        <v>1.4094752572061591</v>
      </c>
      <c r="AB166">
        <f t="shared" si="79"/>
        <v>-85.663034483984745</v>
      </c>
      <c r="AC166">
        <f t="shared" si="80"/>
        <v>-173.25932070708521</v>
      </c>
      <c r="AD166">
        <f t="shared" si="81"/>
        <v>-17.321929742883327</v>
      </c>
      <c r="AE166">
        <f t="shared" si="82"/>
        <v>-0.12853104395318837</v>
      </c>
      <c r="AF166">
        <v>0</v>
      </c>
      <c r="AG166">
        <v>0</v>
      </c>
      <c r="AH166">
        <f t="shared" si="83"/>
        <v>1</v>
      </c>
      <c r="AI166">
        <f t="shared" si="84"/>
        <v>0</v>
      </c>
      <c r="AJ166">
        <f t="shared" si="85"/>
        <v>52413.217338035909</v>
      </c>
      <c r="AK166">
        <f t="shared" si="86"/>
        <v>1800</v>
      </c>
      <c r="AL166">
        <f t="shared" si="87"/>
        <v>1499.111838</v>
      </c>
      <c r="AM166">
        <f t="shared" si="88"/>
        <v>0.83283991000000002</v>
      </c>
      <c r="AN166">
        <f t="shared" si="89"/>
        <v>0.15339764105000003</v>
      </c>
      <c r="AO166">
        <v>31.8</v>
      </c>
      <c r="AP166">
        <v>0.5</v>
      </c>
      <c r="AQ166" t="s">
        <v>331</v>
      </c>
      <c r="AR166">
        <v>2</v>
      </c>
      <c r="AS166">
        <v>1690386896</v>
      </c>
      <c r="AT166">
        <v>484.863</v>
      </c>
      <c r="AU166">
        <v>799.98</v>
      </c>
      <c r="AV166">
        <v>23.839500000000001</v>
      </c>
      <c r="AW166">
        <v>3.74926</v>
      </c>
      <c r="AX166">
        <v>484.92899999999997</v>
      </c>
      <c r="AY166">
        <v>23.559799999999999</v>
      </c>
      <c r="AZ166">
        <v>300.13600000000002</v>
      </c>
      <c r="BA166">
        <v>98.660799999999995</v>
      </c>
      <c r="BB166">
        <v>9.9946900000000005E-2</v>
      </c>
      <c r="BC166">
        <v>26.372499999999999</v>
      </c>
      <c r="BD166">
        <v>26.967300000000002</v>
      </c>
      <c r="BE166">
        <v>27.901599999999998</v>
      </c>
      <c r="BF166">
        <v>0</v>
      </c>
      <c r="BG166">
        <v>0</v>
      </c>
      <c r="BH166">
        <v>10026.9</v>
      </c>
      <c r="BI166">
        <v>1077</v>
      </c>
      <c r="BJ166">
        <v>1.5137799999999999</v>
      </c>
      <c r="BK166">
        <v>-315.11700000000002</v>
      </c>
      <c r="BL166">
        <v>496.70400000000001</v>
      </c>
      <c r="BM166">
        <v>802.99099999999999</v>
      </c>
      <c r="BN166">
        <v>20.090299999999999</v>
      </c>
      <c r="BO166">
        <v>799.98</v>
      </c>
      <c r="BP166">
        <v>3.74926</v>
      </c>
      <c r="BQ166">
        <v>2.3520300000000001</v>
      </c>
      <c r="BR166">
        <v>0.36990499999999998</v>
      </c>
      <c r="BS166">
        <v>20.037199999999999</v>
      </c>
      <c r="BT166">
        <v>-6.7732599999999996</v>
      </c>
      <c r="BU166">
        <v>1800</v>
      </c>
      <c r="BV166">
        <v>0.90999399999999997</v>
      </c>
      <c r="BW166">
        <v>3.4000000000000002E-2</v>
      </c>
      <c r="BX166">
        <v>2.2002500000000001E-2</v>
      </c>
      <c r="BY166">
        <v>3.4003699999999998E-2</v>
      </c>
      <c r="BZ166">
        <v>25</v>
      </c>
      <c r="CA166">
        <v>33528.199999999997</v>
      </c>
      <c r="CB166">
        <v>1690384821</v>
      </c>
      <c r="CC166" t="s">
        <v>332</v>
      </c>
      <c r="CD166">
        <v>1690384820</v>
      </c>
      <c r="CE166">
        <v>1690384821</v>
      </c>
      <c r="CF166">
        <v>5</v>
      </c>
      <c r="CG166">
        <v>-2.5000000000000001E-2</v>
      </c>
      <c r="CH166">
        <v>0.104</v>
      </c>
      <c r="CI166">
        <v>-0.28799999999999998</v>
      </c>
      <c r="CJ166">
        <v>0.28000000000000003</v>
      </c>
      <c r="CK166">
        <v>800</v>
      </c>
      <c r="CL166">
        <v>24</v>
      </c>
      <c r="CM166">
        <v>0.08</v>
      </c>
      <c r="CN166">
        <v>0.11</v>
      </c>
      <c r="CO166">
        <v>-312.84656097560969</v>
      </c>
      <c r="CP166">
        <v>-12.414355400696939</v>
      </c>
      <c r="CQ166">
        <v>1.225991645393498</v>
      </c>
      <c r="CR166">
        <v>-1</v>
      </c>
      <c r="CS166">
        <v>19.872229268292681</v>
      </c>
      <c r="CT166">
        <v>1.133341463414645</v>
      </c>
      <c r="CU166">
        <v>0.1120740396473653</v>
      </c>
      <c r="CV166">
        <v>-1</v>
      </c>
      <c r="CW166">
        <v>0</v>
      </c>
      <c r="CX166">
        <v>0</v>
      </c>
      <c r="CY166" t="s">
        <v>333</v>
      </c>
      <c r="CZ166">
        <v>2.3646799999999999</v>
      </c>
      <c r="DA166">
        <v>2.7137600000000002</v>
      </c>
      <c r="DB166">
        <v>0.103001</v>
      </c>
      <c r="DC166">
        <v>0.14552399999999999</v>
      </c>
      <c r="DD166">
        <v>0.11265699999999999</v>
      </c>
      <c r="DE166">
        <v>2.6514200000000002E-2</v>
      </c>
      <c r="DF166">
        <v>32773.5</v>
      </c>
      <c r="DG166">
        <v>27563.5</v>
      </c>
      <c r="DH166">
        <v>31190.6</v>
      </c>
      <c r="DI166">
        <v>28107.599999999999</v>
      </c>
      <c r="DJ166">
        <v>37574.199999999997</v>
      </c>
      <c r="DK166">
        <v>38915.5</v>
      </c>
      <c r="DL166">
        <v>44391.4</v>
      </c>
      <c r="DM166">
        <v>42603.7</v>
      </c>
      <c r="DN166">
        <v>1.4738500000000001</v>
      </c>
      <c r="DO166">
        <v>2.0371700000000001</v>
      </c>
      <c r="DP166">
        <v>0.104979</v>
      </c>
      <c r="DQ166">
        <v>0.175703</v>
      </c>
      <c r="DR166">
        <v>25.248000000000001</v>
      </c>
      <c r="DS166">
        <v>25.025600000000001</v>
      </c>
      <c r="DT166">
        <v>44.6</v>
      </c>
      <c r="DU166">
        <v>28.8</v>
      </c>
      <c r="DV166">
        <v>17.9697</v>
      </c>
      <c r="DW166">
        <v>61.292200000000001</v>
      </c>
      <c r="DX166">
        <v>37.668300000000002</v>
      </c>
      <c r="DY166">
        <v>1</v>
      </c>
      <c r="DZ166">
        <v>-0.114548</v>
      </c>
      <c r="EA166">
        <v>-0.25830599999999998</v>
      </c>
      <c r="EB166">
        <v>20.190000000000001</v>
      </c>
      <c r="EC166">
        <v>5.2411000000000003</v>
      </c>
      <c r="ED166">
        <v>12.039899999999999</v>
      </c>
      <c r="EE166">
        <v>5.01675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1.8689100000000001</v>
      </c>
      <c r="EL166">
        <v>1.8646199999999999</v>
      </c>
      <c r="EM166">
        <v>1.8692</v>
      </c>
      <c r="EN166">
        <v>1.8672299999999999</v>
      </c>
      <c r="EO166">
        <v>1.8633900000000001</v>
      </c>
      <c r="EP166">
        <v>1.8644700000000001</v>
      </c>
      <c r="EQ166">
        <v>1.8701700000000001</v>
      </c>
      <c r="ER166">
        <v>1.8694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-6.6000000000000003E-2</v>
      </c>
      <c r="FG166">
        <v>0.2797</v>
      </c>
      <c r="FH166">
        <v>0.26269369235785539</v>
      </c>
      <c r="FI166">
        <v>-6.1462078757559423E-4</v>
      </c>
      <c r="FJ166">
        <v>-1.8861989874597051E-7</v>
      </c>
      <c r="FK166">
        <v>1.1980462299894961E-10</v>
      </c>
      <c r="FL166">
        <v>0.27968571428570849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34.6</v>
      </c>
      <c r="FU166">
        <v>34.6</v>
      </c>
      <c r="FV166">
        <v>1.7724599999999999</v>
      </c>
      <c r="FW166">
        <v>2.5805699999999998</v>
      </c>
      <c r="FX166">
        <v>1.5490699999999999</v>
      </c>
      <c r="FY166">
        <v>2.3315399999999999</v>
      </c>
      <c r="FZ166">
        <v>1.50146</v>
      </c>
      <c r="GA166">
        <v>2.3803700000000001</v>
      </c>
      <c r="GB166">
        <v>33.535499999999999</v>
      </c>
      <c r="GC166">
        <v>23.991199999999999</v>
      </c>
      <c r="GD166">
        <v>19</v>
      </c>
      <c r="GE166">
        <v>280.77199999999999</v>
      </c>
      <c r="GF166">
        <v>580.90599999999995</v>
      </c>
      <c r="GG166">
        <v>24.890999999999998</v>
      </c>
      <c r="GH166">
        <v>25.966999999999999</v>
      </c>
      <c r="GI166">
        <v>30</v>
      </c>
      <c r="GJ166">
        <v>26.099499999999999</v>
      </c>
      <c r="GK166">
        <v>26.0807</v>
      </c>
      <c r="GL166">
        <v>35.432499999999997</v>
      </c>
      <c r="GM166">
        <v>75.183099999999996</v>
      </c>
      <c r="GN166">
        <v>55.0824</v>
      </c>
      <c r="GO166">
        <v>24.901399999999999</v>
      </c>
      <c r="GP166">
        <v>800</v>
      </c>
      <c r="GQ166">
        <v>3.58677</v>
      </c>
      <c r="GR166">
        <v>99.802199999999999</v>
      </c>
      <c r="GS166">
        <v>99.662700000000001</v>
      </c>
    </row>
    <row r="167" spans="1:201" x14ac:dyDescent="0.25">
      <c r="A167">
        <v>151</v>
      </c>
      <c r="B167">
        <v>1690386906</v>
      </c>
      <c r="C167">
        <v>1571.400000095367</v>
      </c>
      <c r="D167" t="s">
        <v>635</v>
      </c>
      <c r="E167" t="s">
        <v>636</v>
      </c>
      <c r="F167" t="s">
        <v>330</v>
      </c>
      <c r="H167">
        <v>1690386906</v>
      </c>
      <c r="I167">
        <f t="shared" si="60"/>
        <v>1.9624781579521918E-3</v>
      </c>
      <c r="J167">
        <f t="shared" si="61"/>
        <v>1.9624781579521917</v>
      </c>
      <c r="K167">
        <f t="shared" si="62"/>
        <v>28.999263304185579</v>
      </c>
      <c r="L167">
        <f t="shared" si="63"/>
        <v>482.935</v>
      </c>
      <c r="M167">
        <f t="shared" si="64"/>
        <v>129.26670689252833</v>
      </c>
      <c r="N167">
        <f t="shared" si="65"/>
        <v>12.766658413192745</v>
      </c>
      <c r="O167">
        <f t="shared" si="66"/>
        <v>47.695700841990003</v>
      </c>
      <c r="P167">
        <f t="shared" si="67"/>
        <v>0.1379690052510382</v>
      </c>
      <c r="Q167">
        <f t="shared" si="68"/>
        <v>2.1604693476046855</v>
      </c>
      <c r="R167">
        <f t="shared" si="69"/>
        <v>0.13325443284700433</v>
      </c>
      <c r="S167">
        <f t="shared" si="70"/>
        <v>8.3694184975212485E-2</v>
      </c>
      <c r="T167">
        <f t="shared" si="71"/>
        <v>276.11718981986581</v>
      </c>
      <c r="U167">
        <f t="shared" si="72"/>
        <v>27.856395685616356</v>
      </c>
      <c r="V167">
        <f t="shared" si="73"/>
        <v>27.856395685616356</v>
      </c>
      <c r="W167">
        <f t="shared" si="74"/>
        <v>3.7631864340332282</v>
      </c>
      <c r="X167">
        <f t="shared" si="75"/>
        <v>68.2235314901028</v>
      </c>
      <c r="Y167">
        <f t="shared" si="76"/>
        <v>2.3537292827742</v>
      </c>
      <c r="Z167">
        <f t="shared" si="77"/>
        <v>3.4500255723579127</v>
      </c>
      <c r="AA167">
        <f t="shared" si="78"/>
        <v>1.4094571512590282</v>
      </c>
      <c r="AB167">
        <f t="shared" si="79"/>
        <v>-86.545286765691657</v>
      </c>
      <c r="AC167">
        <f t="shared" si="80"/>
        <v>-172.452713348016</v>
      </c>
      <c r="AD167">
        <f t="shared" si="81"/>
        <v>-17.246606173978467</v>
      </c>
      <c r="AE167">
        <f t="shared" si="82"/>
        <v>-0.1274164678203249</v>
      </c>
      <c r="AF167">
        <v>0</v>
      </c>
      <c r="AG167">
        <v>0</v>
      </c>
      <c r="AH167">
        <f t="shared" si="83"/>
        <v>1</v>
      </c>
      <c r="AI167">
        <f t="shared" si="84"/>
        <v>0</v>
      </c>
      <c r="AJ167">
        <f t="shared" si="85"/>
        <v>52384.76946774876</v>
      </c>
      <c r="AK167">
        <f t="shared" si="86"/>
        <v>1800.01</v>
      </c>
      <c r="AL167">
        <f t="shared" si="87"/>
        <v>1499.1197487967797</v>
      </c>
      <c r="AM167">
        <f t="shared" si="88"/>
        <v>0.83283967799999992</v>
      </c>
      <c r="AN167">
        <f t="shared" si="89"/>
        <v>0.15339758658000002</v>
      </c>
      <c r="AO167">
        <v>31.8</v>
      </c>
      <c r="AP167">
        <v>0.5</v>
      </c>
      <c r="AQ167" t="s">
        <v>331</v>
      </c>
      <c r="AR167">
        <v>2</v>
      </c>
      <c r="AS167">
        <v>1690386906</v>
      </c>
      <c r="AT167">
        <v>482.935</v>
      </c>
      <c r="AU167">
        <v>800.14599999999996</v>
      </c>
      <c r="AV167">
        <v>23.8323</v>
      </c>
      <c r="AW167">
        <v>3.54034</v>
      </c>
      <c r="AX167">
        <v>482.99900000000002</v>
      </c>
      <c r="AY167">
        <v>23.552600000000002</v>
      </c>
      <c r="AZ167">
        <v>300.21499999999997</v>
      </c>
      <c r="BA167">
        <v>98.662099999999995</v>
      </c>
      <c r="BB167">
        <v>0.100054</v>
      </c>
      <c r="BC167">
        <v>26.375800000000002</v>
      </c>
      <c r="BD167">
        <v>26.982199999999999</v>
      </c>
      <c r="BE167">
        <v>27.877600000000001</v>
      </c>
      <c r="BF167">
        <v>0</v>
      </c>
      <c r="BG167">
        <v>0</v>
      </c>
      <c r="BH167">
        <v>10021.200000000001</v>
      </c>
      <c r="BI167">
        <v>1077.07</v>
      </c>
      <c r="BJ167">
        <v>1.5137799999999999</v>
      </c>
      <c r="BK167">
        <v>-317.21100000000001</v>
      </c>
      <c r="BL167">
        <v>494.72500000000002</v>
      </c>
      <c r="BM167">
        <v>802.98900000000003</v>
      </c>
      <c r="BN167">
        <v>20.292000000000002</v>
      </c>
      <c r="BO167">
        <v>800.14599999999996</v>
      </c>
      <c r="BP167">
        <v>3.54034</v>
      </c>
      <c r="BQ167">
        <v>2.35134</v>
      </c>
      <c r="BR167">
        <v>0.34929700000000002</v>
      </c>
      <c r="BS167">
        <v>20.032499999999999</v>
      </c>
      <c r="BT167">
        <v>-7.5163700000000002</v>
      </c>
      <c r="BU167">
        <v>1800.01</v>
      </c>
      <c r="BV167">
        <v>0.90999399999999997</v>
      </c>
      <c r="BW167">
        <v>3.39999E-2</v>
      </c>
      <c r="BX167">
        <v>2.2002399999999998E-2</v>
      </c>
      <c r="BY167">
        <v>3.4003600000000002E-2</v>
      </c>
      <c r="BZ167">
        <v>25</v>
      </c>
      <c r="CA167">
        <v>33528.5</v>
      </c>
      <c r="CB167">
        <v>1690384821</v>
      </c>
      <c r="CC167" t="s">
        <v>332</v>
      </c>
      <c r="CD167">
        <v>1690384820</v>
      </c>
      <c r="CE167">
        <v>1690384821</v>
      </c>
      <c r="CF167">
        <v>5</v>
      </c>
      <c r="CG167">
        <v>-2.5000000000000001E-2</v>
      </c>
      <c r="CH167">
        <v>0.104</v>
      </c>
      <c r="CI167">
        <v>-0.28799999999999998</v>
      </c>
      <c r="CJ167">
        <v>0.28000000000000003</v>
      </c>
      <c r="CK167">
        <v>800</v>
      </c>
      <c r="CL167">
        <v>24</v>
      </c>
      <c r="CM167">
        <v>0.08</v>
      </c>
      <c r="CN167">
        <v>0.11</v>
      </c>
      <c r="CO167">
        <v>-314.88802500000003</v>
      </c>
      <c r="CP167">
        <v>-12.8145928705431</v>
      </c>
      <c r="CQ167">
        <v>1.233717988186519</v>
      </c>
      <c r="CR167">
        <v>-1</v>
      </c>
      <c r="CS167">
        <v>20.062660000000001</v>
      </c>
      <c r="CT167">
        <v>1.240595121951213</v>
      </c>
      <c r="CU167">
        <v>0.11937650690148389</v>
      </c>
      <c r="CV167">
        <v>-1</v>
      </c>
      <c r="CW167">
        <v>0</v>
      </c>
      <c r="CX167">
        <v>0</v>
      </c>
      <c r="CY167" t="s">
        <v>333</v>
      </c>
      <c r="CZ167">
        <v>2.3649399999999998</v>
      </c>
      <c r="DA167">
        <v>2.7138599999999999</v>
      </c>
      <c r="DB167">
        <v>0.102701</v>
      </c>
      <c r="DC167">
        <v>0.145542</v>
      </c>
      <c r="DD167">
        <v>0.112634</v>
      </c>
      <c r="DE167">
        <v>2.5237200000000001E-2</v>
      </c>
      <c r="DF167">
        <v>32784.9</v>
      </c>
      <c r="DG167">
        <v>27562.7</v>
      </c>
      <c r="DH167">
        <v>31191</v>
      </c>
      <c r="DI167">
        <v>28107.4</v>
      </c>
      <c r="DJ167">
        <v>37575.300000000003</v>
      </c>
      <c r="DK167">
        <v>38966.5</v>
      </c>
      <c r="DL167">
        <v>44391.6</v>
      </c>
      <c r="DM167">
        <v>42603.4</v>
      </c>
      <c r="DN167">
        <v>1.47427</v>
      </c>
      <c r="DO167">
        <v>2.0365500000000001</v>
      </c>
      <c r="DP167">
        <v>0.105891</v>
      </c>
      <c r="DQ167">
        <v>0.174232</v>
      </c>
      <c r="DR167">
        <v>25.248000000000001</v>
      </c>
      <c r="DS167">
        <v>25.025600000000001</v>
      </c>
      <c r="DT167">
        <v>44.3</v>
      </c>
      <c r="DU167">
        <v>28.8</v>
      </c>
      <c r="DV167">
        <v>17.8505</v>
      </c>
      <c r="DW167">
        <v>61.0122</v>
      </c>
      <c r="DX167">
        <v>37.451900000000002</v>
      </c>
      <c r="DY167">
        <v>1</v>
      </c>
      <c r="DZ167">
        <v>-0.114967</v>
      </c>
      <c r="EA167">
        <v>-0.31264199999999998</v>
      </c>
      <c r="EB167">
        <v>20.189699999999998</v>
      </c>
      <c r="EC167">
        <v>5.2408000000000001</v>
      </c>
      <c r="ED167">
        <v>12.039899999999999</v>
      </c>
      <c r="EE167">
        <v>5.0164999999999997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1.8689100000000001</v>
      </c>
      <c r="EL167">
        <v>1.8646199999999999</v>
      </c>
      <c r="EM167">
        <v>1.8692</v>
      </c>
      <c r="EN167">
        <v>1.8672599999999999</v>
      </c>
      <c r="EO167">
        <v>1.8633900000000001</v>
      </c>
      <c r="EP167">
        <v>1.8644700000000001</v>
      </c>
      <c r="EQ167">
        <v>1.87015</v>
      </c>
      <c r="ER167">
        <v>1.86941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-6.4000000000000001E-2</v>
      </c>
      <c r="FG167">
        <v>0.2797</v>
      </c>
      <c r="FH167">
        <v>0.26269369235785539</v>
      </c>
      <c r="FI167">
        <v>-6.1462078757559423E-4</v>
      </c>
      <c r="FJ167">
        <v>-1.8861989874597051E-7</v>
      </c>
      <c r="FK167">
        <v>1.1980462299894961E-10</v>
      </c>
      <c r="FL167">
        <v>0.27968571428570849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34.799999999999997</v>
      </c>
      <c r="FU167">
        <v>34.799999999999997</v>
      </c>
      <c r="FV167">
        <v>1.7712399999999999</v>
      </c>
      <c r="FW167">
        <v>2.5805699999999998</v>
      </c>
      <c r="FX167">
        <v>1.5490699999999999</v>
      </c>
      <c r="FY167">
        <v>2.3315399999999999</v>
      </c>
      <c r="FZ167">
        <v>1.50146</v>
      </c>
      <c r="GA167">
        <v>2.3559600000000001</v>
      </c>
      <c r="GB167">
        <v>33.535499999999999</v>
      </c>
      <c r="GC167">
        <v>23.991199999999999</v>
      </c>
      <c r="GD167">
        <v>19</v>
      </c>
      <c r="GE167">
        <v>280.952</v>
      </c>
      <c r="GF167">
        <v>580.36800000000005</v>
      </c>
      <c r="GG167">
        <v>24.9359</v>
      </c>
      <c r="GH167">
        <v>25.966999999999999</v>
      </c>
      <c r="GI167">
        <v>29.9999</v>
      </c>
      <c r="GJ167">
        <v>26.099499999999999</v>
      </c>
      <c r="GK167">
        <v>26.078499999999998</v>
      </c>
      <c r="GL167">
        <v>35.421799999999998</v>
      </c>
      <c r="GM167">
        <v>76.319699999999997</v>
      </c>
      <c r="GN167">
        <v>53.852400000000003</v>
      </c>
      <c r="GO167">
        <v>24.942399999999999</v>
      </c>
      <c r="GP167">
        <v>800</v>
      </c>
      <c r="GQ167">
        <v>3.37737</v>
      </c>
      <c r="GR167">
        <v>99.803100000000001</v>
      </c>
      <c r="GS167">
        <v>99.662099999999995</v>
      </c>
    </row>
    <row r="168" spans="1:201" x14ac:dyDescent="0.25">
      <c r="A168">
        <v>152</v>
      </c>
      <c r="B168">
        <v>1690386916</v>
      </c>
      <c r="C168">
        <v>1581.400000095367</v>
      </c>
      <c r="D168" t="s">
        <v>637</v>
      </c>
      <c r="E168" t="s">
        <v>638</v>
      </c>
      <c r="F168" t="s">
        <v>330</v>
      </c>
      <c r="H168">
        <v>1690386916</v>
      </c>
      <c r="I168">
        <f t="shared" si="60"/>
        <v>1.9802714872489083E-3</v>
      </c>
      <c r="J168">
        <f t="shared" si="61"/>
        <v>1.9802714872489082</v>
      </c>
      <c r="K168">
        <f t="shared" si="62"/>
        <v>29.178550796002135</v>
      </c>
      <c r="L168">
        <f t="shared" si="63"/>
        <v>480.90600000000001</v>
      </c>
      <c r="M168">
        <f t="shared" si="64"/>
        <v>127.76513936211482</v>
      </c>
      <c r="N168">
        <f t="shared" si="65"/>
        <v>12.618191757858229</v>
      </c>
      <c r="O168">
        <f t="shared" si="66"/>
        <v>47.494677779875801</v>
      </c>
      <c r="P168">
        <f t="shared" si="67"/>
        <v>0.13905318995245899</v>
      </c>
      <c r="Q168">
        <f t="shared" si="68"/>
        <v>2.160454783593929</v>
      </c>
      <c r="R168">
        <f t="shared" si="69"/>
        <v>0.13426558280802051</v>
      </c>
      <c r="S168">
        <f t="shared" si="70"/>
        <v>8.4332404336906225E-2</v>
      </c>
      <c r="T168">
        <f t="shared" si="71"/>
        <v>276.11727762435362</v>
      </c>
      <c r="U168">
        <f t="shared" si="72"/>
        <v>27.860862711253276</v>
      </c>
      <c r="V168">
        <f t="shared" si="73"/>
        <v>27.860862711253276</v>
      </c>
      <c r="W168">
        <f t="shared" si="74"/>
        <v>3.7641675727417545</v>
      </c>
      <c r="X168">
        <f t="shared" si="75"/>
        <v>68.149924736680688</v>
      </c>
      <c r="Y168">
        <f t="shared" si="76"/>
        <v>2.3526608425277398</v>
      </c>
      <c r="Z168">
        <f t="shared" si="77"/>
        <v>3.4521840656728635</v>
      </c>
      <c r="AA168">
        <f t="shared" si="78"/>
        <v>1.4115067302140147</v>
      </c>
      <c r="AB168">
        <f t="shared" si="79"/>
        <v>-87.329972587676863</v>
      </c>
      <c r="AC168">
        <f t="shared" si="80"/>
        <v>-171.73721607737025</v>
      </c>
      <c r="AD168">
        <f t="shared" si="81"/>
        <v>-17.176459244898481</v>
      </c>
      <c r="AE168">
        <f t="shared" si="82"/>
        <v>-0.12637028559197461</v>
      </c>
      <c r="AF168">
        <v>0</v>
      </c>
      <c r="AG168">
        <v>0</v>
      </c>
      <c r="AH168">
        <f t="shared" si="83"/>
        <v>1</v>
      </c>
      <c r="AI168">
        <f t="shared" si="84"/>
        <v>0</v>
      </c>
      <c r="AJ168">
        <f t="shared" si="85"/>
        <v>52382.277626710798</v>
      </c>
      <c r="AK168">
        <f t="shared" si="86"/>
        <v>1800.01</v>
      </c>
      <c r="AL168">
        <f t="shared" si="87"/>
        <v>1499.1204562007099</v>
      </c>
      <c r="AM168">
        <f t="shared" si="88"/>
        <v>0.8328400709999999</v>
      </c>
      <c r="AN168">
        <f t="shared" si="89"/>
        <v>0.15339763536000001</v>
      </c>
      <c r="AO168">
        <v>31.8</v>
      </c>
      <c r="AP168">
        <v>0.5</v>
      </c>
      <c r="AQ168" t="s">
        <v>331</v>
      </c>
      <c r="AR168">
        <v>2</v>
      </c>
      <c r="AS168">
        <v>1690386916</v>
      </c>
      <c r="AT168">
        <v>480.90600000000001</v>
      </c>
      <c r="AU168">
        <v>800.15599999999995</v>
      </c>
      <c r="AV168">
        <v>23.8218</v>
      </c>
      <c r="AW168">
        <v>3.3397700000000001</v>
      </c>
      <c r="AX168">
        <v>480.97</v>
      </c>
      <c r="AY168">
        <v>23.542100000000001</v>
      </c>
      <c r="AZ168">
        <v>300.12900000000002</v>
      </c>
      <c r="BA168">
        <v>98.660899999999998</v>
      </c>
      <c r="BB168">
        <v>9.9934300000000004E-2</v>
      </c>
      <c r="BC168">
        <v>26.386399999999998</v>
      </c>
      <c r="BD168">
        <v>26.979800000000001</v>
      </c>
      <c r="BE168">
        <v>27.898299999999999</v>
      </c>
      <c r="BF168">
        <v>0</v>
      </c>
      <c r="BG168">
        <v>0</v>
      </c>
      <c r="BH168">
        <v>10021.200000000001</v>
      </c>
      <c r="BI168">
        <v>1077.1300000000001</v>
      </c>
      <c r="BJ168">
        <v>1.5137799999999999</v>
      </c>
      <c r="BK168">
        <v>-319.25</v>
      </c>
      <c r="BL168">
        <v>492.642</v>
      </c>
      <c r="BM168">
        <v>802.83699999999999</v>
      </c>
      <c r="BN168">
        <v>20.482099999999999</v>
      </c>
      <c r="BO168">
        <v>800.15599999999995</v>
      </c>
      <c r="BP168">
        <v>3.3397700000000001</v>
      </c>
      <c r="BQ168">
        <v>2.3502800000000001</v>
      </c>
      <c r="BR168">
        <v>0.32950400000000002</v>
      </c>
      <c r="BS168">
        <v>20.025200000000002</v>
      </c>
      <c r="BT168">
        <v>-8.2677700000000005</v>
      </c>
      <c r="BU168">
        <v>1800.01</v>
      </c>
      <c r="BV168">
        <v>0.909995</v>
      </c>
      <c r="BW168">
        <v>3.3999599999999998E-2</v>
      </c>
      <c r="BX168">
        <v>2.2002299999999999E-2</v>
      </c>
      <c r="BY168">
        <v>3.4003400000000003E-2</v>
      </c>
      <c r="BZ168">
        <v>25</v>
      </c>
      <c r="CA168">
        <v>33528.5</v>
      </c>
      <c r="CB168">
        <v>1690384821</v>
      </c>
      <c r="CC168" t="s">
        <v>332</v>
      </c>
      <c r="CD168">
        <v>1690384820</v>
      </c>
      <c r="CE168">
        <v>1690384821</v>
      </c>
      <c r="CF168">
        <v>5</v>
      </c>
      <c r="CG168">
        <v>-2.5000000000000001E-2</v>
      </c>
      <c r="CH168">
        <v>0.104</v>
      </c>
      <c r="CI168">
        <v>-0.28799999999999998</v>
      </c>
      <c r="CJ168">
        <v>0.28000000000000003</v>
      </c>
      <c r="CK168">
        <v>800</v>
      </c>
      <c r="CL168">
        <v>24</v>
      </c>
      <c r="CM168">
        <v>0.08</v>
      </c>
      <c r="CN168">
        <v>0.11</v>
      </c>
      <c r="CO168">
        <v>-316.96541463414633</v>
      </c>
      <c r="CP168">
        <v>-11.605317073170101</v>
      </c>
      <c r="CQ168">
        <v>1.1455277615443309</v>
      </c>
      <c r="CR168">
        <v>-1</v>
      </c>
      <c r="CS168">
        <v>20.269502439024389</v>
      </c>
      <c r="CT168">
        <v>1.171277351916362</v>
      </c>
      <c r="CU168">
        <v>0.1155707691286081</v>
      </c>
      <c r="CV168">
        <v>-1</v>
      </c>
      <c r="CW168">
        <v>0</v>
      </c>
      <c r="CX168">
        <v>0</v>
      </c>
      <c r="CY168" t="s">
        <v>333</v>
      </c>
      <c r="CZ168">
        <v>2.3646799999999999</v>
      </c>
      <c r="DA168">
        <v>2.71374</v>
      </c>
      <c r="DB168">
        <v>0.102383</v>
      </c>
      <c r="DC168">
        <v>0.145539</v>
      </c>
      <c r="DD168">
        <v>0.112599</v>
      </c>
      <c r="DE168">
        <v>2.3994000000000001E-2</v>
      </c>
      <c r="DF168">
        <v>32796.800000000003</v>
      </c>
      <c r="DG168">
        <v>27563.599999999999</v>
      </c>
      <c r="DH168">
        <v>31191.3</v>
      </c>
      <c r="DI168">
        <v>28108.2</v>
      </c>
      <c r="DJ168">
        <v>37577.4</v>
      </c>
      <c r="DK168">
        <v>39017</v>
      </c>
      <c r="DL168">
        <v>44392.3</v>
      </c>
      <c r="DM168">
        <v>42604.2</v>
      </c>
      <c r="DN168">
        <v>1.4740500000000001</v>
      </c>
      <c r="DO168">
        <v>2.0365700000000002</v>
      </c>
      <c r="DP168">
        <v>0.105742</v>
      </c>
      <c r="DQ168">
        <v>0.17549799999999999</v>
      </c>
      <c r="DR168">
        <v>25.248000000000001</v>
      </c>
      <c r="DS168">
        <v>25.025600000000001</v>
      </c>
      <c r="DT168">
        <v>43.9</v>
      </c>
      <c r="DU168">
        <v>28.8</v>
      </c>
      <c r="DV168">
        <v>17.689900000000002</v>
      </c>
      <c r="DW168">
        <v>61.092199999999998</v>
      </c>
      <c r="DX168">
        <v>36.834899999999998</v>
      </c>
      <c r="DY168">
        <v>1</v>
      </c>
      <c r="DZ168">
        <v>-0.114769</v>
      </c>
      <c r="EA168">
        <v>-0.28045500000000001</v>
      </c>
      <c r="EB168">
        <v>20.189800000000002</v>
      </c>
      <c r="EC168">
        <v>5.2408000000000001</v>
      </c>
      <c r="ED168">
        <v>12.039899999999999</v>
      </c>
      <c r="EE168">
        <v>5.0163000000000002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1.8689100000000001</v>
      </c>
      <c r="EL168">
        <v>1.8646199999999999</v>
      </c>
      <c r="EM168">
        <v>1.8692</v>
      </c>
      <c r="EN168">
        <v>1.86724</v>
      </c>
      <c r="EO168">
        <v>1.86337</v>
      </c>
      <c r="EP168">
        <v>1.8644700000000001</v>
      </c>
      <c r="EQ168">
        <v>1.8702000000000001</v>
      </c>
      <c r="ER168">
        <v>1.8694500000000001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-6.4000000000000001E-2</v>
      </c>
      <c r="FG168">
        <v>0.2797</v>
      </c>
      <c r="FH168">
        <v>0.26269369235785539</v>
      </c>
      <c r="FI168">
        <v>-6.1462078757559423E-4</v>
      </c>
      <c r="FJ168">
        <v>-1.8861989874597051E-7</v>
      </c>
      <c r="FK168">
        <v>1.1980462299894961E-10</v>
      </c>
      <c r="FL168">
        <v>0.27968571428570849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34.9</v>
      </c>
      <c r="FU168">
        <v>34.9</v>
      </c>
      <c r="FV168">
        <v>1.7712399999999999</v>
      </c>
      <c r="FW168">
        <v>2.5817899999999998</v>
      </c>
      <c r="FX168">
        <v>1.5490699999999999</v>
      </c>
      <c r="FY168">
        <v>2.3315399999999999</v>
      </c>
      <c r="FZ168">
        <v>1.50146</v>
      </c>
      <c r="GA168">
        <v>2.2778299999999998</v>
      </c>
      <c r="GB168">
        <v>33.535499999999999</v>
      </c>
      <c r="GC168">
        <v>23.982399999999998</v>
      </c>
      <c r="GD168">
        <v>19</v>
      </c>
      <c r="GE168">
        <v>280.84699999999998</v>
      </c>
      <c r="GF168">
        <v>580.38800000000003</v>
      </c>
      <c r="GG168">
        <v>24.968699999999998</v>
      </c>
      <c r="GH168">
        <v>25.9648</v>
      </c>
      <c r="GI168">
        <v>30.0001</v>
      </c>
      <c r="GJ168">
        <v>26.097300000000001</v>
      </c>
      <c r="GK168">
        <v>26.078499999999998</v>
      </c>
      <c r="GL168">
        <v>35.414000000000001</v>
      </c>
      <c r="GM168">
        <v>77.213300000000004</v>
      </c>
      <c r="GN168">
        <v>53.033499999999997</v>
      </c>
      <c r="GO168">
        <v>24.967099999999999</v>
      </c>
      <c r="GP168">
        <v>800</v>
      </c>
      <c r="GQ168">
        <v>3.2471800000000002</v>
      </c>
      <c r="GR168">
        <v>99.804299999999998</v>
      </c>
      <c r="GS168">
        <v>99.664299999999997</v>
      </c>
    </row>
    <row r="169" spans="1:201" x14ac:dyDescent="0.25">
      <c r="A169">
        <v>153</v>
      </c>
      <c r="B169">
        <v>1690386926</v>
      </c>
      <c r="C169">
        <v>1591.400000095367</v>
      </c>
      <c r="D169" t="s">
        <v>639</v>
      </c>
      <c r="E169" t="s">
        <v>640</v>
      </c>
      <c r="F169" t="s">
        <v>330</v>
      </c>
      <c r="H169">
        <v>1690386926</v>
      </c>
      <c r="I169">
        <f t="shared" si="60"/>
        <v>1.9951483342289388E-3</v>
      </c>
      <c r="J169">
        <f t="shared" si="61"/>
        <v>1.9951483342289387</v>
      </c>
      <c r="K169">
        <f t="shared" si="62"/>
        <v>29.342073496144987</v>
      </c>
      <c r="L169">
        <f t="shared" si="63"/>
        <v>479.08499999999998</v>
      </c>
      <c r="M169">
        <f t="shared" si="64"/>
        <v>126.06412824781525</v>
      </c>
      <c r="N169">
        <f t="shared" si="65"/>
        <v>12.450480486511323</v>
      </c>
      <c r="O169">
        <f t="shared" si="66"/>
        <v>47.315906013760504</v>
      </c>
      <c r="P169">
        <f t="shared" si="67"/>
        <v>0.13990253297242511</v>
      </c>
      <c r="Q169">
        <f t="shared" si="68"/>
        <v>2.1561490207674399</v>
      </c>
      <c r="R169">
        <f t="shared" si="69"/>
        <v>0.13504804337420873</v>
      </c>
      <c r="S169">
        <f t="shared" si="70"/>
        <v>8.4827150545246852E-2</v>
      </c>
      <c r="T169">
        <f t="shared" si="71"/>
        <v>276.11566434000002</v>
      </c>
      <c r="U169">
        <f t="shared" si="72"/>
        <v>27.86728293612898</v>
      </c>
      <c r="V169">
        <f t="shared" si="73"/>
        <v>27.86728293612898</v>
      </c>
      <c r="W169">
        <f t="shared" si="74"/>
        <v>3.7655781035652689</v>
      </c>
      <c r="X169">
        <f t="shared" si="75"/>
        <v>68.085667648468856</v>
      </c>
      <c r="Y169">
        <f t="shared" si="76"/>
        <v>2.3516771196456903</v>
      </c>
      <c r="Z169">
        <f t="shared" si="77"/>
        <v>3.4539972961527914</v>
      </c>
      <c r="AA169">
        <f t="shared" si="78"/>
        <v>1.4139009839195786</v>
      </c>
      <c r="AB169">
        <f t="shared" si="79"/>
        <v>-87.986041539496199</v>
      </c>
      <c r="AC169">
        <f t="shared" si="80"/>
        <v>-171.1066908994915</v>
      </c>
      <c r="AD169">
        <f t="shared" si="81"/>
        <v>-17.148884261889368</v>
      </c>
      <c r="AE169">
        <f t="shared" si="82"/>
        <v>-0.12595236087702233</v>
      </c>
      <c r="AF169">
        <v>0</v>
      </c>
      <c r="AG169">
        <v>0</v>
      </c>
      <c r="AH169">
        <f t="shared" si="83"/>
        <v>1</v>
      </c>
      <c r="AI169">
        <f t="shared" si="84"/>
        <v>0</v>
      </c>
      <c r="AJ169">
        <f t="shared" si="85"/>
        <v>52200.401801426611</v>
      </c>
      <c r="AK169">
        <f t="shared" si="86"/>
        <v>1800</v>
      </c>
      <c r="AL169">
        <f t="shared" si="87"/>
        <v>1499.112126</v>
      </c>
      <c r="AM169">
        <f t="shared" si="88"/>
        <v>0.83284006999999993</v>
      </c>
      <c r="AN169">
        <f t="shared" si="89"/>
        <v>0.15339759130000002</v>
      </c>
      <c r="AO169">
        <v>31.8</v>
      </c>
      <c r="AP169">
        <v>0.5</v>
      </c>
      <c r="AQ169" t="s">
        <v>331</v>
      </c>
      <c r="AR169">
        <v>2</v>
      </c>
      <c r="AS169">
        <v>1690386926</v>
      </c>
      <c r="AT169">
        <v>479.08499999999998</v>
      </c>
      <c r="AU169">
        <v>800.09100000000001</v>
      </c>
      <c r="AV169">
        <v>23.811299999999999</v>
      </c>
      <c r="AW169">
        <v>3.1760700000000002</v>
      </c>
      <c r="AX169">
        <v>479.14699999999999</v>
      </c>
      <c r="AY169">
        <v>23.531600000000001</v>
      </c>
      <c r="AZ169">
        <v>300.142</v>
      </c>
      <c r="BA169">
        <v>98.6631</v>
      </c>
      <c r="BB169">
        <v>9.9971299999999999E-2</v>
      </c>
      <c r="BC169">
        <v>26.395299999999999</v>
      </c>
      <c r="BD169">
        <v>26.985199999999999</v>
      </c>
      <c r="BE169">
        <v>27.903500000000001</v>
      </c>
      <c r="BF169">
        <v>0</v>
      </c>
      <c r="BG169">
        <v>0</v>
      </c>
      <c r="BH169">
        <v>9985</v>
      </c>
      <c r="BI169">
        <v>1077.17</v>
      </c>
      <c r="BJ169">
        <v>1.5137799999999999</v>
      </c>
      <c r="BK169">
        <v>-321.00599999999997</v>
      </c>
      <c r="BL169">
        <v>490.77100000000002</v>
      </c>
      <c r="BM169">
        <v>802.64</v>
      </c>
      <c r="BN169">
        <v>20.635200000000001</v>
      </c>
      <c r="BO169">
        <v>800.09100000000001</v>
      </c>
      <c r="BP169">
        <v>3.1760700000000002</v>
      </c>
      <c r="BQ169">
        <v>2.3492899999999999</v>
      </c>
      <c r="BR169">
        <v>0.313361</v>
      </c>
      <c r="BS169">
        <v>20.0184</v>
      </c>
      <c r="BT169">
        <v>-8.9109599999999993</v>
      </c>
      <c r="BU169">
        <v>1800</v>
      </c>
      <c r="BV169">
        <v>0.90999600000000003</v>
      </c>
      <c r="BW169">
        <v>3.39992E-2</v>
      </c>
      <c r="BX169">
        <v>2.2002000000000001E-2</v>
      </c>
      <c r="BY169">
        <v>3.4002999999999999E-2</v>
      </c>
      <c r="BZ169">
        <v>25</v>
      </c>
      <c r="CA169">
        <v>33528.400000000001</v>
      </c>
      <c r="CB169">
        <v>1690384821</v>
      </c>
      <c r="CC169" t="s">
        <v>332</v>
      </c>
      <c r="CD169">
        <v>1690384820</v>
      </c>
      <c r="CE169">
        <v>1690384821</v>
      </c>
      <c r="CF169">
        <v>5</v>
      </c>
      <c r="CG169">
        <v>-2.5000000000000001E-2</v>
      </c>
      <c r="CH169">
        <v>0.104</v>
      </c>
      <c r="CI169">
        <v>-0.28799999999999998</v>
      </c>
      <c r="CJ169">
        <v>0.28000000000000003</v>
      </c>
      <c r="CK169">
        <v>800</v>
      </c>
      <c r="CL169">
        <v>24</v>
      </c>
      <c r="CM169">
        <v>0.08</v>
      </c>
      <c r="CN169">
        <v>0.11</v>
      </c>
      <c r="CO169">
        <v>-318.88917073170728</v>
      </c>
      <c r="CP169">
        <v>-11.287066202090379</v>
      </c>
      <c r="CQ169">
        <v>1.1160692106880321</v>
      </c>
      <c r="CR169">
        <v>-1</v>
      </c>
      <c r="CS169">
        <v>20.46613414634146</v>
      </c>
      <c r="CT169">
        <v>1.156699651567948</v>
      </c>
      <c r="CU169">
        <v>0.1145008991545394</v>
      </c>
      <c r="CV169">
        <v>-1</v>
      </c>
      <c r="CW169">
        <v>0</v>
      </c>
      <c r="CX169">
        <v>0</v>
      </c>
      <c r="CY169" t="s">
        <v>333</v>
      </c>
      <c r="CZ169">
        <v>2.3647300000000002</v>
      </c>
      <c r="DA169">
        <v>2.7137500000000001</v>
      </c>
      <c r="DB169">
        <v>0.10209799999999999</v>
      </c>
      <c r="DC169">
        <v>0.14552999999999999</v>
      </c>
      <c r="DD169">
        <v>0.112565</v>
      </c>
      <c r="DE169">
        <v>2.2967499999999998E-2</v>
      </c>
      <c r="DF169">
        <v>32807</v>
      </c>
      <c r="DG169">
        <v>27563.8</v>
      </c>
      <c r="DH169">
        <v>31191.1</v>
      </c>
      <c r="DI169">
        <v>28108.2</v>
      </c>
      <c r="DJ169">
        <v>37578.300000000003</v>
      </c>
      <c r="DK169">
        <v>39058.1</v>
      </c>
      <c r="DL169">
        <v>44391.7</v>
      </c>
      <c r="DM169">
        <v>42604.2</v>
      </c>
      <c r="DN169">
        <v>1.47417</v>
      </c>
      <c r="DO169">
        <v>2.0363199999999999</v>
      </c>
      <c r="DP169">
        <v>0.10587299999999999</v>
      </c>
      <c r="DQ169">
        <v>0.175815</v>
      </c>
      <c r="DR169">
        <v>25.251300000000001</v>
      </c>
      <c r="DS169">
        <v>25.025600000000001</v>
      </c>
      <c r="DT169">
        <v>43.4</v>
      </c>
      <c r="DU169">
        <v>28.8</v>
      </c>
      <c r="DV169">
        <v>17.487500000000001</v>
      </c>
      <c r="DW169">
        <v>60.992199999999997</v>
      </c>
      <c r="DX169">
        <v>36.742800000000003</v>
      </c>
      <c r="DY169">
        <v>1</v>
      </c>
      <c r="DZ169">
        <v>-0.115038</v>
      </c>
      <c r="EA169">
        <v>-0.291242</v>
      </c>
      <c r="EB169">
        <v>20.190000000000001</v>
      </c>
      <c r="EC169">
        <v>5.2411000000000003</v>
      </c>
      <c r="ED169">
        <v>12.039899999999999</v>
      </c>
      <c r="EE169">
        <v>5.0168999999999997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</v>
      </c>
      <c r="EL169">
        <v>1.8646199999999999</v>
      </c>
      <c r="EM169">
        <v>1.8692</v>
      </c>
      <c r="EN169">
        <v>1.8672299999999999</v>
      </c>
      <c r="EO169">
        <v>1.86337</v>
      </c>
      <c r="EP169">
        <v>1.8644700000000001</v>
      </c>
      <c r="EQ169">
        <v>1.87015</v>
      </c>
      <c r="ER169">
        <v>1.8694299999999999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-6.2E-2</v>
      </c>
      <c r="FG169">
        <v>0.2797</v>
      </c>
      <c r="FH169">
        <v>0.26269369235785539</v>
      </c>
      <c r="FI169">
        <v>-6.1462078757559423E-4</v>
      </c>
      <c r="FJ169">
        <v>-1.8861989874597051E-7</v>
      </c>
      <c r="FK169">
        <v>1.1980462299894961E-10</v>
      </c>
      <c r="FL169">
        <v>0.27968571428570849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35.1</v>
      </c>
      <c r="FU169">
        <v>35.1</v>
      </c>
      <c r="FV169">
        <v>1.7712399999999999</v>
      </c>
      <c r="FW169">
        <v>2.5842299999999998</v>
      </c>
      <c r="FX169">
        <v>1.5490699999999999</v>
      </c>
      <c r="FY169">
        <v>2.3315399999999999</v>
      </c>
      <c r="FZ169">
        <v>1.50146</v>
      </c>
      <c r="GA169">
        <v>2.32666</v>
      </c>
      <c r="GB169">
        <v>33.535499999999999</v>
      </c>
      <c r="GC169">
        <v>23.982399999999998</v>
      </c>
      <c r="GD169">
        <v>19</v>
      </c>
      <c r="GE169">
        <v>280.899</v>
      </c>
      <c r="GF169">
        <v>580.15899999999999</v>
      </c>
      <c r="GG169">
        <v>24.990300000000001</v>
      </c>
      <c r="GH169">
        <v>25.9648</v>
      </c>
      <c r="GI169">
        <v>30</v>
      </c>
      <c r="GJ169">
        <v>26.097000000000001</v>
      </c>
      <c r="GK169">
        <v>26.0764</v>
      </c>
      <c r="GL169">
        <v>35.412399999999998</v>
      </c>
      <c r="GM169">
        <v>77.213300000000004</v>
      </c>
      <c r="GN169">
        <v>52.239699999999999</v>
      </c>
      <c r="GO169">
        <v>24.992000000000001</v>
      </c>
      <c r="GP169">
        <v>800</v>
      </c>
      <c r="GQ169">
        <v>3.0661</v>
      </c>
      <c r="GR169">
        <v>99.803299999999993</v>
      </c>
      <c r="GS169">
        <v>99.664199999999994</v>
      </c>
    </row>
    <row r="170" spans="1:201" x14ac:dyDescent="0.25">
      <c r="A170">
        <v>154</v>
      </c>
      <c r="B170">
        <v>1690386936</v>
      </c>
      <c r="C170">
        <v>1601.400000095367</v>
      </c>
      <c r="D170" t="s">
        <v>641</v>
      </c>
      <c r="E170" t="s">
        <v>642</v>
      </c>
      <c r="F170" t="s">
        <v>330</v>
      </c>
      <c r="H170">
        <v>1690386936</v>
      </c>
      <c r="I170">
        <f t="shared" si="60"/>
        <v>2.0090216288334191E-3</v>
      </c>
      <c r="J170">
        <f t="shared" si="61"/>
        <v>2.0090216288334193</v>
      </c>
      <c r="K170">
        <f t="shared" si="62"/>
        <v>29.500957017030874</v>
      </c>
      <c r="L170">
        <f t="shared" si="63"/>
        <v>477.238</v>
      </c>
      <c r="M170">
        <f t="shared" si="64"/>
        <v>125.21620867439839</v>
      </c>
      <c r="N170">
        <f t="shared" si="65"/>
        <v>12.366678706474763</v>
      </c>
      <c r="O170">
        <f t="shared" si="66"/>
        <v>47.133267130513993</v>
      </c>
      <c r="P170">
        <f t="shared" si="67"/>
        <v>0.14108003406568567</v>
      </c>
      <c r="Q170">
        <f t="shared" si="68"/>
        <v>2.1593637082545101</v>
      </c>
      <c r="R170">
        <f t="shared" si="69"/>
        <v>0.1361521056460448</v>
      </c>
      <c r="S170">
        <f t="shared" si="70"/>
        <v>8.5523480439847505E-2</v>
      </c>
      <c r="T170">
        <f t="shared" si="71"/>
        <v>276.11555668199998</v>
      </c>
      <c r="U170">
        <f t="shared" si="72"/>
        <v>27.862205965865709</v>
      </c>
      <c r="V170">
        <f t="shared" si="73"/>
        <v>27.862205965865709</v>
      </c>
      <c r="W170">
        <f t="shared" si="74"/>
        <v>3.7644626491897903</v>
      </c>
      <c r="X170">
        <f t="shared" si="75"/>
        <v>68.096242738919372</v>
      </c>
      <c r="Y170">
        <f t="shared" si="76"/>
        <v>2.3522782969524996</v>
      </c>
      <c r="Z170">
        <f t="shared" si="77"/>
        <v>3.4543437381282867</v>
      </c>
      <c r="AA170">
        <f t="shared" si="78"/>
        <v>1.4121843522372908</v>
      </c>
      <c r="AB170">
        <f t="shared" si="79"/>
        <v>-88.597853831553778</v>
      </c>
      <c r="AC170">
        <f t="shared" si="80"/>
        <v>-170.57285543392706</v>
      </c>
      <c r="AD170">
        <f t="shared" si="81"/>
        <v>-17.069642217747464</v>
      </c>
      <c r="AE170">
        <f t="shared" si="82"/>
        <v>-0.12479480122831887</v>
      </c>
      <c r="AF170">
        <v>0</v>
      </c>
      <c r="AG170">
        <v>0</v>
      </c>
      <c r="AH170">
        <f t="shared" si="83"/>
        <v>1</v>
      </c>
      <c r="AI170">
        <f t="shared" si="84"/>
        <v>0</v>
      </c>
      <c r="AJ170">
        <f t="shared" si="85"/>
        <v>52334.719380387716</v>
      </c>
      <c r="AK170">
        <f t="shared" si="86"/>
        <v>1800</v>
      </c>
      <c r="AL170">
        <f t="shared" si="87"/>
        <v>1499.1119891999999</v>
      </c>
      <c r="AM170">
        <f t="shared" si="88"/>
        <v>0.83283999399999997</v>
      </c>
      <c r="AN170">
        <f t="shared" si="89"/>
        <v>0.15339753148999999</v>
      </c>
      <c r="AO170">
        <v>31.8</v>
      </c>
      <c r="AP170">
        <v>0.5</v>
      </c>
      <c r="AQ170" t="s">
        <v>331</v>
      </c>
      <c r="AR170">
        <v>2</v>
      </c>
      <c r="AS170">
        <v>1690386936</v>
      </c>
      <c r="AT170">
        <v>477.238</v>
      </c>
      <c r="AU170">
        <v>800.02300000000002</v>
      </c>
      <c r="AV170">
        <v>23.817499999999999</v>
      </c>
      <c r="AW170">
        <v>3.0347599999999999</v>
      </c>
      <c r="AX170">
        <v>477.29899999999998</v>
      </c>
      <c r="AY170">
        <v>23.537800000000001</v>
      </c>
      <c r="AZ170">
        <v>300.08199999999999</v>
      </c>
      <c r="BA170">
        <v>98.662599999999998</v>
      </c>
      <c r="BB170">
        <v>0.10000299999999999</v>
      </c>
      <c r="BC170">
        <v>26.396999999999998</v>
      </c>
      <c r="BD170">
        <v>26.979099999999999</v>
      </c>
      <c r="BE170">
        <v>27.911000000000001</v>
      </c>
      <c r="BF170">
        <v>0</v>
      </c>
      <c r="BG170">
        <v>0</v>
      </c>
      <c r="BH170">
        <v>10011.9</v>
      </c>
      <c r="BI170">
        <v>1077.32</v>
      </c>
      <c r="BJ170">
        <v>1.5137799999999999</v>
      </c>
      <c r="BK170">
        <v>-322.78500000000003</v>
      </c>
      <c r="BL170">
        <v>488.88200000000001</v>
      </c>
      <c r="BM170">
        <v>802.45799999999997</v>
      </c>
      <c r="BN170">
        <v>20.782800000000002</v>
      </c>
      <c r="BO170">
        <v>800.02300000000002</v>
      </c>
      <c r="BP170">
        <v>3.0347599999999999</v>
      </c>
      <c r="BQ170">
        <v>2.3498999999999999</v>
      </c>
      <c r="BR170">
        <v>0.29941800000000002</v>
      </c>
      <c r="BS170">
        <v>20.022600000000001</v>
      </c>
      <c r="BT170">
        <v>-9.4907000000000004</v>
      </c>
      <c r="BU170">
        <v>1800</v>
      </c>
      <c r="BV170">
        <v>0.90999699999999994</v>
      </c>
      <c r="BW170">
        <v>3.3998800000000003E-2</v>
      </c>
      <c r="BX170">
        <v>2.2001699999999999E-2</v>
      </c>
      <c r="BY170">
        <v>3.4002499999999998E-2</v>
      </c>
      <c r="BZ170">
        <v>25</v>
      </c>
      <c r="CA170">
        <v>33528.400000000001</v>
      </c>
      <c r="CB170">
        <v>1690384821</v>
      </c>
      <c r="CC170" t="s">
        <v>332</v>
      </c>
      <c r="CD170">
        <v>1690384820</v>
      </c>
      <c r="CE170">
        <v>1690384821</v>
      </c>
      <c r="CF170">
        <v>5</v>
      </c>
      <c r="CG170">
        <v>-2.5000000000000001E-2</v>
      </c>
      <c r="CH170">
        <v>0.104</v>
      </c>
      <c r="CI170">
        <v>-0.28799999999999998</v>
      </c>
      <c r="CJ170">
        <v>0.28000000000000003</v>
      </c>
      <c r="CK170">
        <v>800</v>
      </c>
      <c r="CL170">
        <v>24</v>
      </c>
      <c r="CM170">
        <v>0.08</v>
      </c>
      <c r="CN170">
        <v>0.11</v>
      </c>
      <c r="CO170">
        <v>-320.75734999999997</v>
      </c>
      <c r="CP170">
        <v>-11.147774859287191</v>
      </c>
      <c r="CQ170">
        <v>1.075114216025443</v>
      </c>
      <c r="CR170">
        <v>-1</v>
      </c>
      <c r="CS170">
        <v>20.6165375</v>
      </c>
      <c r="CT170">
        <v>0.72377448405249434</v>
      </c>
      <c r="CU170">
        <v>7.1813970393997881E-2</v>
      </c>
      <c r="CV170">
        <v>-1</v>
      </c>
      <c r="CW170">
        <v>0</v>
      </c>
      <c r="CX170">
        <v>0</v>
      </c>
      <c r="CY170" t="s">
        <v>333</v>
      </c>
      <c r="CZ170">
        <v>2.3645</v>
      </c>
      <c r="DA170">
        <v>2.7138</v>
      </c>
      <c r="DB170">
        <v>0.101808</v>
      </c>
      <c r="DC170">
        <v>0.14551900000000001</v>
      </c>
      <c r="DD170">
        <v>0.11258600000000001</v>
      </c>
      <c r="DE170">
        <v>2.2071199999999999E-2</v>
      </c>
      <c r="DF170">
        <v>32817.599999999999</v>
      </c>
      <c r="DG170">
        <v>27564.400000000001</v>
      </c>
      <c r="DH170">
        <v>31191</v>
      </c>
      <c r="DI170">
        <v>28108.400000000001</v>
      </c>
      <c r="DJ170">
        <v>37577.5</v>
      </c>
      <c r="DK170">
        <v>39094.400000000001</v>
      </c>
      <c r="DL170">
        <v>44391.9</v>
      </c>
      <c r="DM170">
        <v>42604.6</v>
      </c>
      <c r="DN170">
        <v>1.4742</v>
      </c>
      <c r="DO170">
        <v>2.0360999999999998</v>
      </c>
      <c r="DP170">
        <v>0.105314</v>
      </c>
      <c r="DQ170">
        <v>0.17615</v>
      </c>
      <c r="DR170">
        <v>25.254300000000001</v>
      </c>
      <c r="DS170">
        <v>25.027699999999999</v>
      </c>
      <c r="DT170">
        <v>43</v>
      </c>
      <c r="DU170">
        <v>28.8</v>
      </c>
      <c r="DV170">
        <v>17.327300000000001</v>
      </c>
      <c r="DW170">
        <v>61.102200000000003</v>
      </c>
      <c r="DX170">
        <v>37.608199999999997</v>
      </c>
      <c r="DY170">
        <v>1</v>
      </c>
      <c r="DZ170">
        <v>-0.11493100000000001</v>
      </c>
      <c r="EA170">
        <v>-0.28759000000000001</v>
      </c>
      <c r="EB170">
        <v>20.190000000000001</v>
      </c>
      <c r="EC170">
        <v>5.2408000000000001</v>
      </c>
      <c r="ED170">
        <v>12.039899999999999</v>
      </c>
      <c r="EE170">
        <v>5.0167999999999999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1.8689199999999999</v>
      </c>
      <c r="EL170">
        <v>1.8646199999999999</v>
      </c>
      <c r="EM170">
        <v>1.86921</v>
      </c>
      <c r="EN170">
        <v>1.8672500000000001</v>
      </c>
      <c r="EO170">
        <v>1.8633900000000001</v>
      </c>
      <c r="EP170">
        <v>1.8644700000000001</v>
      </c>
      <c r="EQ170">
        <v>1.8701700000000001</v>
      </c>
      <c r="ER170">
        <v>1.8694299999999999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-6.0999999999999999E-2</v>
      </c>
      <c r="FG170">
        <v>0.2797</v>
      </c>
      <c r="FH170">
        <v>0.26269369235785539</v>
      </c>
      <c r="FI170">
        <v>-6.1462078757559423E-4</v>
      </c>
      <c r="FJ170">
        <v>-1.8861989874597051E-7</v>
      </c>
      <c r="FK170">
        <v>1.1980462299894961E-10</v>
      </c>
      <c r="FL170">
        <v>0.27968571428570849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35.299999999999997</v>
      </c>
      <c r="FU170">
        <v>35.200000000000003</v>
      </c>
      <c r="FV170">
        <v>1.7712399999999999</v>
      </c>
      <c r="FW170">
        <v>2.5817899999999998</v>
      </c>
      <c r="FX170">
        <v>1.5490699999999999</v>
      </c>
      <c r="FY170">
        <v>2.3315399999999999</v>
      </c>
      <c r="FZ170">
        <v>1.50146</v>
      </c>
      <c r="GA170">
        <v>2.3974600000000001</v>
      </c>
      <c r="GB170">
        <v>33.535499999999999</v>
      </c>
      <c r="GC170">
        <v>23.982399999999998</v>
      </c>
      <c r="GD170">
        <v>19</v>
      </c>
      <c r="GE170">
        <v>280.90100000000001</v>
      </c>
      <c r="GF170">
        <v>579.97299999999996</v>
      </c>
      <c r="GG170">
        <v>25.0078</v>
      </c>
      <c r="GH170">
        <v>25.962599999999998</v>
      </c>
      <c r="GI170">
        <v>30</v>
      </c>
      <c r="GJ170">
        <v>26.095099999999999</v>
      </c>
      <c r="GK170">
        <v>26.0762</v>
      </c>
      <c r="GL170">
        <v>35.406199999999998</v>
      </c>
      <c r="GM170">
        <v>78.394499999999994</v>
      </c>
      <c r="GN170">
        <v>51.426200000000001</v>
      </c>
      <c r="GO170">
        <v>25.0093</v>
      </c>
      <c r="GP170">
        <v>800</v>
      </c>
      <c r="GQ170">
        <v>2.86687</v>
      </c>
      <c r="GR170">
        <v>99.8035</v>
      </c>
      <c r="GS170">
        <v>99.665099999999995</v>
      </c>
    </row>
    <row r="171" spans="1:201" x14ac:dyDescent="0.25">
      <c r="A171">
        <v>155</v>
      </c>
      <c r="B171">
        <v>1690386946</v>
      </c>
      <c r="C171">
        <v>1611.400000095367</v>
      </c>
      <c r="D171" t="s">
        <v>643</v>
      </c>
      <c r="E171" t="s">
        <v>644</v>
      </c>
      <c r="F171" t="s">
        <v>330</v>
      </c>
      <c r="H171">
        <v>1690386946</v>
      </c>
      <c r="I171">
        <f t="shared" si="60"/>
        <v>2.0301125016593175E-3</v>
      </c>
      <c r="J171">
        <f t="shared" si="61"/>
        <v>2.0301125016593176</v>
      </c>
      <c r="K171">
        <f t="shared" si="62"/>
        <v>29.699910023338173</v>
      </c>
      <c r="L171">
        <f t="shared" si="63"/>
        <v>475.32600000000002</v>
      </c>
      <c r="M171">
        <f t="shared" si="64"/>
        <v>125.02992414681073</v>
      </c>
      <c r="N171">
        <f t="shared" si="65"/>
        <v>12.348288763546728</v>
      </c>
      <c r="O171">
        <f t="shared" si="66"/>
        <v>46.944463454442001</v>
      </c>
      <c r="P171">
        <f t="shared" si="67"/>
        <v>0.14277708296826713</v>
      </c>
      <c r="Q171">
        <f t="shared" si="68"/>
        <v>2.1624944794109133</v>
      </c>
      <c r="R171">
        <f t="shared" si="69"/>
        <v>0.1377391928675506</v>
      </c>
      <c r="S171">
        <f t="shared" si="70"/>
        <v>8.6524820419537851E-2</v>
      </c>
      <c r="T171">
        <f t="shared" si="71"/>
        <v>276.11542004400002</v>
      </c>
      <c r="U171">
        <f t="shared" si="72"/>
        <v>27.857211534678314</v>
      </c>
      <c r="V171">
        <f t="shared" si="73"/>
        <v>27.857211534678314</v>
      </c>
      <c r="W171">
        <f t="shared" si="74"/>
        <v>3.7633656106832309</v>
      </c>
      <c r="X171">
        <f t="shared" si="75"/>
        <v>68.094279186100565</v>
      </c>
      <c r="Y171">
        <f t="shared" si="76"/>
        <v>2.3527933871409004</v>
      </c>
      <c r="Z171">
        <f t="shared" si="77"/>
        <v>3.4551997836863122</v>
      </c>
      <c r="AA171">
        <f t="shared" si="78"/>
        <v>1.4105722235423306</v>
      </c>
      <c r="AB171">
        <f t="shared" si="79"/>
        <v>-89.527961323175901</v>
      </c>
      <c r="AC171">
        <f t="shared" si="80"/>
        <v>-169.74823462012355</v>
      </c>
      <c r="AD171">
        <f t="shared" si="81"/>
        <v>-16.962458527334373</v>
      </c>
      <c r="AE171">
        <f t="shared" si="82"/>
        <v>-0.12323442663381456</v>
      </c>
      <c r="AF171">
        <v>0</v>
      </c>
      <c r="AG171">
        <v>0</v>
      </c>
      <c r="AH171">
        <f t="shared" si="83"/>
        <v>1</v>
      </c>
      <c r="AI171">
        <f t="shared" si="84"/>
        <v>0</v>
      </c>
      <c r="AJ171">
        <f t="shared" si="85"/>
        <v>52465.303470619576</v>
      </c>
      <c r="AK171">
        <f t="shared" si="86"/>
        <v>1800</v>
      </c>
      <c r="AL171">
        <f t="shared" si="87"/>
        <v>1499.1117263999997</v>
      </c>
      <c r="AM171">
        <f t="shared" si="88"/>
        <v>0.83283984799999988</v>
      </c>
      <c r="AN171">
        <f t="shared" si="89"/>
        <v>0.15339745558000001</v>
      </c>
      <c r="AO171">
        <v>31.8</v>
      </c>
      <c r="AP171">
        <v>0.5</v>
      </c>
      <c r="AQ171" t="s">
        <v>331</v>
      </c>
      <c r="AR171">
        <v>2</v>
      </c>
      <c r="AS171">
        <v>1690386946</v>
      </c>
      <c r="AT171">
        <v>475.32600000000002</v>
      </c>
      <c r="AU171">
        <v>800.19500000000005</v>
      </c>
      <c r="AV171">
        <v>23.822700000000001</v>
      </c>
      <c r="AW171">
        <v>2.8277000000000001</v>
      </c>
      <c r="AX171">
        <v>475.38499999999999</v>
      </c>
      <c r="AY171">
        <v>23.542999999999999</v>
      </c>
      <c r="AZ171">
        <v>300.16500000000002</v>
      </c>
      <c r="BA171">
        <v>98.662700000000001</v>
      </c>
      <c r="BB171">
        <v>9.9967E-2</v>
      </c>
      <c r="BC171">
        <v>26.401199999999999</v>
      </c>
      <c r="BD171">
        <v>26.9834</v>
      </c>
      <c r="BE171">
        <v>27.889900000000001</v>
      </c>
      <c r="BF171">
        <v>0</v>
      </c>
      <c r="BG171">
        <v>0</v>
      </c>
      <c r="BH171">
        <v>10038.1</v>
      </c>
      <c r="BI171">
        <v>1077.3900000000001</v>
      </c>
      <c r="BJ171">
        <v>1.5137799999999999</v>
      </c>
      <c r="BK171">
        <v>-324.87</v>
      </c>
      <c r="BL171">
        <v>486.92500000000001</v>
      </c>
      <c r="BM171">
        <v>802.46400000000006</v>
      </c>
      <c r="BN171">
        <v>20.995000000000001</v>
      </c>
      <c r="BO171">
        <v>800.19500000000005</v>
      </c>
      <c r="BP171">
        <v>2.8277000000000001</v>
      </c>
      <c r="BQ171">
        <v>2.3504100000000001</v>
      </c>
      <c r="BR171">
        <v>0.27898800000000001</v>
      </c>
      <c r="BS171">
        <v>20.0261</v>
      </c>
      <c r="BT171">
        <v>-10.3851</v>
      </c>
      <c r="BU171">
        <v>1800</v>
      </c>
      <c r="BV171">
        <v>0.90999799999999997</v>
      </c>
      <c r="BW171">
        <v>3.3998300000000002E-2</v>
      </c>
      <c r="BX171">
        <v>2.2001400000000001E-2</v>
      </c>
      <c r="BY171">
        <v>3.4001999999999998E-2</v>
      </c>
      <c r="BZ171">
        <v>25</v>
      </c>
      <c r="CA171">
        <v>33528.400000000001</v>
      </c>
      <c r="CB171">
        <v>1690384821</v>
      </c>
      <c r="CC171" t="s">
        <v>332</v>
      </c>
      <c r="CD171">
        <v>1690384820</v>
      </c>
      <c r="CE171">
        <v>1690384821</v>
      </c>
      <c r="CF171">
        <v>5</v>
      </c>
      <c r="CG171">
        <v>-2.5000000000000001E-2</v>
      </c>
      <c r="CH171">
        <v>0.104</v>
      </c>
      <c r="CI171">
        <v>-0.28799999999999998</v>
      </c>
      <c r="CJ171">
        <v>0.28000000000000003</v>
      </c>
      <c r="CK171">
        <v>800</v>
      </c>
      <c r="CL171">
        <v>24</v>
      </c>
      <c r="CM171">
        <v>0.08</v>
      </c>
      <c r="CN171">
        <v>0.11</v>
      </c>
      <c r="CO171">
        <v>-322.68029268292679</v>
      </c>
      <c r="CP171">
        <v>-11.281358885017291</v>
      </c>
      <c r="CQ171">
        <v>1.1135813515553481</v>
      </c>
      <c r="CR171">
        <v>-1</v>
      </c>
      <c r="CS171">
        <v>20.771899999999999</v>
      </c>
      <c r="CT171">
        <v>1.114733101045259</v>
      </c>
      <c r="CU171">
        <v>0.11119390885230029</v>
      </c>
      <c r="CV171">
        <v>-1</v>
      </c>
      <c r="CW171">
        <v>0</v>
      </c>
      <c r="CX171">
        <v>0</v>
      </c>
      <c r="CY171" t="s">
        <v>333</v>
      </c>
      <c r="CZ171">
        <v>2.3647999999999998</v>
      </c>
      <c r="DA171">
        <v>2.7137899999999999</v>
      </c>
      <c r="DB171">
        <v>0.101507</v>
      </c>
      <c r="DC171">
        <v>0.145536</v>
      </c>
      <c r="DD171">
        <v>0.112604</v>
      </c>
      <c r="DE171">
        <v>2.0741599999999999E-2</v>
      </c>
      <c r="DF171">
        <v>32828.699999999997</v>
      </c>
      <c r="DG171">
        <v>27563.9</v>
      </c>
      <c r="DH171">
        <v>31191.1</v>
      </c>
      <c r="DI171">
        <v>28108.400000000001</v>
      </c>
      <c r="DJ171">
        <v>37576.6</v>
      </c>
      <c r="DK171">
        <v>39147.800000000003</v>
      </c>
      <c r="DL171">
        <v>44391.8</v>
      </c>
      <c r="DM171">
        <v>42604.6</v>
      </c>
      <c r="DN171">
        <v>1.47448</v>
      </c>
      <c r="DO171">
        <v>2.0356200000000002</v>
      </c>
      <c r="DP171">
        <v>0.105444</v>
      </c>
      <c r="DQ171">
        <v>0.174847</v>
      </c>
      <c r="DR171">
        <v>25.256499999999999</v>
      </c>
      <c r="DS171">
        <v>25.027899999999999</v>
      </c>
      <c r="DT171">
        <v>42.5</v>
      </c>
      <c r="DU171">
        <v>28.8</v>
      </c>
      <c r="DV171">
        <v>17.1267</v>
      </c>
      <c r="DW171">
        <v>61.092199999999998</v>
      </c>
      <c r="DX171">
        <v>37.760399999999997</v>
      </c>
      <c r="DY171">
        <v>1</v>
      </c>
      <c r="DZ171">
        <v>-0.11513</v>
      </c>
      <c r="EA171">
        <v>-0.31396200000000002</v>
      </c>
      <c r="EB171">
        <v>20.190100000000001</v>
      </c>
      <c r="EC171">
        <v>5.2401999999999997</v>
      </c>
      <c r="ED171">
        <v>12.039899999999999</v>
      </c>
      <c r="EE171">
        <v>5.0166000000000004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1.8689100000000001</v>
      </c>
      <c r="EL171">
        <v>1.8646199999999999</v>
      </c>
      <c r="EM171">
        <v>1.8692</v>
      </c>
      <c r="EN171">
        <v>1.86724</v>
      </c>
      <c r="EO171">
        <v>1.86338</v>
      </c>
      <c r="EP171">
        <v>1.86446</v>
      </c>
      <c r="EQ171">
        <v>1.87015</v>
      </c>
      <c r="ER171">
        <v>1.8694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-5.8999999999999997E-2</v>
      </c>
      <c r="FG171">
        <v>0.2797</v>
      </c>
      <c r="FH171">
        <v>0.26269369235785539</v>
      </c>
      <c r="FI171">
        <v>-6.1462078757559423E-4</v>
      </c>
      <c r="FJ171">
        <v>-1.8861989874597051E-7</v>
      </c>
      <c r="FK171">
        <v>1.1980462299894961E-10</v>
      </c>
      <c r="FL171">
        <v>0.27968571428570849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35.4</v>
      </c>
      <c r="FU171">
        <v>35.4</v>
      </c>
      <c r="FV171">
        <v>1.7700199999999999</v>
      </c>
      <c r="FW171">
        <v>2.5781200000000002</v>
      </c>
      <c r="FX171">
        <v>1.5490699999999999</v>
      </c>
      <c r="FY171">
        <v>2.3315399999999999</v>
      </c>
      <c r="FZ171">
        <v>1.50146</v>
      </c>
      <c r="GA171">
        <v>2.4084500000000002</v>
      </c>
      <c r="GB171">
        <v>33.535499999999999</v>
      </c>
      <c r="GC171">
        <v>23.991199999999999</v>
      </c>
      <c r="GD171">
        <v>19</v>
      </c>
      <c r="GE171">
        <v>281.01799999999997</v>
      </c>
      <c r="GF171">
        <v>579.55999999999995</v>
      </c>
      <c r="GG171">
        <v>25.030100000000001</v>
      </c>
      <c r="GH171">
        <v>25.962599999999998</v>
      </c>
      <c r="GI171">
        <v>30</v>
      </c>
      <c r="GJ171">
        <v>26.095099999999999</v>
      </c>
      <c r="GK171">
        <v>26.074200000000001</v>
      </c>
      <c r="GL171">
        <v>35.396099999999997</v>
      </c>
      <c r="GM171">
        <v>79.260000000000005</v>
      </c>
      <c r="GN171">
        <v>50.611400000000003</v>
      </c>
      <c r="GO171">
        <v>25.0336</v>
      </c>
      <c r="GP171">
        <v>800</v>
      </c>
      <c r="GQ171">
        <v>2.6678700000000002</v>
      </c>
      <c r="GR171">
        <v>99.8035</v>
      </c>
      <c r="GS171">
        <v>99.665099999999995</v>
      </c>
    </row>
    <row r="172" spans="1:201" x14ac:dyDescent="0.25">
      <c r="A172">
        <v>156</v>
      </c>
      <c r="B172">
        <v>1690386956</v>
      </c>
      <c r="C172">
        <v>1621.400000095367</v>
      </c>
      <c r="D172" t="s">
        <v>645</v>
      </c>
      <c r="E172" t="s">
        <v>646</v>
      </c>
      <c r="F172" t="s">
        <v>330</v>
      </c>
      <c r="H172">
        <v>1690386956</v>
      </c>
      <c r="I172">
        <f t="shared" si="60"/>
        <v>2.0488293717606265E-3</v>
      </c>
      <c r="J172">
        <f t="shared" si="61"/>
        <v>2.0488293717606263</v>
      </c>
      <c r="K172">
        <f t="shared" si="62"/>
        <v>29.87561249970063</v>
      </c>
      <c r="L172">
        <f t="shared" si="63"/>
        <v>473.61900000000003</v>
      </c>
      <c r="M172">
        <f t="shared" si="64"/>
        <v>124.27132790674236</v>
      </c>
      <c r="N172">
        <f t="shared" si="65"/>
        <v>12.273061819692098</v>
      </c>
      <c r="O172">
        <f t="shared" si="66"/>
        <v>46.774709531894999</v>
      </c>
      <c r="P172">
        <f t="shared" si="67"/>
        <v>0.14405787748309376</v>
      </c>
      <c r="Q172">
        <f t="shared" si="68"/>
        <v>2.1578365157476362</v>
      </c>
      <c r="R172">
        <f t="shared" si="69"/>
        <v>0.13892029981753126</v>
      </c>
      <c r="S172">
        <f t="shared" si="70"/>
        <v>8.7271513645625076E-2</v>
      </c>
      <c r="T172">
        <f t="shared" si="71"/>
        <v>276.11543878200001</v>
      </c>
      <c r="U172">
        <f t="shared" si="72"/>
        <v>27.858909825867773</v>
      </c>
      <c r="V172">
        <f t="shared" si="73"/>
        <v>27.858909825867773</v>
      </c>
      <c r="W172">
        <f t="shared" si="74"/>
        <v>3.7637386130169994</v>
      </c>
      <c r="X172">
        <f t="shared" si="75"/>
        <v>68.058721784214072</v>
      </c>
      <c r="Y172">
        <f t="shared" si="76"/>
        <v>2.3523001907515</v>
      </c>
      <c r="Z172">
        <f t="shared" si="77"/>
        <v>3.4562802960209371</v>
      </c>
      <c r="AA172">
        <f t="shared" si="78"/>
        <v>1.4114384222654994</v>
      </c>
      <c r="AB172">
        <f t="shared" si="79"/>
        <v>-90.353375294643627</v>
      </c>
      <c r="AC172">
        <f t="shared" si="80"/>
        <v>-168.96360219644802</v>
      </c>
      <c r="AD172">
        <f t="shared" si="81"/>
        <v>-16.921090137972275</v>
      </c>
      <c r="AE172">
        <f t="shared" si="82"/>
        <v>-0.12262884706390764</v>
      </c>
      <c r="AF172">
        <v>0</v>
      </c>
      <c r="AG172">
        <v>0</v>
      </c>
      <c r="AH172">
        <f t="shared" si="83"/>
        <v>1</v>
      </c>
      <c r="AI172">
        <f t="shared" si="84"/>
        <v>0</v>
      </c>
      <c r="AJ172">
        <f t="shared" si="85"/>
        <v>52269.0263335048</v>
      </c>
      <c r="AK172">
        <f t="shared" si="86"/>
        <v>1800</v>
      </c>
      <c r="AL172">
        <f t="shared" si="87"/>
        <v>1499.1121422000001</v>
      </c>
      <c r="AM172">
        <f t="shared" si="88"/>
        <v>0.83284007900000001</v>
      </c>
      <c r="AN172">
        <f t="shared" si="89"/>
        <v>0.15339746599000001</v>
      </c>
      <c r="AO172">
        <v>31.8</v>
      </c>
      <c r="AP172">
        <v>0.5</v>
      </c>
      <c r="AQ172" t="s">
        <v>331</v>
      </c>
      <c r="AR172">
        <v>2</v>
      </c>
      <c r="AS172">
        <v>1690386956</v>
      </c>
      <c r="AT172">
        <v>473.61900000000003</v>
      </c>
      <c r="AU172">
        <v>800.226</v>
      </c>
      <c r="AV172">
        <v>23.818300000000001</v>
      </c>
      <c r="AW172">
        <v>2.6413500000000001</v>
      </c>
      <c r="AX172">
        <v>473.67700000000002</v>
      </c>
      <c r="AY172">
        <v>23.538599999999999</v>
      </c>
      <c r="AZ172">
        <v>300.33100000000002</v>
      </c>
      <c r="BA172">
        <v>98.660200000000003</v>
      </c>
      <c r="BB172">
        <v>0.100005</v>
      </c>
      <c r="BC172">
        <v>26.406500000000001</v>
      </c>
      <c r="BD172">
        <v>26.974499999999999</v>
      </c>
      <c r="BE172">
        <v>27.903199999999998</v>
      </c>
      <c r="BF172">
        <v>0</v>
      </c>
      <c r="BG172">
        <v>0</v>
      </c>
      <c r="BH172">
        <v>9999.3799999999992</v>
      </c>
      <c r="BI172">
        <v>1077.45</v>
      </c>
      <c r="BJ172">
        <v>1.5137799999999999</v>
      </c>
      <c r="BK172">
        <v>-326.60700000000003</v>
      </c>
      <c r="BL172">
        <v>485.17500000000001</v>
      </c>
      <c r="BM172">
        <v>802.34500000000003</v>
      </c>
      <c r="BN172">
        <v>21.177</v>
      </c>
      <c r="BO172">
        <v>800.226</v>
      </c>
      <c r="BP172">
        <v>2.6413500000000001</v>
      </c>
      <c r="BQ172">
        <v>2.34992</v>
      </c>
      <c r="BR172">
        <v>0.26059599999999999</v>
      </c>
      <c r="BS172">
        <v>20.0227</v>
      </c>
      <c r="BT172">
        <v>-11.2417</v>
      </c>
      <c r="BU172">
        <v>1800</v>
      </c>
      <c r="BV172">
        <v>0.909999</v>
      </c>
      <c r="BW172">
        <v>3.3998E-2</v>
      </c>
      <c r="BX172">
        <v>2.2001199999999999E-2</v>
      </c>
      <c r="BY172">
        <v>3.4001700000000003E-2</v>
      </c>
      <c r="BZ172">
        <v>25</v>
      </c>
      <c r="CA172">
        <v>33528.400000000001</v>
      </c>
      <c r="CB172">
        <v>1690384821</v>
      </c>
      <c r="CC172" t="s">
        <v>332</v>
      </c>
      <c r="CD172">
        <v>1690384820</v>
      </c>
      <c r="CE172">
        <v>1690384821</v>
      </c>
      <c r="CF172">
        <v>5</v>
      </c>
      <c r="CG172">
        <v>-2.5000000000000001E-2</v>
      </c>
      <c r="CH172">
        <v>0.104</v>
      </c>
      <c r="CI172">
        <v>-0.28799999999999998</v>
      </c>
      <c r="CJ172">
        <v>0.28000000000000003</v>
      </c>
      <c r="CK172">
        <v>800</v>
      </c>
      <c r="CL172">
        <v>24</v>
      </c>
      <c r="CM172">
        <v>0.08</v>
      </c>
      <c r="CN172">
        <v>0.11</v>
      </c>
      <c r="CO172">
        <v>-324.51585365853663</v>
      </c>
      <c r="CP172">
        <v>-10.75697560975617</v>
      </c>
      <c r="CQ172">
        <v>1.0650447502558651</v>
      </c>
      <c r="CR172">
        <v>-1</v>
      </c>
      <c r="CS172">
        <v>20.968807317073171</v>
      </c>
      <c r="CT172">
        <v>1.211991637630687</v>
      </c>
      <c r="CU172">
        <v>0.1196456401828043</v>
      </c>
      <c r="CV172">
        <v>-1</v>
      </c>
      <c r="CW172">
        <v>0</v>
      </c>
      <c r="CX172">
        <v>0</v>
      </c>
      <c r="CY172" t="s">
        <v>333</v>
      </c>
      <c r="CZ172">
        <v>2.3653599999999999</v>
      </c>
      <c r="DA172">
        <v>2.7138</v>
      </c>
      <c r="DB172">
        <v>0.10123500000000001</v>
      </c>
      <c r="DC172">
        <v>0.145533</v>
      </c>
      <c r="DD172">
        <v>0.11258700000000001</v>
      </c>
      <c r="DE172">
        <v>1.95274E-2</v>
      </c>
      <c r="DF172">
        <v>32838.5</v>
      </c>
      <c r="DG172">
        <v>27564.3</v>
      </c>
      <c r="DH172">
        <v>31191.1</v>
      </c>
      <c r="DI172">
        <v>28108.799999999999</v>
      </c>
      <c r="DJ172">
        <v>37577.5</v>
      </c>
      <c r="DK172">
        <v>39196.800000000003</v>
      </c>
      <c r="DL172">
        <v>44392</v>
      </c>
      <c r="DM172">
        <v>42605</v>
      </c>
      <c r="DN172">
        <v>1.47485</v>
      </c>
      <c r="DO172">
        <v>2.0352000000000001</v>
      </c>
      <c r="DP172">
        <v>0.10477400000000001</v>
      </c>
      <c r="DQ172">
        <v>0.17540500000000001</v>
      </c>
      <c r="DR172">
        <v>25.258600000000001</v>
      </c>
      <c r="DS172">
        <v>25.0321</v>
      </c>
      <c r="DT172">
        <v>42.1</v>
      </c>
      <c r="DU172">
        <v>28.8</v>
      </c>
      <c r="DV172">
        <v>16.9635</v>
      </c>
      <c r="DW172">
        <v>60.812199999999997</v>
      </c>
      <c r="DX172">
        <v>36.8429</v>
      </c>
      <c r="DY172">
        <v>1</v>
      </c>
      <c r="DZ172">
        <v>-0.11525199999999999</v>
      </c>
      <c r="EA172">
        <v>-0.31528600000000001</v>
      </c>
      <c r="EB172">
        <v>20.189900000000002</v>
      </c>
      <c r="EC172">
        <v>5.2406499999999996</v>
      </c>
      <c r="ED172">
        <v>12.039899999999999</v>
      </c>
      <c r="EE172">
        <v>5.0168999999999997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1.8689100000000001</v>
      </c>
      <c r="EL172">
        <v>1.8646199999999999</v>
      </c>
      <c r="EM172">
        <v>1.8692</v>
      </c>
      <c r="EN172">
        <v>1.8672299999999999</v>
      </c>
      <c r="EO172">
        <v>1.86338</v>
      </c>
      <c r="EP172">
        <v>1.8644700000000001</v>
      </c>
      <c r="EQ172">
        <v>1.8701700000000001</v>
      </c>
      <c r="ER172">
        <v>1.8694299999999999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-5.8000000000000003E-2</v>
      </c>
      <c r="FG172">
        <v>0.2797</v>
      </c>
      <c r="FH172">
        <v>0.26269369235785539</v>
      </c>
      <c r="FI172">
        <v>-6.1462078757559423E-4</v>
      </c>
      <c r="FJ172">
        <v>-1.8861989874597051E-7</v>
      </c>
      <c r="FK172">
        <v>1.1980462299894961E-10</v>
      </c>
      <c r="FL172">
        <v>0.27968571428570849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35.6</v>
      </c>
      <c r="FU172">
        <v>35.6</v>
      </c>
      <c r="FV172">
        <v>1.7700199999999999</v>
      </c>
      <c r="FW172">
        <v>2.5781200000000002</v>
      </c>
      <c r="FX172">
        <v>1.5490699999999999</v>
      </c>
      <c r="FY172">
        <v>2.3315399999999999</v>
      </c>
      <c r="FZ172">
        <v>1.50146</v>
      </c>
      <c r="GA172">
        <v>2.3107899999999999</v>
      </c>
      <c r="GB172">
        <v>33.512999999999998</v>
      </c>
      <c r="GC172">
        <v>23.982399999999998</v>
      </c>
      <c r="GD172">
        <v>19</v>
      </c>
      <c r="GE172">
        <v>281.16699999999997</v>
      </c>
      <c r="GF172">
        <v>579.18600000000004</v>
      </c>
      <c r="GG172">
        <v>25.0535</v>
      </c>
      <c r="GH172">
        <v>25.9604</v>
      </c>
      <c r="GI172">
        <v>29.9999</v>
      </c>
      <c r="GJ172">
        <v>26.093</v>
      </c>
      <c r="GK172">
        <v>26.071999999999999</v>
      </c>
      <c r="GL172">
        <v>35.389800000000001</v>
      </c>
      <c r="GM172">
        <v>80.129199999999997</v>
      </c>
      <c r="GN172">
        <v>49.389899999999997</v>
      </c>
      <c r="GO172">
        <v>25.053999999999998</v>
      </c>
      <c r="GP172">
        <v>800</v>
      </c>
      <c r="GQ172">
        <v>2.4780099999999998</v>
      </c>
      <c r="GR172">
        <v>99.803600000000003</v>
      </c>
      <c r="GS172">
        <v>99.666200000000003</v>
      </c>
    </row>
    <row r="173" spans="1:201" x14ac:dyDescent="0.25">
      <c r="A173">
        <v>157</v>
      </c>
      <c r="B173">
        <v>1690386966</v>
      </c>
      <c r="C173">
        <v>1631.400000095367</v>
      </c>
      <c r="D173" t="s">
        <v>647</v>
      </c>
      <c r="E173" t="s">
        <v>648</v>
      </c>
      <c r="F173" t="s">
        <v>330</v>
      </c>
      <c r="H173">
        <v>1690386966</v>
      </c>
      <c r="I173">
        <f t="shared" si="60"/>
        <v>2.0661252434568899E-3</v>
      </c>
      <c r="J173">
        <f t="shared" si="61"/>
        <v>2.0661252434568897</v>
      </c>
      <c r="K173">
        <f t="shared" si="62"/>
        <v>30.003654009080844</v>
      </c>
      <c r="L173">
        <f t="shared" si="63"/>
        <v>471.96300000000002</v>
      </c>
      <c r="M173">
        <f t="shared" si="64"/>
        <v>124.03262750169732</v>
      </c>
      <c r="N173">
        <f t="shared" si="65"/>
        <v>12.2496443719648</v>
      </c>
      <c r="O173">
        <f t="shared" si="66"/>
        <v>46.611758721683998</v>
      </c>
      <c r="P173">
        <f t="shared" si="67"/>
        <v>0.14530128368437939</v>
      </c>
      <c r="Q173">
        <f t="shared" si="68"/>
        <v>2.1600186702364201</v>
      </c>
      <c r="R173">
        <f t="shared" si="69"/>
        <v>0.14008144018705918</v>
      </c>
      <c r="S173">
        <f t="shared" si="70"/>
        <v>8.8004259572698862E-2</v>
      </c>
      <c r="T173">
        <f t="shared" si="71"/>
        <v>276.11546601600003</v>
      </c>
      <c r="U173">
        <f t="shared" si="72"/>
        <v>27.856910192444314</v>
      </c>
      <c r="V173">
        <f t="shared" si="73"/>
        <v>27.856910192444314</v>
      </c>
      <c r="W173">
        <f t="shared" si="74"/>
        <v>3.7632994290795798</v>
      </c>
      <c r="X173">
        <f t="shared" si="75"/>
        <v>68.020605364337541</v>
      </c>
      <c r="Y173">
        <f t="shared" si="76"/>
        <v>2.3517179521628</v>
      </c>
      <c r="Z173">
        <f t="shared" si="77"/>
        <v>3.4573611033985006</v>
      </c>
      <c r="AA173">
        <f t="shared" si="78"/>
        <v>1.4115814769167798</v>
      </c>
      <c r="AB173">
        <f t="shared" si="79"/>
        <v>-91.116123236448843</v>
      </c>
      <c r="AC173">
        <f t="shared" si="80"/>
        <v>-168.2844208766798</v>
      </c>
      <c r="AD173">
        <f t="shared" si="81"/>
        <v>-16.836323531862622</v>
      </c>
      <c r="AE173">
        <f t="shared" si="82"/>
        <v>-0.12140162899123652</v>
      </c>
      <c r="AF173">
        <v>0</v>
      </c>
      <c r="AG173">
        <v>0</v>
      </c>
      <c r="AH173">
        <f t="shared" si="83"/>
        <v>1</v>
      </c>
      <c r="AI173">
        <f t="shared" si="84"/>
        <v>0</v>
      </c>
      <c r="AJ173">
        <f t="shared" si="85"/>
        <v>52359.559717910146</v>
      </c>
      <c r="AK173">
        <f t="shared" si="86"/>
        <v>1800</v>
      </c>
      <c r="AL173">
        <f t="shared" si="87"/>
        <v>1499.1132636</v>
      </c>
      <c r="AM173">
        <f t="shared" si="88"/>
        <v>0.83284070200000004</v>
      </c>
      <c r="AN173">
        <f t="shared" si="89"/>
        <v>0.15339748112000001</v>
      </c>
      <c r="AO173">
        <v>31.8</v>
      </c>
      <c r="AP173">
        <v>0.5</v>
      </c>
      <c r="AQ173" t="s">
        <v>331</v>
      </c>
      <c r="AR173">
        <v>2</v>
      </c>
      <c r="AS173">
        <v>1690386966</v>
      </c>
      <c r="AT173">
        <v>471.96300000000002</v>
      </c>
      <c r="AU173">
        <v>800.05600000000004</v>
      </c>
      <c r="AV173">
        <v>23.812100000000001</v>
      </c>
      <c r="AW173">
        <v>2.45105</v>
      </c>
      <c r="AX173">
        <v>472.02</v>
      </c>
      <c r="AY173">
        <v>23.532399999999999</v>
      </c>
      <c r="AZ173">
        <v>300.25799999999998</v>
      </c>
      <c r="BA173">
        <v>98.6614</v>
      </c>
      <c r="BB173">
        <v>0.100068</v>
      </c>
      <c r="BC173">
        <v>26.411799999999999</v>
      </c>
      <c r="BD173">
        <v>27.003299999999999</v>
      </c>
      <c r="BE173">
        <v>27.898399999999999</v>
      </c>
      <c r="BF173">
        <v>0</v>
      </c>
      <c r="BG173">
        <v>0</v>
      </c>
      <c r="BH173">
        <v>10017.5</v>
      </c>
      <c r="BI173">
        <v>1077.4000000000001</v>
      </c>
      <c r="BJ173">
        <v>1.49977</v>
      </c>
      <c r="BK173">
        <v>-328.09300000000002</v>
      </c>
      <c r="BL173">
        <v>483.476</v>
      </c>
      <c r="BM173">
        <v>802.02200000000005</v>
      </c>
      <c r="BN173">
        <v>21.361000000000001</v>
      </c>
      <c r="BO173">
        <v>800.05600000000004</v>
      </c>
      <c r="BP173">
        <v>2.45105</v>
      </c>
      <c r="BQ173">
        <v>2.3493300000000001</v>
      </c>
      <c r="BR173">
        <v>0.24182400000000001</v>
      </c>
      <c r="BS173">
        <v>20.018699999999999</v>
      </c>
      <c r="BT173">
        <v>-12.173400000000001</v>
      </c>
      <c r="BU173">
        <v>1800</v>
      </c>
      <c r="BV173">
        <v>0.91000199999999998</v>
      </c>
      <c r="BW173">
        <v>3.3996999999999999E-2</v>
      </c>
      <c r="BX173">
        <v>2.2000599999999999E-2</v>
      </c>
      <c r="BY173">
        <v>3.4000799999999998E-2</v>
      </c>
      <c r="BZ173">
        <v>25.083300000000001</v>
      </c>
      <c r="CA173">
        <v>33528.400000000001</v>
      </c>
      <c r="CB173">
        <v>1690384821</v>
      </c>
      <c r="CC173" t="s">
        <v>332</v>
      </c>
      <c r="CD173">
        <v>1690384820</v>
      </c>
      <c r="CE173">
        <v>1690384821</v>
      </c>
      <c r="CF173">
        <v>5</v>
      </c>
      <c r="CG173">
        <v>-2.5000000000000001E-2</v>
      </c>
      <c r="CH173">
        <v>0.104</v>
      </c>
      <c r="CI173">
        <v>-0.28799999999999998</v>
      </c>
      <c r="CJ173">
        <v>0.28000000000000003</v>
      </c>
      <c r="CK173">
        <v>800</v>
      </c>
      <c r="CL173">
        <v>24</v>
      </c>
      <c r="CM173">
        <v>0.08</v>
      </c>
      <c r="CN173">
        <v>0.11</v>
      </c>
      <c r="CO173">
        <v>-326.2878780487805</v>
      </c>
      <c r="CP173">
        <v>-9.9757839721247556</v>
      </c>
      <c r="CQ173">
        <v>0.98734786898853422</v>
      </c>
      <c r="CR173">
        <v>-1</v>
      </c>
      <c r="CS173">
        <v>21.1619243902439</v>
      </c>
      <c r="CT173">
        <v>1.09283205574911</v>
      </c>
      <c r="CU173">
        <v>0.10779948590421751</v>
      </c>
      <c r="CV173">
        <v>-1</v>
      </c>
      <c r="CW173">
        <v>0</v>
      </c>
      <c r="CX173">
        <v>0</v>
      </c>
      <c r="CY173" t="s">
        <v>333</v>
      </c>
      <c r="CZ173">
        <v>2.36511</v>
      </c>
      <c r="DA173">
        <v>2.7138800000000001</v>
      </c>
      <c r="DB173">
        <v>0.100975</v>
      </c>
      <c r="DC173">
        <v>0.145511</v>
      </c>
      <c r="DD173">
        <v>0.112568</v>
      </c>
      <c r="DE173">
        <v>1.82703E-2</v>
      </c>
      <c r="DF173">
        <v>32848.6</v>
      </c>
      <c r="DG173">
        <v>27565.3</v>
      </c>
      <c r="DH173">
        <v>31191.599999999999</v>
      </c>
      <c r="DI173">
        <v>28109.1</v>
      </c>
      <c r="DJ173">
        <v>37578.699999999997</v>
      </c>
      <c r="DK173">
        <v>39247.699999999997</v>
      </c>
      <c r="DL173">
        <v>44392.5</v>
      </c>
      <c r="DM173">
        <v>42605.5</v>
      </c>
      <c r="DN173">
        <v>1.4749699999999999</v>
      </c>
      <c r="DO173">
        <v>2.03485</v>
      </c>
      <c r="DP173">
        <v>0.10630100000000001</v>
      </c>
      <c r="DQ173">
        <v>0.17499600000000001</v>
      </c>
      <c r="DR173">
        <v>25.2624</v>
      </c>
      <c r="DS173">
        <v>25.034099999999999</v>
      </c>
      <c r="DT173">
        <v>41.7</v>
      </c>
      <c r="DU173">
        <v>28.8</v>
      </c>
      <c r="DV173">
        <v>16.801400000000001</v>
      </c>
      <c r="DW173">
        <v>60.802199999999999</v>
      </c>
      <c r="DX173">
        <v>36.726799999999997</v>
      </c>
      <c r="DY173">
        <v>1</v>
      </c>
      <c r="DZ173">
        <v>-0.11554399999999999</v>
      </c>
      <c r="EA173">
        <v>-0.31766100000000003</v>
      </c>
      <c r="EB173">
        <v>20.189800000000002</v>
      </c>
      <c r="EC173">
        <v>5.2408000000000001</v>
      </c>
      <c r="ED173">
        <v>12.039899999999999</v>
      </c>
      <c r="EE173">
        <v>5.01675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1.8689100000000001</v>
      </c>
      <c r="EL173">
        <v>1.8646199999999999</v>
      </c>
      <c r="EM173">
        <v>1.8692</v>
      </c>
      <c r="EN173">
        <v>1.8672500000000001</v>
      </c>
      <c r="EO173">
        <v>1.86338</v>
      </c>
      <c r="EP173">
        <v>1.8644700000000001</v>
      </c>
      <c r="EQ173">
        <v>1.87016</v>
      </c>
      <c r="ER173">
        <v>1.86941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-5.7000000000000002E-2</v>
      </c>
      <c r="FG173">
        <v>0.2797</v>
      </c>
      <c r="FH173">
        <v>0.26269369235785539</v>
      </c>
      <c r="FI173">
        <v>-6.1462078757559423E-4</v>
      </c>
      <c r="FJ173">
        <v>-1.8861989874597051E-7</v>
      </c>
      <c r="FK173">
        <v>1.1980462299894961E-10</v>
      </c>
      <c r="FL173">
        <v>0.27968571428570849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35.799999999999997</v>
      </c>
      <c r="FU173">
        <v>35.799999999999997</v>
      </c>
      <c r="FV173">
        <v>1.7700199999999999</v>
      </c>
      <c r="FW173">
        <v>2.5854499999999998</v>
      </c>
      <c r="FX173">
        <v>1.5490699999999999</v>
      </c>
      <c r="FY173">
        <v>2.3315399999999999</v>
      </c>
      <c r="FZ173">
        <v>1.50146</v>
      </c>
      <c r="GA173">
        <v>2.32666</v>
      </c>
      <c r="GB173">
        <v>33.535499999999999</v>
      </c>
      <c r="GC173">
        <v>23.973700000000001</v>
      </c>
      <c r="GD173">
        <v>19</v>
      </c>
      <c r="GE173">
        <v>281.21100000000001</v>
      </c>
      <c r="GF173">
        <v>578.89800000000002</v>
      </c>
      <c r="GG173">
        <v>25.0732</v>
      </c>
      <c r="GH173">
        <v>25.9604</v>
      </c>
      <c r="GI173">
        <v>30.0001</v>
      </c>
      <c r="GJ173">
        <v>26.091000000000001</v>
      </c>
      <c r="GK173">
        <v>26.0718</v>
      </c>
      <c r="GL173">
        <v>35.3855</v>
      </c>
      <c r="GM173">
        <v>81.308599999999998</v>
      </c>
      <c r="GN173">
        <v>48.575699999999998</v>
      </c>
      <c r="GO173">
        <v>25.0733</v>
      </c>
      <c r="GP173">
        <v>800</v>
      </c>
      <c r="GQ173">
        <v>2.2912300000000001</v>
      </c>
      <c r="GR173">
        <v>99.805000000000007</v>
      </c>
      <c r="GS173">
        <v>99.667400000000001</v>
      </c>
    </row>
    <row r="174" spans="1:201" x14ac:dyDescent="0.25">
      <c r="A174">
        <v>158</v>
      </c>
      <c r="B174">
        <v>1690386976</v>
      </c>
      <c r="C174">
        <v>1641.400000095367</v>
      </c>
      <c r="D174" t="s">
        <v>649</v>
      </c>
      <c r="E174" t="s">
        <v>650</v>
      </c>
      <c r="F174" t="s">
        <v>330</v>
      </c>
      <c r="H174">
        <v>1690386976</v>
      </c>
      <c r="I174">
        <f t="shared" si="60"/>
        <v>2.080789538461276E-3</v>
      </c>
      <c r="J174">
        <f t="shared" si="61"/>
        <v>2.0807895384612758</v>
      </c>
      <c r="K174">
        <f t="shared" si="62"/>
        <v>30.14072935364657</v>
      </c>
      <c r="L174">
        <f t="shared" si="63"/>
        <v>470.3</v>
      </c>
      <c r="M174">
        <f t="shared" si="64"/>
        <v>123.2727993128008</v>
      </c>
      <c r="N174">
        <f t="shared" si="65"/>
        <v>12.174578364514693</v>
      </c>
      <c r="O174">
        <f t="shared" si="66"/>
        <v>46.447425845359994</v>
      </c>
      <c r="P174">
        <f t="shared" si="67"/>
        <v>0.14637683995867759</v>
      </c>
      <c r="Q174">
        <f t="shared" si="68"/>
        <v>2.1585943194263142</v>
      </c>
      <c r="R174">
        <f t="shared" si="69"/>
        <v>0.14107758999248157</v>
      </c>
      <c r="S174">
        <f t="shared" si="70"/>
        <v>8.8633626782858049E-2</v>
      </c>
      <c r="T174">
        <f t="shared" si="71"/>
        <v>276.11527905000003</v>
      </c>
      <c r="U174">
        <f t="shared" si="72"/>
        <v>27.853819995440837</v>
      </c>
      <c r="V174">
        <f t="shared" si="73"/>
        <v>27.853819995440837</v>
      </c>
      <c r="W174">
        <f t="shared" si="74"/>
        <v>3.7626208101807888</v>
      </c>
      <c r="X174">
        <f t="shared" si="75"/>
        <v>67.996918467480896</v>
      </c>
      <c r="Y174">
        <f t="shared" si="76"/>
        <v>2.3510515654244797</v>
      </c>
      <c r="Z174">
        <f t="shared" si="77"/>
        <v>3.4575854588893695</v>
      </c>
      <c r="AA174">
        <f t="shared" si="78"/>
        <v>1.4115692447563091</v>
      </c>
      <c r="AB174">
        <f t="shared" si="79"/>
        <v>-91.762818646142264</v>
      </c>
      <c r="AC174">
        <f t="shared" si="80"/>
        <v>-167.68582088185678</v>
      </c>
      <c r="AD174">
        <f t="shared" si="81"/>
        <v>-16.787337907074178</v>
      </c>
      <c r="AE174">
        <f t="shared" si="82"/>
        <v>-0.12069838507318309</v>
      </c>
      <c r="AF174">
        <v>0</v>
      </c>
      <c r="AG174">
        <v>0</v>
      </c>
      <c r="AH174">
        <f t="shared" si="83"/>
        <v>1</v>
      </c>
      <c r="AI174">
        <f t="shared" si="84"/>
        <v>0</v>
      </c>
      <c r="AJ174">
        <f t="shared" si="85"/>
        <v>52299.673606044489</v>
      </c>
      <c r="AK174">
        <f t="shared" si="86"/>
        <v>1800</v>
      </c>
      <c r="AL174">
        <f t="shared" si="87"/>
        <v>1499.1131250000001</v>
      </c>
      <c r="AM174">
        <f t="shared" si="88"/>
        <v>0.832840625</v>
      </c>
      <c r="AN174">
        <f t="shared" si="89"/>
        <v>0.15339737725000002</v>
      </c>
      <c r="AO174">
        <v>31.8</v>
      </c>
      <c r="AP174">
        <v>0.5</v>
      </c>
      <c r="AQ174" t="s">
        <v>331</v>
      </c>
      <c r="AR174">
        <v>2</v>
      </c>
      <c r="AS174">
        <v>1690386976</v>
      </c>
      <c r="AT174">
        <v>470.3</v>
      </c>
      <c r="AU174">
        <v>800.07799999999997</v>
      </c>
      <c r="AV174">
        <v>23.805399999999999</v>
      </c>
      <c r="AW174">
        <v>2.27976</v>
      </c>
      <c r="AX174">
        <v>470.35599999999999</v>
      </c>
      <c r="AY174">
        <v>23.5258</v>
      </c>
      <c r="AZ174">
        <v>300.07900000000001</v>
      </c>
      <c r="BA174">
        <v>98.661299999999997</v>
      </c>
      <c r="BB174">
        <v>9.9971199999999996E-2</v>
      </c>
      <c r="BC174">
        <v>26.4129</v>
      </c>
      <c r="BD174">
        <v>27.010300000000001</v>
      </c>
      <c r="BE174">
        <v>27.912700000000001</v>
      </c>
      <c r="BF174">
        <v>0</v>
      </c>
      <c r="BG174">
        <v>0</v>
      </c>
      <c r="BH174">
        <v>10005.6</v>
      </c>
      <c r="BI174">
        <v>1077.46</v>
      </c>
      <c r="BJ174">
        <v>1.4857499999999999</v>
      </c>
      <c r="BK174">
        <v>-329.77699999999999</v>
      </c>
      <c r="BL174">
        <v>481.76900000000001</v>
      </c>
      <c r="BM174">
        <v>801.90599999999995</v>
      </c>
      <c r="BN174">
        <v>21.525700000000001</v>
      </c>
      <c r="BO174">
        <v>800.07799999999997</v>
      </c>
      <c r="BP174">
        <v>2.27976</v>
      </c>
      <c r="BQ174">
        <v>2.3486799999999999</v>
      </c>
      <c r="BR174">
        <v>0.22492400000000001</v>
      </c>
      <c r="BS174">
        <v>20.014199999999999</v>
      </c>
      <c r="BT174">
        <v>-13.069100000000001</v>
      </c>
      <c r="BU174">
        <v>1800</v>
      </c>
      <c r="BV174">
        <v>0.91000400000000004</v>
      </c>
      <c r="BW174">
        <v>3.3996199999999997E-2</v>
      </c>
      <c r="BX174">
        <v>2.1999999999999999E-2</v>
      </c>
      <c r="BY174">
        <v>3.39999E-2</v>
      </c>
      <c r="BZ174">
        <v>25.208300000000001</v>
      </c>
      <c r="CA174">
        <v>33528.400000000001</v>
      </c>
      <c r="CB174">
        <v>1690384821</v>
      </c>
      <c r="CC174" t="s">
        <v>332</v>
      </c>
      <c r="CD174">
        <v>1690384820</v>
      </c>
      <c r="CE174">
        <v>1690384821</v>
      </c>
      <c r="CF174">
        <v>5</v>
      </c>
      <c r="CG174">
        <v>-2.5000000000000001E-2</v>
      </c>
      <c r="CH174">
        <v>0.104</v>
      </c>
      <c r="CI174">
        <v>-0.28799999999999998</v>
      </c>
      <c r="CJ174">
        <v>0.28000000000000003</v>
      </c>
      <c r="CK174">
        <v>800</v>
      </c>
      <c r="CL174">
        <v>24</v>
      </c>
      <c r="CM174">
        <v>0.08</v>
      </c>
      <c r="CN174">
        <v>0.11</v>
      </c>
      <c r="CO174">
        <v>-327.96224390243913</v>
      </c>
      <c r="CP174">
        <v>-9.553400696864248</v>
      </c>
      <c r="CQ174">
        <v>0.9461393127062141</v>
      </c>
      <c r="CR174">
        <v>-1</v>
      </c>
      <c r="CS174">
        <v>21.340109756097561</v>
      </c>
      <c r="CT174">
        <v>1.045452961672483</v>
      </c>
      <c r="CU174">
        <v>0.1031394433903312</v>
      </c>
      <c r="CV174">
        <v>-1</v>
      </c>
      <c r="CW174">
        <v>0</v>
      </c>
      <c r="CX174">
        <v>0</v>
      </c>
      <c r="CY174" t="s">
        <v>333</v>
      </c>
      <c r="CZ174">
        <v>2.36456</v>
      </c>
      <c r="DA174">
        <v>2.7137699999999998</v>
      </c>
      <c r="DB174">
        <v>0.10071099999999999</v>
      </c>
      <c r="DC174">
        <v>0.14551</v>
      </c>
      <c r="DD174">
        <v>0.11254599999999999</v>
      </c>
      <c r="DE174">
        <v>1.7122600000000002E-2</v>
      </c>
      <c r="DF174">
        <v>32858.400000000001</v>
      </c>
      <c r="DG174">
        <v>27564.9</v>
      </c>
      <c r="DH174">
        <v>31191.8</v>
      </c>
      <c r="DI174">
        <v>28108.6</v>
      </c>
      <c r="DJ174">
        <v>37580</v>
      </c>
      <c r="DK174">
        <v>39293</v>
      </c>
      <c r="DL174">
        <v>44392.9</v>
      </c>
      <c r="DM174">
        <v>42604.7</v>
      </c>
      <c r="DN174">
        <v>1.4748000000000001</v>
      </c>
      <c r="DO174">
        <v>2.03478</v>
      </c>
      <c r="DP174">
        <v>0.106562</v>
      </c>
      <c r="DQ174">
        <v>0.17574100000000001</v>
      </c>
      <c r="DR174">
        <v>25.2651</v>
      </c>
      <c r="DS174">
        <v>25.036200000000001</v>
      </c>
      <c r="DT174">
        <v>41.2</v>
      </c>
      <c r="DU174">
        <v>28.8</v>
      </c>
      <c r="DV174">
        <v>16.601700000000001</v>
      </c>
      <c r="DW174">
        <v>61.002200000000002</v>
      </c>
      <c r="DX174">
        <v>37.247599999999998</v>
      </c>
      <c r="DY174">
        <v>1</v>
      </c>
      <c r="DZ174">
        <v>-0.115091</v>
      </c>
      <c r="EA174">
        <v>0.14416399999999999</v>
      </c>
      <c r="EB174">
        <v>20.190200000000001</v>
      </c>
      <c r="EC174">
        <v>5.2408000000000001</v>
      </c>
      <c r="ED174">
        <v>12.039899999999999</v>
      </c>
      <c r="EE174">
        <v>5.0168499999999998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</v>
      </c>
      <c r="EL174">
        <v>1.8646199999999999</v>
      </c>
      <c r="EM174">
        <v>1.8692</v>
      </c>
      <c r="EN174">
        <v>1.8672200000000001</v>
      </c>
      <c r="EO174">
        <v>1.86338</v>
      </c>
      <c r="EP174">
        <v>1.86446</v>
      </c>
      <c r="EQ174">
        <v>1.87016</v>
      </c>
      <c r="ER174">
        <v>1.8693900000000001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-5.6000000000000001E-2</v>
      </c>
      <c r="FG174">
        <v>0.27960000000000002</v>
      </c>
      <c r="FH174">
        <v>0.26269369235785539</v>
      </c>
      <c r="FI174">
        <v>-6.1462078757559423E-4</v>
      </c>
      <c r="FJ174">
        <v>-1.8861989874597051E-7</v>
      </c>
      <c r="FK174">
        <v>1.1980462299894961E-10</v>
      </c>
      <c r="FL174">
        <v>0.27968571428570849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35.9</v>
      </c>
      <c r="FU174">
        <v>35.9</v>
      </c>
      <c r="FV174">
        <v>1.7700199999999999</v>
      </c>
      <c r="FW174">
        <v>2.5878899999999998</v>
      </c>
      <c r="FX174">
        <v>1.5490699999999999</v>
      </c>
      <c r="FY174">
        <v>2.3315399999999999</v>
      </c>
      <c r="FZ174">
        <v>1.50146</v>
      </c>
      <c r="GA174">
        <v>2.36084</v>
      </c>
      <c r="GB174">
        <v>33.535499999999999</v>
      </c>
      <c r="GC174">
        <v>23.982399999999998</v>
      </c>
      <c r="GD174">
        <v>19</v>
      </c>
      <c r="GE174">
        <v>281.13600000000002</v>
      </c>
      <c r="GF174">
        <v>578.81299999999999</v>
      </c>
      <c r="GG174">
        <v>25.036899999999999</v>
      </c>
      <c r="GH174">
        <v>25.958200000000001</v>
      </c>
      <c r="GI174">
        <v>30.0001</v>
      </c>
      <c r="GJ174">
        <v>26.090800000000002</v>
      </c>
      <c r="GK174">
        <v>26.069800000000001</v>
      </c>
      <c r="GL174">
        <v>35.381399999999999</v>
      </c>
      <c r="GM174">
        <v>82.522400000000005</v>
      </c>
      <c r="GN174">
        <v>47.761099999999999</v>
      </c>
      <c r="GO174">
        <v>24.974299999999999</v>
      </c>
      <c r="GP174">
        <v>800</v>
      </c>
      <c r="GQ174">
        <v>2.1040899999999998</v>
      </c>
      <c r="GR174">
        <v>99.805700000000002</v>
      </c>
      <c r="GS174">
        <v>99.665599999999998</v>
      </c>
    </row>
    <row r="175" spans="1:201" x14ac:dyDescent="0.25">
      <c r="A175">
        <v>159</v>
      </c>
      <c r="B175">
        <v>1690386986</v>
      </c>
      <c r="C175">
        <v>1651.400000095367</v>
      </c>
      <c r="D175" t="s">
        <v>651</v>
      </c>
      <c r="E175" t="s">
        <v>652</v>
      </c>
      <c r="F175" t="s">
        <v>330</v>
      </c>
      <c r="H175">
        <v>1690386986</v>
      </c>
      <c r="I175">
        <f t="shared" si="60"/>
        <v>2.0972527608744376E-3</v>
      </c>
      <c r="J175">
        <f t="shared" si="61"/>
        <v>2.0972527608744378</v>
      </c>
      <c r="K175">
        <f t="shared" si="62"/>
        <v>30.284080590951906</v>
      </c>
      <c r="L175">
        <f t="shared" si="63"/>
        <v>468.64800000000002</v>
      </c>
      <c r="M175">
        <f t="shared" si="64"/>
        <v>122.64979915088347</v>
      </c>
      <c r="N175">
        <f t="shared" si="65"/>
        <v>12.113026993873731</v>
      </c>
      <c r="O175">
        <f t="shared" si="66"/>
        <v>46.284184025784</v>
      </c>
      <c r="P175">
        <f t="shared" si="67"/>
        <v>0.14755789488039603</v>
      </c>
      <c r="Q175">
        <f t="shared" si="68"/>
        <v>2.1527485138050162</v>
      </c>
      <c r="R175">
        <f t="shared" si="69"/>
        <v>0.14216043324791394</v>
      </c>
      <c r="S175">
        <f t="shared" si="70"/>
        <v>8.931876231146274E-2</v>
      </c>
      <c r="T175">
        <f t="shared" si="71"/>
        <v>276.11376381412339</v>
      </c>
      <c r="U175">
        <f t="shared" si="72"/>
        <v>27.848282044166719</v>
      </c>
      <c r="V175">
        <f t="shared" si="73"/>
        <v>27.848282044166719</v>
      </c>
      <c r="W175">
        <f t="shared" si="74"/>
        <v>3.7614049223530861</v>
      </c>
      <c r="X175">
        <f t="shared" si="75"/>
        <v>67.965288895989119</v>
      </c>
      <c r="Y175">
        <f t="shared" si="76"/>
        <v>2.3494866601368001</v>
      </c>
      <c r="Z175">
        <f t="shared" si="77"/>
        <v>3.4568920375404333</v>
      </c>
      <c r="AA175">
        <f t="shared" si="78"/>
        <v>1.411918262216286</v>
      </c>
      <c r="AB175">
        <f t="shared" si="79"/>
        <v>-92.488846754562701</v>
      </c>
      <c r="AC175">
        <f t="shared" si="80"/>
        <v>-166.98357343269956</v>
      </c>
      <c r="AD175">
        <f t="shared" si="81"/>
        <v>-16.761680806437422</v>
      </c>
      <c r="AE175">
        <f t="shared" si="82"/>
        <v>-0.12033717957629619</v>
      </c>
      <c r="AF175">
        <v>0</v>
      </c>
      <c r="AG175">
        <v>0</v>
      </c>
      <c r="AH175">
        <f t="shared" si="83"/>
        <v>1</v>
      </c>
      <c r="AI175">
        <f t="shared" si="84"/>
        <v>0</v>
      </c>
      <c r="AJ175">
        <f t="shared" si="85"/>
        <v>52055.714300387888</v>
      </c>
      <c r="AK175">
        <f t="shared" si="86"/>
        <v>1799.99</v>
      </c>
      <c r="AL175">
        <f t="shared" si="87"/>
        <v>1499.1052123914399</v>
      </c>
      <c r="AM175">
        <f t="shared" si="88"/>
        <v>0.83284085599999991</v>
      </c>
      <c r="AN175">
        <f t="shared" si="89"/>
        <v>0.15339738766</v>
      </c>
      <c r="AO175">
        <v>31.8</v>
      </c>
      <c r="AP175">
        <v>0.5</v>
      </c>
      <c r="AQ175" t="s">
        <v>331</v>
      </c>
      <c r="AR175">
        <v>2</v>
      </c>
      <c r="AS175">
        <v>1690386986</v>
      </c>
      <c r="AT175">
        <v>468.64800000000002</v>
      </c>
      <c r="AU175">
        <v>799.97500000000002</v>
      </c>
      <c r="AV175">
        <v>23.7896</v>
      </c>
      <c r="AW175">
        <v>2.0943100000000001</v>
      </c>
      <c r="AX175">
        <v>468.702</v>
      </c>
      <c r="AY175">
        <v>23.509899999999998</v>
      </c>
      <c r="AZ175">
        <v>300.09300000000002</v>
      </c>
      <c r="BA175">
        <v>98.661000000000001</v>
      </c>
      <c r="BB175">
        <v>0.10008300000000001</v>
      </c>
      <c r="BC175">
        <v>26.409500000000001</v>
      </c>
      <c r="BD175">
        <v>27.0046</v>
      </c>
      <c r="BE175">
        <v>27.8965</v>
      </c>
      <c r="BF175">
        <v>0</v>
      </c>
      <c r="BG175">
        <v>0</v>
      </c>
      <c r="BH175">
        <v>9956.8799999999992</v>
      </c>
      <c r="BI175">
        <v>1077.56</v>
      </c>
      <c r="BJ175">
        <v>1.5137799999999999</v>
      </c>
      <c r="BK175">
        <v>-331.327</v>
      </c>
      <c r="BL175">
        <v>480.06799999999998</v>
      </c>
      <c r="BM175">
        <v>801.654</v>
      </c>
      <c r="BN175">
        <v>21.6953</v>
      </c>
      <c r="BO175">
        <v>799.97500000000002</v>
      </c>
      <c r="BP175">
        <v>2.0943100000000001</v>
      </c>
      <c r="BQ175">
        <v>2.3471099999999998</v>
      </c>
      <c r="BR175">
        <v>0.20662700000000001</v>
      </c>
      <c r="BS175">
        <v>20.003399999999999</v>
      </c>
      <c r="BT175">
        <v>-14.109299999999999</v>
      </c>
      <c r="BU175">
        <v>1799.99</v>
      </c>
      <c r="BV175">
        <v>0.91000499999999995</v>
      </c>
      <c r="BW175">
        <v>3.3995900000000003E-2</v>
      </c>
      <c r="BX175">
        <v>2.19998E-2</v>
      </c>
      <c r="BY175">
        <v>3.3999599999999998E-2</v>
      </c>
      <c r="BZ175">
        <v>25</v>
      </c>
      <c r="CA175">
        <v>33528.300000000003</v>
      </c>
      <c r="CB175">
        <v>1690384821</v>
      </c>
      <c r="CC175" t="s">
        <v>332</v>
      </c>
      <c r="CD175">
        <v>1690384820</v>
      </c>
      <c r="CE175">
        <v>1690384821</v>
      </c>
      <c r="CF175">
        <v>5</v>
      </c>
      <c r="CG175">
        <v>-2.5000000000000001E-2</v>
      </c>
      <c r="CH175">
        <v>0.104</v>
      </c>
      <c r="CI175">
        <v>-0.28799999999999998</v>
      </c>
      <c r="CJ175">
        <v>0.28000000000000003</v>
      </c>
      <c r="CK175">
        <v>800</v>
      </c>
      <c r="CL175">
        <v>24</v>
      </c>
      <c r="CM175">
        <v>0.08</v>
      </c>
      <c r="CN175">
        <v>0.11</v>
      </c>
      <c r="CO175">
        <v>-329.75394999999997</v>
      </c>
      <c r="CP175">
        <v>-9.8976135084429711</v>
      </c>
      <c r="CQ175">
        <v>0.95832997839992384</v>
      </c>
      <c r="CR175">
        <v>-1</v>
      </c>
      <c r="CS175">
        <v>21.525279999999999</v>
      </c>
      <c r="CT175">
        <v>1.028764727955009</v>
      </c>
      <c r="CU175">
        <v>9.8991037978192781E-2</v>
      </c>
      <c r="CV175">
        <v>-1</v>
      </c>
      <c r="CW175">
        <v>0</v>
      </c>
      <c r="CX175">
        <v>0</v>
      </c>
      <c r="CY175" t="s">
        <v>333</v>
      </c>
      <c r="CZ175">
        <v>2.3646099999999999</v>
      </c>
      <c r="DA175">
        <v>2.7138399999999998</v>
      </c>
      <c r="DB175">
        <v>0.100449</v>
      </c>
      <c r="DC175">
        <v>0.14549400000000001</v>
      </c>
      <c r="DD175">
        <v>0.112493</v>
      </c>
      <c r="DE175">
        <v>1.58622E-2</v>
      </c>
      <c r="DF175">
        <v>32868</v>
      </c>
      <c r="DG175">
        <v>27565.8</v>
      </c>
      <c r="DH175">
        <v>31191.8</v>
      </c>
      <c r="DI175">
        <v>28109.1</v>
      </c>
      <c r="DJ175">
        <v>37582.400000000001</v>
      </c>
      <c r="DK175">
        <v>39344</v>
      </c>
      <c r="DL175">
        <v>44393.2</v>
      </c>
      <c r="DM175">
        <v>42605.3</v>
      </c>
      <c r="DN175">
        <v>1.4749699999999999</v>
      </c>
      <c r="DO175">
        <v>2.0348000000000002</v>
      </c>
      <c r="DP175">
        <v>0.106096</v>
      </c>
      <c r="DQ175">
        <v>0.17464199999999999</v>
      </c>
      <c r="DR175">
        <v>25.267099999999999</v>
      </c>
      <c r="DS175">
        <v>25.0379</v>
      </c>
      <c r="DT175">
        <v>40.799999999999997</v>
      </c>
      <c r="DU175">
        <v>28.8</v>
      </c>
      <c r="DV175">
        <v>16.440899999999999</v>
      </c>
      <c r="DW175">
        <v>61.142200000000003</v>
      </c>
      <c r="DX175">
        <v>37.732399999999998</v>
      </c>
      <c r="DY175">
        <v>1</v>
      </c>
      <c r="DZ175">
        <v>-0.115638</v>
      </c>
      <c r="EA175">
        <v>-9.6753800000000001E-2</v>
      </c>
      <c r="EB175">
        <v>20.1905</v>
      </c>
      <c r="EC175">
        <v>5.2411000000000003</v>
      </c>
      <c r="ED175">
        <v>12.039899999999999</v>
      </c>
      <c r="EE175">
        <v>5.01715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1.8689100000000001</v>
      </c>
      <c r="EL175">
        <v>1.86463</v>
      </c>
      <c r="EM175">
        <v>1.8692</v>
      </c>
      <c r="EN175">
        <v>1.8672500000000001</v>
      </c>
      <c r="EO175">
        <v>1.8633999999999999</v>
      </c>
      <c r="EP175">
        <v>1.8644700000000001</v>
      </c>
      <c r="EQ175">
        <v>1.87019</v>
      </c>
      <c r="ER175">
        <v>1.86944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-5.3999999999999999E-2</v>
      </c>
      <c r="FG175">
        <v>0.2797</v>
      </c>
      <c r="FH175">
        <v>0.26269369235785539</v>
      </c>
      <c r="FI175">
        <v>-6.1462078757559423E-4</v>
      </c>
      <c r="FJ175">
        <v>-1.8861989874597051E-7</v>
      </c>
      <c r="FK175">
        <v>1.1980462299894961E-10</v>
      </c>
      <c r="FL175">
        <v>0.27968571428570849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36.1</v>
      </c>
      <c r="FU175">
        <v>36.1</v>
      </c>
      <c r="FV175">
        <v>1.7700199999999999</v>
      </c>
      <c r="FW175">
        <v>2.5769000000000002</v>
      </c>
      <c r="FX175">
        <v>1.5490699999999999</v>
      </c>
      <c r="FY175">
        <v>2.3315399999999999</v>
      </c>
      <c r="FZ175">
        <v>1.50146</v>
      </c>
      <c r="GA175">
        <v>2.4096700000000002</v>
      </c>
      <c r="GB175">
        <v>33.535499999999999</v>
      </c>
      <c r="GC175">
        <v>23.991199999999999</v>
      </c>
      <c r="GD175">
        <v>19</v>
      </c>
      <c r="GE175">
        <v>281.2</v>
      </c>
      <c r="GF175">
        <v>578.80899999999997</v>
      </c>
      <c r="GG175">
        <v>24.939800000000002</v>
      </c>
      <c r="GH175">
        <v>25.958200000000001</v>
      </c>
      <c r="GI175">
        <v>30.0001</v>
      </c>
      <c r="GJ175">
        <v>26.0886</v>
      </c>
      <c r="GK175">
        <v>26.067599999999999</v>
      </c>
      <c r="GL175">
        <v>35.378799999999998</v>
      </c>
      <c r="GM175">
        <v>83.407399999999996</v>
      </c>
      <c r="GN175">
        <v>46.938299999999998</v>
      </c>
      <c r="GO175">
        <v>24.947800000000001</v>
      </c>
      <c r="GP175">
        <v>800</v>
      </c>
      <c r="GQ175">
        <v>1.92682</v>
      </c>
      <c r="GR175">
        <v>99.806100000000001</v>
      </c>
      <c r="GS175">
        <v>99.667100000000005</v>
      </c>
    </row>
    <row r="176" spans="1:201" x14ac:dyDescent="0.25">
      <c r="A176">
        <v>160</v>
      </c>
      <c r="B176">
        <v>1690386996</v>
      </c>
      <c r="C176">
        <v>1661.400000095367</v>
      </c>
      <c r="D176" t="s">
        <v>653</v>
      </c>
      <c r="E176" t="s">
        <v>654</v>
      </c>
      <c r="F176" t="s">
        <v>330</v>
      </c>
      <c r="H176">
        <v>1690386996</v>
      </c>
      <c r="I176">
        <f t="shared" si="60"/>
        <v>2.1116240868391989E-3</v>
      </c>
      <c r="J176">
        <f t="shared" si="61"/>
        <v>2.1116240868391989</v>
      </c>
      <c r="K176">
        <f t="shared" si="62"/>
        <v>30.448578865674964</v>
      </c>
      <c r="L176">
        <f t="shared" si="63"/>
        <v>467.00700000000001</v>
      </c>
      <c r="M176">
        <f t="shared" si="64"/>
        <v>121.99639440571228</v>
      </c>
      <c r="N176">
        <f t="shared" si="65"/>
        <v>12.048055602220204</v>
      </c>
      <c r="O176">
        <f t="shared" si="66"/>
        <v>46.120431099909602</v>
      </c>
      <c r="P176">
        <f t="shared" si="67"/>
        <v>0.14880939104654559</v>
      </c>
      <c r="Q176">
        <f t="shared" si="68"/>
        <v>2.1559312332395608</v>
      </c>
      <c r="R176">
        <f t="shared" si="69"/>
        <v>0.14332959681812643</v>
      </c>
      <c r="S176">
        <f t="shared" si="70"/>
        <v>9.0056523594641544E-2</v>
      </c>
      <c r="T176">
        <f t="shared" si="71"/>
        <v>276.11362717688252</v>
      </c>
      <c r="U176">
        <f t="shared" si="72"/>
        <v>27.832801114840414</v>
      </c>
      <c r="V176">
        <f t="shared" si="73"/>
        <v>27.832801114840414</v>
      </c>
      <c r="W176">
        <f t="shared" si="74"/>
        <v>3.7580078171817752</v>
      </c>
      <c r="X176">
        <f t="shared" si="75"/>
        <v>67.957563979932203</v>
      </c>
      <c r="Y176">
        <f t="shared" si="76"/>
        <v>2.3480280460509602</v>
      </c>
      <c r="Z176">
        <f t="shared" si="77"/>
        <v>3.4551386314323018</v>
      </c>
      <c r="AA176">
        <f t="shared" si="78"/>
        <v>1.4099797711308151</v>
      </c>
      <c r="AB176">
        <f t="shared" si="79"/>
        <v>-93.122622229608666</v>
      </c>
      <c r="AC176">
        <f t="shared" si="80"/>
        <v>-166.43067509572705</v>
      </c>
      <c r="AD176">
        <f t="shared" si="81"/>
        <v>-16.679510105517398</v>
      </c>
      <c r="AE176">
        <f t="shared" si="82"/>
        <v>-0.11918025397062593</v>
      </c>
      <c r="AF176">
        <v>0</v>
      </c>
      <c r="AG176">
        <v>0</v>
      </c>
      <c r="AH176">
        <f t="shared" si="83"/>
        <v>1</v>
      </c>
      <c r="AI176">
        <f t="shared" si="84"/>
        <v>0</v>
      </c>
      <c r="AJ176">
        <f t="shared" si="85"/>
        <v>52190.192908032783</v>
      </c>
      <c r="AK176">
        <f t="shared" si="86"/>
        <v>1799.99</v>
      </c>
      <c r="AL176">
        <f t="shared" si="87"/>
        <v>1499.1049495928999</v>
      </c>
      <c r="AM176">
        <f t="shared" si="88"/>
        <v>0.83284070999999993</v>
      </c>
      <c r="AN176">
        <f t="shared" si="89"/>
        <v>0.15339731175000001</v>
      </c>
      <c r="AO176">
        <v>31.8</v>
      </c>
      <c r="AP176">
        <v>0.5</v>
      </c>
      <c r="AQ176" t="s">
        <v>331</v>
      </c>
      <c r="AR176">
        <v>2</v>
      </c>
      <c r="AS176">
        <v>1690386996</v>
      </c>
      <c r="AT176">
        <v>467.00700000000001</v>
      </c>
      <c r="AU176">
        <v>800.03300000000002</v>
      </c>
      <c r="AV176">
        <v>23.775700000000001</v>
      </c>
      <c r="AW176">
        <v>1.9366000000000001</v>
      </c>
      <c r="AX176">
        <v>467.06099999999998</v>
      </c>
      <c r="AY176">
        <v>23.495999999999999</v>
      </c>
      <c r="AZ176">
        <v>300.16399999999999</v>
      </c>
      <c r="BA176">
        <v>98.657499999999999</v>
      </c>
      <c r="BB176">
        <v>9.9972800000000001E-2</v>
      </c>
      <c r="BC176">
        <v>26.4009</v>
      </c>
      <c r="BD176">
        <v>26.978400000000001</v>
      </c>
      <c r="BE176">
        <v>27.8811</v>
      </c>
      <c r="BF176">
        <v>0</v>
      </c>
      <c r="BG176">
        <v>0</v>
      </c>
      <c r="BH176">
        <v>9983.75</v>
      </c>
      <c r="BI176">
        <v>1077.68</v>
      </c>
      <c r="BJ176">
        <v>1.4857499999999999</v>
      </c>
      <c r="BK176">
        <v>-333.02600000000001</v>
      </c>
      <c r="BL176">
        <v>478.38099999999997</v>
      </c>
      <c r="BM176">
        <v>801.58600000000001</v>
      </c>
      <c r="BN176">
        <v>21.839099999999998</v>
      </c>
      <c r="BO176">
        <v>800.03300000000002</v>
      </c>
      <c r="BP176">
        <v>1.9366000000000001</v>
      </c>
      <c r="BQ176">
        <v>2.34565</v>
      </c>
      <c r="BR176">
        <v>0.19106100000000001</v>
      </c>
      <c r="BS176">
        <v>19.993300000000001</v>
      </c>
      <c r="BT176">
        <v>-15.061</v>
      </c>
      <c r="BU176">
        <v>1799.99</v>
      </c>
      <c r="BV176">
        <v>0.91000599999999998</v>
      </c>
      <c r="BW176">
        <v>3.3995400000000002E-2</v>
      </c>
      <c r="BX176">
        <v>2.1999500000000002E-2</v>
      </c>
      <c r="BY176">
        <v>3.3999099999999997E-2</v>
      </c>
      <c r="BZ176">
        <v>25</v>
      </c>
      <c r="CA176">
        <v>33528.300000000003</v>
      </c>
      <c r="CB176">
        <v>1690384821</v>
      </c>
      <c r="CC176" t="s">
        <v>332</v>
      </c>
      <c r="CD176">
        <v>1690384820</v>
      </c>
      <c r="CE176">
        <v>1690384821</v>
      </c>
      <c r="CF176">
        <v>5</v>
      </c>
      <c r="CG176">
        <v>-2.5000000000000001E-2</v>
      </c>
      <c r="CH176">
        <v>0.104</v>
      </c>
      <c r="CI176">
        <v>-0.28799999999999998</v>
      </c>
      <c r="CJ176">
        <v>0.28000000000000003</v>
      </c>
      <c r="CK176">
        <v>800</v>
      </c>
      <c r="CL176">
        <v>24</v>
      </c>
      <c r="CM176">
        <v>0.08</v>
      </c>
      <c r="CN176">
        <v>0.11</v>
      </c>
      <c r="CO176">
        <v>-331.26239024390242</v>
      </c>
      <c r="CP176">
        <v>-9.4569616724746624</v>
      </c>
      <c r="CQ176">
        <v>0.9359340678792536</v>
      </c>
      <c r="CR176">
        <v>-1</v>
      </c>
      <c r="CS176">
        <v>21.675699999999999</v>
      </c>
      <c r="CT176">
        <v>0.94021881533102591</v>
      </c>
      <c r="CU176">
        <v>9.2929438219570018E-2</v>
      </c>
      <c r="CV176">
        <v>-1</v>
      </c>
      <c r="CW176">
        <v>0</v>
      </c>
      <c r="CX176">
        <v>0</v>
      </c>
      <c r="CY176" t="s">
        <v>333</v>
      </c>
      <c r="CZ176">
        <v>2.3648400000000001</v>
      </c>
      <c r="DA176">
        <v>2.7137500000000001</v>
      </c>
      <c r="DB176">
        <v>0.100185</v>
      </c>
      <c r="DC176">
        <v>0.14549300000000001</v>
      </c>
      <c r="DD176">
        <v>0.112442</v>
      </c>
      <c r="DE176">
        <v>1.47744E-2</v>
      </c>
      <c r="DF176">
        <v>32877.599999999999</v>
      </c>
      <c r="DG176">
        <v>27566.1</v>
      </c>
      <c r="DH176">
        <v>31191.7</v>
      </c>
      <c r="DI176">
        <v>28109.3</v>
      </c>
      <c r="DJ176">
        <v>37584.300000000003</v>
      </c>
      <c r="DK176">
        <v>39388.1</v>
      </c>
      <c r="DL176">
        <v>44392.9</v>
      </c>
      <c r="DM176">
        <v>42605.8</v>
      </c>
      <c r="DN176">
        <v>1.4749699999999999</v>
      </c>
      <c r="DO176">
        <v>2.0343300000000002</v>
      </c>
      <c r="DP176">
        <v>0.104364</v>
      </c>
      <c r="DQ176">
        <v>0.17367299999999999</v>
      </c>
      <c r="DR176">
        <v>25.269300000000001</v>
      </c>
      <c r="DS176">
        <v>25.0383</v>
      </c>
      <c r="DT176">
        <v>40.4</v>
      </c>
      <c r="DU176">
        <v>28.8</v>
      </c>
      <c r="DV176">
        <v>16.277799999999999</v>
      </c>
      <c r="DW176">
        <v>61.1922</v>
      </c>
      <c r="DX176">
        <v>37.6843</v>
      </c>
      <c r="DY176">
        <v>1</v>
      </c>
      <c r="DZ176">
        <v>-0.11555600000000001</v>
      </c>
      <c r="EA176">
        <v>-0.22944700000000001</v>
      </c>
      <c r="EB176">
        <v>20.190200000000001</v>
      </c>
      <c r="EC176">
        <v>5.2408000000000001</v>
      </c>
      <c r="ED176">
        <v>12.039899999999999</v>
      </c>
      <c r="EE176">
        <v>5.0169499999999996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</v>
      </c>
      <c r="EL176">
        <v>1.8646199999999999</v>
      </c>
      <c r="EM176">
        <v>1.8692</v>
      </c>
      <c r="EN176">
        <v>1.8672299999999999</v>
      </c>
      <c r="EO176">
        <v>1.8633999999999999</v>
      </c>
      <c r="EP176">
        <v>1.8644700000000001</v>
      </c>
      <c r="EQ176">
        <v>1.87022</v>
      </c>
      <c r="ER176">
        <v>1.8694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-5.3999999999999999E-2</v>
      </c>
      <c r="FG176">
        <v>0.2797</v>
      </c>
      <c r="FH176">
        <v>0.26269369235785539</v>
      </c>
      <c r="FI176">
        <v>-6.1462078757559423E-4</v>
      </c>
      <c r="FJ176">
        <v>-1.8861989874597051E-7</v>
      </c>
      <c r="FK176">
        <v>1.1980462299894961E-10</v>
      </c>
      <c r="FL176">
        <v>0.27968571428570849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36.299999999999997</v>
      </c>
      <c r="FU176">
        <v>36.200000000000003</v>
      </c>
      <c r="FV176">
        <v>1.7687999999999999</v>
      </c>
      <c r="FW176">
        <v>2.5793499999999998</v>
      </c>
      <c r="FX176">
        <v>1.5490699999999999</v>
      </c>
      <c r="FY176">
        <v>2.3315399999999999</v>
      </c>
      <c r="FZ176">
        <v>1.50146</v>
      </c>
      <c r="GA176">
        <v>2.3645</v>
      </c>
      <c r="GB176">
        <v>33.535499999999999</v>
      </c>
      <c r="GC176">
        <v>23.991199999999999</v>
      </c>
      <c r="GD176">
        <v>19</v>
      </c>
      <c r="GE176">
        <v>281.2</v>
      </c>
      <c r="GF176">
        <v>578.41999999999996</v>
      </c>
      <c r="GG176">
        <v>24.9419</v>
      </c>
      <c r="GH176">
        <v>25.956</v>
      </c>
      <c r="GI176">
        <v>30.0001</v>
      </c>
      <c r="GJ176">
        <v>26.0883</v>
      </c>
      <c r="GK176">
        <v>26.067599999999999</v>
      </c>
      <c r="GL176">
        <v>35.369900000000001</v>
      </c>
      <c r="GM176">
        <v>84.869399999999999</v>
      </c>
      <c r="GN176">
        <v>45.714199999999998</v>
      </c>
      <c r="GO176">
        <v>24.954699999999999</v>
      </c>
      <c r="GP176">
        <v>800</v>
      </c>
      <c r="GQ176">
        <v>1.7470300000000001</v>
      </c>
      <c r="GR176">
        <v>99.805599999999998</v>
      </c>
      <c r="GS176">
        <v>99.668099999999995</v>
      </c>
    </row>
    <row r="177" spans="1:201" x14ac:dyDescent="0.25">
      <c r="A177">
        <v>161</v>
      </c>
      <c r="B177">
        <v>1690387006</v>
      </c>
      <c r="C177">
        <v>1671.400000095367</v>
      </c>
      <c r="D177" t="s">
        <v>655</v>
      </c>
      <c r="E177" t="s">
        <v>656</v>
      </c>
      <c r="F177" t="s">
        <v>330</v>
      </c>
      <c r="H177">
        <v>1690387006</v>
      </c>
      <c r="I177">
        <f t="shared" si="60"/>
        <v>2.128516763095055E-3</v>
      </c>
      <c r="J177">
        <f t="shared" si="61"/>
        <v>2.128516763095055</v>
      </c>
      <c r="K177">
        <f t="shared" si="62"/>
        <v>30.585073962104662</v>
      </c>
      <c r="L177">
        <f t="shared" si="63"/>
        <v>465.55599999999998</v>
      </c>
      <c r="M177">
        <f t="shared" si="64"/>
        <v>122.1043132287554</v>
      </c>
      <c r="N177">
        <f t="shared" si="65"/>
        <v>12.058879845051285</v>
      </c>
      <c r="O177">
        <f t="shared" si="66"/>
        <v>45.977768652815996</v>
      </c>
      <c r="P177">
        <f t="shared" si="67"/>
        <v>0.15019719920075239</v>
      </c>
      <c r="Q177">
        <f t="shared" si="68"/>
        <v>2.1584921881671462</v>
      </c>
      <c r="R177">
        <f t="shared" si="69"/>
        <v>0.14462313658678502</v>
      </c>
      <c r="S177">
        <f t="shared" si="70"/>
        <v>9.0873032738222975E-2</v>
      </c>
      <c r="T177">
        <f t="shared" si="71"/>
        <v>276.11372522233779</v>
      </c>
      <c r="U177">
        <f t="shared" si="72"/>
        <v>27.823136480441576</v>
      </c>
      <c r="V177">
        <f t="shared" si="73"/>
        <v>27.823136480441576</v>
      </c>
      <c r="W177">
        <f t="shared" si="74"/>
        <v>3.7558883860649988</v>
      </c>
      <c r="X177">
        <f t="shared" si="75"/>
        <v>67.945712045304163</v>
      </c>
      <c r="Y177">
        <f t="shared" si="76"/>
        <v>2.3473000140480003</v>
      </c>
      <c r="Z177">
        <f t="shared" si="77"/>
        <v>3.4546698288817561</v>
      </c>
      <c r="AA177">
        <f t="shared" si="78"/>
        <v>1.4085883720169985</v>
      </c>
      <c r="AB177">
        <f t="shared" si="79"/>
        <v>-93.867589252491925</v>
      </c>
      <c r="AC177">
        <f t="shared" si="80"/>
        <v>-165.77135982268067</v>
      </c>
      <c r="AD177">
        <f t="shared" si="81"/>
        <v>-16.592729862468605</v>
      </c>
      <c r="AE177">
        <f t="shared" si="82"/>
        <v>-0.11795371530342891</v>
      </c>
      <c r="AF177">
        <v>0</v>
      </c>
      <c r="AG177">
        <v>0</v>
      </c>
      <c r="AH177">
        <f t="shared" si="83"/>
        <v>1</v>
      </c>
      <c r="AI177">
        <f t="shared" si="84"/>
        <v>0</v>
      </c>
      <c r="AJ177">
        <f t="shared" si="85"/>
        <v>52297.838559534117</v>
      </c>
      <c r="AK177">
        <f t="shared" si="86"/>
        <v>1799.99</v>
      </c>
      <c r="AL177">
        <f t="shared" si="87"/>
        <v>1499.10536719058</v>
      </c>
      <c r="AM177">
        <f t="shared" si="88"/>
        <v>0.83284094199999992</v>
      </c>
      <c r="AN177">
        <f t="shared" si="89"/>
        <v>0.15339736622</v>
      </c>
      <c r="AO177">
        <v>31.8</v>
      </c>
      <c r="AP177">
        <v>0.5</v>
      </c>
      <c r="AQ177" t="s">
        <v>331</v>
      </c>
      <c r="AR177">
        <v>2</v>
      </c>
      <c r="AS177">
        <v>1690387006</v>
      </c>
      <c r="AT177">
        <v>465.55599999999998</v>
      </c>
      <c r="AU177">
        <v>800.03099999999995</v>
      </c>
      <c r="AV177">
        <v>23.768000000000001</v>
      </c>
      <c r="AW177">
        <v>1.7571699999999999</v>
      </c>
      <c r="AX177">
        <v>465.608</v>
      </c>
      <c r="AY177">
        <v>23.488299999999999</v>
      </c>
      <c r="AZ177">
        <v>300.20699999999999</v>
      </c>
      <c r="BA177">
        <v>98.658799999999999</v>
      </c>
      <c r="BB177">
        <v>0.100036</v>
      </c>
      <c r="BC177">
        <v>26.398599999999998</v>
      </c>
      <c r="BD177">
        <v>26.9754</v>
      </c>
      <c r="BE177">
        <v>27.876799999999999</v>
      </c>
      <c r="BF177">
        <v>0</v>
      </c>
      <c r="BG177">
        <v>0</v>
      </c>
      <c r="BH177">
        <v>10005</v>
      </c>
      <c r="BI177">
        <v>1077.67</v>
      </c>
      <c r="BJ177">
        <v>1.46753</v>
      </c>
      <c r="BK177">
        <v>-334.47500000000002</v>
      </c>
      <c r="BL177">
        <v>476.89100000000002</v>
      </c>
      <c r="BM177">
        <v>801.44</v>
      </c>
      <c r="BN177">
        <v>22.0108</v>
      </c>
      <c r="BO177">
        <v>800.03099999999995</v>
      </c>
      <c r="BP177">
        <v>1.7571699999999999</v>
      </c>
      <c r="BQ177">
        <v>2.3449200000000001</v>
      </c>
      <c r="BR177">
        <v>0.17335999999999999</v>
      </c>
      <c r="BS177">
        <v>19.988399999999999</v>
      </c>
      <c r="BT177">
        <v>-16.231400000000001</v>
      </c>
      <c r="BU177">
        <v>1799.99</v>
      </c>
      <c r="BV177">
        <v>0.91000599999999998</v>
      </c>
      <c r="BW177">
        <v>3.3995499999999998E-2</v>
      </c>
      <c r="BX177">
        <v>2.1999600000000001E-2</v>
      </c>
      <c r="BY177">
        <v>3.39992E-2</v>
      </c>
      <c r="BZ177">
        <v>25.041699999999999</v>
      </c>
      <c r="CA177">
        <v>33528.300000000003</v>
      </c>
      <c r="CB177">
        <v>1690384821</v>
      </c>
      <c r="CC177" t="s">
        <v>332</v>
      </c>
      <c r="CD177">
        <v>1690384820</v>
      </c>
      <c r="CE177">
        <v>1690384821</v>
      </c>
      <c r="CF177">
        <v>5</v>
      </c>
      <c r="CG177">
        <v>-2.5000000000000001E-2</v>
      </c>
      <c r="CH177">
        <v>0.104</v>
      </c>
      <c r="CI177">
        <v>-0.28799999999999998</v>
      </c>
      <c r="CJ177">
        <v>0.28000000000000003</v>
      </c>
      <c r="CK177">
        <v>800</v>
      </c>
      <c r="CL177">
        <v>24</v>
      </c>
      <c r="CM177">
        <v>0.08</v>
      </c>
      <c r="CN177">
        <v>0.11</v>
      </c>
      <c r="CO177">
        <v>-332.77322500000002</v>
      </c>
      <c r="CP177">
        <v>-9.3323639774860485</v>
      </c>
      <c r="CQ177">
        <v>0.90107459423457104</v>
      </c>
      <c r="CR177">
        <v>-1</v>
      </c>
      <c r="CS177">
        <v>21.827607499999999</v>
      </c>
      <c r="CT177">
        <v>0.92090318949342564</v>
      </c>
      <c r="CU177">
        <v>8.8723352020479956E-2</v>
      </c>
      <c r="CV177">
        <v>-1</v>
      </c>
      <c r="CW177">
        <v>0</v>
      </c>
      <c r="CX177">
        <v>0</v>
      </c>
      <c r="CY177" t="s">
        <v>333</v>
      </c>
      <c r="CZ177">
        <v>2.3649800000000001</v>
      </c>
      <c r="DA177">
        <v>2.7138300000000002</v>
      </c>
      <c r="DB177">
        <v>9.9955799999999997E-2</v>
      </c>
      <c r="DC177">
        <v>0.14549200000000001</v>
      </c>
      <c r="DD177">
        <v>0.112418</v>
      </c>
      <c r="DE177">
        <v>1.3520000000000001E-2</v>
      </c>
      <c r="DF177">
        <v>32886.199999999997</v>
      </c>
      <c r="DG177">
        <v>27565.9</v>
      </c>
      <c r="DH177">
        <v>31192</v>
      </c>
      <c r="DI177">
        <v>28109.1</v>
      </c>
      <c r="DJ177">
        <v>37585.699999999997</v>
      </c>
      <c r="DK177">
        <v>39438</v>
      </c>
      <c r="DL177">
        <v>44393.3</v>
      </c>
      <c r="DM177">
        <v>42605.4</v>
      </c>
      <c r="DN177">
        <v>1.4751000000000001</v>
      </c>
      <c r="DO177">
        <v>2.0343300000000002</v>
      </c>
      <c r="DP177">
        <v>0.10417800000000001</v>
      </c>
      <c r="DQ177">
        <v>0.17341200000000001</v>
      </c>
      <c r="DR177">
        <v>25.269300000000001</v>
      </c>
      <c r="DS177">
        <v>25.0383</v>
      </c>
      <c r="DT177">
        <v>40</v>
      </c>
      <c r="DU177">
        <v>28.8</v>
      </c>
      <c r="DV177">
        <v>16.119199999999999</v>
      </c>
      <c r="DW177">
        <v>61.452199999999998</v>
      </c>
      <c r="DX177">
        <v>37.1755</v>
      </c>
      <c r="DY177">
        <v>1</v>
      </c>
      <c r="DZ177">
        <v>-0.115755</v>
      </c>
      <c r="EA177">
        <v>-0.29874200000000001</v>
      </c>
      <c r="EB177">
        <v>20.190100000000001</v>
      </c>
      <c r="EC177">
        <v>5.2409499999999998</v>
      </c>
      <c r="ED177">
        <v>12.039899999999999</v>
      </c>
      <c r="EE177">
        <v>5.0168499999999998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</v>
      </c>
      <c r="EL177">
        <v>1.8646199999999999</v>
      </c>
      <c r="EM177">
        <v>1.8692</v>
      </c>
      <c r="EN177">
        <v>1.8672500000000001</v>
      </c>
      <c r="EO177">
        <v>1.8633999999999999</v>
      </c>
      <c r="EP177">
        <v>1.86446</v>
      </c>
      <c r="EQ177">
        <v>1.8702099999999999</v>
      </c>
      <c r="ER177">
        <v>1.8693900000000001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-5.1999999999999998E-2</v>
      </c>
      <c r="FG177">
        <v>0.2797</v>
      </c>
      <c r="FH177">
        <v>0.26269369235785539</v>
      </c>
      <c r="FI177">
        <v>-6.1462078757559423E-4</v>
      </c>
      <c r="FJ177">
        <v>-1.8861989874597051E-7</v>
      </c>
      <c r="FK177">
        <v>1.1980462299894961E-10</v>
      </c>
      <c r="FL177">
        <v>0.27968571428570849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36.4</v>
      </c>
      <c r="FU177">
        <v>36.4</v>
      </c>
      <c r="FV177">
        <v>1.7687999999999999</v>
      </c>
      <c r="FW177">
        <v>2.5769000000000002</v>
      </c>
      <c r="FX177">
        <v>1.5490699999999999</v>
      </c>
      <c r="FY177">
        <v>2.3315399999999999</v>
      </c>
      <c r="FZ177">
        <v>1.50146</v>
      </c>
      <c r="GA177">
        <v>2.3718300000000001</v>
      </c>
      <c r="GB177">
        <v>33.512999999999998</v>
      </c>
      <c r="GC177">
        <v>23.991199999999999</v>
      </c>
      <c r="GD177">
        <v>19</v>
      </c>
      <c r="GE177">
        <v>281.24400000000003</v>
      </c>
      <c r="GF177">
        <v>578.39599999999996</v>
      </c>
      <c r="GG177">
        <v>24.971599999999999</v>
      </c>
      <c r="GH177">
        <v>25.956</v>
      </c>
      <c r="GI177">
        <v>30</v>
      </c>
      <c r="GJ177">
        <v>26.086400000000001</v>
      </c>
      <c r="GK177">
        <v>26.0655</v>
      </c>
      <c r="GL177">
        <v>35.367699999999999</v>
      </c>
      <c r="GM177">
        <v>85.969499999999996</v>
      </c>
      <c r="GN177">
        <v>44.898800000000001</v>
      </c>
      <c r="GO177">
        <v>24.981000000000002</v>
      </c>
      <c r="GP177">
        <v>800</v>
      </c>
      <c r="GQ177">
        <v>1.5735300000000001</v>
      </c>
      <c r="GR177">
        <v>99.8065</v>
      </c>
      <c r="GS177">
        <v>99.667299999999997</v>
      </c>
    </row>
    <row r="178" spans="1:201" x14ac:dyDescent="0.25">
      <c r="A178">
        <v>162</v>
      </c>
      <c r="B178">
        <v>1690387016</v>
      </c>
      <c r="C178">
        <v>1681.400000095367</v>
      </c>
      <c r="D178" t="s">
        <v>657</v>
      </c>
      <c r="E178" t="s">
        <v>658</v>
      </c>
      <c r="F178" t="s">
        <v>330</v>
      </c>
      <c r="H178">
        <v>1690387016</v>
      </c>
      <c r="I178">
        <f t="shared" si="60"/>
        <v>2.1440025716248589E-3</v>
      </c>
      <c r="J178">
        <f t="shared" si="61"/>
        <v>2.144002571624859</v>
      </c>
      <c r="K178">
        <f t="shared" si="62"/>
        <v>30.710077661352678</v>
      </c>
      <c r="L178">
        <f t="shared" si="63"/>
        <v>464.21699999999998</v>
      </c>
      <c r="M178">
        <f t="shared" si="64"/>
        <v>121.25978142408488</v>
      </c>
      <c r="N178">
        <f t="shared" si="65"/>
        <v>11.975550290641092</v>
      </c>
      <c r="O178">
        <f t="shared" si="66"/>
        <v>45.845819314386006</v>
      </c>
      <c r="P178">
        <f t="shared" si="67"/>
        <v>0.15105620000212236</v>
      </c>
      <c r="Q178">
        <f t="shared" si="68"/>
        <v>2.1576759526243312</v>
      </c>
      <c r="R178">
        <f t="shared" si="69"/>
        <v>0.14541743747862851</v>
      </c>
      <c r="S178">
        <f t="shared" si="70"/>
        <v>9.1374981561777147E-2</v>
      </c>
      <c r="T178">
        <f t="shared" si="71"/>
        <v>276.11374396023376</v>
      </c>
      <c r="U178">
        <f t="shared" si="72"/>
        <v>27.827275261368477</v>
      </c>
      <c r="V178">
        <f t="shared" si="73"/>
        <v>27.827275261368477</v>
      </c>
      <c r="W178">
        <f t="shared" si="74"/>
        <v>3.7567958830665336</v>
      </c>
      <c r="X178">
        <f t="shared" si="75"/>
        <v>67.863215030504435</v>
      </c>
      <c r="Y178">
        <f t="shared" si="76"/>
        <v>2.3456951426327999</v>
      </c>
      <c r="Z178">
        <f t="shared" si="77"/>
        <v>3.456504590267957</v>
      </c>
      <c r="AA178">
        <f t="shared" si="78"/>
        <v>1.4111007404337337</v>
      </c>
      <c r="AB178">
        <f t="shared" si="79"/>
        <v>-94.550513408656272</v>
      </c>
      <c r="AC178">
        <f t="shared" si="80"/>
        <v>-165.143193760348</v>
      </c>
      <c r="AD178">
        <f t="shared" si="81"/>
        <v>-16.53719261290156</v>
      </c>
      <c r="AE178">
        <f t="shared" si="82"/>
        <v>-0.11715582167207117</v>
      </c>
      <c r="AF178">
        <v>0</v>
      </c>
      <c r="AG178">
        <v>0</v>
      </c>
      <c r="AH178">
        <f t="shared" si="83"/>
        <v>1</v>
      </c>
      <c r="AI178">
        <f t="shared" si="84"/>
        <v>0</v>
      </c>
      <c r="AJ178">
        <f t="shared" si="85"/>
        <v>52262.093226548917</v>
      </c>
      <c r="AK178">
        <f t="shared" si="86"/>
        <v>1799.99</v>
      </c>
      <c r="AL178">
        <f t="shared" si="87"/>
        <v>1499.10578298827</v>
      </c>
      <c r="AM178">
        <f t="shared" si="88"/>
        <v>0.83284117300000005</v>
      </c>
      <c r="AN178">
        <f t="shared" si="89"/>
        <v>0.15339737663000003</v>
      </c>
      <c r="AO178">
        <v>31.8</v>
      </c>
      <c r="AP178">
        <v>0.5</v>
      </c>
      <c r="AQ178" t="s">
        <v>331</v>
      </c>
      <c r="AR178">
        <v>2</v>
      </c>
      <c r="AS178">
        <v>1690387016</v>
      </c>
      <c r="AT178">
        <v>464.21699999999998</v>
      </c>
      <c r="AU178">
        <v>800.03300000000002</v>
      </c>
      <c r="AV178">
        <v>23.7516</v>
      </c>
      <c r="AW178">
        <v>1.5821799999999999</v>
      </c>
      <c r="AX178">
        <v>464.26799999999997</v>
      </c>
      <c r="AY178">
        <v>23.471900000000002</v>
      </c>
      <c r="AZ178">
        <v>300.233</v>
      </c>
      <c r="BA178">
        <v>98.659400000000005</v>
      </c>
      <c r="BB178">
        <v>0.10005799999999999</v>
      </c>
      <c r="BC178">
        <v>26.407599999999999</v>
      </c>
      <c r="BD178">
        <v>27.0015</v>
      </c>
      <c r="BE178">
        <v>27.865300000000001</v>
      </c>
      <c r="BF178">
        <v>0</v>
      </c>
      <c r="BG178">
        <v>0</v>
      </c>
      <c r="BH178">
        <v>9998.1200000000008</v>
      </c>
      <c r="BI178">
        <v>1077.7</v>
      </c>
      <c r="BJ178">
        <v>1.4619200000000001</v>
      </c>
      <c r="BK178">
        <v>-335.81599999999997</v>
      </c>
      <c r="BL178">
        <v>475.51100000000002</v>
      </c>
      <c r="BM178">
        <v>801.30100000000004</v>
      </c>
      <c r="BN178">
        <v>22.1694</v>
      </c>
      <c r="BO178">
        <v>800.03300000000002</v>
      </c>
      <c r="BP178">
        <v>1.5821799999999999</v>
      </c>
      <c r="BQ178">
        <v>2.3433199999999998</v>
      </c>
      <c r="BR178">
        <v>0.15609700000000001</v>
      </c>
      <c r="BS178">
        <v>19.9773</v>
      </c>
      <c r="BT178">
        <v>-17.480599999999999</v>
      </c>
      <c r="BU178">
        <v>1799.99</v>
      </c>
      <c r="BV178">
        <v>0.91000700000000001</v>
      </c>
      <c r="BW178">
        <v>3.3995200000000003E-2</v>
      </c>
      <c r="BX178">
        <v>2.1999399999999999E-2</v>
      </c>
      <c r="BY178">
        <v>3.3998899999999999E-2</v>
      </c>
      <c r="BZ178">
        <v>25.333300000000001</v>
      </c>
      <c r="CA178">
        <v>33528.300000000003</v>
      </c>
      <c r="CB178">
        <v>1690384821</v>
      </c>
      <c r="CC178" t="s">
        <v>332</v>
      </c>
      <c r="CD178">
        <v>1690384820</v>
      </c>
      <c r="CE178">
        <v>1690384821</v>
      </c>
      <c r="CF178">
        <v>5</v>
      </c>
      <c r="CG178">
        <v>-2.5000000000000001E-2</v>
      </c>
      <c r="CH178">
        <v>0.104</v>
      </c>
      <c r="CI178">
        <v>-0.28799999999999998</v>
      </c>
      <c r="CJ178">
        <v>0.28000000000000003</v>
      </c>
      <c r="CK178">
        <v>800</v>
      </c>
      <c r="CL178">
        <v>24</v>
      </c>
      <c r="CM178">
        <v>0.08</v>
      </c>
      <c r="CN178">
        <v>0.11</v>
      </c>
      <c r="CO178">
        <v>-334.29129999999998</v>
      </c>
      <c r="CP178">
        <v>-8.7873545966225421</v>
      </c>
      <c r="CQ178">
        <v>0.84764533267163389</v>
      </c>
      <c r="CR178">
        <v>-1</v>
      </c>
      <c r="CS178">
        <v>21.987684999999999</v>
      </c>
      <c r="CT178">
        <v>0.99059662288932127</v>
      </c>
      <c r="CU178">
        <v>9.5334651491470093E-2</v>
      </c>
      <c r="CV178">
        <v>-1</v>
      </c>
      <c r="CW178">
        <v>0</v>
      </c>
      <c r="CX178">
        <v>0</v>
      </c>
      <c r="CY178" t="s">
        <v>333</v>
      </c>
      <c r="CZ178">
        <v>2.3650899999999999</v>
      </c>
      <c r="DA178">
        <v>2.7138499999999999</v>
      </c>
      <c r="DB178">
        <v>9.9743299999999993E-2</v>
      </c>
      <c r="DC178">
        <v>0.14549000000000001</v>
      </c>
      <c r="DD178">
        <v>0.11236400000000001</v>
      </c>
      <c r="DE178">
        <v>1.2277400000000001E-2</v>
      </c>
      <c r="DF178">
        <v>32894.300000000003</v>
      </c>
      <c r="DG178">
        <v>27566.2</v>
      </c>
      <c r="DH178">
        <v>31192.2</v>
      </c>
      <c r="DI178">
        <v>28109.4</v>
      </c>
      <c r="DJ178">
        <v>37588.300000000003</v>
      </c>
      <c r="DK178">
        <v>39488</v>
      </c>
      <c r="DL178">
        <v>44393.7</v>
      </c>
      <c r="DM178">
        <v>42605.5</v>
      </c>
      <c r="DN178">
        <v>1.4753700000000001</v>
      </c>
      <c r="DO178">
        <v>2.0339299999999998</v>
      </c>
      <c r="DP178">
        <v>0.10564900000000001</v>
      </c>
      <c r="DQ178">
        <v>0.17283499999999999</v>
      </c>
      <c r="DR178">
        <v>25.2713</v>
      </c>
      <c r="DS178">
        <v>25.036200000000001</v>
      </c>
      <c r="DT178">
        <v>39.5</v>
      </c>
      <c r="DU178">
        <v>28.8</v>
      </c>
      <c r="DV178">
        <v>15.915100000000001</v>
      </c>
      <c r="DW178">
        <v>60.872199999999999</v>
      </c>
      <c r="DX178">
        <v>36.778799999999997</v>
      </c>
      <c r="DY178">
        <v>1</v>
      </c>
      <c r="DZ178">
        <v>-0.115638</v>
      </c>
      <c r="EA178">
        <v>-0.28641899999999998</v>
      </c>
      <c r="EB178">
        <v>20.190100000000001</v>
      </c>
      <c r="EC178">
        <v>5.2406499999999996</v>
      </c>
      <c r="ED178">
        <v>12.039899999999999</v>
      </c>
      <c r="EE178">
        <v>5.0168499999999998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1.8689100000000001</v>
      </c>
      <c r="EL178">
        <v>1.8646199999999999</v>
      </c>
      <c r="EM178">
        <v>1.8692</v>
      </c>
      <c r="EN178">
        <v>1.8672599999999999</v>
      </c>
      <c r="EO178">
        <v>1.86338</v>
      </c>
      <c r="EP178">
        <v>1.8644700000000001</v>
      </c>
      <c r="EQ178">
        <v>1.8702099999999999</v>
      </c>
      <c r="ER178">
        <v>1.8694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-5.0999999999999997E-2</v>
      </c>
      <c r="FG178">
        <v>0.2797</v>
      </c>
      <c r="FH178">
        <v>0.26269369235785539</v>
      </c>
      <c r="FI178">
        <v>-6.1462078757559423E-4</v>
      </c>
      <c r="FJ178">
        <v>-1.8861989874597051E-7</v>
      </c>
      <c r="FK178">
        <v>1.1980462299894961E-10</v>
      </c>
      <c r="FL178">
        <v>0.27968571428570849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36.6</v>
      </c>
      <c r="FU178">
        <v>36.6</v>
      </c>
      <c r="FV178">
        <v>1.7687999999999999</v>
      </c>
      <c r="FW178">
        <v>2.5842299999999998</v>
      </c>
      <c r="FX178">
        <v>1.5490699999999999</v>
      </c>
      <c r="FY178">
        <v>2.3315399999999999</v>
      </c>
      <c r="FZ178">
        <v>1.50146</v>
      </c>
      <c r="GA178">
        <v>2.2949199999999998</v>
      </c>
      <c r="GB178">
        <v>33.512999999999998</v>
      </c>
      <c r="GC178">
        <v>23.982399999999998</v>
      </c>
      <c r="GD178">
        <v>19</v>
      </c>
      <c r="GE178">
        <v>281.35000000000002</v>
      </c>
      <c r="GF178">
        <v>578.04300000000001</v>
      </c>
      <c r="GG178">
        <v>25.005299999999998</v>
      </c>
      <c r="GH178">
        <v>25.953800000000001</v>
      </c>
      <c r="GI178">
        <v>30.0001</v>
      </c>
      <c r="GJ178">
        <v>26.084199999999999</v>
      </c>
      <c r="GK178">
        <v>26.063300000000002</v>
      </c>
      <c r="GL178">
        <v>35.363900000000001</v>
      </c>
      <c r="GM178">
        <v>87.426100000000005</v>
      </c>
      <c r="GN178">
        <v>44.076799999999999</v>
      </c>
      <c r="GO178">
        <v>25.005400000000002</v>
      </c>
      <c r="GP178">
        <v>800</v>
      </c>
      <c r="GQ178">
        <v>1.40242</v>
      </c>
      <c r="GR178">
        <v>99.807299999999998</v>
      </c>
      <c r="GS178">
        <v>99.6678</v>
      </c>
    </row>
    <row r="179" spans="1:201" x14ac:dyDescent="0.25">
      <c r="A179">
        <v>163</v>
      </c>
      <c r="B179">
        <v>1690387026</v>
      </c>
      <c r="C179">
        <v>1691.400000095367</v>
      </c>
      <c r="D179" t="s">
        <v>659</v>
      </c>
      <c r="E179" t="s">
        <v>660</v>
      </c>
      <c r="F179" t="s">
        <v>330</v>
      </c>
      <c r="H179">
        <v>1690387026</v>
      </c>
      <c r="I179">
        <f t="shared" si="60"/>
        <v>2.1585217847096593E-3</v>
      </c>
      <c r="J179">
        <f t="shared" si="61"/>
        <v>2.1585217847096594</v>
      </c>
      <c r="K179">
        <f t="shared" si="62"/>
        <v>30.847255049161607</v>
      </c>
      <c r="L179">
        <f t="shared" si="63"/>
        <v>462.77</v>
      </c>
      <c r="M179">
        <f t="shared" si="64"/>
        <v>120.44604735727782</v>
      </c>
      <c r="N179">
        <f t="shared" si="65"/>
        <v>11.894929684720172</v>
      </c>
      <c r="O179">
        <f t="shared" si="66"/>
        <v>45.701928215790005</v>
      </c>
      <c r="P179">
        <f t="shared" si="67"/>
        <v>0.15203683264862833</v>
      </c>
      <c r="Q179">
        <f t="shared" si="68"/>
        <v>2.1584009742521673</v>
      </c>
      <c r="R179">
        <f t="shared" si="69"/>
        <v>0.1463279500320058</v>
      </c>
      <c r="S179">
        <f t="shared" si="70"/>
        <v>9.1950028848024501E-2</v>
      </c>
      <c r="T179">
        <f t="shared" si="71"/>
        <v>276.11519862599999</v>
      </c>
      <c r="U179">
        <f t="shared" si="72"/>
        <v>27.82544318672964</v>
      </c>
      <c r="V179">
        <f t="shared" si="73"/>
        <v>27.82544318672964</v>
      </c>
      <c r="W179">
        <f t="shared" si="74"/>
        <v>3.7563941464353379</v>
      </c>
      <c r="X179">
        <f t="shared" si="75"/>
        <v>67.817060994490618</v>
      </c>
      <c r="Y179">
        <f t="shared" si="76"/>
        <v>2.3445977003070002</v>
      </c>
      <c r="Z179">
        <f t="shared" si="77"/>
        <v>3.457238733034262</v>
      </c>
      <c r="AA179">
        <f t="shared" si="78"/>
        <v>1.4117964461283377</v>
      </c>
      <c r="AB179">
        <f t="shared" si="79"/>
        <v>-95.190810705695981</v>
      </c>
      <c r="AC179">
        <f t="shared" si="80"/>
        <v>-164.56658875086219</v>
      </c>
      <c r="AD179">
        <f t="shared" si="81"/>
        <v>-16.474061550731005</v>
      </c>
      <c r="AE179">
        <f t="shared" si="82"/>
        <v>-0.11626238128917521</v>
      </c>
      <c r="AF179">
        <v>0</v>
      </c>
      <c r="AG179">
        <v>0</v>
      </c>
      <c r="AH179">
        <f t="shared" si="83"/>
        <v>1</v>
      </c>
      <c r="AI179">
        <f t="shared" si="84"/>
        <v>0</v>
      </c>
      <c r="AJ179">
        <f t="shared" si="85"/>
        <v>52291.782039342208</v>
      </c>
      <c r="AK179">
        <f t="shared" si="86"/>
        <v>1800</v>
      </c>
      <c r="AL179">
        <f t="shared" si="87"/>
        <v>1499.1141095999999</v>
      </c>
      <c r="AM179">
        <f t="shared" si="88"/>
        <v>0.83284117199999996</v>
      </c>
      <c r="AN179">
        <f t="shared" si="89"/>
        <v>0.15339733256999999</v>
      </c>
      <c r="AO179">
        <v>31.8</v>
      </c>
      <c r="AP179">
        <v>0.5</v>
      </c>
      <c r="AQ179" t="s">
        <v>331</v>
      </c>
      <c r="AR179">
        <v>2</v>
      </c>
      <c r="AS179">
        <v>1690387026</v>
      </c>
      <c r="AT179">
        <v>462.77</v>
      </c>
      <c r="AU179">
        <v>800.08399999999995</v>
      </c>
      <c r="AV179">
        <v>23.741</v>
      </c>
      <c r="AW179">
        <v>1.42076</v>
      </c>
      <c r="AX179">
        <v>462.82</v>
      </c>
      <c r="AY179">
        <v>23.461300000000001</v>
      </c>
      <c r="AZ179">
        <v>300.22699999999998</v>
      </c>
      <c r="BA179">
        <v>98.657200000000003</v>
      </c>
      <c r="BB179">
        <v>0.10012699999999999</v>
      </c>
      <c r="BC179">
        <v>26.411200000000001</v>
      </c>
      <c r="BD179">
        <v>27.001899999999999</v>
      </c>
      <c r="BE179">
        <v>27.8765</v>
      </c>
      <c r="BF179">
        <v>0</v>
      </c>
      <c r="BG179">
        <v>0</v>
      </c>
      <c r="BH179">
        <v>10004.4</v>
      </c>
      <c r="BI179">
        <v>1077.67</v>
      </c>
      <c r="BJ179">
        <v>1.49556</v>
      </c>
      <c r="BK179">
        <v>-337.31400000000002</v>
      </c>
      <c r="BL179">
        <v>474.024</v>
      </c>
      <c r="BM179">
        <v>801.22199999999998</v>
      </c>
      <c r="BN179">
        <v>22.3203</v>
      </c>
      <c r="BO179">
        <v>800.08399999999995</v>
      </c>
      <c r="BP179">
        <v>1.42076</v>
      </c>
      <c r="BQ179">
        <v>2.3422200000000002</v>
      </c>
      <c r="BR179">
        <v>0.14016799999999999</v>
      </c>
      <c r="BS179">
        <v>19.969799999999999</v>
      </c>
      <c r="BT179">
        <v>-18.748100000000001</v>
      </c>
      <c r="BU179">
        <v>1800</v>
      </c>
      <c r="BV179">
        <v>0.91000800000000004</v>
      </c>
      <c r="BW179">
        <v>3.3994799999999999E-2</v>
      </c>
      <c r="BX179">
        <v>2.1999100000000001E-2</v>
      </c>
      <c r="BY179">
        <v>3.3998500000000001E-2</v>
      </c>
      <c r="BZ179">
        <v>25.25</v>
      </c>
      <c r="CA179">
        <v>33528.400000000001</v>
      </c>
      <c r="CB179">
        <v>1690384821</v>
      </c>
      <c r="CC179" t="s">
        <v>332</v>
      </c>
      <c r="CD179">
        <v>1690384820</v>
      </c>
      <c r="CE179">
        <v>1690384821</v>
      </c>
      <c r="CF179">
        <v>5</v>
      </c>
      <c r="CG179">
        <v>-2.5000000000000001E-2</v>
      </c>
      <c r="CH179">
        <v>0.104</v>
      </c>
      <c r="CI179">
        <v>-0.28799999999999998</v>
      </c>
      <c r="CJ179">
        <v>0.28000000000000003</v>
      </c>
      <c r="CK179">
        <v>800</v>
      </c>
      <c r="CL179">
        <v>24</v>
      </c>
      <c r="CM179">
        <v>0.08</v>
      </c>
      <c r="CN179">
        <v>0.11</v>
      </c>
      <c r="CO179">
        <v>-335.76034146341459</v>
      </c>
      <c r="CP179">
        <v>-8.4471428571435858</v>
      </c>
      <c r="CQ179">
        <v>0.83400092442353779</v>
      </c>
      <c r="CR179">
        <v>-1</v>
      </c>
      <c r="CS179">
        <v>22.15170975609756</v>
      </c>
      <c r="CT179">
        <v>0.92568292682929243</v>
      </c>
      <c r="CU179">
        <v>9.1285972007238536E-2</v>
      </c>
      <c r="CV179">
        <v>-1</v>
      </c>
      <c r="CW179">
        <v>0</v>
      </c>
      <c r="CX179">
        <v>0</v>
      </c>
      <c r="CY179" t="s">
        <v>333</v>
      </c>
      <c r="CZ179">
        <v>2.3650699999999998</v>
      </c>
      <c r="DA179">
        <v>2.7139199999999999</v>
      </c>
      <c r="DB179">
        <v>9.9510000000000001E-2</v>
      </c>
      <c r="DC179">
        <v>0.14549000000000001</v>
      </c>
      <c r="DD179">
        <v>0.112326</v>
      </c>
      <c r="DE179">
        <v>1.11132E-2</v>
      </c>
      <c r="DF179">
        <v>32902.300000000003</v>
      </c>
      <c r="DG179">
        <v>27565.5</v>
      </c>
      <c r="DH179">
        <v>31191.8</v>
      </c>
      <c r="DI179">
        <v>28108.7</v>
      </c>
      <c r="DJ179">
        <v>37589.199999999997</v>
      </c>
      <c r="DK179">
        <v>39533.800000000003</v>
      </c>
      <c r="DL179">
        <v>44392.800000000003</v>
      </c>
      <c r="DM179">
        <v>42604.6</v>
      </c>
      <c r="DN179">
        <v>1.4755</v>
      </c>
      <c r="DO179">
        <v>2.0335800000000002</v>
      </c>
      <c r="DP179">
        <v>0.10559300000000001</v>
      </c>
      <c r="DQ179">
        <v>0.17344999999999999</v>
      </c>
      <c r="DR179">
        <v>25.272600000000001</v>
      </c>
      <c r="DS179">
        <v>25.037400000000002</v>
      </c>
      <c r="DT179">
        <v>39.200000000000003</v>
      </c>
      <c r="DU179">
        <v>28.8</v>
      </c>
      <c r="DV179">
        <v>15.794700000000001</v>
      </c>
      <c r="DW179">
        <v>61.162199999999999</v>
      </c>
      <c r="DX179">
        <v>36.638599999999997</v>
      </c>
      <c r="DY179">
        <v>1</v>
      </c>
      <c r="DZ179">
        <v>-0.115813</v>
      </c>
      <c r="EA179">
        <v>-0.166408</v>
      </c>
      <c r="EB179">
        <v>20.190300000000001</v>
      </c>
      <c r="EC179">
        <v>5.24125</v>
      </c>
      <c r="ED179">
        <v>12.039899999999999</v>
      </c>
      <c r="EE179">
        <v>5.01675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1.8689100000000001</v>
      </c>
      <c r="EL179">
        <v>1.8646199999999999</v>
      </c>
      <c r="EM179">
        <v>1.86921</v>
      </c>
      <c r="EN179">
        <v>1.8672500000000001</v>
      </c>
      <c r="EO179">
        <v>1.8633900000000001</v>
      </c>
      <c r="EP179">
        <v>1.8644700000000001</v>
      </c>
      <c r="EQ179">
        <v>1.8701700000000001</v>
      </c>
      <c r="ER179">
        <v>1.8694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-0.05</v>
      </c>
      <c r="FG179">
        <v>0.2797</v>
      </c>
      <c r="FH179">
        <v>0.26269369235785539</v>
      </c>
      <c r="FI179">
        <v>-6.1462078757559423E-4</v>
      </c>
      <c r="FJ179">
        <v>-1.8861989874597051E-7</v>
      </c>
      <c r="FK179">
        <v>1.1980462299894961E-10</v>
      </c>
      <c r="FL179">
        <v>0.27968571428570849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36.799999999999997</v>
      </c>
      <c r="FU179">
        <v>36.799999999999997</v>
      </c>
      <c r="FV179">
        <v>1.7687999999999999</v>
      </c>
      <c r="FW179">
        <v>2.5878899999999998</v>
      </c>
      <c r="FX179">
        <v>1.5490699999999999</v>
      </c>
      <c r="FY179">
        <v>2.3315399999999999</v>
      </c>
      <c r="FZ179">
        <v>1.50146</v>
      </c>
      <c r="GA179">
        <v>2.3107899999999999</v>
      </c>
      <c r="GB179">
        <v>33.535499999999999</v>
      </c>
      <c r="GC179">
        <v>23.973700000000001</v>
      </c>
      <c r="GD179">
        <v>19</v>
      </c>
      <c r="GE179">
        <v>281.404</v>
      </c>
      <c r="GF179">
        <v>577.75599999999997</v>
      </c>
      <c r="GG179">
        <v>24.981300000000001</v>
      </c>
      <c r="GH179">
        <v>25.953800000000001</v>
      </c>
      <c r="GI179">
        <v>30</v>
      </c>
      <c r="GJ179">
        <v>26.084199999999999</v>
      </c>
      <c r="GK179">
        <v>26.063300000000002</v>
      </c>
      <c r="GL179">
        <v>35.358400000000003</v>
      </c>
      <c r="GM179">
        <v>88.924899999999994</v>
      </c>
      <c r="GN179">
        <v>43.260899999999999</v>
      </c>
      <c r="GO179">
        <v>24.976500000000001</v>
      </c>
      <c r="GP179">
        <v>800</v>
      </c>
      <c r="GQ179">
        <v>1.23089</v>
      </c>
      <c r="GR179">
        <v>99.805700000000002</v>
      </c>
      <c r="GS179">
        <v>99.665499999999994</v>
      </c>
    </row>
    <row r="180" spans="1:201" x14ac:dyDescent="0.25">
      <c r="A180">
        <v>164</v>
      </c>
      <c r="B180">
        <v>1690387036</v>
      </c>
      <c r="C180">
        <v>1701.400000095367</v>
      </c>
      <c r="D180" t="s">
        <v>661</v>
      </c>
      <c r="E180" t="s">
        <v>662</v>
      </c>
      <c r="F180" t="s">
        <v>330</v>
      </c>
      <c r="H180">
        <v>1690387036</v>
      </c>
      <c r="I180">
        <f t="shared" si="60"/>
        <v>2.1725881849533864E-3</v>
      </c>
      <c r="J180">
        <f t="shared" si="61"/>
        <v>2.1725881849533866</v>
      </c>
      <c r="K180">
        <f t="shared" si="62"/>
        <v>30.980727741391057</v>
      </c>
      <c r="L180">
        <f t="shared" si="63"/>
        <v>461.23</v>
      </c>
      <c r="M180">
        <f t="shared" si="64"/>
        <v>119.95499135079892</v>
      </c>
      <c r="N180">
        <f t="shared" si="65"/>
        <v>11.846640124887179</v>
      </c>
      <c r="O180">
        <f t="shared" si="66"/>
        <v>45.550633310644002</v>
      </c>
      <c r="P180">
        <f t="shared" si="67"/>
        <v>0.15319623262430354</v>
      </c>
      <c r="Q180">
        <f t="shared" si="68"/>
        <v>2.1590222324544364</v>
      </c>
      <c r="R180">
        <f t="shared" si="69"/>
        <v>0.14740333291359783</v>
      </c>
      <c r="S180">
        <f t="shared" si="70"/>
        <v>9.2629301188080271E-2</v>
      </c>
      <c r="T180">
        <f t="shared" si="71"/>
        <v>276.11508072599997</v>
      </c>
      <c r="U180">
        <f t="shared" si="72"/>
        <v>27.816329387276511</v>
      </c>
      <c r="V180">
        <f t="shared" si="73"/>
        <v>27.816329387276511</v>
      </c>
      <c r="W180">
        <f t="shared" si="74"/>
        <v>3.7543962329332339</v>
      </c>
      <c r="X180">
        <f t="shared" si="75"/>
        <v>67.80727159928864</v>
      </c>
      <c r="Y180">
        <f t="shared" si="76"/>
        <v>2.3437199760167595</v>
      </c>
      <c r="Z180">
        <f t="shared" si="77"/>
        <v>3.4564434178492256</v>
      </c>
      <c r="AA180">
        <f t="shared" si="78"/>
        <v>1.4106762569164744</v>
      </c>
      <c r="AB180">
        <f t="shared" si="79"/>
        <v>-95.811138956444339</v>
      </c>
      <c r="AC180">
        <f t="shared" si="80"/>
        <v>-164.00708469077719</v>
      </c>
      <c r="AD180">
        <f t="shared" si="81"/>
        <v>-16.41225946572267</v>
      </c>
      <c r="AE180">
        <f t="shared" si="82"/>
        <v>-0.11540238694422555</v>
      </c>
      <c r="AF180">
        <v>0</v>
      </c>
      <c r="AG180">
        <v>0</v>
      </c>
      <c r="AH180">
        <f t="shared" si="83"/>
        <v>1</v>
      </c>
      <c r="AI180">
        <f t="shared" si="84"/>
        <v>0</v>
      </c>
      <c r="AJ180">
        <f t="shared" si="85"/>
        <v>52318.532678590571</v>
      </c>
      <c r="AK180">
        <f t="shared" si="86"/>
        <v>1800</v>
      </c>
      <c r="AL180">
        <f t="shared" si="87"/>
        <v>1499.1142626000001</v>
      </c>
      <c r="AM180">
        <f t="shared" si="88"/>
        <v>0.832841257</v>
      </c>
      <c r="AN180">
        <f t="shared" si="89"/>
        <v>0.15339726706999998</v>
      </c>
      <c r="AO180">
        <v>31.8</v>
      </c>
      <c r="AP180">
        <v>0.5</v>
      </c>
      <c r="AQ180" t="s">
        <v>331</v>
      </c>
      <c r="AR180">
        <v>2</v>
      </c>
      <c r="AS180">
        <v>1690387036</v>
      </c>
      <c r="AT180">
        <v>461.23</v>
      </c>
      <c r="AU180">
        <v>800.13800000000003</v>
      </c>
      <c r="AV180">
        <v>23.7317</v>
      </c>
      <c r="AW180">
        <v>1.25606</v>
      </c>
      <c r="AX180">
        <v>461.28</v>
      </c>
      <c r="AY180">
        <v>23.452000000000002</v>
      </c>
      <c r="AZ180">
        <v>300.09699999999998</v>
      </c>
      <c r="BA180">
        <v>98.659099999999995</v>
      </c>
      <c r="BB180">
        <v>9.9942799999999998E-2</v>
      </c>
      <c r="BC180">
        <v>26.407299999999999</v>
      </c>
      <c r="BD180">
        <v>26.982299999999999</v>
      </c>
      <c r="BE180">
        <v>27.868500000000001</v>
      </c>
      <c r="BF180">
        <v>0</v>
      </c>
      <c r="BG180">
        <v>0</v>
      </c>
      <c r="BH180">
        <v>10009.4</v>
      </c>
      <c r="BI180">
        <v>1077.8</v>
      </c>
      <c r="BJ180">
        <v>1.49556</v>
      </c>
      <c r="BK180">
        <v>-338.90699999999998</v>
      </c>
      <c r="BL180">
        <v>472.44200000000001</v>
      </c>
      <c r="BM180">
        <v>801.14400000000001</v>
      </c>
      <c r="BN180">
        <v>22.4756</v>
      </c>
      <c r="BO180">
        <v>800.13800000000003</v>
      </c>
      <c r="BP180">
        <v>1.25606</v>
      </c>
      <c r="BQ180">
        <v>2.3413499999999998</v>
      </c>
      <c r="BR180">
        <v>0.123922</v>
      </c>
      <c r="BS180">
        <v>19.963699999999999</v>
      </c>
      <c r="BT180">
        <v>-20.1812</v>
      </c>
      <c r="BU180">
        <v>1800</v>
      </c>
      <c r="BV180">
        <v>0.91000999999999999</v>
      </c>
      <c r="BW180">
        <v>3.3994000000000003E-2</v>
      </c>
      <c r="BX180">
        <v>2.19986E-2</v>
      </c>
      <c r="BY180">
        <v>3.3997699999999999E-2</v>
      </c>
      <c r="BZ180">
        <v>25.375</v>
      </c>
      <c r="CA180">
        <v>33528.400000000001</v>
      </c>
      <c r="CB180">
        <v>1690384821</v>
      </c>
      <c r="CC180" t="s">
        <v>332</v>
      </c>
      <c r="CD180">
        <v>1690384820</v>
      </c>
      <c r="CE180">
        <v>1690384821</v>
      </c>
      <c r="CF180">
        <v>5</v>
      </c>
      <c r="CG180">
        <v>-2.5000000000000001E-2</v>
      </c>
      <c r="CH180">
        <v>0.104</v>
      </c>
      <c r="CI180">
        <v>-0.28799999999999998</v>
      </c>
      <c r="CJ180">
        <v>0.28000000000000003</v>
      </c>
      <c r="CK180">
        <v>800</v>
      </c>
      <c r="CL180">
        <v>24</v>
      </c>
      <c r="CM180">
        <v>0.08</v>
      </c>
      <c r="CN180">
        <v>0.11</v>
      </c>
      <c r="CO180">
        <v>-337.09559999999999</v>
      </c>
      <c r="CP180">
        <v>-8.2805628517812551</v>
      </c>
      <c r="CQ180">
        <v>0.79843931516427935</v>
      </c>
      <c r="CR180">
        <v>-1</v>
      </c>
      <c r="CS180">
        <v>22.300017499999999</v>
      </c>
      <c r="CT180">
        <v>0.89841613508433626</v>
      </c>
      <c r="CU180">
        <v>8.6432756775137037E-2</v>
      </c>
      <c r="CV180">
        <v>-1</v>
      </c>
      <c r="CW180">
        <v>0</v>
      </c>
      <c r="CX180">
        <v>0</v>
      </c>
      <c r="CY180" t="s">
        <v>333</v>
      </c>
      <c r="CZ180">
        <v>2.3646699999999998</v>
      </c>
      <c r="DA180">
        <v>2.71374</v>
      </c>
      <c r="DB180">
        <v>9.9266300000000002E-2</v>
      </c>
      <c r="DC180">
        <v>0.14549699999999999</v>
      </c>
      <c r="DD180">
        <v>0.112298</v>
      </c>
      <c r="DE180">
        <v>9.9077699999999998E-3</v>
      </c>
      <c r="DF180">
        <v>32911</v>
      </c>
      <c r="DG180">
        <v>27565.599999999999</v>
      </c>
      <c r="DH180">
        <v>31191.599999999999</v>
      </c>
      <c r="DI180">
        <v>28109</v>
      </c>
      <c r="DJ180">
        <v>37590.300000000003</v>
      </c>
      <c r="DK180">
        <v>39582.5</v>
      </c>
      <c r="DL180">
        <v>44392.800000000003</v>
      </c>
      <c r="DM180">
        <v>42605</v>
      </c>
      <c r="DN180">
        <v>1.4751799999999999</v>
      </c>
      <c r="DO180">
        <v>2.0335000000000001</v>
      </c>
      <c r="DP180">
        <v>0.104215</v>
      </c>
      <c r="DQ180">
        <v>0.17289099999999999</v>
      </c>
      <c r="DR180">
        <v>25.275600000000001</v>
      </c>
      <c r="DS180">
        <v>25.038499999999999</v>
      </c>
      <c r="DT180">
        <v>38.700000000000003</v>
      </c>
      <c r="DU180">
        <v>28.9</v>
      </c>
      <c r="DV180">
        <v>15.6839</v>
      </c>
      <c r="DW180">
        <v>60.732199999999999</v>
      </c>
      <c r="DX180">
        <v>37.091299999999997</v>
      </c>
      <c r="DY180">
        <v>1</v>
      </c>
      <c r="DZ180">
        <v>-0.11536299999999999</v>
      </c>
      <c r="EA180">
        <v>-0.21432999999999999</v>
      </c>
      <c r="EB180">
        <v>20.1905</v>
      </c>
      <c r="EC180">
        <v>5.2409499999999998</v>
      </c>
      <c r="ED180">
        <v>12.039899999999999</v>
      </c>
      <c r="EE180">
        <v>5.0164999999999997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1.8689100000000001</v>
      </c>
      <c r="EL180">
        <v>1.8646199999999999</v>
      </c>
      <c r="EM180">
        <v>1.86921</v>
      </c>
      <c r="EN180">
        <v>1.8672299999999999</v>
      </c>
      <c r="EO180">
        <v>1.86338</v>
      </c>
      <c r="EP180">
        <v>1.8644700000000001</v>
      </c>
      <c r="EQ180">
        <v>1.87016</v>
      </c>
      <c r="ER180">
        <v>1.86938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-0.05</v>
      </c>
      <c r="FG180">
        <v>0.2797</v>
      </c>
      <c r="FH180">
        <v>0.26269369235785539</v>
      </c>
      <c r="FI180">
        <v>-6.1462078757559423E-4</v>
      </c>
      <c r="FJ180">
        <v>-1.8861989874597051E-7</v>
      </c>
      <c r="FK180">
        <v>1.1980462299894961E-10</v>
      </c>
      <c r="FL180">
        <v>0.27968571428570849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36.9</v>
      </c>
      <c r="FU180">
        <v>36.9</v>
      </c>
      <c r="FV180">
        <v>1.7687999999999999</v>
      </c>
      <c r="FW180">
        <v>2.5866699999999998</v>
      </c>
      <c r="FX180">
        <v>1.5490699999999999</v>
      </c>
      <c r="FY180">
        <v>2.3315399999999999</v>
      </c>
      <c r="FZ180">
        <v>1.50146</v>
      </c>
      <c r="GA180">
        <v>2.33521</v>
      </c>
      <c r="GB180">
        <v>33.535499999999999</v>
      </c>
      <c r="GC180">
        <v>23.982399999999998</v>
      </c>
      <c r="GD180">
        <v>19</v>
      </c>
      <c r="GE180">
        <v>281.25700000000001</v>
      </c>
      <c r="GF180">
        <v>577.67100000000005</v>
      </c>
      <c r="GG180">
        <v>24.972000000000001</v>
      </c>
      <c r="GH180">
        <v>25.951899999999998</v>
      </c>
      <c r="GI180">
        <v>30.000399999999999</v>
      </c>
      <c r="GJ180">
        <v>26.082000000000001</v>
      </c>
      <c r="GK180">
        <v>26.0611</v>
      </c>
      <c r="GL180">
        <v>35.350499999999997</v>
      </c>
      <c r="GM180">
        <v>90.459000000000003</v>
      </c>
      <c r="GN180">
        <v>42.061999999999998</v>
      </c>
      <c r="GO180">
        <v>24.976600000000001</v>
      </c>
      <c r="GP180">
        <v>800</v>
      </c>
      <c r="GQ180">
        <v>1.0597700000000001</v>
      </c>
      <c r="GR180">
        <v>99.805300000000003</v>
      </c>
      <c r="GS180">
        <v>99.666499999999999</v>
      </c>
    </row>
    <row r="181" spans="1:201" x14ac:dyDescent="0.25">
      <c r="A181">
        <v>165</v>
      </c>
      <c r="B181">
        <v>1690387046</v>
      </c>
      <c r="C181">
        <v>1711.400000095367</v>
      </c>
      <c r="D181" t="s">
        <v>663</v>
      </c>
      <c r="E181" t="s">
        <v>664</v>
      </c>
      <c r="F181" t="s">
        <v>330</v>
      </c>
      <c r="H181">
        <v>1690387046</v>
      </c>
      <c r="I181">
        <f t="shared" si="60"/>
        <v>2.184781219808397E-3</v>
      </c>
      <c r="J181">
        <f t="shared" si="61"/>
        <v>2.1847812198083969</v>
      </c>
      <c r="K181">
        <f t="shared" si="62"/>
        <v>31.084803359145102</v>
      </c>
      <c r="L181">
        <f t="shared" si="63"/>
        <v>459.99599999999998</v>
      </c>
      <c r="M181">
        <f t="shared" si="64"/>
        <v>118.83289337279884</v>
      </c>
      <c r="N181">
        <f t="shared" si="65"/>
        <v>11.735731360740626</v>
      </c>
      <c r="O181">
        <f t="shared" si="66"/>
        <v>45.428410684906801</v>
      </c>
      <c r="P181">
        <f t="shared" si="67"/>
        <v>0.15377120510432818</v>
      </c>
      <c r="Q181">
        <f t="shared" si="68"/>
        <v>2.1604232276962598</v>
      </c>
      <c r="R181">
        <f t="shared" si="69"/>
        <v>0.14793926096401952</v>
      </c>
      <c r="S181">
        <f t="shared" si="70"/>
        <v>9.2967586444407058E-2</v>
      </c>
      <c r="T181">
        <f t="shared" si="71"/>
        <v>276.11496282600007</v>
      </c>
      <c r="U181">
        <f t="shared" si="72"/>
        <v>27.820785593010122</v>
      </c>
      <c r="V181">
        <f t="shared" si="73"/>
        <v>27.820785593010122</v>
      </c>
      <c r="W181">
        <f t="shared" si="74"/>
        <v>3.7553729998258505</v>
      </c>
      <c r="X181">
        <f t="shared" si="75"/>
        <v>67.7173528066036</v>
      </c>
      <c r="Y181">
        <f t="shared" si="76"/>
        <v>2.3419240655542097</v>
      </c>
      <c r="Z181">
        <f t="shared" si="77"/>
        <v>3.4583810035259264</v>
      </c>
      <c r="AA181">
        <f t="shared" si="78"/>
        <v>1.4134489342716408</v>
      </c>
      <c r="AB181">
        <f t="shared" si="79"/>
        <v>-96.34885179355031</v>
      </c>
      <c r="AC181">
        <f t="shared" si="80"/>
        <v>-163.52604479884769</v>
      </c>
      <c r="AD181">
        <f t="shared" si="81"/>
        <v>-16.354649879023661</v>
      </c>
      <c r="AE181">
        <f t="shared" si="82"/>
        <v>-0.11458364542158961</v>
      </c>
      <c r="AF181">
        <v>0</v>
      </c>
      <c r="AG181">
        <v>0</v>
      </c>
      <c r="AH181">
        <f t="shared" si="83"/>
        <v>1</v>
      </c>
      <c r="AI181">
        <f t="shared" si="84"/>
        <v>0</v>
      </c>
      <c r="AJ181">
        <f t="shared" si="85"/>
        <v>52375.578932595592</v>
      </c>
      <c r="AK181">
        <f t="shared" si="86"/>
        <v>1800</v>
      </c>
      <c r="AL181">
        <f t="shared" si="87"/>
        <v>1499.1144156</v>
      </c>
      <c r="AM181">
        <f t="shared" si="88"/>
        <v>0.83284134200000004</v>
      </c>
      <c r="AN181">
        <f t="shared" si="89"/>
        <v>0.15339720157000003</v>
      </c>
      <c r="AO181">
        <v>31.8</v>
      </c>
      <c r="AP181">
        <v>0.5</v>
      </c>
      <c r="AQ181" t="s">
        <v>331</v>
      </c>
      <c r="AR181">
        <v>2</v>
      </c>
      <c r="AS181">
        <v>1690387046</v>
      </c>
      <c r="AT181">
        <v>459.99599999999998</v>
      </c>
      <c r="AU181">
        <v>800.05600000000004</v>
      </c>
      <c r="AV181">
        <v>23.713699999999999</v>
      </c>
      <c r="AW181">
        <v>1.1103000000000001</v>
      </c>
      <c r="AX181">
        <v>460.04399999999998</v>
      </c>
      <c r="AY181">
        <v>23.434000000000001</v>
      </c>
      <c r="AZ181">
        <v>300.08100000000002</v>
      </c>
      <c r="BA181">
        <v>98.658299999999997</v>
      </c>
      <c r="BB181">
        <v>9.9973300000000001E-2</v>
      </c>
      <c r="BC181">
        <v>26.416799999999999</v>
      </c>
      <c r="BD181">
        <v>26.9754</v>
      </c>
      <c r="BE181">
        <v>27.859500000000001</v>
      </c>
      <c r="BF181">
        <v>0</v>
      </c>
      <c r="BG181">
        <v>0</v>
      </c>
      <c r="BH181">
        <v>10021.200000000001</v>
      </c>
      <c r="BI181">
        <v>1077.73</v>
      </c>
      <c r="BJ181">
        <v>1.49556</v>
      </c>
      <c r="BK181">
        <v>-340.06</v>
      </c>
      <c r="BL181">
        <v>471.16899999999998</v>
      </c>
      <c r="BM181">
        <v>800.94500000000005</v>
      </c>
      <c r="BN181">
        <v>22.603400000000001</v>
      </c>
      <c r="BO181">
        <v>800.05600000000004</v>
      </c>
      <c r="BP181">
        <v>1.1103000000000001</v>
      </c>
      <c r="BQ181">
        <v>2.33955</v>
      </c>
      <c r="BR181">
        <v>0.10954</v>
      </c>
      <c r="BS181">
        <v>19.9513</v>
      </c>
      <c r="BT181">
        <v>-21.597899999999999</v>
      </c>
      <c r="BU181">
        <v>1800</v>
      </c>
      <c r="BV181">
        <v>0.91001200000000004</v>
      </c>
      <c r="BW181">
        <v>3.3993200000000001E-2</v>
      </c>
      <c r="BX181">
        <v>2.19981E-2</v>
      </c>
      <c r="BY181">
        <v>3.3996899999999997E-2</v>
      </c>
      <c r="BZ181">
        <v>25.583300000000001</v>
      </c>
      <c r="CA181">
        <v>33528.5</v>
      </c>
      <c r="CB181">
        <v>1690384821</v>
      </c>
      <c r="CC181" t="s">
        <v>332</v>
      </c>
      <c r="CD181">
        <v>1690384820</v>
      </c>
      <c r="CE181">
        <v>1690384821</v>
      </c>
      <c r="CF181">
        <v>5</v>
      </c>
      <c r="CG181">
        <v>-2.5000000000000001E-2</v>
      </c>
      <c r="CH181">
        <v>0.104</v>
      </c>
      <c r="CI181">
        <v>-0.28799999999999998</v>
      </c>
      <c r="CJ181">
        <v>0.28000000000000003</v>
      </c>
      <c r="CK181">
        <v>800</v>
      </c>
      <c r="CL181">
        <v>24</v>
      </c>
      <c r="CM181">
        <v>0.08</v>
      </c>
      <c r="CN181">
        <v>0.11</v>
      </c>
      <c r="CO181">
        <v>-338.53036585365851</v>
      </c>
      <c r="CP181">
        <v>-8.3045226480841912</v>
      </c>
      <c r="CQ181">
        <v>0.82465096108263669</v>
      </c>
      <c r="CR181">
        <v>-1</v>
      </c>
      <c r="CS181">
        <v>22.451860975609751</v>
      </c>
      <c r="CT181">
        <v>0.85898885017424942</v>
      </c>
      <c r="CU181">
        <v>8.4844839382132789E-2</v>
      </c>
      <c r="CV181">
        <v>-1</v>
      </c>
      <c r="CW181">
        <v>0</v>
      </c>
      <c r="CX181">
        <v>0</v>
      </c>
      <c r="CY181" t="s">
        <v>333</v>
      </c>
      <c r="CZ181">
        <v>2.36463</v>
      </c>
      <c r="DA181">
        <v>2.7137799999999999</v>
      </c>
      <c r="DB181">
        <v>9.9067699999999995E-2</v>
      </c>
      <c r="DC181">
        <v>0.145483</v>
      </c>
      <c r="DD181">
        <v>0.112236</v>
      </c>
      <c r="DE181">
        <v>8.82462E-3</v>
      </c>
      <c r="DF181">
        <v>32918.6</v>
      </c>
      <c r="DG181">
        <v>27566.400000000001</v>
      </c>
      <c r="DH181">
        <v>31191.9</v>
      </c>
      <c r="DI181">
        <v>28109.4</v>
      </c>
      <c r="DJ181">
        <v>37593.300000000003</v>
      </c>
      <c r="DK181">
        <v>39626.400000000001</v>
      </c>
      <c r="DL181">
        <v>44393.2</v>
      </c>
      <c r="DM181">
        <v>42605.5</v>
      </c>
      <c r="DN181">
        <v>1.47522</v>
      </c>
      <c r="DO181">
        <v>2.0333000000000001</v>
      </c>
      <c r="DP181">
        <v>0.103656</v>
      </c>
      <c r="DQ181">
        <v>0.172183</v>
      </c>
      <c r="DR181">
        <v>25.277799999999999</v>
      </c>
      <c r="DS181">
        <v>25.041</v>
      </c>
      <c r="DT181">
        <v>38.200000000000003</v>
      </c>
      <c r="DU181">
        <v>28.9</v>
      </c>
      <c r="DV181">
        <v>15.481999999999999</v>
      </c>
      <c r="DW181">
        <v>60.962200000000003</v>
      </c>
      <c r="DX181">
        <v>37.3718</v>
      </c>
      <c r="DY181">
        <v>1</v>
      </c>
      <c r="DZ181">
        <v>-0.115772</v>
      </c>
      <c r="EA181">
        <v>-0.26155499999999998</v>
      </c>
      <c r="EB181">
        <v>20.1905</v>
      </c>
      <c r="EC181">
        <v>5.2411000000000003</v>
      </c>
      <c r="ED181">
        <v>12.039899999999999</v>
      </c>
      <c r="EE181">
        <v>5.0165499999999996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</v>
      </c>
      <c r="EL181">
        <v>1.8646199999999999</v>
      </c>
      <c r="EM181">
        <v>1.8692</v>
      </c>
      <c r="EN181">
        <v>1.86724</v>
      </c>
      <c r="EO181">
        <v>1.86338</v>
      </c>
      <c r="EP181">
        <v>1.8644700000000001</v>
      </c>
      <c r="EQ181">
        <v>1.8701700000000001</v>
      </c>
      <c r="ER181">
        <v>1.86937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-4.8000000000000001E-2</v>
      </c>
      <c r="FG181">
        <v>0.2797</v>
      </c>
      <c r="FH181">
        <v>0.26269369235785539</v>
      </c>
      <c r="FI181">
        <v>-6.1462078757559423E-4</v>
      </c>
      <c r="FJ181">
        <v>-1.8861989874597051E-7</v>
      </c>
      <c r="FK181">
        <v>1.1980462299894961E-10</v>
      </c>
      <c r="FL181">
        <v>0.27968571428570849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37.1</v>
      </c>
      <c r="FU181">
        <v>37.1</v>
      </c>
      <c r="FV181">
        <v>1.7675799999999999</v>
      </c>
      <c r="FW181">
        <v>2.5842299999999998</v>
      </c>
      <c r="FX181">
        <v>1.5490699999999999</v>
      </c>
      <c r="FY181">
        <v>2.3315399999999999</v>
      </c>
      <c r="FZ181">
        <v>1.50146</v>
      </c>
      <c r="GA181">
        <v>2.3645</v>
      </c>
      <c r="GB181">
        <v>33.535499999999999</v>
      </c>
      <c r="GC181">
        <v>23.982399999999998</v>
      </c>
      <c r="GD181">
        <v>19</v>
      </c>
      <c r="GE181">
        <v>281.27699999999999</v>
      </c>
      <c r="GF181">
        <v>577.50599999999997</v>
      </c>
      <c r="GG181">
        <v>24.9907</v>
      </c>
      <c r="GH181">
        <v>25.951599999999999</v>
      </c>
      <c r="GI181">
        <v>29.9999</v>
      </c>
      <c r="GJ181">
        <v>26.082000000000001</v>
      </c>
      <c r="GK181">
        <v>26.061</v>
      </c>
      <c r="GL181">
        <v>35.347200000000001</v>
      </c>
      <c r="GM181">
        <v>92.280100000000004</v>
      </c>
      <c r="GN181">
        <v>41.293900000000001</v>
      </c>
      <c r="GO181">
        <v>24.994700000000002</v>
      </c>
      <c r="GP181">
        <v>800</v>
      </c>
      <c r="GQ181">
        <v>0.89662500000000001</v>
      </c>
      <c r="GR181">
        <v>99.806299999999993</v>
      </c>
      <c r="GS181">
        <v>99.6678</v>
      </c>
    </row>
    <row r="182" spans="1:201" x14ac:dyDescent="0.25">
      <c r="A182">
        <v>166</v>
      </c>
      <c r="B182">
        <v>1690387056</v>
      </c>
      <c r="C182">
        <v>1721.400000095367</v>
      </c>
      <c r="D182" t="s">
        <v>665</v>
      </c>
      <c r="E182" t="s">
        <v>666</v>
      </c>
      <c r="F182" t="s">
        <v>330</v>
      </c>
      <c r="H182">
        <v>1690387056</v>
      </c>
      <c r="I182">
        <f t="shared" si="60"/>
        <v>2.1975309533115443E-3</v>
      </c>
      <c r="J182">
        <f t="shared" si="61"/>
        <v>2.1975309533115444</v>
      </c>
      <c r="K182">
        <f t="shared" si="62"/>
        <v>31.204041139913802</v>
      </c>
      <c r="L182">
        <f t="shared" si="63"/>
        <v>458.74400000000003</v>
      </c>
      <c r="M182">
        <f t="shared" si="64"/>
        <v>118.49941130714791</v>
      </c>
      <c r="N182">
        <f t="shared" si="65"/>
        <v>11.702863998478813</v>
      </c>
      <c r="O182">
        <f t="shared" si="66"/>
        <v>45.305023737230407</v>
      </c>
      <c r="P182">
        <f t="shared" si="67"/>
        <v>0.15481290412871684</v>
      </c>
      <c r="Q182">
        <f t="shared" si="68"/>
        <v>2.1590198053811873</v>
      </c>
      <c r="R182">
        <f t="shared" si="69"/>
        <v>0.1488996267132309</v>
      </c>
      <c r="S182">
        <f t="shared" si="70"/>
        <v>9.3574732207207523E-2</v>
      </c>
      <c r="T182">
        <f t="shared" si="71"/>
        <v>276.116280850816</v>
      </c>
      <c r="U182">
        <f t="shared" si="72"/>
        <v>27.813337062388012</v>
      </c>
      <c r="V182">
        <f t="shared" si="73"/>
        <v>27.813337062388012</v>
      </c>
      <c r="W182">
        <f t="shared" si="74"/>
        <v>3.7537404621582846</v>
      </c>
      <c r="X182">
        <f t="shared" si="75"/>
        <v>67.711612168663109</v>
      </c>
      <c r="Y182">
        <f t="shared" si="76"/>
        <v>2.3411868563232603</v>
      </c>
      <c r="Z182">
        <f t="shared" si="77"/>
        <v>3.4575854588893695</v>
      </c>
      <c r="AA182">
        <f t="shared" si="78"/>
        <v>1.4125536058350243</v>
      </c>
      <c r="AB182">
        <f t="shared" si="79"/>
        <v>-96.91111504103911</v>
      </c>
      <c r="AC182">
        <f t="shared" si="80"/>
        <v>-163.00677883067863</v>
      </c>
      <c r="AD182">
        <f t="shared" si="81"/>
        <v>-16.312388277894286</v>
      </c>
      <c r="AE182">
        <f t="shared" si="82"/>
        <v>-0.11400129879604037</v>
      </c>
      <c r="AF182">
        <v>0</v>
      </c>
      <c r="AG182">
        <v>0</v>
      </c>
      <c r="AH182">
        <f t="shared" si="83"/>
        <v>1</v>
      </c>
      <c r="AI182">
        <f t="shared" si="84"/>
        <v>0</v>
      </c>
      <c r="AJ182">
        <f t="shared" si="85"/>
        <v>52317.448093772407</v>
      </c>
      <c r="AK182">
        <f t="shared" si="86"/>
        <v>1800.01</v>
      </c>
      <c r="AL182">
        <f t="shared" si="87"/>
        <v>1499.1224794119501</v>
      </c>
      <c r="AM182">
        <f t="shared" si="88"/>
        <v>0.83284119500000009</v>
      </c>
      <c r="AN182">
        <f t="shared" si="89"/>
        <v>0.15339708159999998</v>
      </c>
      <c r="AO182">
        <v>31.8</v>
      </c>
      <c r="AP182">
        <v>0.5</v>
      </c>
      <c r="AQ182" t="s">
        <v>331</v>
      </c>
      <c r="AR182">
        <v>2</v>
      </c>
      <c r="AS182">
        <v>1690387056</v>
      </c>
      <c r="AT182">
        <v>458.74400000000003</v>
      </c>
      <c r="AU182">
        <v>800.07100000000003</v>
      </c>
      <c r="AV182">
        <v>23.706099999999999</v>
      </c>
      <c r="AW182">
        <v>0.97258599999999995</v>
      </c>
      <c r="AX182">
        <v>458.79199999999997</v>
      </c>
      <c r="AY182">
        <v>23.426400000000001</v>
      </c>
      <c r="AZ182">
        <v>300.10700000000003</v>
      </c>
      <c r="BA182">
        <v>98.658900000000003</v>
      </c>
      <c r="BB182">
        <v>9.99366E-2</v>
      </c>
      <c r="BC182">
        <v>26.4129</v>
      </c>
      <c r="BD182">
        <v>26.9864</v>
      </c>
      <c r="BE182">
        <v>27.863900000000001</v>
      </c>
      <c r="BF182">
        <v>0</v>
      </c>
      <c r="BG182">
        <v>0</v>
      </c>
      <c r="BH182">
        <v>10009.4</v>
      </c>
      <c r="BI182">
        <v>1077.8</v>
      </c>
      <c r="BJ182">
        <v>1.11151</v>
      </c>
      <c r="BK182">
        <v>-341.32600000000002</v>
      </c>
      <c r="BL182">
        <v>469.88400000000001</v>
      </c>
      <c r="BM182">
        <v>800.84900000000005</v>
      </c>
      <c r="BN182">
        <v>22.733499999999999</v>
      </c>
      <c r="BO182">
        <v>800.07100000000003</v>
      </c>
      <c r="BP182">
        <v>0.97258599999999995</v>
      </c>
      <c r="BQ182">
        <v>2.3388200000000001</v>
      </c>
      <c r="BR182">
        <v>9.5954200000000003E-2</v>
      </c>
      <c r="BS182">
        <v>19.946300000000001</v>
      </c>
      <c r="BT182">
        <v>-23.098600000000001</v>
      </c>
      <c r="BU182">
        <v>1800.01</v>
      </c>
      <c r="BV182">
        <v>0.91001399999999999</v>
      </c>
      <c r="BW182">
        <v>3.3992300000000003E-2</v>
      </c>
      <c r="BX182">
        <v>2.19975E-2</v>
      </c>
      <c r="BY182">
        <v>3.3995999999999998E-2</v>
      </c>
      <c r="BZ182">
        <v>25.333300000000001</v>
      </c>
      <c r="CA182">
        <v>33528.6</v>
      </c>
      <c r="CB182">
        <v>1690384821</v>
      </c>
      <c r="CC182" t="s">
        <v>332</v>
      </c>
      <c r="CD182">
        <v>1690384820</v>
      </c>
      <c r="CE182">
        <v>1690384821</v>
      </c>
      <c r="CF182">
        <v>5</v>
      </c>
      <c r="CG182">
        <v>-2.5000000000000001E-2</v>
      </c>
      <c r="CH182">
        <v>0.104</v>
      </c>
      <c r="CI182">
        <v>-0.28799999999999998</v>
      </c>
      <c r="CJ182">
        <v>0.28000000000000003</v>
      </c>
      <c r="CK182">
        <v>800</v>
      </c>
      <c r="CL182">
        <v>24</v>
      </c>
      <c r="CM182">
        <v>0.08</v>
      </c>
      <c r="CN182">
        <v>0.11</v>
      </c>
      <c r="CO182">
        <v>-339.90441463414629</v>
      </c>
      <c r="CP182">
        <v>-7.6545365853661842</v>
      </c>
      <c r="CQ182">
        <v>0.75828094978723837</v>
      </c>
      <c r="CR182">
        <v>-1</v>
      </c>
      <c r="CS182">
        <v>22.590907317073171</v>
      </c>
      <c r="CT182">
        <v>0.78552752613244536</v>
      </c>
      <c r="CU182">
        <v>7.7492273069544509E-2</v>
      </c>
      <c r="CV182">
        <v>-1</v>
      </c>
      <c r="CW182">
        <v>0</v>
      </c>
      <c r="CX182">
        <v>0</v>
      </c>
      <c r="CY182" t="s">
        <v>333</v>
      </c>
      <c r="CZ182">
        <v>2.3647100000000001</v>
      </c>
      <c r="DA182">
        <v>2.71373</v>
      </c>
      <c r="DB182">
        <v>9.88681E-2</v>
      </c>
      <c r="DC182">
        <v>0.145483</v>
      </c>
      <c r="DD182">
        <v>0.11221200000000001</v>
      </c>
      <c r="DE182">
        <v>7.7869899999999997E-3</v>
      </c>
      <c r="DF182">
        <v>32926.1</v>
      </c>
      <c r="DG182">
        <v>27566.5</v>
      </c>
      <c r="DH182">
        <v>31192.1</v>
      </c>
      <c r="DI182">
        <v>28109.599999999999</v>
      </c>
      <c r="DJ182">
        <v>37594.5</v>
      </c>
      <c r="DK182">
        <v>39668.300000000003</v>
      </c>
      <c r="DL182">
        <v>44393.5</v>
      </c>
      <c r="DM182">
        <v>42605.8</v>
      </c>
      <c r="DN182">
        <v>1.4755</v>
      </c>
      <c r="DO182">
        <v>2.0330499999999998</v>
      </c>
      <c r="DP182">
        <v>0.104159</v>
      </c>
      <c r="DQ182">
        <v>0.17236899999999999</v>
      </c>
      <c r="DR182">
        <v>25.2806</v>
      </c>
      <c r="DS182">
        <v>25.042400000000001</v>
      </c>
      <c r="DT182">
        <v>37.700000000000003</v>
      </c>
      <c r="DU182">
        <v>28.9</v>
      </c>
      <c r="DV182">
        <v>15.2783</v>
      </c>
      <c r="DW182">
        <v>60.892200000000003</v>
      </c>
      <c r="DX182">
        <v>37.560099999999998</v>
      </c>
      <c r="DY182">
        <v>1</v>
      </c>
      <c r="DZ182">
        <v>-0.116359</v>
      </c>
      <c r="EA182">
        <v>-0.27564300000000003</v>
      </c>
      <c r="EB182">
        <v>20.190200000000001</v>
      </c>
      <c r="EC182">
        <v>5.24125</v>
      </c>
      <c r="ED182">
        <v>12.039899999999999</v>
      </c>
      <c r="EE182">
        <v>5.0164999999999997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1.8689100000000001</v>
      </c>
      <c r="EL182">
        <v>1.8646199999999999</v>
      </c>
      <c r="EM182">
        <v>1.86921</v>
      </c>
      <c r="EN182">
        <v>1.8672500000000001</v>
      </c>
      <c r="EO182">
        <v>1.8633900000000001</v>
      </c>
      <c r="EP182">
        <v>1.8644400000000001</v>
      </c>
      <c r="EQ182">
        <v>1.87016</v>
      </c>
      <c r="ER182">
        <v>1.86938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-4.8000000000000001E-2</v>
      </c>
      <c r="FG182">
        <v>0.2797</v>
      </c>
      <c r="FH182">
        <v>0.26269369235785539</v>
      </c>
      <c r="FI182">
        <v>-6.1462078757559423E-4</v>
      </c>
      <c r="FJ182">
        <v>-1.8861989874597051E-7</v>
      </c>
      <c r="FK182">
        <v>1.1980462299894961E-10</v>
      </c>
      <c r="FL182">
        <v>0.27968571428570849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37.299999999999997</v>
      </c>
      <c r="FU182">
        <v>37.200000000000003</v>
      </c>
      <c r="FV182">
        <v>1.7675799999999999</v>
      </c>
      <c r="FW182">
        <v>2.5842299999999998</v>
      </c>
      <c r="FX182">
        <v>1.5490699999999999</v>
      </c>
      <c r="FY182">
        <v>2.3315399999999999</v>
      </c>
      <c r="FZ182">
        <v>1.50146</v>
      </c>
      <c r="GA182">
        <v>2.34741</v>
      </c>
      <c r="GB182">
        <v>33.535499999999999</v>
      </c>
      <c r="GC182">
        <v>23.982399999999998</v>
      </c>
      <c r="GD182">
        <v>19</v>
      </c>
      <c r="GE182">
        <v>281.38400000000001</v>
      </c>
      <c r="GF182">
        <v>577.27800000000002</v>
      </c>
      <c r="GG182">
        <v>25.0154</v>
      </c>
      <c r="GH182">
        <v>25.951599999999999</v>
      </c>
      <c r="GI182">
        <v>29.9999</v>
      </c>
      <c r="GJ182">
        <v>26.079799999999999</v>
      </c>
      <c r="GK182">
        <v>26.058900000000001</v>
      </c>
      <c r="GL182">
        <v>35.345100000000002</v>
      </c>
      <c r="GM182">
        <v>94.164199999999994</v>
      </c>
      <c r="GN182">
        <v>40.4771</v>
      </c>
      <c r="GO182">
        <v>25.015999999999998</v>
      </c>
      <c r="GP182">
        <v>800</v>
      </c>
      <c r="GQ182">
        <v>0.72953999999999997</v>
      </c>
      <c r="GR182">
        <v>99.806899999999999</v>
      </c>
      <c r="GS182">
        <v>99.668499999999995</v>
      </c>
    </row>
    <row r="183" spans="1:201" x14ac:dyDescent="0.25">
      <c r="A183">
        <v>167</v>
      </c>
      <c r="B183">
        <v>1690387066</v>
      </c>
      <c r="C183">
        <v>1731.400000095367</v>
      </c>
      <c r="D183" t="s">
        <v>667</v>
      </c>
      <c r="E183" t="s">
        <v>668</v>
      </c>
      <c r="F183" t="s">
        <v>330</v>
      </c>
      <c r="H183">
        <v>1690387066</v>
      </c>
      <c r="I183">
        <f t="shared" si="60"/>
        <v>2.2094152213141165E-3</v>
      </c>
      <c r="J183">
        <f t="shared" si="61"/>
        <v>2.2094152213141167</v>
      </c>
      <c r="K183">
        <f t="shared" si="62"/>
        <v>31.314005846159542</v>
      </c>
      <c r="L183">
        <f t="shared" si="63"/>
        <v>457.55900000000003</v>
      </c>
      <c r="M183">
        <f t="shared" si="64"/>
        <v>117.69604903499219</v>
      </c>
      <c r="N183">
        <f t="shared" si="65"/>
        <v>11.623228798931429</v>
      </c>
      <c r="O183">
        <f t="shared" si="66"/>
        <v>45.186843480439002</v>
      </c>
      <c r="P183">
        <f t="shared" si="67"/>
        <v>0.15555637672692738</v>
      </c>
      <c r="Q183">
        <f t="shared" si="68"/>
        <v>2.1574144176611121</v>
      </c>
      <c r="R183">
        <f t="shared" si="69"/>
        <v>0.14958308658166553</v>
      </c>
      <c r="S183">
        <f t="shared" si="70"/>
        <v>9.40069942492405E-2</v>
      </c>
      <c r="T183">
        <f t="shared" si="71"/>
        <v>276.11485453799997</v>
      </c>
      <c r="U183">
        <f t="shared" si="72"/>
        <v>27.816866831997046</v>
      </c>
      <c r="V183">
        <f t="shared" si="73"/>
        <v>27.816866831997046</v>
      </c>
      <c r="W183">
        <f t="shared" si="74"/>
        <v>3.7545140250306845</v>
      </c>
      <c r="X183">
        <f t="shared" si="75"/>
        <v>67.675137614464006</v>
      </c>
      <c r="Y183">
        <f t="shared" si="76"/>
        <v>2.3408507035592998</v>
      </c>
      <c r="Z183">
        <f t="shared" si="77"/>
        <v>3.4589522623430864</v>
      </c>
      <c r="AA183">
        <f t="shared" si="78"/>
        <v>1.4136633214713847</v>
      </c>
      <c r="AB183">
        <f t="shared" si="79"/>
        <v>-97.435211259952538</v>
      </c>
      <c r="AC183">
        <f t="shared" si="80"/>
        <v>-162.51684031062226</v>
      </c>
      <c r="AD183">
        <f t="shared" si="81"/>
        <v>-16.276292981664938</v>
      </c>
      <c r="AE183">
        <f t="shared" si="82"/>
        <v>-0.11349001423977256</v>
      </c>
      <c r="AF183">
        <v>0</v>
      </c>
      <c r="AG183">
        <v>0</v>
      </c>
      <c r="AH183">
        <f t="shared" si="83"/>
        <v>1</v>
      </c>
      <c r="AI183">
        <f t="shared" si="84"/>
        <v>0</v>
      </c>
      <c r="AJ183">
        <f t="shared" si="85"/>
        <v>52248.981264469541</v>
      </c>
      <c r="AK183">
        <f t="shared" si="86"/>
        <v>1800</v>
      </c>
      <c r="AL183">
        <f t="shared" si="87"/>
        <v>1499.1142878000001</v>
      </c>
      <c r="AM183">
        <f t="shared" si="88"/>
        <v>0.83284127100000005</v>
      </c>
      <c r="AN183">
        <f t="shared" si="89"/>
        <v>0.15339714140999999</v>
      </c>
      <c r="AO183">
        <v>31.8</v>
      </c>
      <c r="AP183">
        <v>0.5</v>
      </c>
      <c r="AQ183" t="s">
        <v>331</v>
      </c>
      <c r="AR183">
        <v>2</v>
      </c>
      <c r="AS183">
        <v>1690387066</v>
      </c>
      <c r="AT183">
        <v>457.55900000000003</v>
      </c>
      <c r="AU183">
        <v>800.04700000000003</v>
      </c>
      <c r="AV183">
        <v>23.703299999999999</v>
      </c>
      <c r="AW183">
        <v>0.84906199999999998</v>
      </c>
      <c r="AX183">
        <v>457.60599999999999</v>
      </c>
      <c r="AY183">
        <v>23.4237</v>
      </c>
      <c r="AZ183">
        <v>300.137</v>
      </c>
      <c r="BA183">
        <v>98.656300000000002</v>
      </c>
      <c r="BB183">
        <v>0.100021</v>
      </c>
      <c r="BC183">
        <v>26.419599999999999</v>
      </c>
      <c r="BD183">
        <v>26.976500000000001</v>
      </c>
      <c r="BE183">
        <v>27.865100000000002</v>
      </c>
      <c r="BF183">
        <v>0</v>
      </c>
      <c r="BG183">
        <v>0</v>
      </c>
      <c r="BH183">
        <v>9996.25</v>
      </c>
      <c r="BI183">
        <v>1077.7</v>
      </c>
      <c r="BJ183">
        <v>1.5095799999999999</v>
      </c>
      <c r="BK183">
        <v>-342.488</v>
      </c>
      <c r="BL183">
        <v>468.66800000000001</v>
      </c>
      <c r="BM183">
        <v>800.72699999999998</v>
      </c>
      <c r="BN183">
        <v>22.854299999999999</v>
      </c>
      <c r="BO183">
        <v>800.04700000000003</v>
      </c>
      <c r="BP183">
        <v>0.84906199999999998</v>
      </c>
      <c r="BQ183">
        <v>2.3384800000000001</v>
      </c>
      <c r="BR183">
        <v>8.3765300000000001E-2</v>
      </c>
      <c r="BS183">
        <v>19.943999999999999</v>
      </c>
      <c r="BT183">
        <v>-24.617000000000001</v>
      </c>
      <c r="BU183">
        <v>1800</v>
      </c>
      <c r="BV183">
        <v>0.91001299999999996</v>
      </c>
      <c r="BW183">
        <v>3.3992700000000001E-2</v>
      </c>
      <c r="BX183">
        <v>2.1997800000000001E-2</v>
      </c>
      <c r="BY183">
        <v>3.3996499999999999E-2</v>
      </c>
      <c r="BZ183">
        <v>25.666699999999999</v>
      </c>
      <c r="CA183">
        <v>33528.400000000001</v>
      </c>
      <c r="CB183">
        <v>1690384821</v>
      </c>
      <c r="CC183" t="s">
        <v>332</v>
      </c>
      <c r="CD183">
        <v>1690384820</v>
      </c>
      <c r="CE183">
        <v>1690384821</v>
      </c>
      <c r="CF183">
        <v>5</v>
      </c>
      <c r="CG183">
        <v>-2.5000000000000001E-2</v>
      </c>
      <c r="CH183">
        <v>0.104</v>
      </c>
      <c r="CI183">
        <v>-0.28799999999999998</v>
      </c>
      <c r="CJ183">
        <v>0.28000000000000003</v>
      </c>
      <c r="CK183">
        <v>800</v>
      </c>
      <c r="CL183">
        <v>24</v>
      </c>
      <c r="CM183">
        <v>0.08</v>
      </c>
      <c r="CN183">
        <v>0.11</v>
      </c>
      <c r="CO183">
        <v>-341.18558536585368</v>
      </c>
      <c r="CP183">
        <v>-7.5212613240420314</v>
      </c>
      <c r="CQ183">
        <v>0.74242657436437454</v>
      </c>
      <c r="CR183">
        <v>-1</v>
      </c>
      <c r="CS183">
        <v>22.719682926829272</v>
      </c>
      <c r="CT183">
        <v>0.7616529616724802</v>
      </c>
      <c r="CU183">
        <v>7.5125900513864585E-2</v>
      </c>
      <c r="CV183">
        <v>-1</v>
      </c>
      <c r="CW183">
        <v>0</v>
      </c>
      <c r="CX183">
        <v>0</v>
      </c>
      <c r="CY183" t="s">
        <v>333</v>
      </c>
      <c r="CZ183">
        <v>2.3648099999999999</v>
      </c>
      <c r="DA183">
        <v>2.7138100000000001</v>
      </c>
      <c r="DB183">
        <v>9.8675399999999996E-2</v>
      </c>
      <c r="DC183">
        <v>0.14547499999999999</v>
      </c>
      <c r="DD183">
        <v>0.11219999999999999</v>
      </c>
      <c r="DE183">
        <v>6.8436199999999999E-3</v>
      </c>
      <c r="DF183">
        <v>32933.4</v>
      </c>
      <c r="DG183">
        <v>27567.1</v>
      </c>
      <c r="DH183">
        <v>31192.3</v>
      </c>
      <c r="DI183">
        <v>28109.9</v>
      </c>
      <c r="DJ183">
        <v>37595.300000000003</v>
      </c>
      <c r="DK183">
        <v>39706.400000000001</v>
      </c>
      <c r="DL183">
        <v>44393.8</v>
      </c>
      <c r="DM183">
        <v>42606.1</v>
      </c>
      <c r="DN183">
        <v>1.47553</v>
      </c>
      <c r="DO183">
        <v>2.03268</v>
      </c>
      <c r="DP183">
        <v>0.10347000000000001</v>
      </c>
      <c r="DQ183">
        <v>0.17231299999999999</v>
      </c>
      <c r="DR183">
        <v>25.282</v>
      </c>
      <c r="DS183">
        <v>25.044599999999999</v>
      </c>
      <c r="DT183">
        <v>37.299999999999997</v>
      </c>
      <c r="DU183">
        <v>28.9</v>
      </c>
      <c r="DV183">
        <v>15.1198</v>
      </c>
      <c r="DW183">
        <v>61.122199999999999</v>
      </c>
      <c r="DX183">
        <v>37.700299999999999</v>
      </c>
      <c r="DY183">
        <v>1</v>
      </c>
      <c r="DZ183">
        <v>-0.115899</v>
      </c>
      <c r="EA183">
        <v>-0.29533999999999999</v>
      </c>
      <c r="EB183">
        <v>20.190100000000001</v>
      </c>
      <c r="EC183">
        <v>5.2413999999999996</v>
      </c>
      <c r="ED183">
        <v>12.039899999999999</v>
      </c>
      <c r="EE183">
        <v>5.0171999999999999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1.8689100000000001</v>
      </c>
      <c r="EL183">
        <v>1.8646100000000001</v>
      </c>
      <c r="EM183">
        <v>1.86921</v>
      </c>
      <c r="EN183">
        <v>1.8672599999999999</v>
      </c>
      <c r="EO183">
        <v>1.8633900000000001</v>
      </c>
      <c r="EP183">
        <v>1.8644700000000001</v>
      </c>
      <c r="EQ183">
        <v>1.87019</v>
      </c>
      <c r="ER183">
        <v>1.8693900000000001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-4.7E-2</v>
      </c>
      <c r="FG183">
        <v>0.27960000000000002</v>
      </c>
      <c r="FH183">
        <v>0.26269369235785539</v>
      </c>
      <c r="FI183">
        <v>-6.1462078757559423E-4</v>
      </c>
      <c r="FJ183">
        <v>-1.8861989874597051E-7</v>
      </c>
      <c r="FK183">
        <v>1.1980462299894961E-10</v>
      </c>
      <c r="FL183">
        <v>0.27968571428570849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37.4</v>
      </c>
      <c r="FU183">
        <v>37.4</v>
      </c>
      <c r="FV183">
        <v>1.7675799999999999</v>
      </c>
      <c r="FW183">
        <v>2.5830099999999998</v>
      </c>
      <c r="FX183">
        <v>1.5490699999999999</v>
      </c>
      <c r="FY183">
        <v>2.3315399999999999</v>
      </c>
      <c r="FZ183">
        <v>1.50146</v>
      </c>
      <c r="GA183">
        <v>2.4340799999999998</v>
      </c>
      <c r="GB183">
        <v>33.535499999999999</v>
      </c>
      <c r="GC183">
        <v>23.982399999999998</v>
      </c>
      <c r="GD183">
        <v>19</v>
      </c>
      <c r="GE183">
        <v>281.39499999999998</v>
      </c>
      <c r="GF183">
        <v>576.95799999999997</v>
      </c>
      <c r="GG183">
        <v>25.032499999999999</v>
      </c>
      <c r="GH183">
        <v>25.949400000000001</v>
      </c>
      <c r="GI183">
        <v>30.0002</v>
      </c>
      <c r="GJ183">
        <v>26.079799999999999</v>
      </c>
      <c r="GK183">
        <v>26.057700000000001</v>
      </c>
      <c r="GL183">
        <v>35.341700000000003</v>
      </c>
      <c r="GM183">
        <v>97.142200000000003</v>
      </c>
      <c r="GN183">
        <v>39.660699999999999</v>
      </c>
      <c r="GO183">
        <v>25.036000000000001</v>
      </c>
      <c r="GP183">
        <v>800</v>
      </c>
      <c r="GQ183">
        <v>0.56108800000000003</v>
      </c>
      <c r="GR183">
        <v>99.807699999999997</v>
      </c>
      <c r="GS183">
        <v>99.669300000000007</v>
      </c>
    </row>
    <row r="184" spans="1:201" x14ac:dyDescent="0.25">
      <c r="A184">
        <v>168</v>
      </c>
      <c r="B184">
        <v>1690387076</v>
      </c>
      <c r="C184">
        <v>1741.400000095367</v>
      </c>
      <c r="D184" t="s">
        <v>669</v>
      </c>
      <c r="E184" t="s">
        <v>670</v>
      </c>
      <c r="F184" t="s">
        <v>330</v>
      </c>
      <c r="H184">
        <v>1690387076</v>
      </c>
      <c r="I184">
        <f t="shared" si="60"/>
        <v>2.2257439237494828E-3</v>
      </c>
      <c r="J184">
        <f t="shared" si="61"/>
        <v>2.2257439237494827</v>
      </c>
      <c r="K184">
        <f t="shared" si="62"/>
        <v>31.460989936727664</v>
      </c>
      <c r="L184">
        <f t="shared" si="63"/>
        <v>456.28100000000001</v>
      </c>
      <c r="M184">
        <f t="shared" si="64"/>
        <v>117.47463312196541</v>
      </c>
      <c r="N184">
        <f t="shared" si="65"/>
        <v>11.601507870576294</v>
      </c>
      <c r="O184">
        <f t="shared" si="66"/>
        <v>45.061197230541801</v>
      </c>
      <c r="P184">
        <f t="shared" si="67"/>
        <v>0.15681319067549609</v>
      </c>
      <c r="Q184">
        <f t="shared" si="68"/>
        <v>2.1585494206629958</v>
      </c>
      <c r="R184">
        <f t="shared" si="69"/>
        <v>0.15074807141617685</v>
      </c>
      <c r="S184">
        <f t="shared" si="70"/>
        <v>9.4742925847530357E-2</v>
      </c>
      <c r="T184">
        <f t="shared" si="71"/>
        <v>276.11481270600001</v>
      </c>
      <c r="U184">
        <f t="shared" si="72"/>
        <v>27.812467407531923</v>
      </c>
      <c r="V184">
        <f t="shared" si="73"/>
        <v>27.812467407531923</v>
      </c>
      <c r="W184">
        <f t="shared" si="74"/>
        <v>3.7535498952346811</v>
      </c>
      <c r="X184">
        <f t="shared" si="75"/>
        <v>67.654983137305948</v>
      </c>
      <c r="Y184">
        <f t="shared" si="76"/>
        <v>2.34041585927908</v>
      </c>
      <c r="Z184">
        <f t="shared" si="77"/>
        <v>3.4593399491789105</v>
      </c>
      <c r="AA184">
        <f t="shared" si="78"/>
        <v>1.4131340359556011</v>
      </c>
      <c r="AB184">
        <f t="shared" si="79"/>
        <v>-98.155307037352188</v>
      </c>
      <c r="AC184">
        <f t="shared" si="80"/>
        <v>-161.86926462474477</v>
      </c>
      <c r="AD184">
        <f t="shared" si="81"/>
        <v>-16.202709899204937</v>
      </c>
      <c r="AE184">
        <f t="shared" si="82"/>
        <v>-0.11246885530189843</v>
      </c>
      <c r="AF184">
        <v>0</v>
      </c>
      <c r="AG184">
        <v>0</v>
      </c>
      <c r="AH184">
        <f t="shared" si="83"/>
        <v>1</v>
      </c>
      <c r="AI184">
        <f t="shared" si="84"/>
        <v>0</v>
      </c>
      <c r="AJ184">
        <f t="shared" si="85"/>
        <v>52296.210163973265</v>
      </c>
      <c r="AK184">
        <f t="shared" si="86"/>
        <v>1800</v>
      </c>
      <c r="AL184">
        <f t="shared" si="87"/>
        <v>1499.1151176000003</v>
      </c>
      <c r="AM184">
        <f t="shared" si="88"/>
        <v>0.83284173200000011</v>
      </c>
      <c r="AN184">
        <f t="shared" si="89"/>
        <v>0.15339711817000001</v>
      </c>
      <c r="AO184">
        <v>31.8</v>
      </c>
      <c r="AP184">
        <v>0.5</v>
      </c>
      <c r="AQ184" t="s">
        <v>331</v>
      </c>
      <c r="AR184">
        <v>2</v>
      </c>
      <c r="AS184">
        <v>1690387076</v>
      </c>
      <c r="AT184">
        <v>456.28100000000001</v>
      </c>
      <c r="AU184">
        <v>800.35699999999997</v>
      </c>
      <c r="AV184">
        <v>23.698599999999999</v>
      </c>
      <c r="AW184">
        <v>0.67657400000000001</v>
      </c>
      <c r="AX184">
        <v>456.32600000000002</v>
      </c>
      <c r="AY184">
        <v>23.418900000000001</v>
      </c>
      <c r="AZ184">
        <v>300.15300000000002</v>
      </c>
      <c r="BA184">
        <v>98.657600000000002</v>
      </c>
      <c r="BB184">
        <v>9.9957799999999999E-2</v>
      </c>
      <c r="BC184">
        <v>26.421500000000002</v>
      </c>
      <c r="BD184">
        <v>27.014600000000002</v>
      </c>
      <c r="BE184">
        <v>27.865600000000001</v>
      </c>
      <c r="BF184">
        <v>0</v>
      </c>
      <c r="BG184">
        <v>0</v>
      </c>
      <c r="BH184">
        <v>10005.6</v>
      </c>
      <c r="BI184">
        <v>1077.7</v>
      </c>
      <c r="BJ184">
        <v>1.5137799999999999</v>
      </c>
      <c r="BK184">
        <v>-344.077</v>
      </c>
      <c r="BL184">
        <v>467.35599999999999</v>
      </c>
      <c r="BM184">
        <v>800.899</v>
      </c>
      <c r="BN184">
        <v>23.021999999999998</v>
      </c>
      <c r="BO184">
        <v>800.35699999999997</v>
      </c>
      <c r="BP184">
        <v>0.67657400000000001</v>
      </c>
      <c r="BQ184">
        <v>2.33805</v>
      </c>
      <c r="BR184">
        <v>6.6749199999999995E-2</v>
      </c>
      <c r="BS184">
        <v>19.940999999999999</v>
      </c>
      <c r="BT184">
        <v>-27.1082</v>
      </c>
      <c r="BU184">
        <v>1800</v>
      </c>
      <c r="BV184">
        <v>0.91001600000000005</v>
      </c>
      <c r="BW184">
        <v>3.39917E-2</v>
      </c>
      <c r="BX184">
        <v>2.1997099999999999E-2</v>
      </c>
      <c r="BY184">
        <v>3.3995499999999998E-2</v>
      </c>
      <c r="BZ184">
        <v>25.666699999999999</v>
      </c>
      <c r="CA184">
        <v>33528.6</v>
      </c>
      <c r="CB184">
        <v>1690384821</v>
      </c>
      <c r="CC184" t="s">
        <v>332</v>
      </c>
      <c r="CD184">
        <v>1690384820</v>
      </c>
      <c r="CE184">
        <v>1690384821</v>
      </c>
      <c r="CF184">
        <v>5</v>
      </c>
      <c r="CG184">
        <v>-2.5000000000000001E-2</v>
      </c>
      <c r="CH184">
        <v>0.104</v>
      </c>
      <c r="CI184">
        <v>-0.28799999999999998</v>
      </c>
      <c r="CJ184">
        <v>0.28000000000000003</v>
      </c>
      <c r="CK184">
        <v>800</v>
      </c>
      <c r="CL184">
        <v>24</v>
      </c>
      <c r="CM184">
        <v>0.08</v>
      </c>
      <c r="CN184">
        <v>0.11</v>
      </c>
      <c r="CO184">
        <v>-342.44119512195118</v>
      </c>
      <c r="CP184">
        <v>-7.7308641114983203</v>
      </c>
      <c r="CQ184">
        <v>0.77098910876215376</v>
      </c>
      <c r="CR184">
        <v>-1</v>
      </c>
      <c r="CS184">
        <v>22.834553658536581</v>
      </c>
      <c r="CT184">
        <v>0.62903205574908494</v>
      </c>
      <c r="CU184">
        <v>6.2572670328034902E-2</v>
      </c>
      <c r="CV184">
        <v>-1</v>
      </c>
      <c r="CW184">
        <v>0</v>
      </c>
      <c r="CX184">
        <v>0</v>
      </c>
      <c r="CY184" t="s">
        <v>333</v>
      </c>
      <c r="CZ184">
        <v>2.3649</v>
      </c>
      <c r="DA184">
        <v>2.7137500000000001</v>
      </c>
      <c r="DB184">
        <v>9.8471699999999995E-2</v>
      </c>
      <c r="DC184">
        <v>0.145511</v>
      </c>
      <c r="DD184">
        <v>0.11218599999999999</v>
      </c>
      <c r="DE184">
        <v>5.5028000000000004E-3</v>
      </c>
      <c r="DF184">
        <v>32940.800000000003</v>
      </c>
      <c r="DG184">
        <v>27565.8</v>
      </c>
      <c r="DH184">
        <v>31192.3</v>
      </c>
      <c r="DI184">
        <v>28109.8</v>
      </c>
      <c r="DJ184">
        <v>37595.800000000003</v>
      </c>
      <c r="DK184">
        <v>39760.1</v>
      </c>
      <c r="DL184">
        <v>44393.8</v>
      </c>
      <c r="DM184">
        <v>42606</v>
      </c>
      <c r="DN184">
        <v>1.4754799999999999</v>
      </c>
      <c r="DO184">
        <v>2.03247</v>
      </c>
      <c r="DP184">
        <v>0.105668</v>
      </c>
      <c r="DQ184">
        <v>0.17210800000000001</v>
      </c>
      <c r="DR184">
        <v>25.284099999999999</v>
      </c>
      <c r="DS184">
        <v>25.048500000000001</v>
      </c>
      <c r="DT184">
        <v>36.9</v>
      </c>
      <c r="DU184">
        <v>28.9</v>
      </c>
      <c r="DV184">
        <v>14.9541</v>
      </c>
      <c r="DW184">
        <v>60.992199999999997</v>
      </c>
      <c r="DX184">
        <v>37.740400000000001</v>
      </c>
      <c r="DY184">
        <v>1</v>
      </c>
      <c r="DZ184">
        <v>-0.116065</v>
      </c>
      <c r="EA184">
        <v>-0.29138900000000001</v>
      </c>
      <c r="EB184">
        <v>20.190100000000001</v>
      </c>
      <c r="EC184">
        <v>5.2409499999999998</v>
      </c>
      <c r="ED184">
        <v>12.039899999999999</v>
      </c>
      <c r="EE184">
        <v>5.0170000000000003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</v>
      </c>
      <c r="EL184">
        <v>1.8646199999999999</v>
      </c>
      <c r="EM184">
        <v>1.8692</v>
      </c>
      <c r="EN184">
        <v>1.86724</v>
      </c>
      <c r="EO184">
        <v>1.8633900000000001</v>
      </c>
      <c r="EP184">
        <v>1.8644700000000001</v>
      </c>
      <c r="EQ184">
        <v>1.87019</v>
      </c>
      <c r="ER184">
        <v>1.86937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-4.4999999999999998E-2</v>
      </c>
      <c r="FG184">
        <v>0.2797</v>
      </c>
      <c r="FH184">
        <v>0.26269369235785539</v>
      </c>
      <c r="FI184">
        <v>-6.1462078757559423E-4</v>
      </c>
      <c r="FJ184">
        <v>-1.8861989874597051E-7</v>
      </c>
      <c r="FK184">
        <v>1.1980462299894961E-10</v>
      </c>
      <c r="FL184">
        <v>0.27968571428570849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37.6</v>
      </c>
      <c r="FU184">
        <v>37.6</v>
      </c>
      <c r="FV184">
        <v>1.7663599999999999</v>
      </c>
      <c r="FW184">
        <v>2.5805699999999998</v>
      </c>
      <c r="FX184">
        <v>1.5490699999999999</v>
      </c>
      <c r="FY184">
        <v>2.3327599999999999</v>
      </c>
      <c r="FZ184">
        <v>1.50146</v>
      </c>
      <c r="GA184">
        <v>2.3815900000000001</v>
      </c>
      <c r="GB184">
        <v>33.535499999999999</v>
      </c>
      <c r="GC184">
        <v>23.991199999999999</v>
      </c>
      <c r="GD184">
        <v>19</v>
      </c>
      <c r="GE184">
        <v>281.36500000000001</v>
      </c>
      <c r="GF184">
        <v>576.77599999999995</v>
      </c>
      <c r="GG184">
        <v>25.055399999999999</v>
      </c>
      <c r="GH184">
        <v>25.949400000000001</v>
      </c>
      <c r="GI184">
        <v>30.0002</v>
      </c>
      <c r="GJ184">
        <v>26.0776</v>
      </c>
      <c r="GK184">
        <v>26.056000000000001</v>
      </c>
      <c r="GL184">
        <v>35.325099999999999</v>
      </c>
      <c r="GM184">
        <v>100</v>
      </c>
      <c r="GN184">
        <v>38.434800000000003</v>
      </c>
      <c r="GO184">
        <v>25.0547</v>
      </c>
      <c r="GP184">
        <v>800</v>
      </c>
      <c r="GQ184">
        <v>0.39061800000000002</v>
      </c>
      <c r="GR184">
        <v>99.807599999999994</v>
      </c>
      <c r="GS184">
        <v>99.668999999999997</v>
      </c>
    </row>
    <row r="185" spans="1:201" x14ac:dyDescent="0.25">
      <c r="A185">
        <v>169</v>
      </c>
      <c r="B185">
        <v>1690387086</v>
      </c>
      <c r="C185">
        <v>1751.400000095367</v>
      </c>
      <c r="D185" t="s">
        <v>671</v>
      </c>
      <c r="E185" t="s">
        <v>672</v>
      </c>
      <c r="F185" t="s">
        <v>330</v>
      </c>
      <c r="H185">
        <v>1690387086</v>
      </c>
      <c r="I185">
        <f t="shared" si="60"/>
        <v>2.2529321315896658E-3</v>
      </c>
      <c r="J185">
        <f t="shared" si="61"/>
        <v>2.2529321315896658</v>
      </c>
      <c r="K185">
        <f t="shared" si="62"/>
        <v>31.514354121630895</v>
      </c>
      <c r="L185">
        <f t="shared" si="63"/>
        <v>455.07100000000003</v>
      </c>
      <c r="M185">
        <f t="shared" si="64"/>
        <v>119.67021565224417</v>
      </c>
      <c r="N185">
        <f t="shared" si="65"/>
        <v>11.818642297298899</v>
      </c>
      <c r="O185">
        <f t="shared" si="66"/>
        <v>44.942856830000608</v>
      </c>
      <c r="P185">
        <f t="shared" si="67"/>
        <v>0.15878759891482613</v>
      </c>
      <c r="Q185">
        <f t="shared" si="68"/>
        <v>2.1551389065915396</v>
      </c>
      <c r="R185">
        <f t="shared" si="69"/>
        <v>0.1525626224023808</v>
      </c>
      <c r="S185">
        <f t="shared" si="70"/>
        <v>9.5890594472582691E-2</v>
      </c>
      <c r="T185">
        <f t="shared" si="71"/>
        <v>276.11474576400002</v>
      </c>
      <c r="U185">
        <f t="shared" si="72"/>
        <v>27.802087436639788</v>
      </c>
      <c r="V185">
        <f t="shared" si="73"/>
        <v>27.802087436639788</v>
      </c>
      <c r="W185">
        <f t="shared" si="74"/>
        <v>3.7512759903004751</v>
      </c>
      <c r="X185">
        <f t="shared" si="75"/>
        <v>67.591887576422721</v>
      </c>
      <c r="Y185">
        <f t="shared" si="76"/>
        <v>2.3378194260296206</v>
      </c>
      <c r="Z185">
        <f t="shared" si="77"/>
        <v>3.4587278294105435</v>
      </c>
      <c r="AA185">
        <f t="shared" si="78"/>
        <v>1.4134565642708545</v>
      </c>
      <c r="AB185">
        <f t="shared" si="79"/>
        <v>-99.354307003104267</v>
      </c>
      <c r="AC185">
        <f t="shared" si="80"/>
        <v>-160.75604779602475</v>
      </c>
      <c r="AD185">
        <f t="shared" si="81"/>
        <v>-16.115665494414156</v>
      </c>
      <c r="AE185">
        <f t="shared" si="82"/>
        <v>-0.11127452954315231</v>
      </c>
      <c r="AF185">
        <v>0</v>
      </c>
      <c r="AG185">
        <v>0</v>
      </c>
      <c r="AH185">
        <f t="shared" si="83"/>
        <v>1</v>
      </c>
      <c r="AI185">
        <f t="shared" si="84"/>
        <v>0</v>
      </c>
      <c r="AJ185">
        <f t="shared" si="85"/>
        <v>52154.038903351568</v>
      </c>
      <c r="AK185">
        <f t="shared" si="86"/>
        <v>1800</v>
      </c>
      <c r="AL185">
        <f t="shared" si="87"/>
        <v>1499.1151373999999</v>
      </c>
      <c r="AM185">
        <f t="shared" si="88"/>
        <v>0.83284174299999991</v>
      </c>
      <c r="AN185">
        <f t="shared" si="89"/>
        <v>0.15339708098000002</v>
      </c>
      <c r="AO185">
        <v>31.8</v>
      </c>
      <c r="AP185">
        <v>0.5</v>
      </c>
      <c r="AQ185" t="s">
        <v>331</v>
      </c>
      <c r="AR185">
        <v>2</v>
      </c>
      <c r="AS185">
        <v>1690387086</v>
      </c>
      <c r="AT185">
        <v>455.07100000000003</v>
      </c>
      <c r="AU185">
        <v>799.96199999999999</v>
      </c>
      <c r="AV185">
        <v>23.671700000000001</v>
      </c>
      <c r="AW185">
        <v>0.35786800000000002</v>
      </c>
      <c r="AX185">
        <v>455.11599999999999</v>
      </c>
      <c r="AY185">
        <v>23.391999999999999</v>
      </c>
      <c r="AZ185">
        <v>300.02499999999998</v>
      </c>
      <c r="BA185">
        <v>98.6601</v>
      </c>
      <c r="BB185">
        <v>9.9998600000000007E-2</v>
      </c>
      <c r="BC185">
        <v>26.418500000000002</v>
      </c>
      <c r="BD185">
        <v>26.992999999999999</v>
      </c>
      <c r="BE185">
        <v>27.848400000000002</v>
      </c>
      <c r="BF185">
        <v>0</v>
      </c>
      <c r="BG185">
        <v>0</v>
      </c>
      <c r="BH185">
        <v>9976.8799999999992</v>
      </c>
      <c r="BI185">
        <v>1077.75</v>
      </c>
      <c r="BJ185">
        <v>1.50397</v>
      </c>
      <c r="BK185">
        <v>-344.89100000000002</v>
      </c>
      <c r="BL185">
        <v>466.10500000000002</v>
      </c>
      <c r="BM185">
        <v>800.24800000000005</v>
      </c>
      <c r="BN185">
        <v>23.313800000000001</v>
      </c>
      <c r="BO185">
        <v>799.96199999999999</v>
      </c>
      <c r="BP185">
        <v>0.35786800000000002</v>
      </c>
      <c r="BQ185">
        <v>2.3354499999999998</v>
      </c>
      <c r="BR185">
        <v>3.53073E-2</v>
      </c>
      <c r="BS185">
        <v>19.922999999999998</v>
      </c>
      <c r="BT185">
        <v>-33.7986</v>
      </c>
      <c r="BU185">
        <v>1800</v>
      </c>
      <c r="BV185">
        <v>0.91001699999999996</v>
      </c>
      <c r="BW185">
        <v>3.3991300000000002E-2</v>
      </c>
      <c r="BX185">
        <v>2.19969E-2</v>
      </c>
      <c r="BY185">
        <v>3.3994999999999997E-2</v>
      </c>
      <c r="BZ185">
        <v>25.666699999999999</v>
      </c>
      <c r="CA185">
        <v>33528.5</v>
      </c>
      <c r="CB185">
        <v>1690384821</v>
      </c>
      <c r="CC185" t="s">
        <v>332</v>
      </c>
      <c r="CD185">
        <v>1690384820</v>
      </c>
      <c r="CE185">
        <v>1690384821</v>
      </c>
      <c r="CF185">
        <v>5</v>
      </c>
      <c r="CG185">
        <v>-2.5000000000000001E-2</v>
      </c>
      <c r="CH185">
        <v>0.104</v>
      </c>
      <c r="CI185">
        <v>-0.28799999999999998</v>
      </c>
      <c r="CJ185">
        <v>0.28000000000000003</v>
      </c>
      <c r="CK185">
        <v>800</v>
      </c>
      <c r="CL185">
        <v>24</v>
      </c>
      <c r="CM185">
        <v>0.08</v>
      </c>
      <c r="CN185">
        <v>0.11</v>
      </c>
      <c r="CO185">
        <v>-343.58617500000003</v>
      </c>
      <c r="CP185">
        <v>-6.8599587242017748</v>
      </c>
      <c r="CQ185">
        <v>0.68656528777312686</v>
      </c>
      <c r="CR185">
        <v>-1</v>
      </c>
      <c r="CS185">
        <v>23.039680000000001</v>
      </c>
      <c r="CT185">
        <v>1.7484270168855141</v>
      </c>
      <c r="CU185">
        <v>0.1765947680425442</v>
      </c>
      <c r="CV185">
        <v>-1</v>
      </c>
      <c r="CW185">
        <v>0</v>
      </c>
      <c r="CX185">
        <v>0</v>
      </c>
      <c r="CY185" t="s">
        <v>333</v>
      </c>
      <c r="CZ185">
        <v>2.3644799999999999</v>
      </c>
      <c r="DA185">
        <v>2.7137699999999998</v>
      </c>
      <c r="DB185">
        <v>9.8279500000000006E-2</v>
      </c>
      <c r="DC185">
        <v>0.14546200000000001</v>
      </c>
      <c r="DD185">
        <v>0.112098</v>
      </c>
      <c r="DE185">
        <v>2.9667999999999999E-3</v>
      </c>
      <c r="DF185">
        <v>32948</v>
      </c>
      <c r="DG185">
        <v>27567.8</v>
      </c>
      <c r="DH185">
        <v>31192.400000000001</v>
      </c>
      <c r="DI185">
        <v>28110.2</v>
      </c>
      <c r="DJ185">
        <v>37599.699999999997</v>
      </c>
      <c r="DK185">
        <v>39862.199999999997</v>
      </c>
      <c r="DL185">
        <v>44394</v>
      </c>
      <c r="DM185">
        <v>42606.5</v>
      </c>
      <c r="DN185">
        <v>1.4757499999999999</v>
      </c>
      <c r="DO185">
        <v>2.0326200000000001</v>
      </c>
      <c r="DP185">
        <v>0.10434499999999999</v>
      </c>
      <c r="DQ185">
        <v>0.17102800000000001</v>
      </c>
      <c r="DR185">
        <v>25.284099999999999</v>
      </c>
      <c r="DS185">
        <v>25.0488</v>
      </c>
      <c r="DT185">
        <v>36.5</v>
      </c>
      <c r="DU185">
        <v>28.9</v>
      </c>
      <c r="DV185">
        <v>14.792999999999999</v>
      </c>
      <c r="DW185">
        <v>61.372199999999999</v>
      </c>
      <c r="DX185">
        <v>37.484000000000002</v>
      </c>
      <c r="DY185">
        <v>1</v>
      </c>
      <c r="DZ185">
        <v>-0.115882</v>
      </c>
      <c r="EA185">
        <v>-0.156724</v>
      </c>
      <c r="EB185">
        <v>20.1905</v>
      </c>
      <c r="EC185">
        <v>5.2411000000000003</v>
      </c>
      <c r="ED185">
        <v>12.039899999999999</v>
      </c>
      <c r="EE185">
        <v>5.0170000000000003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1.8689100000000001</v>
      </c>
      <c r="EL185">
        <v>1.8646199999999999</v>
      </c>
      <c r="EM185">
        <v>1.8692</v>
      </c>
      <c r="EN185">
        <v>1.8672299999999999</v>
      </c>
      <c r="EO185">
        <v>1.8633999999999999</v>
      </c>
      <c r="EP185">
        <v>1.86446</v>
      </c>
      <c r="EQ185">
        <v>1.87018</v>
      </c>
      <c r="ER185">
        <v>1.86938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-4.4999999999999998E-2</v>
      </c>
      <c r="FG185">
        <v>0.2797</v>
      </c>
      <c r="FH185">
        <v>0.26269369235785539</v>
      </c>
      <c r="FI185">
        <v>-6.1462078757559423E-4</v>
      </c>
      <c r="FJ185">
        <v>-1.8861989874597051E-7</v>
      </c>
      <c r="FK185">
        <v>1.1980462299894961E-10</v>
      </c>
      <c r="FL185">
        <v>0.27968571428570849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37.799999999999997</v>
      </c>
      <c r="FU185">
        <v>37.799999999999997</v>
      </c>
      <c r="FV185">
        <v>1.7675799999999999</v>
      </c>
      <c r="FW185">
        <v>2.5817899999999998</v>
      </c>
      <c r="FX185">
        <v>1.5490699999999999</v>
      </c>
      <c r="FY185">
        <v>2.3327599999999999</v>
      </c>
      <c r="FZ185">
        <v>1.50146</v>
      </c>
      <c r="GA185">
        <v>2.3718300000000001</v>
      </c>
      <c r="GB185">
        <v>33.512999999999998</v>
      </c>
      <c r="GC185">
        <v>23.982399999999998</v>
      </c>
      <c r="GD185">
        <v>19</v>
      </c>
      <c r="GE185">
        <v>281.47699999999998</v>
      </c>
      <c r="GF185">
        <v>576.85699999999997</v>
      </c>
      <c r="GG185">
        <v>25.014900000000001</v>
      </c>
      <c r="GH185">
        <v>25.949400000000001</v>
      </c>
      <c r="GI185">
        <v>30.0001</v>
      </c>
      <c r="GJ185">
        <v>26.076799999999999</v>
      </c>
      <c r="GK185">
        <v>26.052399999999999</v>
      </c>
      <c r="GL185">
        <v>35.334800000000001</v>
      </c>
      <c r="GM185">
        <v>100</v>
      </c>
      <c r="GN185">
        <v>37.616500000000002</v>
      </c>
      <c r="GO185">
        <v>25.011399999999998</v>
      </c>
      <c r="GP185">
        <v>800</v>
      </c>
      <c r="GQ185">
        <v>0.247415</v>
      </c>
      <c r="GR185">
        <v>99.808000000000007</v>
      </c>
      <c r="GS185">
        <v>99.670400000000001</v>
      </c>
    </row>
    <row r="186" spans="1:201" x14ac:dyDescent="0.25">
      <c r="A186">
        <v>170</v>
      </c>
      <c r="B186">
        <v>1690387096</v>
      </c>
      <c r="C186">
        <v>1761.400000095367</v>
      </c>
      <c r="D186" t="s">
        <v>673</v>
      </c>
      <c r="E186" t="s">
        <v>674</v>
      </c>
      <c r="F186" t="s">
        <v>330</v>
      </c>
      <c r="H186">
        <v>1690387096</v>
      </c>
      <c r="I186">
        <f t="shared" si="60"/>
        <v>2.2525626091779642E-3</v>
      </c>
      <c r="J186">
        <f t="shared" si="61"/>
        <v>2.2525626091779642</v>
      </c>
      <c r="K186">
        <f t="shared" si="62"/>
        <v>31.622383513227295</v>
      </c>
      <c r="L186">
        <f t="shared" si="63"/>
        <v>454.03899999999999</v>
      </c>
      <c r="M186">
        <f t="shared" si="64"/>
        <v>116.63295171323564</v>
      </c>
      <c r="N186">
        <f t="shared" si="65"/>
        <v>11.518843161233592</v>
      </c>
      <c r="O186">
        <f t="shared" si="66"/>
        <v>44.841564525797999</v>
      </c>
      <c r="P186">
        <f t="shared" si="67"/>
        <v>0.15832650264067014</v>
      </c>
      <c r="Q186">
        <f t="shared" si="68"/>
        <v>2.1588240708296138</v>
      </c>
      <c r="R186">
        <f t="shared" si="69"/>
        <v>0.15214699101046525</v>
      </c>
      <c r="S186">
        <f t="shared" si="70"/>
        <v>9.5626977724100587E-2</v>
      </c>
      <c r="T186">
        <f t="shared" si="71"/>
        <v>276.114773394</v>
      </c>
      <c r="U186">
        <f t="shared" si="72"/>
        <v>27.798069210053026</v>
      </c>
      <c r="V186">
        <f t="shared" si="73"/>
        <v>27.798069210053026</v>
      </c>
      <c r="W186">
        <f t="shared" si="74"/>
        <v>3.750396053825205</v>
      </c>
      <c r="X186">
        <f t="shared" si="75"/>
        <v>67.467730629603537</v>
      </c>
      <c r="Y186">
        <f t="shared" si="76"/>
        <v>2.3332498883981998</v>
      </c>
      <c r="Z186">
        <f t="shared" si="77"/>
        <v>3.4583198021105734</v>
      </c>
      <c r="AA186">
        <f t="shared" si="78"/>
        <v>1.4171461654270052</v>
      </c>
      <c r="AB186">
        <f t="shared" si="79"/>
        <v>-99.338011064748216</v>
      </c>
      <c r="AC186">
        <f t="shared" si="80"/>
        <v>-160.79603706547073</v>
      </c>
      <c r="AD186">
        <f t="shared" si="81"/>
        <v>-16.091673421669874</v>
      </c>
      <c r="AE186">
        <f t="shared" si="82"/>
        <v>-0.11094815788885626</v>
      </c>
      <c r="AF186">
        <v>0</v>
      </c>
      <c r="AG186">
        <v>0</v>
      </c>
      <c r="AH186">
        <f t="shared" si="83"/>
        <v>1</v>
      </c>
      <c r="AI186">
        <f t="shared" si="84"/>
        <v>0</v>
      </c>
      <c r="AJ186">
        <f t="shared" si="85"/>
        <v>52308.674560366839</v>
      </c>
      <c r="AK186">
        <f t="shared" si="86"/>
        <v>1800</v>
      </c>
      <c r="AL186">
        <f t="shared" si="87"/>
        <v>1499.1142914</v>
      </c>
      <c r="AM186">
        <f t="shared" si="88"/>
        <v>0.83284127299999999</v>
      </c>
      <c r="AN186">
        <f t="shared" si="89"/>
        <v>0.15339709633000001</v>
      </c>
      <c r="AO186">
        <v>31.8</v>
      </c>
      <c r="AP186">
        <v>0.5</v>
      </c>
      <c r="AQ186" t="s">
        <v>331</v>
      </c>
      <c r="AR186">
        <v>2</v>
      </c>
      <c r="AS186">
        <v>1690387096</v>
      </c>
      <c r="AT186">
        <v>454.03899999999999</v>
      </c>
      <c r="AU186">
        <v>800.01400000000001</v>
      </c>
      <c r="AV186">
        <v>23.6251</v>
      </c>
      <c r="AW186">
        <v>0.31630999999999998</v>
      </c>
      <c r="AX186">
        <v>454.08300000000003</v>
      </c>
      <c r="AY186">
        <v>23.345500000000001</v>
      </c>
      <c r="AZ186">
        <v>300.05500000000001</v>
      </c>
      <c r="BA186">
        <v>98.661500000000004</v>
      </c>
      <c r="BB186">
        <v>9.9982000000000001E-2</v>
      </c>
      <c r="BC186">
        <v>26.416499999999999</v>
      </c>
      <c r="BD186">
        <v>26.972300000000001</v>
      </c>
      <c r="BE186">
        <v>27.839500000000001</v>
      </c>
      <c r="BF186">
        <v>0</v>
      </c>
      <c r="BG186">
        <v>0</v>
      </c>
      <c r="BH186">
        <v>10007.5</v>
      </c>
      <c r="BI186">
        <v>1077.71</v>
      </c>
      <c r="BJ186">
        <v>1.5137799999999999</v>
      </c>
      <c r="BK186">
        <v>-345.97500000000002</v>
      </c>
      <c r="BL186">
        <v>465.02499999999998</v>
      </c>
      <c r="BM186">
        <v>800.26700000000005</v>
      </c>
      <c r="BN186">
        <v>23.308800000000002</v>
      </c>
      <c r="BO186">
        <v>800.01400000000001</v>
      </c>
      <c r="BP186">
        <v>0.31630999999999998</v>
      </c>
      <c r="BQ186">
        <v>2.3308900000000001</v>
      </c>
      <c r="BR186">
        <v>3.1207599999999999E-2</v>
      </c>
      <c r="BS186">
        <v>19.891500000000001</v>
      </c>
      <c r="BT186">
        <v>-35.047199999999997</v>
      </c>
      <c r="BU186">
        <v>1800</v>
      </c>
      <c r="BV186">
        <v>0.91001399999999999</v>
      </c>
      <c r="BW186">
        <v>3.3995600000000001E-2</v>
      </c>
      <c r="BX186">
        <v>2.1996399999999999E-2</v>
      </c>
      <c r="BY186">
        <v>3.3994299999999998E-2</v>
      </c>
      <c r="BZ186">
        <v>25.666699999999999</v>
      </c>
      <c r="CA186">
        <v>33528.400000000001</v>
      </c>
      <c r="CB186">
        <v>1690384821</v>
      </c>
      <c r="CC186" t="s">
        <v>332</v>
      </c>
      <c r="CD186">
        <v>1690384820</v>
      </c>
      <c r="CE186">
        <v>1690384821</v>
      </c>
      <c r="CF186">
        <v>5</v>
      </c>
      <c r="CG186">
        <v>-2.5000000000000001E-2</v>
      </c>
      <c r="CH186">
        <v>0.104</v>
      </c>
      <c r="CI186">
        <v>-0.28799999999999998</v>
      </c>
      <c r="CJ186">
        <v>0.28000000000000003</v>
      </c>
      <c r="CK186">
        <v>800</v>
      </c>
      <c r="CL186">
        <v>24</v>
      </c>
      <c r="CM186">
        <v>0.08</v>
      </c>
      <c r="CN186">
        <v>0.11</v>
      </c>
      <c r="CO186">
        <v>-344.75470000000001</v>
      </c>
      <c r="CP186">
        <v>-6.8037298311437766</v>
      </c>
      <c r="CQ186">
        <v>0.6728694226965618</v>
      </c>
      <c r="CR186">
        <v>-1</v>
      </c>
      <c r="CS186">
        <v>23.254539999999999</v>
      </c>
      <c r="CT186">
        <v>0.79966153846147825</v>
      </c>
      <c r="CU186">
        <v>9.8683098350224249E-2</v>
      </c>
      <c r="CV186">
        <v>-1</v>
      </c>
      <c r="CW186">
        <v>0</v>
      </c>
      <c r="CX186">
        <v>0</v>
      </c>
      <c r="CY186" t="s">
        <v>333</v>
      </c>
      <c r="CZ186">
        <v>2.36456</v>
      </c>
      <c r="DA186">
        <v>2.7137799999999999</v>
      </c>
      <c r="DB186">
        <v>9.8114400000000004E-2</v>
      </c>
      <c r="DC186">
        <v>0.14546899999999999</v>
      </c>
      <c r="DD186">
        <v>0.111944</v>
      </c>
      <c r="DE186">
        <v>2.6288700000000002E-3</v>
      </c>
      <c r="DF186">
        <v>32954.6</v>
      </c>
      <c r="DG186">
        <v>27567.5</v>
      </c>
      <c r="DH186">
        <v>31193</v>
      </c>
      <c r="DI186">
        <v>28110.1</v>
      </c>
      <c r="DJ186">
        <v>37607</v>
      </c>
      <c r="DK186">
        <v>39875.5</v>
      </c>
      <c r="DL186">
        <v>44394.7</v>
      </c>
      <c r="DM186">
        <v>42606.1</v>
      </c>
      <c r="DN186">
        <v>1.4754799999999999</v>
      </c>
      <c r="DO186">
        <v>2.0327700000000002</v>
      </c>
      <c r="DP186">
        <v>0.103079</v>
      </c>
      <c r="DQ186">
        <v>0.17035800000000001</v>
      </c>
      <c r="DR186">
        <v>25.284099999999999</v>
      </c>
      <c r="DS186">
        <v>25.050899999999999</v>
      </c>
      <c r="DT186">
        <v>36.1</v>
      </c>
      <c r="DU186">
        <v>28.9</v>
      </c>
      <c r="DV186">
        <v>14.632300000000001</v>
      </c>
      <c r="DW186">
        <v>61.002200000000002</v>
      </c>
      <c r="DX186">
        <v>37.287700000000001</v>
      </c>
      <c r="DY186">
        <v>1</v>
      </c>
      <c r="DZ186">
        <v>-0.116397</v>
      </c>
      <c r="EA186">
        <v>-0.262658</v>
      </c>
      <c r="EB186">
        <v>20.190200000000001</v>
      </c>
      <c r="EC186">
        <v>5.2415500000000002</v>
      </c>
      <c r="ED186">
        <v>12.039899999999999</v>
      </c>
      <c r="EE186">
        <v>5.0171000000000001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1.8689100000000001</v>
      </c>
      <c r="EL186">
        <v>1.8646199999999999</v>
      </c>
      <c r="EM186">
        <v>1.8692</v>
      </c>
      <c r="EN186">
        <v>1.8672299999999999</v>
      </c>
      <c r="EO186">
        <v>1.8633900000000001</v>
      </c>
      <c r="EP186">
        <v>1.8644700000000001</v>
      </c>
      <c r="EQ186">
        <v>1.87018</v>
      </c>
      <c r="ER186">
        <v>1.86938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-4.3999999999999997E-2</v>
      </c>
      <c r="FG186">
        <v>0.27960000000000002</v>
      </c>
      <c r="FH186">
        <v>0.26269369235785539</v>
      </c>
      <c r="FI186">
        <v>-6.1462078757559423E-4</v>
      </c>
      <c r="FJ186">
        <v>-1.8861989874597051E-7</v>
      </c>
      <c r="FK186">
        <v>1.1980462299894961E-10</v>
      </c>
      <c r="FL186">
        <v>0.27968571428570849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37.9</v>
      </c>
      <c r="FU186">
        <v>37.9</v>
      </c>
      <c r="FV186">
        <v>1.7675799999999999</v>
      </c>
      <c r="FW186">
        <v>2.5854499999999998</v>
      </c>
      <c r="FX186">
        <v>1.5490699999999999</v>
      </c>
      <c r="FY186">
        <v>2.3327599999999999</v>
      </c>
      <c r="FZ186">
        <v>1.50146</v>
      </c>
      <c r="GA186">
        <v>2.3303199999999999</v>
      </c>
      <c r="GB186">
        <v>33.535499999999999</v>
      </c>
      <c r="GC186">
        <v>23.982399999999998</v>
      </c>
      <c r="GD186">
        <v>19</v>
      </c>
      <c r="GE186">
        <v>281.35399999999998</v>
      </c>
      <c r="GF186">
        <v>576.98</v>
      </c>
      <c r="GG186">
        <v>25.014900000000001</v>
      </c>
      <c r="GH186">
        <v>25.947199999999999</v>
      </c>
      <c r="GI186">
        <v>29.9999</v>
      </c>
      <c r="GJ186">
        <v>26.075399999999998</v>
      </c>
      <c r="GK186">
        <v>26.052399999999999</v>
      </c>
      <c r="GL186">
        <v>35.3354</v>
      </c>
      <c r="GM186">
        <v>100</v>
      </c>
      <c r="GN186">
        <v>36.81</v>
      </c>
      <c r="GO186">
        <v>25.0243</v>
      </c>
      <c r="GP186">
        <v>800</v>
      </c>
      <c r="GQ186">
        <v>0.117814</v>
      </c>
      <c r="GR186">
        <v>99.809700000000007</v>
      </c>
      <c r="GS186">
        <v>99.669700000000006</v>
      </c>
    </row>
    <row r="187" spans="1:201" x14ac:dyDescent="0.25">
      <c r="A187">
        <v>171</v>
      </c>
      <c r="B187">
        <v>1690387106</v>
      </c>
      <c r="C187">
        <v>1771.400000095367</v>
      </c>
      <c r="D187" t="s">
        <v>675</v>
      </c>
      <c r="E187" t="s">
        <v>676</v>
      </c>
      <c r="F187" t="s">
        <v>330</v>
      </c>
      <c r="H187">
        <v>1690387106</v>
      </c>
      <c r="I187">
        <f t="shared" si="60"/>
        <v>2.2547162746118909E-3</v>
      </c>
      <c r="J187">
        <f t="shared" si="61"/>
        <v>2.2547162746118907</v>
      </c>
      <c r="K187">
        <f t="shared" si="62"/>
        <v>31.749353893502892</v>
      </c>
      <c r="L187">
        <f t="shared" si="63"/>
        <v>452.80799999999999</v>
      </c>
      <c r="M187">
        <f t="shared" si="64"/>
        <v>114.25201774086929</v>
      </c>
      <c r="N187">
        <f t="shared" si="65"/>
        <v>11.283630796431217</v>
      </c>
      <c r="O187">
        <f t="shared" si="66"/>
        <v>44.719720445188806</v>
      </c>
      <c r="P187">
        <f t="shared" si="67"/>
        <v>0.15839870126309</v>
      </c>
      <c r="Q187">
        <f t="shared" si="68"/>
        <v>2.1573947853145596</v>
      </c>
      <c r="R187">
        <f t="shared" si="69"/>
        <v>0.15220974546621713</v>
      </c>
      <c r="S187">
        <f t="shared" si="70"/>
        <v>9.5666995463260365E-2</v>
      </c>
      <c r="T187">
        <f t="shared" si="71"/>
        <v>276.11473951800002</v>
      </c>
      <c r="U187">
        <f t="shared" si="72"/>
        <v>27.799057600477241</v>
      </c>
      <c r="V187">
        <f t="shared" si="73"/>
        <v>27.799057600477241</v>
      </c>
      <c r="W187">
        <f t="shared" si="74"/>
        <v>3.7506124810597883</v>
      </c>
      <c r="X187">
        <f t="shared" si="75"/>
        <v>67.448323291060518</v>
      </c>
      <c r="Y187">
        <f t="shared" si="76"/>
        <v>2.3327025604654201</v>
      </c>
      <c r="Z187">
        <f t="shared" si="77"/>
        <v>3.4585034091938538</v>
      </c>
      <c r="AA187">
        <f t="shared" si="78"/>
        <v>1.4179099205943682</v>
      </c>
      <c r="AB187">
        <f t="shared" si="79"/>
        <v>-99.432987710384381</v>
      </c>
      <c r="AC187">
        <f t="shared" si="80"/>
        <v>-160.69986000802291</v>
      </c>
      <c r="AD187">
        <f t="shared" si="81"/>
        <v>-16.092854842349432</v>
      </c>
      <c r="AE187">
        <f t="shared" si="82"/>
        <v>-0.11096304275670832</v>
      </c>
      <c r="AF187">
        <v>0</v>
      </c>
      <c r="AG187">
        <v>0</v>
      </c>
      <c r="AH187">
        <f t="shared" si="83"/>
        <v>1</v>
      </c>
      <c r="AI187">
        <f t="shared" si="84"/>
        <v>0</v>
      </c>
      <c r="AJ187">
        <f t="shared" si="85"/>
        <v>52248.642548336924</v>
      </c>
      <c r="AK187">
        <f t="shared" si="86"/>
        <v>1800</v>
      </c>
      <c r="AL187">
        <f t="shared" si="87"/>
        <v>1499.1108858</v>
      </c>
      <c r="AM187">
        <f t="shared" si="88"/>
        <v>0.83283938099999999</v>
      </c>
      <c r="AN187">
        <f t="shared" si="89"/>
        <v>0.15339707751000001</v>
      </c>
      <c r="AO187">
        <v>31.8</v>
      </c>
      <c r="AP187">
        <v>0.5</v>
      </c>
      <c r="AQ187" t="s">
        <v>331</v>
      </c>
      <c r="AR187">
        <v>2</v>
      </c>
      <c r="AS187">
        <v>1690387106</v>
      </c>
      <c r="AT187">
        <v>452.80799999999999</v>
      </c>
      <c r="AU187">
        <v>799.98</v>
      </c>
      <c r="AV187">
        <v>23.619700000000002</v>
      </c>
      <c r="AW187">
        <v>0.29720099999999999</v>
      </c>
      <c r="AX187">
        <v>452.851</v>
      </c>
      <c r="AY187">
        <v>23.3401</v>
      </c>
      <c r="AZ187">
        <v>300.16699999999997</v>
      </c>
      <c r="BA187">
        <v>98.660899999999998</v>
      </c>
      <c r="BB187">
        <v>9.9988599999999997E-2</v>
      </c>
      <c r="BC187">
        <v>26.417400000000001</v>
      </c>
      <c r="BD187">
        <v>26.958100000000002</v>
      </c>
      <c r="BE187">
        <v>27.8383</v>
      </c>
      <c r="BF187">
        <v>0</v>
      </c>
      <c r="BG187">
        <v>0</v>
      </c>
      <c r="BH187">
        <v>9995.6200000000008</v>
      </c>
      <c r="BI187">
        <v>1077.8399999999999</v>
      </c>
      <c r="BJ187">
        <v>1.5137799999999999</v>
      </c>
      <c r="BK187">
        <v>-347.17200000000003</v>
      </c>
      <c r="BL187">
        <v>463.762</v>
      </c>
      <c r="BM187">
        <v>800.21799999999996</v>
      </c>
      <c r="BN187">
        <v>23.322500000000002</v>
      </c>
      <c r="BO187">
        <v>799.98</v>
      </c>
      <c r="BP187">
        <v>0.29720099999999999</v>
      </c>
      <c r="BQ187">
        <v>2.3303400000000001</v>
      </c>
      <c r="BR187">
        <v>2.93221E-2</v>
      </c>
      <c r="BS187">
        <v>19.887699999999999</v>
      </c>
      <c r="BT187">
        <v>-35.671799999999998</v>
      </c>
      <c r="BU187">
        <v>1800</v>
      </c>
      <c r="BV187">
        <v>0.91000400000000004</v>
      </c>
      <c r="BW187">
        <v>3.4006500000000002E-2</v>
      </c>
      <c r="BX187">
        <v>2.1995799999999999E-2</v>
      </c>
      <c r="BY187">
        <v>3.3993500000000003E-2</v>
      </c>
      <c r="BZ187">
        <v>25.666699999999999</v>
      </c>
      <c r="CA187">
        <v>33528.5</v>
      </c>
      <c r="CB187">
        <v>1690384821</v>
      </c>
      <c r="CC187" t="s">
        <v>332</v>
      </c>
      <c r="CD187">
        <v>1690384820</v>
      </c>
      <c r="CE187">
        <v>1690384821</v>
      </c>
      <c r="CF187">
        <v>5</v>
      </c>
      <c r="CG187">
        <v>-2.5000000000000001E-2</v>
      </c>
      <c r="CH187">
        <v>0.104</v>
      </c>
      <c r="CI187">
        <v>-0.28799999999999998</v>
      </c>
      <c r="CJ187">
        <v>0.28000000000000003</v>
      </c>
      <c r="CK187">
        <v>800</v>
      </c>
      <c r="CL187">
        <v>24</v>
      </c>
      <c r="CM187">
        <v>0.08</v>
      </c>
      <c r="CN187">
        <v>0.11</v>
      </c>
      <c r="CO187">
        <v>-345.93529268292679</v>
      </c>
      <c r="CP187">
        <v>-6.8832125435545786</v>
      </c>
      <c r="CQ187">
        <v>0.68011592426163991</v>
      </c>
      <c r="CR187">
        <v>-1</v>
      </c>
      <c r="CS187">
        <v>23.312636585365851</v>
      </c>
      <c r="CT187">
        <v>8.5066202090458131E-3</v>
      </c>
      <c r="CU187">
        <v>3.206605689446509E-3</v>
      </c>
      <c r="CV187">
        <v>-1</v>
      </c>
      <c r="CW187">
        <v>0</v>
      </c>
      <c r="CX187">
        <v>0</v>
      </c>
      <c r="CY187" t="s">
        <v>333</v>
      </c>
      <c r="CZ187">
        <v>2.36496</v>
      </c>
      <c r="DA187">
        <v>2.7137799999999999</v>
      </c>
      <c r="DB187">
        <v>9.7915799999999997E-2</v>
      </c>
      <c r="DC187">
        <v>0.14546400000000001</v>
      </c>
      <c r="DD187">
        <v>0.111925</v>
      </c>
      <c r="DE187">
        <v>2.4728800000000002E-3</v>
      </c>
      <c r="DF187">
        <v>32961.9</v>
      </c>
      <c r="DG187">
        <v>27567.9</v>
      </c>
      <c r="DH187">
        <v>31193.1</v>
      </c>
      <c r="DI187">
        <v>28110.400000000001</v>
      </c>
      <c r="DJ187">
        <v>37607.800000000003</v>
      </c>
      <c r="DK187">
        <v>39882.199999999997</v>
      </c>
      <c r="DL187">
        <v>44394.8</v>
      </c>
      <c r="DM187">
        <v>42606.6</v>
      </c>
      <c r="DN187">
        <v>1.4762</v>
      </c>
      <c r="DO187">
        <v>2.0324499999999999</v>
      </c>
      <c r="DP187">
        <v>0.102073</v>
      </c>
      <c r="DQ187">
        <v>0.17028299999999999</v>
      </c>
      <c r="DR187">
        <v>25.2864</v>
      </c>
      <c r="DS187">
        <v>25.050899999999999</v>
      </c>
      <c r="DT187">
        <v>35.6</v>
      </c>
      <c r="DU187">
        <v>28.9</v>
      </c>
      <c r="DV187">
        <v>14.429600000000001</v>
      </c>
      <c r="DW187">
        <v>61.142200000000003</v>
      </c>
      <c r="DX187">
        <v>36.899000000000001</v>
      </c>
      <c r="DY187">
        <v>1</v>
      </c>
      <c r="DZ187">
        <v>-0.11658499999999999</v>
      </c>
      <c r="EA187">
        <v>-0.33844000000000002</v>
      </c>
      <c r="EB187">
        <v>20.189599999999999</v>
      </c>
      <c r="EC187">
        <v>5.24125</v>
      </c>
      <c r="ED187">
        <v>12.039899999999999</v>
      </c>
      <c r="EE187">
        <v>5.0171000000000001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</v>
      </c>
      <c r="EL187">
        <v>1.8646199999999999</v>
      </c>
      <c r="EM187">
        <v>1.8692</v>
      </c>
      <c r="EN187">
        <v>1.86724</v>
      </c>
      <c r="EO187">
        <v>1.8633900000000001</v>
      </c>
      <c r="EP187">
        <v>1.8644700000000001</v>
      </c>
      <c r="EQ187">
        <v>1.8701700000000001</v>
      </c>
      <c r="ER187">
        <v>1.86941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-4.2999999999999997E-2</v>
      </c>
      <c r="FG187">
        <v>0.27960000000000002</v>
      </c>
      <c r="FH187">
        <v>0.26269369235785539</v>
      </c>
      <c r="FI187">
        <v>-6.1462078757559423E-4</v>
      </c>
      <c r="FJ187">
        <v>-1.8861989874597051E-7</v>
      </c>
      <c r="FK187">
        <v>1.1980462299894961E-10</v>
      </c>
      <c r="FL187">
        <v>0.27968571428570849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38.1</v>
      </c>
      <c r="FU187">
        <v>38.1</v>
      </c>
      <c r="FV187">
        <v>1.7675799999999999</v>
      </c>
      <c r="FW187">
        <v>2.5878899999999998</v>
      </c>
      <c r="FX187">
        <v>1.5490699999999999</v>
      </c>
      <c r="FY187">
        <v>2.3327599999999999</v>
      </c>
      <c r="FZ187">
        <v>1.50146</v>
      </c>
      <c r="GA187">
        <v>2.3107899999999999</v>
      </c>
      <c r="GB187">
        <v>33.512999999999998</v>
      </c>
      <c r="GC187">
        <v>23.982399999999998</v>
      </c>
      <c r="GD187">
        <v>19</v>
      </c>
      <c r="GE187">
        <v>281.65199999999999</v>
      </c>
      <c r="GF187">
        <v>576.71400000000006</v>
      </c>
      <c r="GG187">
        <v>25.045000000000002</v>
      </c>
      <c r="GH187">
        <v>25.947199999999999</v>
      </c>
      <c r="GI187">
        <v>30</v>
      </c>
      <c r="GJ187">
        <v>26.0732</v>
      </c>
      <c r="GK187">
        <v>26.052399999999999</v>
      </c>
      <c r="GL187">
        <v>35.333599999999997</v>
      </c>
      <c r="GM187">
        <v>100</v>
      </c>
      <c r="GN187">
        <v>36.001800000000003</v>
      </c>
      <c r="GO187">
        <v>25.0547</v>
      </c>
      <c r="GP187">
        <v>800</v>
      </c>
      <c r="GQ187">
        <v>0</v>
      </c>
      <c r="GR187">
        <v>99.809899999999999</v>
      </c>
      <c r="GS187">
        <v>99.670699999999997</v>
      </c>
    </row>
    <row r="188" spans="1:201" x14ac:dyDescent="0.25">
      <c r="A188">
        <v>172</v>
      </c>
      <c r="B188">
        <v>1690387116</v>
      </c>
      <c r="C188">
        <v>1781.400000095367</v>
      </c>
      <c r="D188" t="s">
        <v>677</v>
      </c>
      <c r="E188" t="s">
        <v>678</v>
      </c>
      <c r="F188" t="s">
        <v>330</v>
      </c>
      <c r="H188">
        <v>1690387116</v>
      </c>
      <c r="I188">
        <f t="shared" si="60"/>
        <v>2.2574272202094139E-3</v>
      </c>
      <c r="J188">
        <f t="shared" si="61"/>
        <v>2.2574272202094137</v>
      </c>
      <c r="K188">
        <f t="shared" si="62"/>
        <v>31.859535019723236</v>
      </c>
      <c r="L188">
        <f t="shared" si="63"/>
        <v>451.625</v>
      </c>
      <c r="M188">
        <f t="shared" si="64"/>
        <v>112.50087548221684</v>
      </c>
      <c r="N188">
        <f t="shared" si="65"/>
        <v>11.110563478694875</v>
      </c>
      <c r="O188">
        <f t="shared" si="66"/>
        <v>44.602392733012501</v>
      </c>
      <c r="P188">
        <f t="shared" si="67"/>
        <v>0.15866871034380683</v>
      </c>
      <c r="Q188">
        <f t="shared" si="68"/>
        <v>2.157083218127779</v>
      </c>
      <c r="R188">
        <f t="shared" si="69"/>
        <v>0.15245822261377848</v>
      </c>
      <c r="S188">
        <f t="shared" si="70"/>
        <v>9.582412227204494E-2</v>
      </c>
      <c r="T188">
        <f t="shared" si="71"/>
        <v>276.11476282799998</v>
      </c>
      <c r="U188">
        <f t="shared" si="72"/>
        <v>27.806593875411682</v>
      </c>
      <c r="V188">
        <f t="shared" si="73"/>
        <v>27.806593875411682</v>
      </c>
      <c r="W188">
        <f t="shared" si="74"/>
        <v>3.752263052840096</v>
      </c>
      <c r="X188">
        <f t="shared" si="75"/>
        <v>67.481921594066435</v>
      </c>
      <c r="Y188">
        <f t="shared" si="76"/>
        <v>2.3350074776738103</v>
      </c>
      <c r="Z188">
        <f t="shared" si="77"/>
        <v>3.4601970757737339</v>
      </c>
      <c r="AA188">
        <f t="shared" si="78"/>
        <v>1.4172555751662856</v>
      </c>
      <c r="AB188">
        <f t="shared" si="79"/>
        <v>-99.552540411235157</v>
      </c>
      <c r="AC188">
        <f t="shared" si="80"/>
        <v>-160.58783638755196</v>
      </c>
      <c r="AD188">
        <f t="shared" si="81"/>
        <v>-16.0852323814111</v>
      </c>
      <c r="AE188">
        <f t="shared" si="82"/>
        <v>-0.11084635219825145</v>
      </c>
      <c r="AF188">
        <v>0</v>
      </c>
      <c r="AG188">
        <v>0</v>
      </c>
      <c r="AH188">
        <f t="shared" si="83"/>
        <v>1</v>
      </c>
      <c r="AI188">
        <f t="shared" si="84"/>
        <v>0</v>
      </c>
      <c r="AJ188">
        <f t="shared" si="85"/>
        <v>52234.129540835798</v>
      </c>
      <c r="AK188">
        <f t="shared" si="86"/>
        <v>1800</v>
      </c>
      <c r="AL188">
        <f t="shared" si="87"/>
        <v>1499.1116328000001</v>
      </c>
      <c r="AM188">
        <f t="shared" si="88"/>
        <v>0.83283979600000002</v>
      </c>
      <c r="AN188">
        <f t="shared" si="89"/>
        <v>0.15339709046</v>
      </c>
      <c r="AO188">
        <v>31.8</v>
      </c>
      <c r="AP188">
        <v>0.5</v>
      </c>
      <c r="AQ188" t="s">
        <v>331</v>
      </c>
      <c r="AR188">
        <v>2</v>
      </c>
      <c r="AS188">
        <v>1690387116</v>
      </c>
      <c r="AT188">
        <v>451.625</v>
      </c>
      <c r="AU188">
        <v>800.07899999999995</v>
      </c>
      <c r="AV188">
        <v>23.6433</v>
      </c>
      <c r="AW188">
        <v>0.28460800000000003</v>
      </c>
      <c r="AX188">
        <v>451.66699999999997</v>
      </c>
      <c r="AY188">
        <v>23.363600000000002</v>
      </c>
      <c r="AZ188">
        <v>300.05500000000001</v>
      </c>
      <c r="BA188">
        <v>98.659899999999993</v>
      </c>
      <c r="BB188">
        <v>9.9895700000000004E-2</v>
      </c>
      <c r="BC188">
        <v>26.425699999999999</v>
      </c>
      <c r="BD188">
        <v>26.987200000000001</v>
      </c>
      <c r="BE188">
        <v>27.865400000000001</v>
      </c>
      <c r="BF188">
        <v>0</v>
      </c>
      <c r="BG188">
        <v>0</v>
      </c>
      <c r="BH188">
        <v>9993.1200000000008</v>
      </c>
      <c r="BI188">
        <v>1077.94</v>
      </c>
      <c r="BJ188">
        <v>1.5137799999999999</v>
      </c>
      <c r="BK188">
        <v>-348.45400000000001</v>
      </c>
      <c r="BL188">
        <v>462.56099999999998</v>
      </c>
      <c r="BM188">
        <v>800.30700000000002</v>
      </c>
      <c r="BN188">
        <v>23.358699999999999</v>
      </c>
      <c r="BO188">
        <v>800.07899999999995</v>
      </c>
      <c r="BP188">
        <v>0.28460800000000003</v>
      </c>
      <c r="BQ188">
        <v>2.33264</v>
      </c>
      <c r="BR188">
        <v>2.8079400000000001E-2</v>
      </c>
      <c r="BS188">
        <v>19.903600000000001</v>
      </c>
      <c r="BT188">
        <v>-36.103700000000003</v>
      </c>
      <c r="BU188">
        <v>1800</v>
      </c>
      <c r="BV188">
        <v>0.91000599999999998</v>
      </c>
      <c r="BW188">
        <v>3.4004800000000002E-2</v>
      </c>
      <c r="BX188">
        <v>2.1995799999999999E-2</v>
      </c>
      <c r="BY188">
        <v>3.39934E-2</v>
      </c>
      <c r="BZ188">
        <v>25.666699999999999</v>
      </c>
      <c r="CA188">
        <v>33528.400000000001</v>
      </c>
      <c r="CB188">
        <v>1690384821</v>
      </c>
      <c r="CC188" t="s">
        <v>332</v>
      </c>
      <c r="CD188">
        <v>1690384820</v>
      </c>
      <c r="CE188">
        <v>1690384821</v>
      </c>
      <c r="CF188">
        <v>5</v>
      </c>
      <c r="CG188">
        <v>-2.5000000000000001E-2</v>
      </c>
      <c r="CH188">
        <v>0.104</v>
      </c>
      <c r="CI188">
        <v>-0.28799999999999998</v>
      </c>
      <c r="CJ188">
        <v>0.28000000000000003</v>
      </c>
      <c r="CK188">
        <v>800</v>
      </c>
      <c r="CL188">
        <v>24</v>
      </c>
      <c r="CM188">
        <v>0.08</v>
      </c>
      <c r="CN188">
        <v>0.11</v>
      </c>
      <c r="CO188">
        <v>-347.0616</v>
      </c>
      <c r="CP188">
        <v>-7.3635196998115369</v>
      </c>
      <c r="CQ188">
        <v>0.70986864277836337</v>
      </c>
      <c r="CR188">
        <v>-1</v>
      </c>
      <c r="CS188">
        <v>23.323305000000001</v>
      </c>
      <c r="CT188">
        <v>0.13649155722319331</v>
      </c>
      <c r="CU188">
        <v>1.365014560361889E-2</v>
      </c>
      <c r="CV188">
        <v>-1</v>
      </c>
      <c r="CW188">
        <v>0</v>
      </c>
      <c r="CX188">
        <v>0</v>
      </c>
      <c r="CY188" t="s">
        <v>333</v>
      </c>
      <c r="CZ188">
        <v>2.3645999999999998</v>
      </c>
      <c r="DA188">
        <v>2.7136800000000001</v>
      </c>
      <c r="DB188">
        <v>9.7724099999999994E-2</v>
      </c>
      <c r="DC188">
        <v>0.14547399999999999</v>
      </c>
      <c r="DD188">
        <v>0.11200400000000001</v>
      </c>
      <c r="DE188">
        <v>2.36988E-3</v>
      </c>
      <c r="DF188">
        <v>32968.1</v>
      </c>
      <c r="DG188">
        <v>27568.2</v>
      </c>
      <c r="DH188">
        <v>31192.3</v>
      </c>
      <c r="DI188">
        <v>28111</v>
      </c>
      <c r="DJ188">
        <v>37603.5</v>
      </c>
      <c r="DK188">
        <v>39887.1</v>
      </c>
      <c r="DL188">
        <v>44393.7</v>
      </c>
      <c r="DM188">
        <v>42607.4</v>
      </c>
      <c r="DN188">
        <v>1.4756</v>
      </c>
      <c r="DO188">
        <v>2.0325000000000002</v>
      </c>
      <c r="DP188">
        <v>0.103656</v>
      </c>
      <c r="DQ188">
        <v>0.17177300000000001</v>
      </c>
      <c r="DR188">
        <v>25.2896</v>
      </c>
      <c r="DS188">
        <v>25.053699999999999</v>
      </c>
      <c r="DT188">
        <v>35.200000000000003</v>
      </c>
      <c r="DU188">
        <v>28.9</v>
      </c>
      <c r="DV188">
        <v>14.2654</v>
      </c>
      <c r="DW188">
        <v>61.222200000000001</v>
      </c>
      <c r="DX188">
        <v>36.871000000000002</v>
      </c>
      <c r="DY188">
        <v>1</v>
      </c>
      <c r="DZ188">
        <v>-0.116908</v>
      </c>
      <c r="EA188">
        <v>-0.36161799999999999</v>
      </c>
      <c r="EB188">
        <v>20.189800000000002</v>
      </c>
      <c r="EC188">
        <v>5.24125</v>
      </c>
      <c r="ED188">
        <v>12.039899999999999</v>
      </c>
      <c r="EE188">
        <v>5.0170000000000003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</v>
      </c>
      <c r="EL188">
        <v>1.8646199999999999</v>
      </c>
      <c r="EM188">
        <v>1.8692</v>
      </c>
      <c r="EN188">
        <v>1.86724</v>
      </c>
      <c r="EO188">
        <v>1.8633900000000001</v>
      </c>
      <c r="EP188">
        <v>1.8644700000000001</v>
      </c>
      <c r="EQ188">
        <v>1.8701700000000001</v>
      </c>
      <c r="ER188">
        <v>1.86938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-4.2000000000000003E-2</v>
      </c>
      <c r="FG188">
        <v>0.2797</v>
      </c>
      <c r="FH188">
        <v>0.26269369235785539</v>
      </c>
      <c r="FI188">
        <v>-6.1462078757559423E-4</v>
      </c>
      <c r="FJ188">
        <v>-1.8861989874597051E-7</v>
      </c>
      <c r="FK188">
        <v>1.1980462299894961E-10</v>
      </c>
      <c r="FL188">
        <v>0.27968571428570849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38.299999999999997</v>
      </c>
      <c r="FU188">
        <v>38.200000000000003</v>
      </c>
      <c r="FV188">
        <v>1.7675799999999999</v>
      </c>
      <c r="FW188">
        <v>2.5830099999999998</v>
      </c>
      <c r="FX188">
        <v>1.5490699999999999</v>
      </c>
      <c r="FY188">
        <v>2.3327599999999999</v>
      </c>
      <c r="FZ188">
        <v>1.50146</v>
      </c>
      <c r="GA188">
        <v>2.2888199999999999</v>
      </c>
      <c r="GB188">
        <v>33.512999999999998</v>
      </c>
      <c r="GC188">
        <v>23.982399999999998</v>
      </c>
      <c r="GD188">
        <v>19</v>
      </c>
      <c r="GE188">
        <v>281.39800000000002</v>
      </c>
      <c r="GF188">
        <v>576.755</v>
      </c>
      <c r="GG188">
        <v>25.087199999999999</v>
      </c>
      <c r="GH188">
        <v>25.945900000000002</v>
      </c>
      <c r="GI188">
        <v>30</v>
      </c>
      <c r="GJ188">
        <v>26.0732</v>
      </c>
      <c r="GK188">
        <v>26.052399999999999</v>
      </c>
      <c r="GL188">
        <v>35.333300000000001</v>
      </c>
      <c r="GM188">
        <v>100</v>
      </c>
      <c r="GN188">
        <v>35.224899999999998</v>
      </c>
      <c r="GO188">
        <v>25.091100000000001</v>
      </c>
      <c r="GP188">
        <v>800</v>
      </c>
      <c r="GQ188">
        <v>0</v>
      </c>
      <c r="GR188">
        <v>99.807500000000005</v>
      </c>
      <c r="GS188">
        <v>99.672799999999995</v>
      </c>
    </row>
    <row r="189" spans="1:201" x14ac:dyDescent="0.25">
      <c r="A189">
        <v>173</v>
      </c>
      <c r="B189">
        <v>1690387126</v>
      </c>
      <c r="C189">
        <v>1791.400000095367</v>
      </c>
      <c r="D189" t="s">
        <v>679</v>
      </c>
      <c r="E189" t="s">
        <v>680</v>
      </c>
      <c r="F189" t="s">
        <v>330</v>
      </c>
      <c r="H189">
        <v>1690387126</v>
      </c>
      <c r="I189">
        <f t="shared" si="60"/>
        <v>2.2613315753908536E-3</v>
      </c>
      <c r="J189">
        <f t="shared" si="61"/>
        <v>2.2613315753908534</v>
      </c>
      <c r="K189">
        <f t="shared" si="62"/>
        <v>31.961240376428581</v>
      </c>
      <c r="L189">
        <f t="shared" si="63"/>
        <v>450.65600000000001</v>
      </c>
      <c r="M189">
        <f t="shared" si="64"/>
        <v>111.52455006505907</v>
      </c>
      <c r="N189">
        <f t="shared" si="65"/>
        <v>11.013986905816981</v>
      </c>
      <c r="O189">
        <f t="shared" si="66"/>
        <v>44.506068664992</v>
      </c>
      <c r="P189">
        <f t="shared" si="67"/>
        <v>0.1591653079528621</v>
      </c>
      <c r="Q189">
        <f t="shared" si="68"/>
        <v>2.1602810475149341</v>
      </c>
      <c r="R189">
        <f t="shared" si="69"/>
        <v>0.15292556748316694</v>
      </c>
      <c r="S189">
        <f t="shared" si="70"/>
        <v>9.611871354646799E-2</v>
      </c>
      <c r="T189">
        <f t="shared" si="71"/>
        <v>276.11480709000006</v>
      </c>
      <c r="U189">
        <f t="shared" si="72"/>
        <v>27.808683363991232</v>
      </c>
      <c r="V189">
        <f t="shared" si="73"/>
        <v>27.808683363991232</v>
      </c>
      <c r="W189">
        <f t="shared" si="74"/>
        <v>3.752720798417208</v>
      </c>
      <c r="X189">
        <f t="shared" si="75"/>
        <v>67.529784719280343</v>
      </c>
      <c r="Y189">
        <f t="shared" si="76"/>
        <v>2.3373942251946001</v>
      </c>
      <c r="Z189">
        <f t="shared" si="77"/>
        <v>3.461278952555662</v>
      </c>
      <c r="AA189">
        <f t="shared" si="78"/>
        <v>1.4153265732226079</v>
      </c>
      <c r="AB189">
        <f t="shared" si="79"/>
        <v>-99.724722474736637</v>
      </c>
      <c r="AC189">
        <f t="shared" si="80"/>
        <v>-160.45199195122905</v>
      </c>
      <c r="AD189">
        <f t="shared" si="81"/>
        <v>-16.048427302415842</v>
      </c>
      <c r="AE189">
        <f t="shared" si="82"/>
        <v>-0.11033463838148805</v>
      </c>
      <c r="AF189">
        <v>0</v>
      </c>
      <c r="AG189">
        <v>0</v>
      </c>
      <c r="AH189">
        <f t="shared" si="83"/>
        <v>1</v>
      </c>
      <c r="AI189">
        <f t="shared" si="84"/>
        <v>0</v>
      </c>
      <c r="AJ189">
        <f t="shared" si="85"/>
        <v>52367.136138402886</v>
      </c>
      <c r="AK189">
        <f t="shared" si="86"/>
        <v>1800</v>
      </c>
      <c r="AL189">
        <f t="shared" si="87"/>
        <v>1499.1124769999999</v>
      </c>
      <c r="AM189">
        <f t="shared" si="88"/>
        <v>0.83284026499999997</v>
      </c>
      <c r="AN189">
        <f t="shared" si="89"/>
        <v>0.15339711505000003</v>
      </c>
      <c r="AO189">
        <v>31.8</v>
      </c>
      <c r="AP189">
        <v>0.5</v>
      </c>
      <c r="AQ189" t="s">
        <v>331</v>
      </c>
      <c r="AR189">
        <v>2</v>
      </c>
      <c r="AS189">
        <v>1690387126</v>
      </c>
      <c r="AT189">
        <v>450.65600000000001</v>
      </c>
      <c r="AU189">
        <v>800.096</v>
      </c>
      <c r="AV189">
        <v>23.6678</v>
      </c>
      <c r="AW189">
        <v>0.275142</v>
      </c>
      <c r="AX189">
        <v>450.69799999999998</v>
      </c>
      <c r="AY189">
        <v>23.388100000000001</v>
      </c>
      <c r="AZ189">
        <v>300.13</v>
      </c>
      <c r="BA189">
        <v>98.6584</v>
      </c>
      <c r="BB189">
        <v>0.100007</v>
      </c>
      <c r="BC189">
        <v>26.431000000000001</v>
      </c>
      <c r="BD189">
        <v>26.986000000000001</v>
      </c>
      <c r="BE189">
        <v>27.854299999999999</v>
      </c>
      <c r="BF189">
        <v>0</v>
      </c>
      <c r="BG189">
        <v>0</v>
      </c>
      <c r="BH189">
        <v>10020</v>
      </c>
      <c r="BI189">
        <v>1077.93</v>
      </c>
      <c r="BJ189">
        <v>1.5137799999999999</v>
      </c>
      <c r="BK189">
        <v>-349.44</v>
      </c>
      <c r="BL189">
        <v>461.58100000000002</v>
      </c>
      <c r="BM189">
        <v>800.31600000000003</v>
      </c>
      <c r="BN189">
        <v>23.392700000000001</v>
      </c>
      <c r="BO189">
        <v>800.096</v>
      </c>
      <c r="BP189">
        <v>0.275142</v>
      </c>
      <c r="BQ189">
        <v>2.3350300000000002</v>
      </c>
      <c r="BR189">
        <v>2.7145099999999998E-2</v>
      </c>
      <c r="BS189">
        <v>19.920100000000001</v>
      </c>
      <c r="BT189">
        <v>-36.439900000000002</v>
      </c>
      <c r="BU189">
        <v>1800</v>
      </c>
      <c r="BV189">
        <v>0.91000800000000004</v>
      </c>
      <c r="BW189">
        <v>3.4002499999999998E-2</v>
      </c>
      <c r="BX189">
        <v>2.1996000000000002E-2</v>
      </c>
      <c r="BY189">
        <v>3.3993700000000002E-2</v>
      </c>
      <c r="BZ189">
        <v>25.666699999999999</v>
      </c>
      <c r="CA189">
        <v>33528.5</v>
      </c>
      <c r="CB189">
        <v>1690384821</v>
      </c>
      <c r="CC189" t="s">
        <v>332</v>
      </c>
      <c r="CD189">
        <v>1690384820</v>
      </c>
      <c r="CE189">
        <v>1690384821</v>
      </c>
      <c r="CF189">
        <v>5</v>
      </c>
      <c r="CG189">
        <v>-2.5000000000000001E-2</v>
      </c>
      <c r="CH189">
        <v>0.104</v>
      </c>
      <c r="CI189">
        <v>-0.28799999999999998</v>
      </c>
      <c r="CJ189">
        <v>0.28000000000000003</v>
      </c>
      <c r="CK189">
        <v>800</v>
      </c>
      <c r="CL189">
        <v>24</v>
      </c>
      <c r="CM189">
        <v>0.08</v>
      </c>
      <c r="CN189">
        <v>0.11</v>
      </c>
      <c r="CO189">
        <v>-348.21140000000003</v>
      </c>
      <c r="CP189">
        <v>-6.6710769230756544</v>
      </c>
      <c r="CQ189">
        <v>0.64615953138524707</v>
      </c>
      <c r="CR189">
        <v>-1</v>
      </c>
      <c r="CS189">
        <v>23.352422499999999</v>
      </c>
      <c r="CT189">
        <v>0.21184953095683451</v>
      </c>
      <c r="CU189">
        <v>2.0424586746125389E-2</v>
      </c>
      <c r="CV189">
        <v>-1</v>
      </c>
      <c r="CW189">
        <v>0</v>
      </c>
      <c r="CX189">
        <v>0</v>
      </c>
      <c r="CY189" t="s">
        <v>333</v>
      </c>
      <c r="CZ189">
        <v>2.3648199999999999</v>
      </c>
      <c r="DA189">
        <v>2.7138100000000001</v>
      </c>
      <c r="DB189">
        <v>9.7566399999999998E-2</v>
      </c>
      <c r="DC189">
        <v>0.14547399999999999</v>
      </c>
      <c r="DD189">
        <v>0.112084</v>
      </c>
      <c r="DE189">
        <v>2.2923399999999999E-3</v>
      </c>
      <c r="DF189">
        <v>32974.300000000003</v>
      </c>
      <c r="DG189">
        <v>27568.5</v>
      </c>
      <c r="DH189">
        <v>31192.7</v>
      </c>
      <c r="DI189">
        <v>28111.3</v>
      </c>
      <c r="DJ189">
        <v>37600.400000000001</v>
      </c>
      <c r="DK189">
        <v>39890.400000000001</v>
      </c>
      <c r="DL189">
        <v>44394.2</v>
      </c>
      <c r="DM189">
        <v>42607.7</v>
      </c>
      <c r="DN189">
        <v>1.4757</v>
      </c>
      <c r="DO189">
        <v>2.0321500000000001</v>
      </c>
      <c r="DP189">
        <v>0.103395</v>
      </c>
      <c r="DQ189">
        <v>0.170879</v>
      </c>
      <c r="DR189">
        <v>25.2927</v>
      </c>
      <c r="DS189">
        <v>25.057300000000001</v>
      </c>
      <c r="DT189">
        <v>34.799999999999997</v>
      </c>
      <c r="DU189">
        <v>28.9</v>
      </c>
      <c r="DV189">
        <v>14.104200000000001</v>
      </c>
      <c r="DW189">
        <v>61.032200000000003</v>
      </c>
      <c r="DX189">
        <v>36.971200000000003</v>
      </c>
      <c r="DY189">
        <v>1</v>
      </c>
      <c r="DZ189">
        <v>-0.116773</v>
      </c>
      <c r="EA189">
        <v>-0.31520700000000001</v>
      </c>
      <c r="EB189">
        <v>20.189800000000002</v>
      </c>
      <c r="EC189">
        <v>5.24125</v>
      </c>
      <c r="ED189">
        <v>12.039899999999999</v>
      </c>
      <c r="EE189">
        <v>5.0170000000000003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1.8689100000000001</v>
      </c>
      <c r="EL189">
        <v>1.8646100000000001</v>
      </c>
      <c r="EM189">
        <v>1.8692</v>
      </c>
      <c r="EN189">
        <v>1.8672800000000001</v>
      </c>
      <c r="EO189">
        <v>1.8633999999999999</v>
      </c>
      <c r="EP189">
        <v>1.8644700000000001</v>
      </c>
      <c r="EQ189">
        <v>1.87019</v>
      </c>
      <c r="ER189">
        <v>1.86938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-4.2000000000000003E-2</v>
      </c>
      <c r="FG189">
        <v>0.2797</v>
      </c>
      <c r="FH189">
        <v>0.26269369235785539</v>
      </c>
      <c r="FI189">
        <v>-6.1462078757559423E-4</v>
      </c>
      <c r="FJ189">
        <v>-1.8861989874597051E-7</v>
      </c>
      <c r="FK189">
        <v>1.1980462299894961E-10</v>
      </c>
      <c r="FL189">
        <v>0.27968571428570849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38.4</v>
      </c>
      <c r="FU189">
        <v>38.4</v>
      </c>
      <c r="FV189">
        <v>1.7675799999999999</v>
      </c>
      <c r="FW189">
        <v>2.5854499999999998</v>
      </c>
      <c r="FX189">
        <v>1.5490699999999999</v>
      </c>
      <c r="FY189">
        <v>2.3327599999999999</v>
      </c>
      <c r="FZ189">
        <v>1.50146</v>
      </c>
      <c r="GA189">
        <v>2.2729499999999998</v>
      </c>
      <c r="GB189">
        <v>33.535499999999999</v>
      </c>
      <c r="GC189">
        <v>23.982399999999998</v>
      </c>
      <c r="GD189">
        <v>19</v>
      </c>
      <c r="GE189">
        <v>281.44099999999997</v>
      </c>
      <c r="GF189">
        <v>576.46900000000005</v>
      </c>
      <c r="GG189">
        <v>25.110199999999999</v>
      </c>
      <c r="GH189">
        <v>25.9451</v>
      </c>
      <c r="GI189">
        <v>30.0001</v>
      </c>
      <c r="GJ189">
        <v>26.0732</v>
      </c>
      <c r="GK189">
        <v>26.052399999999999</v>
      </c>
      <c r="GL189">
        <v>35.327800000000003</v>
      </c>
      <c r="GM189">
        <v>100</v>
      </c>
      <c r="GN189">
        <v>34.0824</v>
      </c>
      <c r="GO189">
        <v>25.107199999999999</v>
      </c>
      <c r="GP189">
        <v>800</v>
      </c>
      <c r="GQ189">
        <v>0</v>
      </c>
      <c r="GR189">
        <v>99.808599999999998</v>
      </c>
      <c r="GS189">
        <v>99.673500000000004</v>
      </c>
    </row>
    <row r="190" spans="1:201" x14ac:dyDescent="0.25">
      <c r="A190">
        <v>174</v>
      </c>
      <c r="B190">
        <v>1690387136</v>
      </c>
      <c r="C190">
        <v>1801.400000095367</v>
      </c>
      <c r="D190" t="s">
        <v>681</v>
      </c>
      <c r="E190" t="s">
        <v>682</v>
      </c>
      <c r="F190" t="s">
        <v>330</v>
      </c>
      <c r="H190">
        <v>1690387136</v>
      </c>
      <c r="I190">
        <f t="shared" si="60"/>
        <v>2.2650449255011682E-3</v>
      </c>
      <c r="J190">
        <f t="shared" si="61"/>
        <v>2.2650449255011682</v>
      </c>
      <c r="K190">
        <f t="shared" si="62"/>
        <v>32.037677402015326</v>
      </c>
      <c r="L190">
        <f t="shared" si="63"/>
        <v>449.846</v>
      </c>
      <c r="M190">
        <f t="shared" si="64"/>
        <v>110.79648226785214</v>
      </c>
      <c r="N190">
        <f t="shared" si="65"/>
        <v>10.942272111607233</v>
      </c>
      <c r="O190">
        <f t="shared" si="66"/>
        <v>44.426837743983995</v>
      </c>
      <c r="P190">
        <f t="shared" si="67"/>
        <v>0.15959157563729251</v>
      </c>
      <c r="Q190">
        <f t="shared" si="68"/>
        <v>2.1588788605567877</v>
      </c>
      <c r="R190">
        <f t="shared" si="69"/>
        <v>0.1533151751633772</v>
      </c>
      <c r="S190">
        <f t="shared" si="70"/>
        <v>9.6365326885872682E-2</v>
      </c>
      <c r="T190">
        <f t="shared" si="71"/>
        <v>276.11495434799997</v>
      </c>
      <c r="U190">
        <f t="shared" si="72"/>
        <v>27.814910276407964</v>
      </c>
      <c r="V190">
        <f t="shared" si="73"/>
        <v>27.814910276407964</v>
      </c>
      <c r="W190">
        <f t="shared" si="74"/>
        <v>3.7540852210093321</v>
      </c>
      <c r="X190">
        <f t="shared" si="75"/>
        <v>67.579560820846282</v>
      </c>
      <c r="Y190">
        <f t="shared" si="76"/>
        <v>2.3400416561967998</v>
      </c>
      <c r="Z190">
        <f t="shared" si="77"/>
        <v>3.4626470308090052</v>
      </c>
      <c r="AA190">
        <f t="shared" si="78"/>
        <v>1.4140435648125322</v>
      </c>
      <c r="AB190">
        <f t="shared" si="79"/>
        <v>-99.888481214601512</v>
      </c>
      <c r="AC190">
        <f t="shared" si="80"/>
        <v>-160.29278396965069</v>
      </c>
      <c r="AD190">
        <f t="shared" si="81"/>
        <v>-16.043952849431374</v>
      </c>
      <c r="AE190">
        <f t="shared" si="82"/>
        <v>-0.11026368568360567</v>
      </c>
      <c r="AF190">
        <v>0</v>
      </c>
      <c r="AG190">
        <v>0</v>
      </c>
      <c r="AH190">
        <f t="shared" si="83"/>
        <v>1</v>
      </c>
      <c r="AI190">
        <f t="shared" si="84"/>
        <v>0</v>
      </c>
      <c r="AJ190">
        <f t="shared" si="85"/>
        <v>52307.236071865904</v>
      </c>
      <c r="AK190">
        <f t="shared" si="86"/>
        <v>1800</v>
      </c>
      <c r="AL190">
        <f t="shared" si="87"/>
        <v>1499.1121367999999</v>
      </c>
      <c r="AM190">
        <f t="shared" si="88"/>
        <v>0.83284007599999998</v>
      </c>
      <c r="AN190">
        <f t="shared" si="89"/>
        <v>0.15339719685999997</v>
      </c>
      <c r="AO190">
        <v>31.8</v>
      </c>
      <c r="AP190">
        <v>0.5</v>
      </c>
      <c r="AQ190" t="s">
        <v>331</v>
      </c>
      <c r="AR190">
        <v>2</v>
      </c>
      <c r="AS190">
        <v>1690387136</v>
      </c>
      <c r="AT190">
        <v>449.846</v>
      </c>
      <c r="AU190">
        <v>800.03700000000003</v>
      </c>
      <c r="AV190">
        <v>23.694199999999999</v>
      </c>
      <c r="AW190">
        <v>0.26758700000000002</v>
      </c>
      <c r="AX190">
        <v>449.887</v>
      </c>
      <c r="AY190">
        <v>23.4145</v>
      </c>
      <c r="AZ190">
        <v>300.17899999999997</v>
      </c>
      <c r="BA190">
        <v>98.6601</v>
      </c>
      <c r="BB190">
        <v>0.100004</v>
      </c>
      <c r="BC190">
        <v>26.4377</v>
      </c>
      <c r="BD190">
        <v>26.994199999999999</v>
      </c>
      <c r="BE190">
        <v>27.850999999999999</v>
      </c>
      <c r="BF190">
        <v>0</v>
      </c>
      <c r="BG190">
        <v>0</v>
      </c>
      <c r="BH190">
        <v>10008.1</v>
      </c>
      <c r="BI190">
        <v>1078.1300000000001</v>
      </c>
      <c r="BJ190">
        <v>1.5137799999999999</v>
      </c>
      <c r="BK190">
        <v>-350.19099999999997</v>
      </c>
      <c r="BL190">
        <v>460.76400000000001</v>
      </c>
      <c r="BM190">
        <v>800.25099999999998</v>
      </c>
      <c r="BN190">
        <v>23.426600000000001</v>
      </c>
      <c r="BO190">
        <v>800.03700000000003</v>
      </c>
      <c r="BP190">
        <v>0.26758700000000002</v>
      </c>
      <c r="BQ190">
        <v>2.3376700000000001</v>
      </c>
      <c r="BR190">
        <v>2.6400199999999999E-2</v>
      </c>
      <c r="BS190">
        <v>19.938300000000002</v>
      </c>
      <c r="BT190">
        <v>-36.715499999999999</v>
      </c>
      <c r="BU190">
        <v>1800</v>
      </c>
      <c r="BV190">
        <v>0.91000499999999995</v>
      </c>
      <c r="BW190">
        <v>3.4006399999999999E-2</v>
      </c>
      <c r="BX190">
        <v>2.1995799999999999E-2</v>
      </c>
      <c r="BY190">
        <v>3.39934E-2</v>
      </c>
      <c r="BZ190">
        <v>25.666699999999999</v>
      </c>
      <c r="CA190">
        <v>33528.400000000001</v>
      </c>
      <c r="CB190">
        <v>1690384821</v>
      </c>
      <c r="CC190" t="s">
        <v>332</v>
      </c>
      <c r="CD190">
        <v>1690384820</v>
      </c>
      <c r="CE190">
        <v>1690384821</v>
      </c>
      <c r="CF190">
        <v>5</v>
      </c>
      <c r="CG190">
        <v>-2.5000000000000001E-2</v>
      </c>
      <c r="CH190">
        <v>0.104</v>
      </c>
      <c r="CI190">
        <v>-0.28799999999999998</v>
      </c>
      <c r="CJ190">
        <v>0.28000000000000003</v>
      </c>
      <c r="CK190">
        <v>800</v>
      </c>
      <c r="CL190">
        <v>24</v>
      </c>
      <c r="CM190">
        <v>0.08</v>
      </c>
      <c r="CN190">
        <v>0.11</v>
      </c>
      <c r="CO190">
        <v>-349.25087500000001</v>
      </c>
      <c r="CP190">
        <v>-5.7522213883667801</v>
      </c>
      <c r="CQ190">
        <v>0.55503009771993528</v>
      </c>
      <c r="CR190">
        <v>-1</v>
      </c>
      <c r="CS190">
        <v>23.389072500000001</v>
      </c>
      <c r="CT190">
        <v>0.22395984990615239</v>
      </c>
      <c r="CU190">
        <v>2.1596353714227041E-2</v>
      </c>
      <c r="CV190">
        <v>-1</v>
      </c>
      <c r="CW190">
        <v>0</v>
      </c>
      <c r="CX190">
        <v>0</v>
      </c>
      <c r="CY190" t="s">
        <v>333</v>
      </c>
      <c r="CZ190">
        <v>2.3650000000000002</v>
      </c>
      <c r="DA190">
        <v>2.7138</v>
      </c>
      <c r="DB190">
        <v>9.7437399999999993E-2</v>
      </c>
      <c r="DC190">
        <v>0.14546999999999999</v>
      </c>
      <c r="DD190">
        <v>0.112175</v>
      </c>
      <c r="DE190">
        <v>2.23047E-3</v>
      </c>
      <c r="DF190">
        <v>32979.1</v>
      </c>
      <c r="DG190">
        <v>27568.6</v>
      </c>
      <c r="DH190">
        <v>31192.799999999999</v>
      </c>
      <c r="DI190">
        <v>28111.200000000001</v>
      </c>
      <c r="DJ190">
        <v>37596.6</v>
      </c>
      <c r="DK190">
        <v>39892.800000000003</v>
      </c>
      <c r="DL190">
        <v>44394.2</v>
      </c>
      <c r="DM190">
        <v>42607.5</v>
      </c>
      <c r="DN190">
        <v>1.4759199999999999</v>
      </c>
      <c r="DO190">
        <v>2.0321500000000001</v>
      </c>
      <c r="DP190">
        <v>0.103731</v>
      </c>
      <c r="DQ190">
        <v>0.170376</v>
      </c>
      <c r="DR190">
        <v>25.295500000000001</v>
      </c>
      <c r="DS190">
        <v>25.062200000000001</v>
      </c>
      <c r="DT190">
        <v>34.299999999999997</v>
      </c>
      <c r="DU190">
        <v>28.9</v>
      </c>
      <c r="DV190">
        <v>13.898400000000001</v>
      </c>
      <c r="DW190">
        <v>61.142200000000003</v>
      </c>
      <c r="DX190">
        <v>37.151400000000002</v>
      </c>
      <c r="DY190">
        <v>1</v>
      </c>
      <c r="DZ190">
        <v>-0.116753</v>
      </c>
      <c r="EA190">
        <v>-0.307309</v>
      </c>
      <c r="EB190">
        <v>20.190000000000001</v>
      </c>
      <c r="EC190">
        <v>5.2415500000000002</v>
      </c>
      <c r="ED190">
        <v>12.039899999999999</v>
      </c>
      <c r="EE190">
        <v>5.0170500000000002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1.8689100000000001</v>
      </c>
      <c r="EL190">
        <v>1.86463</v>
      </c>
      <c r="EM190">
        <v>1.8692</v>
      </c>
      <c r="EN190">
        <v>1.8672599999999999</v>
      </c>
      <c r="EO190">
        <v>1.8633999999999999</v>
      </c>
      <c r="EP190">
        <v>1.8644700000000001</v>
      </c>
      <c r="EQ190">
        <v>1.87016</v>
      </c>
      <c r="ER190">
        <v>1.8693900000000001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-4.1000000000000002E-2</v>
      </c>
      <c r="FG190">
        <v>0.2797</v>
      </c>
      <c r="FH190">
        <v>0.26269369235785539</v>
      </c>
      <c r="FI190">
        <v>-6.1462078757559423E-4</v>
      </c>
      <c r="FJ190">
        <v>-1.8861989874597051E-7</v>
      </c>
      <c r="FK190">
        <v>1.1980462299894961E-10</v>
      </c>
      <c r="FL190">
        <v>0.27968571428570849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38.6</v>
      </c>
      <c r="FU190">
        <v>38.6</v>
      </c>
      <c r="FV190">
        <v>1.7675799999999999</v>
      </c>
      <c r="FW190">
        <v>2.5793499999999998</v>
      </c>
      <c r="FX190">
        <v>1.5490699999999999</v>
      </c>
      <c r="FY190">
        <v>2.3327599999999999</v>
      </c>
      <c r="FZ190">
        <v>1.50146</v>
      </c>
      <c r="GA190">
        <v>2.323</v>
      </c>
      <c r="GB190">
        <v>33.512999999999998</v>
      </c>
      <c r="GC190">
        <v>23.991199999999999</v>
      </c>
      <c r="GD190">
        <v>19</v>
      </c>
      <c r="GE190">
        <v>281.53199999999998</v>
      </c>
      <c r="GF190">
        <v>576.44500000000005</v>
      </c>
      <c r="GG190">
        <v>25.119800000000001</v>
      </c>
      <c r="GH190">
        <v>25.9451</v>
      </c>
      <c r="GI190">
        <v>30.0001</v>
      </c>
      <c r="GJ190">
        <v>26.072399999999998</v>
      </c>
      <c r="GK190">
        <v>26.0502</v>
      </c>
      <c r="GL190">
        <v>35.326300000000003</v>
      </c>
      <c r="GM190">
        <v>100</v>
      </c>
      <c r="GN190">
        <v>33.336399999999998</v>
      </c>
      <c r="GO190">
        <v>25.1191</v>
      </c>
      <c r="GP190">
        <v>800</v>
      </c>
      <c r="GQ190">
        <v>0</v>
      </c>
      <c r="GR190">
        <v>99.808800000000005</v>
      </c>
      <c r="GS190">
        <v>99.673199999999994</v>
      </c>
    </row>
    <row r="191" spans="1:201" x14ac:dyDescent="0.25">
      <c r="A191">
        <v>175</v>
      </c>
      <c r="B191">
        <v>1690387146</v>
      </c>
      <c r="C191">
        <v>1811.400000095367</v>
      </c>
      <c r="D191" t="s">
        <v>683</v>
      </c>
      <c r="E191" t="s">
        <v>684</v>
      </c>
      <c r="F191" t="s">
        <v>330</v>
      </c>
      <c r="H191">
        <v>1690387146</v>
      </c>
      <c r="I191">
        <f t="shared" si="60"/>
        <v>2.2685961997866069E-3</v>
      </c>
      <c r="J191">
        <f t="shared" si="61"/>
        <v>2.2685961997866069</v>
      </c>
      <c r="K191">
        <f t="shared" si="62"/>
        <v>32.127290696220513</v>
      </c>
      <c r="L191">
        <f t="shared" si="63"/>
        <v>448.91199999999998</v>
      </c>
      <c r="M191">
        <f t="shared" si="64"/>
        <v>109.992159846023</v>
      </c>
      <c r="N191">
        <f t="shared" si="65"/>
        <v>10.863302302421843</v>
      </c>
      <c r="O191">
        <f t="shared" si="66"/>
        <v>44.336494255695996</v>
      </c>
      <c r="P191">
        <f t="shared" si="67"/>
        <v>0.16010977832232254</v>
      </c>
      <c r="Q191">
        <f t="shared" si="68"/>
        <v>2.1563134122932435</v>
      </c>
      <c r="R191">
        <f t="shared" si="69"/>
        <v>0.15378622388126395</v>
      </c>
      <c r="S191">
        <f t="shared" si="70"/>
        <v>9.6663726171570041E-2</v>
      </c>
      <c r="T191">
        <f t="shared" si="71"/>
        <v>276.11478763200006</v>
      </c>
      <c r="U191">
        <f t="shared" si="72"/>
        <v>27.81966832062286</v>
      </c>
      <c r="V191">
        <f t="shared" si="73"/>
        <v>27.81966832062286</v>
      </c>
      <c r="W191">
        <f t="shared" si="74"/>
        <v>3.7551280812689232</v>
      </c>
      <c r="X191">
        <f t="shared" si="75"/>
        <v>67.652062052608969</v>
      </c>
      <c r="Y191">
        <f t="shared" si="76"/>
        <v>2.3431739239917002</v>
      </c>
      <c r="Z191">
        <f t="shared" si="77"/>
        <v>3.4635661543761285</v>
      </c>
      <c r="AA191">
        <f t="shared" si="78"/>
        <v>1.411954157277223</v>
      </c>
      <c r="AB191">
        <f t="shared" si="79"/>
        <v>-100.04509241058936</v>
      </c>
      <c r="AC191">
        <f t="shared" si="80"/>
        <v>-160.13230209697909</v>
      </c>
      <c r="AD191">
        <f t="shared" si="81"/>
        <v>-16.047701507244817</v>
      </c>
      <c r="AE191">
        <f t="shared" si="82"/>
        <v>-0.11030838281320143</v>
      </c>
      <c r="AF191">
        <v>0</v>
      </c>
      <c r="AG191">
        <v>0</v>
      </c>
      <c r="AH191">
        <f t="shared" si="83"/>
        <v>1</v>
      </c>
      <c r="AI191">
        <f t="shared" si="84"/>
        <v>0</v>
      </c>
      <c r="AJ191">
        <f t="shared" si="85"/>
        <v>52199.12982766491</v>
      </c>
      <c r="AK191">
        <f t="shared" si="86"/>
        <v>1800</v>
      </c>
      <c r="AL191">
        <f t="shared" si="87"/>
        <v>1499.1110802000001</v>
      </c>
      <c r="AM191">
        <f t="shared" si="88"/>
        <v>0.83283948900000004</v>
      </c>
      <c r="AN191">
        <f t="shared" si="89"/>
        <v>0.15339710424000003</v>
      </c>
      <c r="AO191">
        <v>31.8</v>
      </c>
      <c r="AP191">
        <v>0.5</v>
      </c>
      <c r="AQ191" t="s">
        <v>331</v>
      </c>
      <c r="AR191">
        <v>2</v>
      </c>
      <c r="AS191">
        <v>1690387146</v>
      </c>
      <c r="AT191">
        <v>448.91199999999998</v>
      </c>
      <c r="AU191">
        <v>800.05499999999995</v>
      </c>
      <c r="AV191">
        <v>23.724900000000002</v>
      </c>
      <c r="AW191">
        <v>0.26174799999999998</v>
      </c>
      <c r="AX191">
        <v>448.952</v>
      </c>
      <c r="AY191">
        <v>23.4452</v>
      </c>
      <c r="AZ191">
        <v>300.17200000000003</v>
      </c>
      <c r="BA191">
        <v>98.664299999999997</v>
      </c>
      <c r="BB191">
        <v>0.100033</v>
      </c>
      <c r="BC191">
        <v>26.4422</v>
      </c>
      <c r="BD191">
        <v>26.9908</v>
      </c>
      <c r="BE191">
        <v>27.854099999999999</v>
      </c>
      <c r="BF191">
        <v>0</v>
      </c>
      <c r="BG191">
        <v>0</v>
      </c>
      <c r="BH191">
        <v>9986.25</v>
      </c>
      <c r="BI191">
        <v>1078.25</v>
      </c>
      <c r="BJ191">
        <v>1.5137799999999999</v>
      </c>
      <c r="BK191">
        <v>-351.14299999999997</v>
      </c>
      <c r="BL191">
        <v>459.82100000000003</v>
      </c>
      <c r="BM191">
        <v>800.26499999999999</v>
      </c>
      <c r="BN191">
        <v>23.463200000000001</v>
      </c>
      <c r="BO191">
        <v>800.05499999999995</v>
      </c>
      <c r="BP191">
        <v>0.26174799999999998</v>
      </c>
      <c r="BQ191">
        <v>2.3408000000000002</v>
      </c>
      <c r="BR191">
        <v>2.58252E-2</v>
      </c>
      <c r="BS191">
        <v>19.96</v>
      </c>
      <c r="BT191">
        <v>-36.933199999999999</v>
      </c>
      <c r="BU191">
        <v>1800</v>
      </c>
      <c r="BV191">
        <v>0.91000400000000004</v>
      </c>
      <c r="BW191">
        <v>3.4007099999999998E-2</v>
      </c>
      <c r="BX191">
        <v>2.19957E-2</v>
      </c>
      <c r="BY191">
        <v>3.3993200000000001E-2</v>
      </c>
      <c r="BZ191">
        <v>25.625</v>
      </c>
      <c r="CA191">
        <v>33528.400000000001</v>
      </c>
      <c r="CB191">
        <v>1690384821</v>
      </c>
      <c r="CC191" t="s">
        <v>332</v>
      </c>
      <c r="CD191">
        <v>1690384820</v>
      </c>
      <c r="CE191">
        <v>1690384821</v>
      </c>
      <c r="CF191">
        <v>5</v>
      </c>
      <c r="CG191">
        <v>-2.5000000000000001E-2</v>
      </c>
      <c r="CH191">
        <v>0.104</v>
      </c>
      <c r="CI191">
        <v>-0.28799999999999998</v>
      </c>
      <c r="CJ191">
        <v>0.28000000000000003</v>
      </c>
      <c r="CK191">
        <v>800</v>
      </c>
      <c r="CL191">
        <v>24</v>
      </c>
      <c r="CM191">
        <v>0.08</v>
      </c>
      <c r="CN191">
        <v>0.11</v>
      </c>
      <c r="CO191">
        <v>-350.17656097560968</v>
      </c>
      <c r="CP191">
        <v>-5.1240000000001924</v>
      </c>
      <c r="CQ191">
        <v>0.50657997460640047</v>
      </c>
      <c r="CR191">
        <v>-1</v>
      </c>
      <c r="CS191">
        <v>23.424431707317069</v>
      </c>
      <c r="CT191">
        <v>0.20074912891991589</v>
      </c>
      <c r="CU191">
        <v>1.9930482096458729E-2</v>
      </c>
      <c r="CV191">
        <v>-1</v>
      </c>
      <c r="CW191">
        <v>0</v>
      </c>
      <c r="CX191">
        <v>0</v>
      </c>
      <c r="CY191" t="s">
        <v>333</v>
      </c>
      <c r="CZ191">
        <v>2.3649499999999999</v>
      </c>
      <c r="DA191">
        <v>2.7138100000000001</v>
      </c>
      <c r="DB191">
        <v>9.7290799999999997E-2</v>
      </c>
      <c r="DC191">
        <v>0.145478</v>
      </c>
      <c r="DD191">
        <v>0.11228399999999999</v>
      </c>
      <c r="DE191">
        <v>2.1826599999999999E-3</v>
      </c>
      <c r="DF191">
        <v>32984.5</v>
      </c>
      <c r="DG191">
        <v>27568.5</v>
      </c>
      <c r="DH191">
        <v>31192.799999999999</v>
      </c>
      <c r="DI191">
        <v>28111.4</v>
      </c>
      <c r="DJ191">
        <v>37592.1</v>
      </c>
      <c r="DK191">
        <v>39895</v>
      </c>
      <c r="DL191">
        <v>44394.400000000001</v>
      </c>
      <c r="DM191">
        <v>42607.9</v>
      </c>
      <c r="DN191">
        <v>1.4761299999999999</v>
      </c>
      <c r="DO191">
        <v>2.0321799999999999</v>
      </c>
      <c r="DP191">
        <v>0.103302</v>
      </c>
      <c r="DQ191">
        <v>0.17024600000000001</v>
      </c>
      <c r="DR191">
        <v>25.298999999999999</v>
      </c>
      <c r="DS191">
        <v>25.067399999999999</v>
      </c>
      <c r="DT191">
        <v>33.9</v>
      </c>
      <c r="DU191">
        <v>28.9</v>
      </c>
      <c r="DV191">
        <v>13.738899999999999</v>
      </c>
      <c r="DW191">
        <v>60.8322</v>
      </c>
      <c r="DX191">
        <v>37.299700000000001</v>
      </c>
      <c r="DY191">
        <v>1</v>
      </c>
      <c r="DZ191">
        <v>-0.11702700000000001</v>
      </c>
      <c r="EA191">
        <v>-5.7214099999999997E-2</v>
      </c>
      <c r="EB191">
        <v>20.190300000000001</v>
      </c>
      <c r="EC191">
        <v>5.2416999999999998</v>
      </c>
      <c r="ED191">
        <v>12.039899999999999</v>
      </c>
      <c r="EE191">
        <v>5.0169499999999996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</v>
      </c>
      <c r="EL191">
        <v>1.8646199999999999</v>
      </c>
      <c r="EM191">
        <v>1.8692</v>
      </c>
      <c r="EN191">
        <v>1.8672200000000001</v>
      </c>
      <c r="EO191">
        <v>1.86338</v>
      </c>
      <c r="EP191">
        <v>1.86446</v>
      </c>
      <c r="EQ191">
        <v>1.87015</v>
      </c>
      <c r="ER191">
        <v>1.86937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-0.04</v>
      </c>
      <c r="FG191">
        <v>0.2797</v>
      </c>
      <c r="FH191">
        <v>0.26269369235785539</v>
      </c>
      <c r="FI191">
        <v>-6.1462078757559423E-4</v>
      </c>
      <c r="FJ191">
        <v>-1.8861989874597051E-7</v>
      </c>
      <c r="FK191">
        <v>1.1980462299894961E-10</v>
      </c>
      <c r="FL191">
        <v>0.27968571428570849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38.799999999999997</v>
      </c>
      <c r="FU191">
        <v>38.799999999999997</v>
      </c>
      <c r="FV191">
        <v>1.7663599999999999</v>
      </c>
      <c r="FW191">
        <v>2.5769000000000002</v>
      </c>
      <c r="FX191">
        <v>1.5490699999999999</v>
      </c>
      <c r="FY191">
        <v>2.3327599999999999</v>
      </c>
      <c r="FZ191">
        <v>1.50146</v>
      </c>
      <c r="GA191">
        <v>2.34375</v>
      </c>
      <c r="GB191">
        <v>33.512999999999998</v>
      </c>
      <c r="GC191">
        <v>23.991199999999999</v>
      </c>
      <c r="GD191">
        <v>19</v>
      </c>
      <c r="GE191">
        <v>281.61099999999999</v>
      </c>
      <c r="GF191">
        <v>576.46500000000003</v>
      </c>
      <c r="GG191">
        <v>25.1096</v>
      </c>
      <c r="GH191">
        <v>25.942900000000002</v>
      </c>
      <c r="GI191">
        <v>29.9999</v>
      </c>
      <c r="GJ191">
        <v>26.071000000000002</v>
      </c>
      <c r="GK191">
        <v>26.0502</v>
      </c>
      <c r="GL191">
        <v>35.325400000000002</v>
      </c>
      <c r="GM191">
        <v>100</v>
      </c>
      <c r="GN191">
        <v>32.5169</v>
      </c>
      <c r="GO191">
        <v>25.0718</v>
      </c>
      <c r="GP191">
        <v>800</v>
      </c>
      <c r="GQ191">
        <v>0</v>
      </c>
      <c r="GR191">
        <v>99.809100000000001</v>
      </c>
      <c r="GS191">
        <v>99.674000000000007</v>
      </c>
    </row>
    <row r="192" spans="1:201" x14ac:dyDescent="0.25">
      <c r="A192">
        <v>176</v>
      </c>
      <c r="B192">
        <v>1690387156</v>
      </c>
      <c r="C192">
        <v>1821.400000095367</v>
      </c>
      <c r="D192" t="s">
        <v>685</v>
      </c>
      <c r="E192" t="s">
        <v>686</v>
      </c>
      <c r="F192" t="s">
        <v>330</v>
      </c>
      <c r="H192">
        <v>1690387156</v>
      </c>
      <c r="I192">
        <f t="shared" si="60"/>
        <v>2.2722835112857702E-3</v>
      </c>
      <c r="J192">
        <f t="shared" si="61"/>
        <v>2.27228351128577</v>
      </c>
      <c r="K192">
        <f t="shared" si="62"/>
        <v>32.215931820557415</v>
      </c>
      <c r="L192">
        <f t="shared" si="63"/>
        <v>448.05700000000002</v>
      </c>
      <c r="M192">
        <f t="shared" si="64"/>
        <v>109.45319826254349</v>
      </c>
      <c r="N192">
        <f t="shared" si="65"/>
        <v>10.809898199984827</v>
      </c>
      <c r="O192">
        <f t="shared" si="66"/>
        <v>44.251338788407999</v>
      </c>
      <c r="P192">
        <f t="shared" si="67"/>
        <v>0.16071378523723151</v>
      </c>
      <c r="Q192">
        <f t="shared" si="68"/>
        <v>2.1550948694606662</v>
      </c>
      <c r="R192">
        <f t="shared" si="69"/>
        <v>0.15434000258486641</v>
      </c>
      <c r="S192">
        <f t="shared" si="70"/>
        <v>9.7014098091759329E-2</v>
      </c>
      <c r="T192">
        <f t="shared" si="71"/>
        <v>276.11479897199996</v>
      </c>
      <c r="U192">
        <f t="shared" si="72"/>
        <v>27.81990290273016</v>
      </c>
      <c r="V192">
        <f t="shared" si="73"/>
        <v>27.81990290273016</v>
      </c>
      <c r="W192">
        <f t="shared" si="74"/>
        <v>3.755179503124813</v>
      </c>
      <c r="X192">
        <f t="shared" si="75"/>
        <v>67.73189633634513</v>
      </c>
      <c r="Y192">
        <f t="shared" si="76"/>
        <v>2.3460497260736002</v>
      </c>
      <c r="Z192">
        <f t="shared" si="77"/>
        <v>3.4637295764221845</v>
      </c>
      <c r="AA192">
        <f t="shared" si="78"/>
        <v>1.4091297770512128</v>
      </c>
      <c r="AB192">
        <f t="shared" si="79"/>
        <v>-100.20770284770246</v>
      </c>
      <c r="AC192">
        <f t="shared" si="80"/>
        <v>-159.97611723507532</v>
      </c>
      <c r="AD192">
        <f t="shared" si="81"/>
        <v>-16.041197182085369</v>
      </c>
      <c r="AE192">
        <f t="shared" si="82"/>
        <v>-0.11021829286318052</v>
      </c>
      <c r="AF192">
        <v>0</v>
      </c>
      <c r="AG192">
        <v>0</v>
      </c>
      <c r="AH192">
        <f t="shared" si="83"/>
        <v>1</v>
      </c>
      <c r="AI192">
        <f t="shared" si="84"/>
        <v>0</v>
      </c>
      <c r="AJ192">
        <f t="shared" si="85"/>
        <v>52147.985641160565</v>
      </c>
      <c r="AK192">
        <f t="shared" si="86"/>
        <v>1800</v>
      </c>
      <c r="AL192">
        <f t="shared" si="87"/>
        <v>1499.1114582</v>
      </c>
      <c r="AM192">
        <f t="shared" si="88"/>
        <v>0.83283969899999999</v>
      </c>
      <c r="AN192">
        <f t="shared" si="89"/>
        <v>0.15339711053999999</v>
      </c>
      <c r="AO192">
        <v>31.8</v>
      </c>
      <c r="AP192">
        <v>0.5</v>
      </c>
      <c r="AQ192" t="s">
        <v>331</v>
      </c>
      <c r="AR192">
        <v>2</v>
      </c>
      <c r="AS192">
        <v>1690387156</v>
      </c>
      <c r="AT192">
        <v>448.05700000000002</v>
      </c>
      <c r="AU192">
        <v>800.10199999999998</v>
      </c>
      <c r="AV192">
        <v>23.7544</v>
      </c>
      <c r="AW192">
        <v>0.25609199999999999</v>
      </c>
      <c r="AX192">
        <v>448.09699999999998</v>
      </c>
      <c r="AY192">
        <v>23.474699999999999</v>
      </c>
      <c r="AZ192">
        <v>300.20100000000002</v>
      </c>
      <c r="BA192">
        <v>98.662700000000001</v>
      </c>
      <c r="BB192">
        <v>0.10004399999999999</v>
      </c>
      <c r="BC192">
        <v>26.443000000000001</v>
      </c>
      <c r="BD192">
        <v>27.018799999999999</v>
      </c>
      <c r="BE192">
        <v>27.860800000000001</v>
      </c>
      <c r="BF192">
        <v>0</v>
      </c>
      <c r="BG192">
        <v>0</v>
      </c>
      <c r="BH192">
        <v>9976.25</v>
      </c>
      <c r="BI192">
        <v>1078.42</v>
      </c>
      <c r="BJ192">
        <v>1.5137799999999999</v>
      </c>
      <c r="BK192">
        <v>-352.04500000000002</v>
      </c>
      <c r="BL192">
        <v>458.959</v>
      </c>
      <c r="BM192">
        <v>800.30700000000002</v>
      </c>
      <c r="BN192">
        <v>23.4983</v>
      </c>
      <c r="BO192">
        <v>800.10199999999998</v>
      </c>
      <c r="BP192">
        <v>0.25609199999999999</v>
      </c>
      <c r="BQ192">
        <v>2.34368</v>
      </c>
      <c r="BR192">
        <v>2.52667E-2</v>
      </c>
      <c r="BS192">
        <v>19.979800000000001</v>
      </c>
      <c r="BT192">
        <v>-37.148699999999998</v>
      </c>
      <c r="BU192">
        <v>1800</v>
      </c>
      <c r="BV192">
        <v>0.91000499999999995</v>
      </c>
      <c r="BW192">
        <v>3.40062E-2</v>
      </c>
      <c r="BX192">
        <v>2.19957E-2</v>
      </c>
      <c r="BY192">
        <v>3.3993200000000001E-2</v>
      </c>
      <c r="BZ192">
        <v>25.458300000000001</v>
      </c>
      <c r="CA192">
        <v>33528.400000000001</v>
      </c>
      <c r="CB192">
        <v>1690384821</v>
      </c>
      <c r="CC192" t="s">
        <v>332</v>
      </c>
      <c r="CD192">
        <v>1690384820</v>
      </c>
      <c r="CE192">
        <v>1690384821</v>
      </c>
      <c r="CF192">
        <v>5</v>
      </c>
      <c r="CG192">
        <v>-2.5000000000000001E-2</v>
      </c>
      <c r="CH192">
        <v>0.104</v>
      </c>
      <c r="CI192">
        <v>-0.28799999999999998</v>
      </c>
      <c r="CJ192">
        <v>0.28000000000000003</v>
      </c>
      <c r="CK192">
        <v>800</v>
      </c>
      <c r="CL192">
        <v>24</v>
      </c>
      <c r="CM192">
        <v>0.08</v>
      </c>
      <c r="CN192">
        <v>0.11</v>
      </c>
      <c r="CO192">
        <v>-351.08634999999998</v>
      </c>
      <c r="CP192">
        <v>-5.2023264540334786</v>
      </c>
      <c r="CQ192">
        <v>0.50168140039271836</v>
      </c>
      <c r="CR192">
        <v>-1</v>
      </c>
      <c r="CS192">
        <v>23.461259999999999</v>
      </c>
      <c r="CT192">
        <v>0.22398799249519519</v>
      </c>
      <c r="CU192">
        <v>2.156652266824674E-2</v>
      </c>
      <c r="CV192">
        <v>-1</v>
      </c>
      <c r="CW192">
        <v>0</v>
      </c>
      <c r="CX192">
        <v>0</v>
      </c>
      <c r="CY192" t="s">
        <v>333</v>
      </c>
      <c r="CZ192">
        <v>2.3650799999999998</v>
      </c>
      <c r="DA192">
        <v>2.7138100000000001</v>
      </c>
      <c r="DB192">
        <v>9.7151000000000001E-2</v>
      </c>
      <c r="DC192">
        <v>0.145481</v>
      </c>
      <c r="DD192">
        <v>0.11238099999999999</v>
      </c>
      <c r="DE192">
        <v>2.1362E-3</v>
      </c>
      <c r="DF192">
        <v>32989.800000000003</v>
      </c>
      <c r="DG192">
        <v>27568.5</v>
      </c>
      <c r="DH192">
        <v>31193</v>
      </c>
      <c r="DI192">
        <v>28111.599999999999</v>
      </c>
      <c r="DJ192">
        <v>37588.1</v>
      </c>
      <c r="DK192">
        <v>39897</v>
      </c>
      <c r="DL192">
        <v>44394.7</v>
      </c>
      <c r="DM192">
        <v>42608.1</v>
      </c>
      <c r="DN192">
        <v>1.4760500000000001</v>
      </c>
      <c r="DO192">
        <v>2.0317699999999999</v>
      </c>
      <c r="DP192">
        <v>0.105016</v>
      </c>
      <c r="DQ192">
        <v>0.17050699999999999</v>
      </c>
      <c r="DR192">
        <v>25.298999999999999</v>
      </c>
      <c r="DS192">
        <v>25.069900000000001</v>
      </c>
      <c r="DT192">
        <v>33.5</v>
      </c>
      <c r="DU192">
        <v>28.9</v>
      </c>
      <c r="DV192">
        <v>13.577299999999999</v>
      </c>
      <c r="DW192">
        <v>61.272199999999998</v>
      </c>
      <c r="DX192">
        <v>37.560099999999998</v>
      </c>
      <c r="DY192">
        <v>1</v>
      </c>
      <c r="DZ192">
        <v>-0.11694599999999999</v>
      </c>
      <c r="EA192">
        <v>-0.25475199999999998</v>
      </c>
      <c r="EB192">
        <v>20.190300000000001</v>
      </c>
      <c r="EC192">
        <v>5.2411000000000003</v>
      </c>
      <c r="ED192">
        <v>12.039899999999999</v>
      </c>
      <c r="EE192">
        <v>5.0171000000000001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1.8689100000000001</v>
      </c>
      <c r="EL192">
        <v>1.8646199999999999</v>
      </c>
      <c r="EM192">
        <v>1.8692</v>
      </c>
      <c r="EN192">
        <v>1.8672299999999999</v>
      </c>
      <c r="EO192">
        <v>1.86338</v>
      </c>
      <c r="EP192">
        <v>1.8644700000000001</v>
      </c>
      <c r="EQ192">
        <v>1.87015</v>
      </c>
      <c r="ER192">
        <v>1.8693599999999999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-0.04</v>
      </c>
      <c r="FG192">
        <v>0.2797</v>
      </c>
      <c r="FH192">
        <v>0.26269369235785539</v>
      </c>
      <c r="FI192">
        <v>-6.1462078757559423E-4</v>
      </c>
      <c r="FJ192">
        <v>-1.8861989874597051E-7</v>
      </c>
      <c r="FK192">
        <v>1.1980462299894961E-10</v>
      </c>
      <c r="FL192">
        <v>0.27968571428570849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38.9</v>
      </c>
      <c r="FU192">
        <v>38.9</v>
      </c>
      <c r="FV192">
        <v>1.7663599999999999</v>
      </c>
      <c r="FW192">
        <v>2.5805699999999998</v>
      </c>
      <c r="FX192">
        <v>1.5490699999999999</v>
      </c>
      <c r="FY192">
        <v>2.3327599999999999</v>
      </c>
      <c r="FZ192">
        <v>1.50146</v>
      </c>
      <c r="GA192">
        <v>2.3901400000000002</v>
      </c>
      <c r="GB192">
        <v>33.512999999999998</v>
      </c>
      <c r="GC192">
        <v>23.991199999999999</v>
      </c>
      <c r="GD192">
        <v>19</v>
      </c>
      <c r="GE192">
        <v>281.57900000000001</v>
      </c>
      <c r="GF192">
        <v>576.13800000000003</v>
      </c>
      <c r="GG192">
        <v>25.079499999999999</v>
      </c>
      <c r="GH192">
        <v>25.942900000000002</v>
      </c>
      <c r="GI192">
        <v>30</v>
      </c>
      <c r="GJ192">
        <v>26.071000000000002</v>
      </c>
      <c r="GK192">
        <v>26.0502</v>
      </c>
      <c r="GL192">
        <v>35.323799999999999</v>
      </c>
      <c r="GM192">
        <v>100</v>
      </c>
      <c r="GN192">
        <v>31.719799999999999</v>
      </c>
      <c r="GO192">
        <v>25.086200000000002</v>
      </c>
      <c r="GP192">
        <v>800</v>
      </c>
      <c r="GQ192">
        <v>0</v>
      </c>
      <c r="GR192">
        <v>99.809700000000007</v>
      </c>
      <c r="GS192">
        <v>99.674499999999995</v>
      </c>
    </row>
    <row r="193" spans="1:201" x14ac:dyDescent="0.25">
      <c r="A193">
        <v>177</v>
      </c>
      <c r="B193">
        <v>1690387166</v>
      </c>
      <c r="C193">
        <v>1831.400000095367</v>
      </c>
      <c r="D193" t="s">
        <v>687</v>
      </c>
      <c r="E193" t="s">
        <v>688</v>
      </c>
      <c r="F193" t="s">
        <v>330</v>
      </c>
      <c r="H193">
        <v>1690387166</v>
      </c>
      <c r="I193">
        <f t="shared" si="60"/>
        <v>2.2758684565513331E-3</v>
      </c>
      <c r="J193">
        <f t="shared" si="61"/>
        <v>2.2758684565513332</v>
      </c>
      <c r="K193">
        <f t="shared" si="62"/>
        <v>32.29144376078326</v>
      </c>
      <c r="L193">
        <f t="shared" si="63"/>
        <v>447.18900000000002</v>
      </c>
      <c r="M193">
        <f t="shared" si="64"/>
        <v>109.17571245534076</v>
      </c>
      <c r="N193">
        <f t="shared" si="65"/>
        <v>10.782812715906211</v>
      </c>
      <c r="O193">
        <f t="shared" si="66"/>
        <v>44.166922543196996</v>
      </c>
      <c r="P193">
        <f t="shared" si="67"/>
        <v>0.16138407042389338</v>
      </c>
      <c r="Q193">
        <f t="shared" si="68"/>
        <v>2.1558796316011017</v>
      </c>
      <c r="R193">
        <f t="shared" si="69"/>
        <v>0.15496039295586214</v>
      </c>
      <c r="S193">
        <f t="shared" si="70"/>
        <v>9.7406082611888031E-2</v>
      </c>
      <c r="T193">
        <f t="shared" si="71"/>
        <v>276.11471439000002</v>
      </c>
      <c r="U193">
        <f t="shared" si="72"/>
        <v>27.818209332283086</v>
      </c>
      <c r="V193">
        <f t="shared" si="73"/>
        <v>27.818209332283086</v>
      </c>
      <c r="W193">
        <f t="shared" si="74"/>
        <v>3.7548082757505239</v>
      </c>
      <c r="X193">
        <f t="shared" si="75"/>
        <v>67.819447825590785</v>
      </c>
      <c r="Y193">
        <f t="shared" si="76"/>
        <v>2.3490822729012</v>
      </c>
      <c r="Z193">
        <f t="shared" si="77"/>
        <v>3.4637295764221845</v>
      </c>
      <c r="AA193">
        <f t="shared" si="78"/>
        <v>1.4057260028493239</v>
      </c>
      <c r="AB193">
        <f t="shared" si="79"/>
        <v>-100.36579893391379</v>
      </c>
      <c r="AC193">
        <f t="shared" si="80"/>
        <v>-159.83753143806828</v>
      </c>
      <c r="AD193">
        <f t="shared" si="81"/>
        <v>-16.021330929610322</v>
      </c>
      <c r="AE193">
        <f t="shared" si="82"/>
        <v>-0.10994691159237391</v>
      </c>
      <c r="AF193">
        <v>0</v>
      </c>
      <c r="AG193">
        <v>0</v>
      </c>
      <c r="AH193">
        <f t="shared" si="83"/>
        <v>1</v>
      </c>
      <c r="AI193">
        <f t="shared" si="84"/>
        <v>0</v>
      </c>
      <c r="AJ193">
        <f t="shared" si="85"/>
        <v>52180.869968180938</v>
      </c>
      <c r="AK193">
        <f t="shared" si="86"/>
        <v>1800</v>
      </c>
      <c r="AL193">
        <f t="shared" si="87"/>
        <v>1499.1101099999998</v>
      </c>
      <c r="AM193">
        <f t="shared" si="88"/>
        <v>0.83283894999999997</v>
      </c>
      <c r="AN193">
        <f t="shared" si="89"/>
        <v>0.15339706355000002</v>
      </c>
      <c r="AO193">
        <v>31.8</v>
      </c>
      <c r="AP193">
        <v>0.5</v>
      </c>
      <c r="AQ193" t="s">
        <v>331</v>
      </c>
      <c r="AR193">
        <v>2</v>
      </c>
      <c r="AS193">
        <v>1690387166</v>
      </c>
      <c r="AT193">
        <v>447.18900000000002</v>
      </c>
      <c r="AU193">
        <v>800.01</v>
      </c>
      <c r="AV193">
        <v>23.784400000000002</v>
      </c>
      <c r="AW193">
        <v>0.25107499999999999</v>
      </c>
      <c r="AX193">
        <v>447.22800000000001</v>
      </c>
      <c r="AY193">
        <v>23.5047</v>
      </c>
      <c r="AZ193">
        <v>300.21800000000002</v>
      </c>
      <c r="BA193">
        <v>98.665599999999998</v>
      </c>
      <c r="BB193">
        <v>0.100073</v>
      </c>
      <c r="BC193">
        <v>26.443000000000001</v>
      </c>
      <c r="BD193">
        <v>26.998699999999999</v>
      </c>
      <c r="BE193">
        <v>27.8627</v>
      </c>
      <c r="BF193">
        <v>0</v>
      </c>
      <c r="BG193">
        <v>0</v>
      </c>
      <c r="BH193">
        <v>9982.5</v>
      </c>
      <c r="BI193">
        <v>1078.3900000000001</v>
      </c>
      <c r="BJ193">
        <v>1.5137799999999999</v>
      </c>
      <c r="BK193">
        <v>-352.82100000000003</v>
      </c>
      <c r="BL193">
        <v>458.084</v>
      </c>
      <c r="BM193">
        <v>800.21100000000001</v>
      </c>
      <c r="BN193">
        <v>23.533300000000001</v>
      </c>
      <c r="BO193">
        <v>800.01</v>
      </c>
      <c r="BP193">
        <v>0.25107499999999999</v>
      </c>
      <c r="BQ193">
        <v>2.3466999999999998</v>
      </c>
      <c r="BR193">
        <v>2.4772499999999999E-2</v>
      </c>
      <c r="BS193">
        <v>20.000599999999999</v>
      </c>
      <c r="BT193">
        <v>-37.3431</v>
      </c>
      <c r="BU193">
        <v>1800</v>
      </c>
      <c r="BV193">
        <v>0.91000199999999998</v>
      </c>
      <c r="BW193">
        <v>3.4009299999999999E-2</v>
      </c>
      <c r="BX193">
        <v>2.1995500000000001E-2</v>
      </c>
      <c r="BY193">
        <v>3.39929E-2</v>
      </c>
      <c r="BZ193">
        <v>25.458300000000001</v>
      </c>
      <c r="CA193">
        <v>33528.400000000001</v>
      </c>
      <c r="CB193">
        <v>1690384821</v>
      </c>
      <c r="CC193" t="s">
        <v>332</v>
      </c>
      <c r="CD193">
        <v>1690384820</v>
      </c>
      <c r="CE193">
        <v>1690384821</v>
      </c>
      <c r="CF193">
        <v>5</v>
      </c>
      <c r="CG193">
        <v>-2.5000000000000001E-2</v>
      </c>
      <c r="CH193">
        <v>0.104</v>
      </c>
      <c r="CI193">
        <v>-0.28799999999999998</v>
      </c>
      <c r="CJ193">
        <v>0.28000000000000003</v>
      </c>
      <c r="CK193">
        <v>800</v>
      </c>
      <c r="CL193">
        <v>24</v>
      </c>
      <c r="CM193">
        <v>0.08</v>
      </c>
      <c r="CN193">
        <v>0.11</v>
      </c>
      <c r="CO193">
        <v>-351.84787499999999</v>
      </c>
      <c r="CP193">
        <v>-4.9429080675418664</v>
      </c>
      <c r="CQ193">
        <v>0.47899129363173287</v>
      </c>
      <c r="CR193">
        <v>-1</v>
      </c>
      <c r="CS193">
        <v>23.493400000000001</v>
      </c>
      <c r="CT193">
        <v>0.2065778611631798</v>
      </c>
      <c r="CU193">
        <v>1.989966080112934E-2</v>
      </c>
      <c r="CV193">
        <v>-1</v>
      </c>
      <c r="CW193">
        <v>0</v>
      </c>
      <c r="CX193">
        <v>0</v>
      </c>
      <c r="CY193" t="s">
        <v>333</v>
      </c>
      <c r="CZ193">
        <v>2.36511</v>
      </c>
      <c r="DA193">
        <v>2.7138499999999999</v>
      </c>
      <c r="DB193">
        <v>9.7013699999999994E-2</v>
      </c>
      <c r="DC193">
        <v>0.14547499999999999</v>
      </c>
      <c r="DD193">
        <v>0.112485</v>
      </c>
      <c r="DE193">
        <v>2.0950700000000001E-3</v>
      </c>
      <c r="DF193">
        <v>32995.1</v>
      </c>
      <c r="DG193">
        <v>27568.5</v>
      </c>
      <c r="DH193">
        <v>31193.200000000001</v>
      </c>
      <c r="DI193">
        <v>28111.3</v>
      </c>
      <c r="DJ193">
        <v>37583.699999999997</v>
      </c>
      <c r="DK193">
        <v>39898.5</v>
      </c>
      <c r="DL193">
        <v>44394.8</v>
      </c>
      <c r="DM193">
        <v>42607.8</v>
      </c>
      <c r="DN193">
        <v>1.4761</v>
      </c>
      <c r="DO193">
        <v>2.0316000000000001</v>
      </c>
      <c r="DP193">
        <v>0.103787</v>
      </c>
      <c r="DQ193">
        <v>0.17061799999999999</v>
      </c>
      <c r="DR193">
        <v>25.298999999999999</v>
      </c>
      <c r="DS193">
        <v>25.069900000000001</v>
      </c>
      <c r="DT193">
        <v>33.1</v>
      </c>
      <c r="DU193">
        <v>28.9</v>
      </c>
      <c r="DV193">
        <v>13.4132</v>
      </c>
      <c r="DW193">
        <v>60.782200000000003</v>
      </c>
      <c r="DX193">
        <v>37.740400000000001</v>
      </c>
      <c r="DY193">
        <v>1</v>
      </c>
      <c r="DZ193">
        <v>-0.116794</v>
      </c>
      <c r="EA193">
        <v>-0.20113</v>
      </c>
      <c r="EB193">
        <v>20.190300000000001</v>
      </c>
      <c r="EC193">
        <v>5.2411000000000003</v>
      </c>
      <c r="ED193">
        <v>12.039899999999999</v>
      </c>
      <c r="EE193">
        <v>5.0170000000000003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</v>
      </c>
      <c r="EL193">
        <v>1.8646199999999999</v>
      </c>
      <c r="EM193">
        <v>1.8692</v>
      </c>
      <c r="EN193">
        <v>1.8672299999999999</v>
      </c>
      <c r="EO193">
        <v>1.8633900000000001</v>
      </c>
      <c r="EP193">
        <v>1.8644700000000001</v>
      </c>
      <c r="EQ193">
        <v>1.8701700000000001</v>
      </c>
      <c r="ER193">
        <v>1.8693900000000001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-3.9E-2</v>
      </c>
      <c r="FG193">
        <v>0.2797</v>
      </c>
      <c r="FH193">
        <v>0.26269369235785539</v>
      </c>
      <c r="FI193">
        <v>-6.1462078757559423E-4</v>
      </c>
      <c r="FJ193">
        <v>-1.8861989874597051E-7</v>
      </c>
      <c r="FK193">
        <v>1.1980462299894961E-10</v>
      </c>
      <c r="FL193">
        <v>0.27968571428570849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39.1</v>
      </c>
      <c r="FU193">
        <v>39.1</v>
      </c>
      <c r="FV193">
        <v>1.7663599999999999</v>
      </c>
      <c r="FW193">
        <v>2.5781200000000002</v>
      </c>
      <c r="FX193">
        <v>1.5490699999999999</v>
      </c>
      <c r="FY193">
        <v>2.3327599999999999</v>
      </c>
      <c r="FZ193">
        <v>1.50146</v>
      </c>
      <c r="GA193">
        <v>2.3815900000000001</v>
      </c>
      <c r="GB193">
        <v>33.512999999999998</v>
      </c>
      <c r="GC193">
        <v>23.991199999999999</v>
      </c>
      <c r="GD193">
        <v>19</v>
      </c>
      <c r="GE193">
        <v>281.58999999999997</v>
      </c>
      <c r="GF193">
        <v>575.971</v>
      </c>
      <c r="GG193">
        <v>25.0749</v>
      </c>
      <c r="GH193">
        <v>25.941500000000001</v>
      </c>
      <c r="GI193">
        <v>30.0001</v>
      </c>
      <c r="GJ193">
        <v>26.0688</v>
      </c>
      <c r="GK193">
        <v>26.048100000000002</v>
      </c>
      <c r="GL193">
        <v>35.323599999999999</v>
      </c>
      <c r="GM193">
        <v>100</v>
      </c>
      <c r="GN193">
        <v>30.921099999999999</v>
      </c>
      <c r="GO193">
        <v>25.068999999999999</v>
      </c>
      <c r="GP193">
        <v>800</v>
      </c>
      <c r="GQ193">
        <v>0</v>
      </c>
      <c r="GR193">
        <v>99.810199999999995</v>
      </c>
      <c r="GS193">
        <v>99.6738</v>
      </c>
    </row>
    <row r="194" spans="1:201" x14ac:dyDescent="0.25">
      <c r="A194">
        <v>178</v>
      </c>
      <c r="B194">
        <v>1690387176</v>
      </c>
      <c r="C194">
        <v>1841.400000095367</v>
      </c>
      <c r="D194" t="s">
        <v>689</v>
      </c>
      <c r="E194" t="s">
        <v>690</v>
      </c>
      <c r="F194" t="s">
        <v>330</v>
      </c>
      <c r="H194">
        <v>1690387176</v>
      </c>
      <c r="I194">
        <f t="shared" si="60"/>
        <v>2.2781128633686406E-3</v>
      </c>
      <c r="J194">
        <f t="shared" si="61"/>
        <v>2.2781128633686407</v>
      </c>
      <c r="K194">
        <f t="shared" si="62"/>
        <v>32.349241731413969</v>
      </c>
      <c r="L194">
        <f t="shared" si="63"/>
        <v>446.50700000000001</v>
      </c>
      <c r="M194">
        <f t="shared" si="64"/>
        <v>108.83627178670562</v>
      </c>
      <c r="N194">
        <f t="shared" si="65"/>
        <v>10.748943380697233</v>
      </c>
      <c r="O194">
        <f t="shared" si="66"/>
        <v>44.098152052569993</v>
      </c>
      <c r="P194">
        <f t="shared" si="67"/>
        <v>0.16183866266707292</v>
      </c>
      <c r="Q194">
        <f t="shared" si="68"/>
        <v>2.1580822974799649</v>
      </c>
      <c r="R194">
        <f t="shared" si="69"/>
        <v>0.15538583406487586</v>
      </c>
      <c r="S194">
        <f t="shared" si="70"/>
        <v>9.767446894627424E-2</v>
      </c>
      <c r="T194">
        <f t="shared" si="71"/>
        <v>276.11488567800001</v>
      </c>
      <c r="U194">
        <f t="shared" si="72"/>
        <v>27.818657127296525</v>
      </c>
      <c r="V194">
        <f t="shared" si="73"/>
        <v>27.818657127296525</v>
      </c>
      <c r="W194">
        <f t="shared" si="74"/>
        <v>3.7549064284393507</v>
      </c>
      <c r="X194">
        <f t="shared" si="75"/>
        <v>67.885392543610706</v>
      </c>
      <c r="Y194">
        <f t="shared" si="76"/>
        <v>2.3517131356179997</v>
      </c>
      <c r="Z194">
        <f t="shared" si="77"/>
        <v>3.4642403137128803</v>
      </c>
      <c r="AA194">
        <f t="shared" si="78"/>
        <v>1.4031932928213511</v>
      </c>
      <c r="AB194">
        <f t="shared" si="79"/>
        <v>-100.46477727455705</v>
      </c>
      <c r="AC194">
        <f t="shared" si="80"/>
        <v>-159.76207078041134</v>
      </c>
      <c r="AD194">
        <f t="shared" si="81"/>
        <v>-15.99765796222443</v>
      </c>
      <c r="AE194">
        <f t="shared" si="82"/>
        <v>-0.10962033919278724</v>
      </c>
      <c r="AF194">
        <v>0</v>
      </c>
      <c r="AG194">
        <v>0</v>
      </c>
      <c r="AH194">
        <f t="shared" si="83"/>
        <v>1</v>
      </c>
      <c r="AI194">
        <f t="shared" si="84"/>
        <v>0</v>
      </c>
      <c r="AJ194">
        <f t="shared" si="85"/>
        <v>52272.560763799003</v>
      </c>
      <c r="AK194">
        <f t="shared" si="86"/>
        <v>1800</v>
      </c>
      <c r="AL194">
        <f t="shared" si="87"/>
        <v>1499.1114978000001</v>
      </c>
      <c r="AM194">
        <f t="shared" si="88"/>
        <v>0.83283972100000003</v>
      </c>
      <c r="AN194">
        <f t="shared" si="89"/>
        <v>0.15339715871000001</v>
      </c>
      <c r="AO194">
        <v>31.8</v>
      </c>
      <c r="AP194">
        <v>0.5</v>
      </c>
      <c r="AQ194" t="s">
        <v>331</v>
      </c>
      <c r="AR194">
        <v>2</v>
      </c>
      <c r="AS194">
        <v>1690387176</v>
      </c>
      <c r="AT194">
        <v>446.50700000000001</v>
      </c>
      <c r="AU194">
        <v>800.07100000000003</v>
      </c>
      <c r="AV194">
        <v>23.811800000000002</v>
      </c>
      <c r="AW194">
        <v>0.24682299999999999</v>
      </c>
      <c r="AX194">
        <v>446.54599999999999</v>
      </c>
      <c r="AY194">
        <v>23.5322</v>
      </c>
      <c r="AZ194">
        <v>300.10199999999998</v>
      </c>
      <c r="BA194">
        <v>98.662499999999994</v>
      </c>
      <c r="BB194">
        <v>0.10001</v>
      </c>
      <c r="BC194">
        <v>26.445499999999999</v>
      </c>
      <c r="BD194">
        <v>27.020299999999999</v>
      </c>
      <c r="BE194">
        <v>27.869299999999999</v>
      </c>
      <c r="BF194">
        <v>0</v>
      </c>
      <c r="BG194">
        <v>0</v>
      </c>
      <c r="BH194">
        <v>10001.200000000001</v>
      </c>
      <c r="BI194">
        <v>1078.54</v>
      </c>
      <c r="BJ194">
        <v>1.5137799999999999</v>
      </c>
      <c r="BK194">
        <v>-353.56400000000002</v>
      </c>
      <c r="BL194">
        <v>457.39800000000002</v>
      </c>
      <c r="BM194">
        <v>800.26900000000001</v>
      </c>
      <c r="BN194">
        <v>23.565000000000001</v>
      </c>
      <c r="BO194">
        <v>800.07100000000003</v>
      </c>
      <c r="BP194">
        <v>0.24682299999999999</v>
      </c>
      <c r="BQ194">
        <v>2.3493400000000002</v>
      </c>
      <c r="BR194">
        <v>2.4352200000000001E-2</v>
      </c>
      <c r="BS194">
        <v>20.018699999999999</v>
      </c>
      <c r="BT194">
        <v>-37.511200000000002</v>
      </c>
      <c r="BU194">
        <v>1800</v>
      </c>
      <c r="BV194">
        <v>0.91000400000000004</v>
      </c>
      <c r="BW194">
        <v>3.4007200000000001E-2</v>
      </c>
      <c r="BX194">
        <v>2.1995799999999999E-2</v>
      </c>
      <c r="BY194">
        <v>3.3993299999999997E-2</v>
      </c>
      <c r="BZ194">
        <v>25.25</v>
      </c>
      <c r="CA194">
        <v>33528.5</v>
      </c>
      <c r="CB194">
        <v>1690384821</v>
      </c>
      <c r="CC194" t="s">
        <v>332</v>
      </c>
      <c r="CD194">
        <v>1690384820</v>
      </c>
      <c r="CE194">
        <v>1690384821</v>
      </c>
      <c r="CF194">
        <v>5</v>
      </c>
      <c r="CG194">
        <v>-2.5000000000000001E-2</v>
      </c>
      <c r="CH194">
        <v>0.104</v>
      </c>
      <c r="CI194">
        <v>-0.28799999999999998</v>
      </c>
      <c r="CJ194">
        <v>0.28000000000000003</v>
      </c>
      <c r="CK194">
        <v>800</v>
      </c>
      <c r="CL194">
        <v>24</v>
      </c>
      <c r="CM194">
        <v>0.08</v>
      </c>
      <c r="CN194">
        <v>0.11</v>
      </c>
      <c r="CO194">
        <v>-352.61562500000002</v>
      </c>
      <c r="CP194">
        <v>-3.9811969981236759</v>
      </c>
      <c r="CQ194">
        <v>0.39008317622655581</v>
      </c>
      <c r="CR194">
        <v>-1</v>
      </c>
      <c r="CS194">
        <v>23.526035</v>
      </c>
      <c r="CT194">
        <v>0.18431819887427089</v>
      </c>
      <c r="CU194">
        <v>1.7821862276428811E-2</v>
      </c>
      <c r="CV194">
        <v>-1</v>
      </c>
      <c r="CW194">
        <v>0</v>
      </c>
      <c r="CX194">
        <v>0</v>
      </c>
      <c r="CY194" t="s">
        <v>333</v>
      </c>
      <c r="CZ194">
        <v>2.3647499999999999</v>
      </c>
      <c r="DA194">
        <v>2.7138</v>
      </c>
      <c r="DB194">
        <v>9.6900399999999998E-2</v>
      </c>
      <c r="DC194">
        <v>0.145478</v>
      </c>
      <c r="DD194">
        <v>0.11257399999999999</v>
      </c>
      <c r="DE194">
        <v>2.0600499999999999E-3</v>
      </c>
      <c r="DF194">
        <v>32998.6</v>
      </c>
      <c r="DG194">
        <v>27568.3</v>
      </c>
      <c r="DH194">
        <v>31192.7</v>
      </c>
      <c r="DI194">
        <v>28111.200000000001</v>
      </c>
      <c r="DJ194">
        <v>37579.4</v>
      </c>
      <c r="DK194">
        <v>39899.699999999997</v>
      </c>
      <c r="DL194">
        <v>44394.2</v>
      </c>
      <c r="DM194">
        <v>42607.6</v>
      </c>
      <c r="DN194">
        <v>1.4759</v>
      </c>
      <c r="DO194">
        <v>2.0321199999999999</v>
      </c>
      <c r="DP194">
        <v>0.10510899999999999</v>
      </c>
      <c r="DQ194">
        <v>0.17089799999999999</v>
      </c>
      <c r="DR194">
        <v>25.298999999999999</v>
      </c>
      <c r="DS194">
        <v>25.071999999999999</v>
      </c>
      <c r="DT194">
        <v>32.700000000000003</v>
      </c>
      <c r="DU194">
        <v>28.9</v>
      </c>
      <c r="DV194">
        <v>13.2523</v>
      </c>
      <c r="DW194">
        <v>60.382199999999997</v>
      </c>
      <c r="DX194">
        <v>37.736400000000003</v>
      </c>
      <c r="DY194">
        <v>1</v>
      </c>
      <c r="DZ194">
        <v>-0.116982</v>
      </c>
      <c r="EA194">
        <v>-0.24723600000000001</v>
      </c>
      <c r="EB194">
        <v>20.190100000000001</v>
      </c>
      <c r="EC194">
        <v>5.2411000000000003</v>
      </c>
      <c r="ED194">
        <v>12.039899999999999</v>
      </c>
      <c r="EE194">
        <v>5.0168499999999998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1.8689100000000001</v>
      </c>
      <c r="EL194">
        <v>1.8646199999999999</v>
      </c>
      <c r="EM194">
        <v>1.8692</v>
      </c>
      <c r="EN194">
        <v>1.86724</v>
      </c>
      <c r="EO194">
        <v>1.8633999999999999</v>
      </c>
      <c r="EP194">
        <v>1.8644700000000001</v>
      </c>
      <c r="EQ194">
        <v>1.8701700000000001</v>
      </c>
      <c r="ER194">
        <v>1.8694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-3.9E-2</v>
      </c>
      <c r="FG194">
        <v>0.27960000000000002</v>
      </c>
      <c r="FH194">
        <v>0.26269369235785539</v>
      </c>
      <c r="FI194">
        <v>-6.1462078757559423E-4</v>
      </c>
      <c r="FJ194">
        <v>-1.8861989874597051E-7</v>
      </c>
      <c r="FK194">
        <v>1.1980462299894961E-10</v>
      </c>
      <c r="FL194">
        <v>0.27968571428570849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39.299999999999997</v>
      </c>
      <c r="FU194">
        <v>39.200000000000003</v>
      </c>
      <c r="FV194">
        <v>1.7663599999999999</v>
      </c>
      <c r="FW194">
        <v>2.5781200000000002</v>
      </c>
      <c r="FX194">
        <v>1.5490699999999999</v>
      </c>
      <c r="FY194">
        <v>2.3327599999999999</v>
      </c>
      <c r="FZ194">
        <v>1.50146</v>
      </c>
      <c r="GA194">
        <v>2.35229</v>
      </c>
      <c r="GB194">
        <v>33.512999999999998</v>
      </c>
      <c r="GC194">
        <v>23.991199999999999</v>
      </c>
      <c r="GD194">
        <v>19</v>
      </c>
      <c r="GE194">
        <v>281.50599999999997</v>
      </c>
      <c r="GF194">
        <v>576.4</v>
      </c>
      <c r="GG194">
        <v>25.0748</v>
      </c>
      <c r="GH194">
        <v>25.9407</v>
      </c>
      <c r="GI194">
        <v>30</v>
      </c>
      <c r="GJ194">
        <v>26.0688</v>
      </c>
      <c r="GK194">
        <v>26.048100000000002</v>
      </c>
      <c r="GL194">
        <v>35.319699999999997</v>
      </c>
      <c r="GM194">
        <v>100</v>
      </c>
      <c r="GN194">
        <v>30.1388</v>
      </c>
      <c r="GO194">
        <v>25.0748</v>
      </c>
      <c r="GP194">
        <v>800</v>
      </c>
      <c r="GQ194">
        <v>0</v>
      </c>
      <c r="GR194">
        <v>99.808700000000002</v>
      </c>
      <c r="GS194">
        <v>99.673299999999998</v>
      </c>
    </row>
    <row r="195" spans="1:201" x14ac:dyDescent="0.25">
      <c r="A195">
        <v>179</v>
      </c>
      <c r="B195">
        <v>1690387186</v>
      </c>
      <c r="C195">
        <v>1851.400000095367</v>
      </c>
      <c r="D195" t="s">
        <v>691</v>
      </c>
      <c r="E195" t="s">
        <v>692</v>
      </c>
      <c r="F195" t="s">
        <v>330</v>
      </c>
      <c r="H195">
        <v>1690387186</v>
      </c>
      <c r="I195">
        <f t="shared" si="60"/>
        <v>2.2813781382346071E-3</v>
      </c>
      <c r="J195">
        <f t="shared" si="61"/>
        <v>2.281378138234607</v>
      </c>
      <c r="K195">
        <f t="shared" si="62"/>
        <v>32.405437570604356</v>
      </c>
      <c r="L195">
        <f t="shared" si="63"/>
        <v>445.86399999999998</v>
      </c>
      <c r="M195">
        <f t="shared" si="64"/>
        <v>108.92887396338055</v>
      </c>
      <c r="N195">
        <f t="shared" si="65"/>
        <v>10.758010836737157</v>
      </c>
      <c r="O195">
        <f t="shared" si="66"/>
        <v>44.034327806633598</v>
      </c>
      <c r="P195">
        <f t="shared" si="67"/>
        <v>0.16249943484767834</v>
      </c>
      <c r="Q195">
        <f t="shared" si="68"/>
        <v>2.1553838343352303</v>
      </c>
      <c r="R195">
        <f t="shared" si="69"/>
        <v>0.15598715237593763</v>
      </c>
      <c r="S195">
        <f t="shared" si="70"/>
        <v>9.8055326335930421E-2</v>
      </c>
      <c r="T195">
        <f t="shared" si="71"/>
        <v>276.11468541000005</v>
      </c>
      <c r="U195">
        <f t="shared" si="72"/>
        <v>27.816295513108223</v>
      </c>
      <c r="V195">
        <f t="shared" si="73"/>
        <v>27.816295513108223</v>
      </c>
      <c r="W195">
        <f t="shared" si="74"/>
        <v>3.7543888088184874</v>
      </c>
      <c r="X195">
        <f t="shared" si="75"/>
        <v>67.980795929399847</v>
      </c>
      <c r="Y195">
        <f t="shared" si="76"/>
        <v>2.3546292735045999</v>
      </c>
      <c r="Z195">
        <f t="shared" si="77"/>
        <v>3.463668292365913</v>
      </c>
      <c r="AA195">
        <f t="shared" si="78"/>
        <v>1.3997595353138874</v>
      </c>
      <c r="AB195">
        <f t="shared" si="79"/>
        <v>-100.60877589614617</v>
      </c>
      <c r="AC195">
        <f t="shared" si="80"/>
        <v>-159.61324539929865</v>
      </c>
      <c r="AD195">
        <f t="shared" si="81"/>
        <v>-16.002352517141638</v>
      </c>
      <c r="AE195">
        <f t="shared" si="82"/>
        <v>-0.10968840258638579</v>
      </c>
      <c r="AF195">
        <v>0</v>
      </c>
      <c r="AG195">
        <v>0</v>
      </c>
      <c r="AH195">
        <f t="shared" si="83"/>
        <v>1</v>
      </c>
      <c r="AI195">
        <f t="shared" si="84"/>
        <v>0</v>
      </c>
      <c r="AJ195">
        <f t="shared" si="85"/>
        <v>52160.103023537224</v>
      </c>
      <c r="AK195">
        <f t="shared" si="86"/>
        <v>1800</v>
      </c>
      <c r="AL195">
        <f t="shared" si="87"/>
        <v>1499.1099839999999</v>
      </c>
      <c r="AM195">
        <f t="shared" si="88"/>
        <v>0.83283887999999995</v>
      </c>
      <c r="AN195">
        <f t="shared" si="89"/>
        <v>0.15339704745000002</v>
      </c>
      <c r="AO195">
        <v>31.8</v>
      </c>
      <c r="AP195">
        <v>0.5</v>
      </c>
      <c r="AQ195" t="s">
        <v>331</v>
      </c>
      <c r="AR195">
        <v>2</v>
      </c>
      <c r="AS195">
        <v>1690387186</v>
      </c>
      <c r="AT195">
        <v>445.86399999999998</v>
      </c>
      <c r="AU195">
        <v>800.03399999999999</v>
      </c>
      <c r="AV195">
        <v>23.8415</v>
      </c>
      <c r="AW195">
        <v>0.242757</v>
      </c>
      <c r="AX195">
        <v>445.90199999999999</v>
      </c>
      <c r="AY195">
        <v>23.561800000000002</v>
      </c>
      <c r="AZ195">
        <v>300.09300000000002</v>
      </c>
      <c r="BA195">
        <v>98.661799999999999</v>
      </c>
      <c r="BB195">
        <v>9.9992399999999995E-2</v>
      </c>
      <c r="BC195">
        <v>26.442699999999999</v>
      </c>
      <c r="BD195">
        <v>27.034300000000002</v>
      </c>
      <c r="BE195">
        <v>27.8596</v>
      </c>
      <c r="BF195">
        <v>0</v>
      </c>
      <c r="BG195">
        <v>0</v>
      </c>
      <c r="BH195">
        <v>9978.75</v>
      </c>
      <c r="BI195">
        <v>1078.6300000000001</v>
      </c>
      <c r="BJ195">
        <v>1.5137799999999999</v>
      </c>
      <c r="BK195">
        <v>-354.17099999999999</v>
      </c>
      <c r="BL195">
        <v>456.75400000000002</v>
      </c>
      <c r="BM195">
        <v>800.22900000000004</v>
      </c>
      <c r="BN195">
        <v>23.598800000000001</v>
      </c>
      <c r="BO195">
        <v>800.03399999999999</v>
      </c>
      <c r="BP195">
        <v>0.242757</v>
      </c>
      <c r="BQ195">
        <v>2.3522500000000002</v>
      </c>
      <c r="BR195">
        <v>2.3950800000000001E-2</v>
      </c>
      <c r="BS195">
        <v>20.038699999999999</v>
      </c>
      <c r="BT195">
        <v>-37.674199999999999</v>
      </c>
      <c r="BU195">
        <v>1800</v>
      </c>
      <c r="BV195">
        <v>0.91000199999999998</v>
      </c>
      <c r="BW195">
        <v>3.4009200000000003E-2</v>
      </c>
      <c r="BX195">
        <v>2.1995500000000001E-2</v>
      </c>
      <c r="BY195">
        <v>3.39929E-2</v>
      </c>
      <c r="BZ195">
        <v>25.458300000000001</v>
      </c>
      <c r="CA195">
        <v>33528.400000000001</v>
      </c>
      <c r="CB195">
        <v>1690384821</v>
      </c>
      <c r="CC195" t="s">
        <v>332</v>
      </c>
      <c r="CD195">
        <v>1690384820</v>
      </c>
      <c r="CE195">
        <v>1690384821</v>
      </c>
      <c r="CF195">
        <v>5</v>
      </c>
      <c r="CG195">
        <v>-2.5000000000000001E-2</v>
      </c>
      <c r="CH195">
        <v>0.104</v>
      </c>
      <c r="CI195">
        <v>-0.28799999999999998</v>
      </c>
      <c r="CJ195">
        <v>0.28000000000000003</v>
      </c>
      <c r="CK195">
        <v>800</v>
      </c>
      <c r="CL195">
        <v>24</v>
      </c>
      <c r="CM195">
        <v>0.08</v>
      </c>
      <c r="CN195">
        <v>0.11</v>
      </c>
      <c r="CO195">
        <v>-353.39075609756088</v>
      </c>
      <c r="CP195">
        <v>-4.610529616724703</v>
      </c>
      <c r="CQ195">
        <v>0.46307396977935128</v>
      </c>
      <c r="CR195">
        <v>-1</v>
      </c>
      <c r="CS195">
        <v>23.561778048780489</v>
      </c>
      <c r="CT195">
        <v>0.2215986062718267</v>
      </c>
      <c r="CU195">
        <v>2.2025401213865859E-2</v>
      </c>
      <c r="CV195">
        <v>-1</v>
      </c>
      <c r="CW195">
        <v>0</v>
      </c>
      <c r="CX195">
        <v>0</v>
      </c>
      <c r="CY195" t="s">
        <v>333</v>
      </c>
      <c r="CZ195">
        <v>2.3647100000000001</v>
      </c>
      <c r="DA195">
        <v>2.7137600000000002</v>
      </c>
      <c r="DB195">
        <v>9.6795999999999993E-2</v>
      </c>
      <c r="DC195">
        <v>0.14547299999999999</v>
      </c>
      <c r="DD195">
        <v>0.112673</v>
      </c>
      <c r="DE195">
        <v>2.0266199999999998E-3</v>
      </c>
      <c r="DF195">
        <v>33002.800000000003</v>
      </c>
      <c r="DG195">
        <v>27568.400000000001</v>
      </c>
      <c r="DH195">
        <v>31193</v>
      </c>
      <c r="DI195">
        <v>28111.1</v>
      </c>
      <c r="DJ195">
        <v>37575.4</v>
      </c>
      <c r="DK195">
        <v>39901</v>
      </c>
      <c r="DL195">
        <v>44394.5</v>
      </c>
      <c r="DM195">
        <v>42607.6</v>
      </c>
      <c r="DN195">
        <v>1.47563</v>
      </c>
      <c r="DO195">
        <v>2.0318999999999998</v>
      </c>
      <c r="DP195">
        <v>0.105966</v>
      </c>
      <c r="DQ195">
        <v>0.17030200000000001</v>
      </c>
      <c r="DR195">
        <v>25.298999999999999</v>
      </c>
      <c r="DS195">
        <v>25.071999999999999</v>
      </c>
      <c r="DT195">
        <v>32.299999999999997</v>
      </c>
      <c r="DU195">
        <v>28.9</v>
      </c>
      <c r="DV195">
        <v>13.088800000000001</v>
      </c>
      <c r="DW195">
        <v>61.152200000000001</v>
      </c>
      <c r="DX195">
        <v>38.068899999999999</v>
      </c>
      <c r="DY195">
        <v>1</v>
      </c>
      <c r="DZ195">
        <v>-0.117017</v>
      </c>
      <c r="EA195">
        <v>-0.15218400000000001</v>
      </c>
      <c r="EB195">
        <v>20.1904</v>
      </c>
      <c r="EC195">
        <v>5.2409499999999998</v>
      </c>
      <c r="ED195">
        <v>12.039899999999999</v>
      </c>
      <c r="EE195">
        <v>5.0168499999999998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1.8689100000000001</v>
      </c>
      <c r="EL195">
        <v>1.8646199999999999</v>
      </c>
      <c r="EM195">
        <v>1.86921</v>
      </c>
      <c r="EN195">
        <v>1.86724</v>
      </c>
      <c r="EO195">
        <v>1.8633900000000001</v>
      </c>
      <c r="EP195">
        <v>1.8644700000000001</v>
      </c>
      <c r="EQ195">
        <v>1.87019</v>
      </c>
      <c r="ER195">
        <v>1.8694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-3.7999999999999999E-2</v>
      </c>
      <c r="FG195">
        <v>0.2797</v>
      </c>
      <c r="FH195">
        <v>0.26269369235785539</v>
      </c>
      <c r="FI195">
        <v>-6.1462078757559423E-4</v>
      </c>
      <c r="FJ195">
        <v>-1.8861989874597051E-7</v>
      </c>
      <c r="FK195">
        <v>1.1980462299894961E-10</v>
      </c>
      <c r="FL195">
        <v>0.27968571428570849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39.4</v>
      </c>
      <c r="FU195">
        <v>39.4</v>
      </c>
      <c r="FV195">
        <v>1.7663599999999999</v>
      </c>
      <c r="FW195">
        <v>2.5793499999999998</v>
      </c>
      <c r="FX195">
        <v>1.5490699999999999</v>
      </c>
      <c r="FY195">
        <v>2.3327599999999999</v>
      </c>
      <c r="FZ195">
        <v>1.50146</v>
      </c>
      <c r="GA195">
        <v>2.3828100000000001</v>
      </c>
      <c r="GB195">
        <v>33.535499999999999</v>
      </c>
      <c r="GC195">
        <v>23.991199999999999</v>
      </c>
      <c r="GD195">
        <v>19</v>
      </c>
      <c r="GE195">
        <v>281.38099999999997</v>
      </c>
      <c r="GF195">
        <v>576.19200000000001</v>
      </c>
      <c r="GG195">
        <v>25.0503</v>
      </c>
      <c r="GH195">
        <v>25.9407</v>
      </c>
      <c r="GI195">
        <v>30</v>
      </c>
      <c r="GJ195">
        <v>26.067</v>
      </c>
      <c r="GK195">
        <v>26.0459</v>
      </c>
      <c r="GL195">
        <v>35.320500000000003</v>
      </c>
      <c r="GM195">
        <v>100</v>
      </c>
      <c r="GN195">
        <v>29.370899999999999</v>
      </c>
      <c r="GO195">
        <v>25.042000000000002</v>
      </c>
      <c r="GP195">
        <v>800</v>
      </c>
      <c r="GQ195">
        <v>0</v>
      </c>
      <c r="GR195">
        <v>99.8095</v>
      </c>
      <c r="GS195">
        <v>99.673299999999998</v>
      </c>
    </row>
    <row r="196" spans="1:201" x14ac:dyDescent="0.25">
      <c r="A196">
        <v>180</v>
      </c>
      <c r="B196">
        <v>1690387196</v>
      </c>
      <c r="C196">
        <v>1861.400000095367</v>
      </c>
      <c r="D196" t="s">
        <v>693</v>
      </c>
      <c r="E196" t="s">
        <v>694</v>
      </c>
      <c r="F196" t="s">
        <v>330</v>
      </c>
      <c r="H196">
        <v>1690387196</v>
      </c>
      <c r="I196">
        <f t="shared" si="60"/>
        <v>2.2843094411469193E-3</v>
      </c>
      <c r="J196">
        <f t="shared" si="61"/>
        <v>2.2843094411469194</v>
      </c>
      <c r="K196">
        <f t="shared" si="62"/>
        <v>32.472585187646644</v>
      </c>
      <c r="L196">
        <f t="shared" si="63"/>
        <v>445.20299999999997</v>
      </c>
      <c r="M196">
        <f t="shared" si="64"/>
        <v>108.81084352784909</v>
      </c>
      <c r="N196">
        <f t="shared" si="65"/>
        <v>10.746159450864592</v>
      </c>
      <c r="O196">
        <f t="shared" si="66"/>
        <v>43.968250506014989</v>
      </c>
      <c r="P196">
        <f t="shared" si="67"/>
        <v>0.16310734301423524</v>
      </c>
      <c r="Q196">
        <f t="shared" si="68"/>
        <v>2.157608995908137</v>
      </c>
      <c r="R196">
        <f t="shared" si="69"/>
        <v>0.15655377542513077</v>
      </c>
      <c r="S196">
        <f t="shared" si="70"/>
        <v>9.8412980437716402E-2</v>
      </c>
      <c r="T196">
        <f t="shared" si="71"/>
        <v>276.114859524</v>
      </c>
      <c r="U196">
        <f t="shared" si="72"/>
        <v>27.810701747335017</v>
      </c>
      <c r="V196">
        <f t="shared" si="73"/>
        <v>27.810701747335017</v>
      </c>
      <c r="W196">
        <f t="shared" si="74"/>
        <v>3.7531630131896589</v>
      </c>
      <c r="X196">
        <f t="shared" si="75"/>
        <v>68.054112788870881</v>
      </c>
      <c r="Y196">
        <f t="shared" si="76"/>
        <v>2.3567099993149996</v>
      </c>
      <c r="Z196">
        <f t="shared" si="77"/>
        <v>3.46299423023321</v>
      </c>
      <c r="AA196">
        <f t="shared" si="78"/>
        <v>1.3964530138746594</v>
      </c>
      <c r="AB196">
        <f t="shared" si="79"/>
        <v>-100.73804635457914</v>
      </c>
      <c r="AC196">
        <f t="shared" si="80"/>
        <v>-159.5112127495658</v>
      </c>
      <c r="AD196">
        <f t="shared" si="81"/>
        <v>-15.974919827486842</v>
      </c>
      <c r="AE196">
        <f t="shared" si="82"/>
        <v>-0.10931940763174453</v>
      </c>
      <c r="AF196">
        <v>0</v>
      </c>
      <c r="AG196">
        <v>0</v>
      </c>
      <c r="AH196">
        <f t="shared" si="83"/>
        <v>1</v>
      </c>
      <c r="AI196">
        <f t="shared" si="84"/>
        <v>0</v>
      </c>
      <c r="AJ196">
        <f t="shared" si="85"/>
        <v>52253.75261299291</v>
      </c>
      <c r="AK196">
        <f t="shared" si="86"/>
        <v>1800</v>
      </c>
      <c r="AL196">
        <f t="shared" si="87"/>
        <v>1499.1110784</v>
      </c>
      <c r="AM196">
        <f t="shared" si="88"/>
        <v>0.83283948799999996</v>
      </c>
      <c r="AN196">
        <f t="shared" si="89"/>
        <v>0.15339714418</v>
      </c>
      <c r="AO196">
        <v>31.8</v>
      </c>
      <c r="AP196">
        <v>0.5</v>
      </c>
      <c r="AQ196" t="s">
        <v>331</v>
      </c>
      <c r="AR196">
        <v>2</v>
      </c>
      <c r="AS196">
        <v>1690387196</v>
      </c>
      <c r="AT196">
        <v>445.20299999999997</v>
      </c>
      <c r="AU196">
        <v>800.01499999999999</v>
      </c>
      <c r="AV196">
        <v>23.863</v>
      </c>
      <c r="AW196">
        <v>0.23894299999999999</v>
      </c>
      <c r="AX196">
        <v>445.24099999999999</v>
      </c>
      <c r="AY196">
        <v>23.583300000000001</v>
      </c>
      <c r="AZ196">
        <v>300.14999999999998</v>
      </c>
      <c r="BA196">
        <v>98.66</v>
      </c>
      <c r="BB196">
        <v>0.100005</v>
      </c>
      <c r="BC196">
        <v>26.439399999999999</v>
      </c>
      <c r="BD196">
        <v>26.997800000000002</v>
      </c>
      <c r="BE196">
        <v>27.8505</v>
      </c>
      <c r="BF196">
        <v>0</v>
      </c>
      <c r="BG196">
        <v>0</v>
      </c>
      <c r="BH196">
        <v>9997.5</v>
      </c>
      <c r="BI196">
        <v>1078.7</v>
      </c>
      <c r="BJ196">
        <v>1.5137799999999999</v>
      </c>
      <c r="BK196">
        <v>-354.81200000000001</v>
      </c>
      <c r="BL196">
        <v>456.08699999999999</v>
      </c>
      <c r="BM196">
        <v>800.20600000000002</v>
      </c>
      <c r="BN196">
        <v>23.624099999999999</v>
      </c>
      <c r="BO196">
        <v>800.01499999999999</v>
      </c>
      <c r="BP196">
        <v>0.23894299999999999</v>
      </c>
      <c r="BQ196">
        <v>2.35432</v>
      </c>
      <c r="BR196">
        <v>2.3574100000000001E-2</v>
      </c>
      <c r="BS196">
        <v>20.053000000000001</v>
      </c>
      <c r="BT196">
        <v>-37.829500000000003</v>
      </c>
      <c r="BU196">
        <v>1800</v>
      </c>
      <c r="BV196">
        <v>0.91000300000000001</v>
      </c>
      <c r="BW196">
        <v>3.40091E-2</v>
      </c>
      <c r="BX196">
        <v>2.1995399999999998E-2</v>
      </c>
      <c r="BY196">
        <v>3.3992799999999997E-2</v>
      </c>
      <c r="BZ196">
        <v>25.125</v>
      </c>
      <c r="CA196">
        <v>33528.300000000003</v>
      </c>
      <c r="CB196">
        <v>1690384821</v>
      </c>
      <c r="CC196" t="s">
        <v>332</v>
      </c>
      <c r="CD196">
        <v>1690384820</v>
      </c>
      <c r="CE196">
        <v>1690384821</v>
      </c>
      <c r="CF196">
        <v>5</v>
      </c>
      <c r="CG196">
        <v>-2.5000000000000001E-2</v>
      </c>
      <c r="CH196">
        <v>0.104</v>
      </c>
      <c r="CI196">
        <v>-0.28799999999999998</v>
      </c>
      <c r="CJ196">
        <v>0.28000000000000003</v>
      </c>
      <c r="CK196">
        <v>800</v>
      </c>
      <c r="CL196">
        <v>24</v>
      </c>
      <c r="CM196">
        <v>0.08</v>
      </c>
      <c r="CN196">
        <v>0.11</v>
      </c>
      <c r="CO196">
        <v>-354.10599999999999</v>
      </c>
      <c r="CP196">
        <v>-3.74458536585239</v>
      </c>
      <c r="CQ196">
        <v>0.36239639898873027</v>
      </c>
      <c r="CR196">
        <v>-1</v>
      </c>
      <c r="CS196">
        <v>23.595445000000002</v>
      </c>
      <c r="CT196">
        <v>0.18728105065662159</v>
      </c>
      <c r="CU196">
        <v>1.810709736539785E-2</v>
      </c>
      <c r="CV196">
        <v>-1</v>
      </c>
      <c r="CW196">
        <v>0</v>
      </c>
      <c r="CX196">
        <v>0</v>
      </c>
      <c r="CY196" t="s">
        <v>333</v>
      </c>
      <c r="CZ196">
        <v>2.3648899999999999</v>
      </c>
      <c r="DA196">
        <v>2.7137899999999999</v>
      </c>
      <c r="DB196">
        <v>9.6687099999999998E-2</v>
      </c>
      <c r="DC196">
        <v>0.14546799999999999</v>
      </c>
      <c r="DD196">
        <v>0.112744</v>
      </c>
      <c r="DE196">
        <v>1.9951999999999999E-3</v>
      </c>
      <c r="DF196">
        <v>33007.1</v>
      </c>
      <c r="DG196">
        <v>27569</v>
      </c>
      <c r="DH196">
        <v>31193.3</v>
      </c>
      <c r="DI196">
        <v>28111.599999999999</v>
      </c>
      <c r="DJ196">
        <v>37573</v>
      </c>
      <c r="DK196">
        <v>39902.699999999997</v>
      </c>
      <c r="DL196">
        <v>44395.199999999997</v>
      </c>
      <c r="DM196">
        <v>42608.1</v>
      </c>
      <c r="DN196">
        <v>1.4761</v>
      </c>
      <c r="DO196">
        <v>2.0318000000000001</v>
      </c>
      <c r="DP196">
        <v>0.1036</v>
      </c>
      <c r="DQ196">
        <v>0.169743</v>
      </c>
      <c r="DR196">
        <v>25.301200000000001</v>
      </c>
      <c r="DS196">
        <v>25.071999999999999</v>
      </c>
      <c r="DT196">
        <v>31.9</v>
      </c>
      <c r="DU196">
        <v>28.9</v>
      </c>
      <c r="DV196">
        <v>12.9283</v>
      </c>
      <c r="DW196">
        <v>61.232199999999999</v>
      </c>
      <c r="DX196">
        <v>37.852600000000002</v>
      </c>
      <c r="DY196">
        <v>1</v>
      </c>
      <c r="DZ196">
        <v>-0.11751300000000001</v>
      </c>
      <c r="EA196">
        <v>-0.14228199999999999</v>
      </c>
      <c r="EB196">
        <v>20.190300000000001</v>
      </c>
      <c r="EC196">
        <v>5.2409499999999998</v>
      </c>
      <c r="ED196">
        <v>12.039899999999999</v>
      </c>
      <c r="EE196">
        <v>5.01715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1.8689100000000001</v>
      </c>
      <c r="EL196">
        <v>1.8646199999999999</v>
      </c>
      <c r="EM196">
        <v>1.8692</v>
      </c>
      <c r="EN196">
        <v>1.86724</v>
      </c>
      <c r="EO196">
        <v>1.8633900000000001</v>
      </c>
      <c r="EP196">
        <v>1.8644700000000001</v>
      </c>
      <c r="EQ196">
        <v>1.8702000000000001</v>
      </c>
      <c r="ER196">
        <v>1.8693900000000001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-3.7999999999999999E-2</v>
      </c>
      <c r="FG196">
        <v>0.2797</v>
      </c>
      <c r="FH196">
        <v>0.26269369235785539</v>
      </c>
      <c r="FI196">
        <v>-6.1462078757559423E-4</v>
      </c>
      <c r="FJ196">
        <v>-1.8861989874597051E-7</v>
      </c>
      <c r="FK196">
        <v>1.1980462299894961E-10</v>
      </c>
      <c r="FL196">
        <v>0.27968571428570849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39.6</v>
      </c>
      <c r="FU196">
        <v>39.6</v>
      </c>
      <c r="FV196">
        <v>1.7663599999999999</v>
      </c>
      <c r="FW196">
        <v>2.5805699999999998</v>
      </c>
      <c r="FX196">
        <v>1.5490699999999999</v>
      </c>
      <c r="FY196">
        <v>2.3327599999999999</v>
      </c>
      <c r="FZ196">
        <v>1.50146</v>
      </c>
      <c r="GA196">
        <v>2.3889200000000002</v>
      </c>
      <c r="GB196">
        <v>33.512999999999998</v>
      </c>
      <c r="GC196">
        <v>23.991199999999999</v>
      </c>
      <c r="GD196">
        <v>19</v>
      </c>
      <c r="GE196">
        <v>281.58100000000002</v>
      </c>
      <c r="GF196">
        <v>576.11</v>
      </c>
      <c r="GG196">
        <v>24.997399999999999</v>
      </c>
      <c r="GH196">
        <v>25.938500000000001</v>
      </c>
      <c r="GI196">
        <v>29.9999</v>
      </c>
      <c r="GJ196">
        <v>26.066700000000001</v>
      </c>
      <c r="GK196">
        <v>26.0459</v>
      </c>
      <c r="GL196">
        <v>35.32</v>
      </c>
      <c r="GM196">
        <v>100</v>
      </c>
      <c r="GN196">
        <v>28.608000000000001</v>
      </c>
      <c r="GO196">
        <v>25.001999999999999</v>
      </c>
      <c r="GP196">
        <v>800</v>
      </c>
      <c r="GQ196">
        <v>0</v>
      </c>
      <c r="GR196">
        <v>99.8108</v>
      </c>
      <c r="GS196">
        <v>99.674499999999995</v>
      </c>
    </row>
    <row r="197" spans="1:201" x14ac:dyDescent="0.25">
      <c r="A197">
        <v>181</v>
      </c>
      <c r="B197">
        <v>1690387206</v>
      </c>
      <c r="C197">
        <v>1871.400000095367</v>
      </c>
      <c r="D197" t="s">
        <v>695</v>
      </c>
      <c r="E197" t="s">
        <v>696</v>
      </c>
      <c r="F197" t="s">
        <v>330</v>
      </c>
      <c r="H197">
        <v>1690387206</v>
      </c>
      <c r="I197">
        <f t="shared" si="60"/>
        <v>2.287083683275206E-3</v>
      </c>
      <c r="J197">
        <f t="shared" si="61"/>
        <v>2.2870836832752062</v>
      </c>
      <c r="K197">
        <f t="shared" si="62"/>
        <v>32.541254188263061</v>
      </c>
      <c r="L197">
        <f t="shared" si="63"/>
        <v>444.45699999999999</v>
      </c>
      <c r="M197">
        <f t="shared" si="64"/>
        <v>108.85893122308215</v>
      </c>
      <c r="N197">
        <f t="shared" si="65"/>
        <v>10.75112185741841</v>
      </c>
      <c r="O197">
        <f t="shared" si="66"/>
        <v>43.895446277993699</v>
      </c>
      <c r="P197">
        <f t="shared" si="67"/>
        <v>0.16384522812724059</v>
      </c>
      <c r="Q197">
        <f t="shared" si="68"/>
        <v>2.1624143945797956</v>
      </c>
      <c r="R197">
        <f t="shared" si="69"/>
        <v>0.15724757966484132</v>
      </c>
      <c r="S197">
        <f t="shared" si="70"/>
        <v>9.8850372495179889E-2</v>
      </c>
      <c r="T197">
        <f t="shared" si="71"/>
        <v>276.11318891531727</v>
      </c>
      <c r="U197">
        <f t="shared" si="72"/>
        <v>27.802766976566879</v>
      </c>
      <c r="V197">
        <f t="shared" si="73"/>
        <v>27.802766976566879</v>
      </c>
      <c r="W197">
        <f t="shared" si="74"/>
        <v>3.7514248180251304</v>
      </c>
      <c r="X197">
        <f t="shared" si="75"/>
        <v>68.149344292958887</v>
      </c>
      <c r="Y197">
        <f t="shared" si="76"/>
        <v>2.359423322349</v>
      </c>
      <c r="Z197">
        <f t="shared" si="77"/>
        <v>3.4621364986379959</v>
      </c>
      <c r="AA197">
        <f t="shared" si="78"/>
        <v>1.3920014956761304</v>
      </c>
      <c r="AB197">
        <f t="shared" si="79"/>
        <v>-100.86039043243659</v>
      </c>
      <c r="AC197">
        <f t="shared" si="80"/>
        <v>-159.43107415335058</v>
      </c>
      <c r="AD197">
        <f t="shared" si="81"/>
        <v>-15.930445131715127</v>
      </c>
      <c r="AE197">
        <f t="shared" si="82"/>
        <v>-0.10872080218504721</v>
      </c>
      <c r="AF197">
        <v>0</v>
      </c>
      <c r="AG197">
        <v>0</v>
      </c>
      <c r="AH197">
        <f t="shared" si="83"/>
        <v>1</v>
      </c>
      <c r="AI197">
        <f t="shared" si="84"/>
        <v>0</v>
      </c>
      <c r="AJ197">
        <f t="shared" si="85"/>
        <v>52455.969406432545</v>
      </c>
      <c r="AK197">
        <f t="shared" si="86"/>
        <v>1799.99</v>
      </c>
      <c r="AL197">
        <f t="shared" si="87"/>
        <v>1499.10248720658</v>
      </c>
      <c r="AM197">
        <f t="shared" si="88"/>
        <v>0.83283934199999998</v>
      </c>
      <c r="AN197">
        <f t="shared" si="89"/>
        <v>0.15339706826999999</v>
      </c>
      <c r="AO197">
        <v>31.8</v>
      </c>
      <c r="AP197">
        <v>0.5</v>
      </c>
      <c r="AQ197" t="s">
        <v>331</v>
      </c>
      <c r="AR197">
        <v>2</v>
      </c>
      <c r="AS197">
        <v>1690387206</v>
      </c>
      <c r="AT197">
        <v>444.45699999999999</v>
      </c>
      <c r="AU197">
        <v>800.03300000000002</v>
      </c>
      <c r="AV197">
        <v>23.89</v>
      </c>
      <c r="AW197">
        <v>0.235148</v>
      </c>
      <c r="AX197">
        <v>444.495</v>
      </c>
      <c r="AY197">
        <v>23.610299999999999</v>
      </c>
      <c r="AZ197">
        <v>300.11500000000001</v>
      </c>
      <c r="BA197">
        <v>98.662000000000006</v>
      </c>
      <c r="BB197">
        <v>9.99641E-2</v>
      </c>
      <c r="BC197">
        <v>26.435199999999998</v>
      </c>
      <c r="BD197">
        <v>26.998699999999999</v>
      </c>
      <c r="BE197">
        <v>27.844100000000001</v>
      </c>
      <c r="BF197">
        <v>0</v>
      </c>
      <c r="BG197">
        <v>0</v>
      </c>
      <c r="BH197">
        <v>10037.5</v>
      </c>
      <c r="BI197">
        <v>1078.81</v>
      </c>
      <c r="BJ197">
        <v>1.5137799999999999</v>
      </c>
      <c r="BK197">
        <v>-355.57600000000002</v>
      </c>
      <c r="BL197">
        <v>455.33499999999998</v>
      </c>
      <c r="BM197">
        <v>800.22199999999998</v>
      </c>
      <c r="BN197">
        <v>23.654800000000002</v>
      </c>
      <c r="BO197">
        <v>800.03300000000002</v>
      </c>
      <c r="BP197">
        <v>0.235148</v>
      </c>
      <c r="BQ197">
        <v>2.35703</v>
      </c>
      <c r="BR197">
        <v>2.3200200000000001E-2</v>
      </c>
      <c r="BS197">
        <v>20.0716</v>
      </c>
      <c r="BT197">
        <v>-37.985799999999998</v>
      </c>
      <c r="BU197">
        <v>1799.99</v>
      </c>
      <c r="BV197">
        <v>0.91000400000000004</v>
      </c>
      <c r="BW197">
        <v>3.40086E-2</v>
      </c>
      <c r="BX197">
        <v>2.19951E-2</v>
      </c>
      <c r="BY197">
        <v>3.3992300000000003E-2</v>
      </c>
      <c r="BZ197">
        <v>25</v>
      </c>
      <c r="CA197">
        <v>33528.199999999997</v>
      </c>
      <c r="CB197">
        <v>1690384821</v>
      </c>
      <c r="CC197" t="s">
        <v>332</v>
      </c>
      <c r="CD197">
        <v>1690384820</v>
      </c>
      <c r="CE197">
        <v>1690384821</v>
      </c>
      <c r="CF197">
        <v>5</v>
      </c>
      <c r="CG197">
        <v>-2.5000000000000001E-2</v>
      </c>
      <c r="CH197">
        <v>0.104</v>
      </c>
      <c r="CI197">
        <v>-0.28799999999999998</v>
      </c>
      <c r="CJ197">
        <v>0.28000000000000003</v>
      </c>
      <c r="CK197">
        <v>800</v>
      </c>
      <c r="CL197">
        <v>24</v>
      </c>
      <c r="CM197">
        <v>0.08</v>
      </c>
      <c r="CN197">
        <v>0.11</v>
      </c>
      <c r="CO197">
        <v>-354.79012499999999</v>
      </c>
      <c r="CP197">
        <v>-4.3452270168856932</v>
      </c>
      <c r="CQ197">
        <v>0.4219215085475041</v>
      </c>
      <c r="CR197">
        <v>-1</v>
      </c>
      <c r="CS197">
        <v>23.62415</v>
      </c>
      <c r="CT197">
        <v>0.16754296435270741</v>
      </c>
      <c r="CU197">
        <v>1.6191232195234509E-2</v>
      </c>
      <c r="CV197">
        <v>-1</v>
      </c>
      <c r="CW197">
        <v>0</v>
      </c>
      <c r="CX197">
        <v>0</v>
      </c>
      <c r="CY197" t="s">
        <v>333</v>
      </c>
      <c r="CZ197">
        <v>2.36477</v>
      </c>
      <c r="DA197">
        <v>2.7137899999999999</v>
      </c>
      <c r="DB197">
        <v>9.6568100000000004E-2</v>
      </c>
      <c r="DC197">
        <v>0.14547299999999999</v>
      </c>
      <c r="DD197">
        <v>0.11283600000000001</v>
      </c>
      <c r="DE197">
        <v>1.9640199999999999E-3</v>
      </c>
      <c r="DF197">
        <v>33011.199999999997</v>
      </c>
      <c r="DG197">
        <v>27568.9</v>
      </c>
      <c r="DH197">
        <v>31193.1</v>
      </c>
      <c r="DI197">
        <v>28111.7</v>
      </c>
      <c r="DJ197">
        <v>37568.800000000003</v>
      </c>
      <c r="DK197">
        <v>39904</v>
      </c>
      <c r="DL197">
        <v>44395</v>
      </c>
      <c r="DM197">
        <v>42608.1</v>
      </c>
      <c r="DN197">
        <v>1.476</v>
      </c>
      <c r="DO197">
        <v>2.0319199999999999</v>
      </c>
      <c r="DP197">
        <v>0.10352600000000001</v>
      </c>
      <c r="DQ197">
        <v>0.169352</v>
      </c>
      <c r="DR197">
        <v>25.3033</v>
      </c>
      <c r="DS197">
        <v>25.071999999999999</v>
      </c>
      <c r="DT197">
        <v>31.6</v>
      </c>
      <c r="DU197">
        <v>28.9</v>
      </c>
      <c r="DV197">
        <v>12.8049</v>
      </c>
      <c r="DW197">
        <v>61.5822</v>
      </c>
      <c r="DX197">
        <v>37.828499999999998</v>
      </c>
      <c r="DY197">
        <v>1</v>
      </c>
      <c r="DZ197">
        <v>-0.117322</v>
      </c>
      <c r="EA197">
        <v>-0.34573300000000001</v>
      </c>
      <c r="EB197">
        <v>20.189800000000002</v>
      </c>
      <c r="EC197">
        <v>5.2411000000000003</v>
      </c>
      <c r="ED197">
        <v>12.039899999999999</v>
      </c>
      <c r="EE197">
        <v>5.0170500000000002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1.8689100000000001</v>
      </c>
      <c r="EL197">
        <v>1.8646100000000001</v>
      </c>
      <c r="EM197">
        <v>1.8692</v>
      </c>
      <c r="EN197">
        <v>1.8672500000000001</v>
      </c>
      <c r="EO197">
        <v>1.86338</v>
      </c>
      <c r="EP197">
        <v>1.86446</v>
      </c>
      <c r="EQ197">
        <v>1.87018</v>
      </c>
      <c r="ER197">
        <v>1.86938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-3.7999999999999999E-2</v>
      </c>
      <c r="FG197">
        <v>0.2797</v>
      </c>
      <c r="FH197">
        <v>0.26269369235785539</v>
      </c>
      <c r="FI197">
        <v>-6.1462078757559423E-4</v>
      </c>
      <c r="FJ197">
        <v>-1.8861989874597051E-7</v>
      </c>
      <c r="FK197">
        <v>1.1980462299894961E-10</v>
      </c>
      <c r="FL197">
        <v>0.27968571428570849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39.799999999999997</v>
      </c>
      <c r="FU197">
        <v>39.799999999999997</v>
      </c>
      <c r="FV197">
        <v>1.7663599999999999</v>
      </c>
      <c r="FW197">
        <v>2.5842299999999998</v>
      </c>
      <c r="FX197">
        <v>1.5490699999999999</v>
      </c>
      <c r="FY197">
        <v>2.3327599999999999</v>
      </c>
      <c r="FZ197">
        <v>1.50146</v>
      </c>
      <c r="GA197">
        <v>2.3571800000000001</v>
      </c>
      <c r="GB197">
        <v>33.512999999999998</v>
      </c>
      <c r="GC197">
        <v>23.991199999999999</v>
      </c>
      <c r="GD197">
        <v>19</v>
      </c>
      <c r="GE197">
        <v>281.53699999999998</v>
      </c>
      <c r="GF197">
        <v>576.19899999999996</v>
      </c>
      <c r="GG197">
        <v>25.006399999999999</v>
      </c>
      <c r="GH197">
        <v>25.938500000000001</v>
      </c>
      <c r="GI197">
        <v>30</v>
      </c>
      <c r="GJ197">
        <v>26.066400000000002</v>
      </c>
      <c r="GK197">
        <v>26.044599999999999</v>
      </c>
      <c r="GL197">
        <v>35.317300000000003</v>
      </c>
      <c r="GM197">
        <v>100</v>
      </c>
      <c r="GN197">
        <v>27.844000000000001</v>
      </c>
      <c r="GO197">
        <v>25.033000000000001</v>
      </c>
      <c r="GP197">
        <v>800</v>
      </c>
      <c r="GQ197">
        <v>0</v>
      </c>
      <c r="GR197">
        <v>99.810299999999998</v>
      </c>
      <c r="GS197">
        <v>99.674700000000001</v>
      </c>
    </row>
    <row r="198" spans="1:201" x14ac:dyDescent="0.25">
      <c r="A198">
        <v>182</v>
      </c>
      <c r="B198">
        <v>1690387216</v>
      </c>
      <c r="C198">
        <v>1881.400000095367</v>
      </c>
      <c r="D198" t="s">
        <v>697</v>
      </c>
      <c r="E198" t="s">
        <v>698</v>
      </c>
      <c r="F198" t="s">
        <v>330</v>
      </c>
      <c r="H198">
        <v>1690387216</v>
      </c>
      <c r="I198">
        <f t="shared" si="60"/>
        <v>2.2889196553035891E-3</v>
      </c>
      <c r="J198">
        <f t="shared" si="61"/>
        <v>2.2889196553035891</v>
      </c>
      <c r="K198">
        <f t="shared" si="62"/>
        <v>32.584717836138978</v>
      </c>
      <c r="L198">
        <f t="shared" si="63"/>
        <v>443.95600000000002</v>
      </c>
      <c r="M198">
        <f t="shared" si="64"/>
        <v>108.3230069255811</v>
      </c>
      <c r="N198">
        <f t="shared" si="65"/>
        <v>10.69818304213006</v>
      </c>
      <c r="O198">
        <f t="shared" si="66"/>
        <v>43.8459260451924</v>
      </c>
      <c r="P198">
        <f t="shared" si="67"/>
        <v>0.1640617436259485</v>
      </c>
      <c r="Q198">
        <f t="shared" si="68"/>
        <v>2.1568079830776785</v>
      </c>
      <c r="R198">
        <f t="shared" si="69"/>
        <v>0.15743057807149063</v>
      </c>
      <c r="S198">
        <f t="shared" si="70"/>
        <v>9.8967561767253548E-2</v>
      </c>
      <c r="T198">
        <f t="shared" si="71"/>
        <v>276.114694536</v>
      </c>
      <c r="U198">
        <f t="shared" si="72"/>
        <v>27.808474763415333</v>
      </c>
      <c r="V198">
        <f t="shared" si="73"/>
        <v>27.808474763415333</v>
      </c>
      <c r="W198">
        <f t="shared" si="74"/>
        <v>3.7526750979686527</v>
      </c>
      <c r="X198">
        <f t="shared" si="75"/>
        <v>68.188160104592384</v>
      </c>
      <c r="Y198">
        <f t="shared" si="76"/>
        <v>2.3611988572931999</v>
      </c>
      <c r="Z198">
        <f t="shared" si="77"/>
        <v>3.4627695683112822</v>
      </c>
      <c r="AA198">
        <f t="shared" si="78"/>
        <v>1.3914762406754528</v>
      </c>
      <c r="AB198">
        <f t="shared" si="79"/>
        <v>-100.94135679888828</v>
      </c>
      <c r="AC198">
        <f t="shared" si="80"/>
        <v>-159.32095092869162</v>
      </c>
      <c r="AD198">
        <f t="shared" si="81"/>
        <v>-15.961525530568526</v>
      </c>
      <c r="AE198">
        <f t="shared" si="82"/>
        <v>-0.10913872214840126</v>
      </c>
      <c r="AF198">
        <v>0</v>
      </c>
      <c r="AG198">
        <v>0</v>
      </c>
      <c r="AH198">
        <f t="shared" si="83"/>
        <v>1</v>
      </c>
      <c r="AI198">
        <f t="shared" si="84"/>
        <v>0</v>
      </c>
      <c r="AJ198">
        <f t="shared" si="85"/>
        <v>52220.454652724387</v>
      </c>
      <c r="AK198">
        <f t="shared" si="86"/>
        <v>1800</v>
      </c>
      <c r="AL198">
        <f t="shared" si="87"/>
        <v>1499.1106806</v>
      </c>
      <c r="AM198">
        <f t="shared" si="88"/>
        <v>0.83283926699999999</v>
      </c>
      <c r="AN198">
        <f t="shared" si="89"/>
        <v>0.15339705251999999</v>
      </c>
      <c r="AO198">
        <v>31.8</v>
      </c>
      <c r="AP198">
        <v>0.5</v>
      </c>
      <c r="AQ198" t="s">
        <v>331</v>
      </c>
      <c r="AR198">
        <v>2</v>
      </c>
      <c r="AS198">
        <v>1690387216</v>
      </c>
      <c r="AT198">
        <v>443.95600000000002</v>
      </c>
      <c r="AU198">
        <v>800.02700000000004</v>
      </c>
      <c r="AV198">
        <v>23.908000000000001</v>
      </c>
      <c r="AW198">
        <v>0.232071</v>
      </c>
      <c r="AX198">
        <v>443.99299999999999</v>
      </c>
      <c r="AY198">
        <v>23.628299999999999</v>
      </c>
      <c r="AZ198">
        <v>300.08300000000003</v>
      </c>
      <c r="BA198">
        <v>98.661900000000003</v>
      </c>
      <c r="BB198">
        <v>9.9972900000000003E-2</v>
      </c>
      <c r="BC198">
        <v>26.438300000000002</v>
      </c>
      <c r="BD198">
        <v>26.9999</v>
      </c>
      <c r="BE198">
        <v>27.858699999999999</v>
      </c>
      <c r="BF198">
        <v>0</v>
      </c>
      <c r="BG198">
        <v>0</v>
      </c>
      <c r="BH198">
        <v>9990.6200000000008</v>
      </c>
      <c r="BI198">
        <v>1078.8</v>
      </c>
      <c r="BJ198">
        <v>1.5137799999999999</v>
      </c>
      <c r="BK198">
        <v>-356.072</v>
      </c>
      <c r="BL198">
        <v>454.83</v>
      </c>
      <c r="BM198">
        <v>800.21299999999997</v>
      </c>
      <c r="BN198">
        <v>23.675899999999999</v>
      </c>
      <c r="BO198">
        <v>800.02700000000004</v>
      </c>
      <c r="BP198">
        <v>0.232071</v>
      </c>
      <c r="BQ198">
        <v>2.3588100000000001</v>
      </c>
      <c r="BR198">
        <v>2.28966E-2</v>
      </c>
      <c r="BS198">
        <v>20.0837</v>
      </c>
      <c r="BT198">
        <v>-38.114400000000003</v>
      </c>
      <c r="BU198">
        <v>1800</v>
      </c>
      <c r="BV198">
        <v>0.91000400000000004</v>
      </c>
      <c r="BW198">
        <v>3.40086E-2</v>
      </c>
      <c r="BX198">
        <v>2.19951E-2</v>
      </c>
      <c r="BY198">
        <v>3.39922E-2</v>
      </c>
      <c r="BZ198">
        <v>25</v>
      </c>
      <c r="CA198">
        <v>33528.5</v>
      </c>
      <c r="CB198">
        <v>1690384821</v>
      </c>
      <c r="CC198" t="s">
        <v>332</v>
      </c>
      <c r="CD198">
        <v>1690384820</v>
      </c>
      <c r="CE198">
        <v>1690384821</v>
      </c>
      <c r="CF198">
        <v>5</v>
      </c>
      <c r="CG198">
        <v>-2.5000000000000001E-2</v>
      </c>
      <c r="CH198">
        <v>0.104</v>
      </c>
      <c r="CI198">
        <v>-0.28799999999999998</v>
      </c>
      <c r="CJ198">
        <v>0.28000000000000003</v>
      </c>
      <c r="CK198">
        <v>800</v>
      </c>
      <c r="CL198">
        <v>24</v>
      </c>
      <c r="CM198">
        <v>0.08</v>
      </c>
      <c r="CN198">
        <v>0.11</v>
      </c>
      <c r="CO198">
        <v>-355.50172500000002</v>
      </c>
      <c r="CP198">
        <v>-3.2291594746709822</v>
      </c>
      <c r="CQ198">
        <v>0.31430160574677413</v>
      </c>
      <c r="CR198">
        <v>-1</v>
      </c>
      <c r="CS198">
        <v>23.652135000000001</v>
      </c>
      <c r="CT198">
        <v>0.1400060037522925</v>
      </c>
      <c r="CU198">
        <v>1.3615626133233749E-2</v>
      </c>
      <c r="CV198">
        <v>-1</v>
      </c>
      <c r="CW198">
        <v>0</v>
      </c>
      <c r="CX198">
        <v>0</v>
      </c>
      <c r="CY198" t="s">
        <v>333</v>
      </c>
      <c r="CZ198">
        <v>2.36469</v>
      </c>
      <c r="DA198">
        <v>2.7137500000000001</v>
      </c>
      <c r="DB198">
        <v>9.64869E-2</v>
      </c>
      <c r="DC198">
        <v>0.14547199999999999</v>
      </c>
      <c r="DD198">
        <v>0.112897</v>
      </c>
      <c r="DE198">
        <v>1.9386900000000001E-3</v>
      </c>
      <c r="DF198">
        <v>33014.400000000001</v>
      </c>
      <c r="DG198">
        <v>27569.1</v>
      </c>
      <c r="DH198">
        <v>31193.3</v>
      </c>
      <c r="DI198">
        <v>28111.9</v>
      </c>
      <c r="DJ198">
        <v>37566.400000000001</v>
      </c>
      <c r="DK198">
        <v>39905.300000000003</v>
      </c>
      <c r="DL198">
        <v>44395.3</v>
      </c>
      <c r="DM198">
        <v>42608.5</v>
      </c>
      <c r="DN198">
        <v>1.476</v>
      </c>
      <c r="DO198">
        <v>2.0318999999999998</v>
      </c>
      <c r="DP198">
        <v>0.1036</v>
      </c>
      <c r="DQ198">
        <v>0.17024600000000001</v>
      </c>
      <c r="DR198">
        <v>25.3033</v>
      </c>
      <c r="DS198">
        <v>25.071999999999999</v>
      </c>
      <c r="DT198">
        <v>31.2</v>
      </c>
      <c r="DU198">
        <v>28.9</v>
      </c>
      <c r="DV198">
        <v>12.6448</v>
      </c>
      <c r="DW198">
        <v>60.972200000000001</v>
      </c>
      <c r="DX198">
        <v>37.600200000000001</v>
      </c>
      <c r="DY198">
        <v>1</v>
      </c>
      <c r="DZ198">
        <v>-0.117787</v>
      </c>
      <c r="EA198">
        <v>-0.29586899999999999</v>
      </c>
      <c r="EB198">
        <v>20.189900000000002</v>
      </c>
      <c r="EC198">
        <v>5.2411000000000003</v>
      </c>
      <c r="ED198">
        <v>12.039899999999999</v>
      </c>
      <c r="EE198">
        <v>5.0169499999999996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</v>
      </c>
      <c r="EL198">
        <v>1.8646100000000001</v>
      </c>
      <c r="EM198">
        <v>1.8692</v>
      </c>
      <c r="EN198">
        <v>1.8672599999999999</v>
      </c>
      <c r="EO198">
        <v>1.8633900000000001</v>
      </c>
      <c r="EP198">
        <v>1.8644499999999999</v>
      </c>
      <c r="EQ198">
        <v>1.87018</v>
      </c>
      <c r="ER198">
        <v>1.8693900000000001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-3.6999999999999998E-2</v>
      </c>
      <c r="FG198">
        <v>0.2797</v>
      </c>
      <c r="FH198">
        <v>0.26269369235785539</v>
      </c>
      <c r="FI198">
        <v>-6.1462078757559423E-4</v>
      </c>
      <c r="FJ198">
        <v>-1.8861989874597051E-7</v>
      </c>
      <c r="FK198">
        <v>1.1980462299894961E-10</v>
      </c>
      <c r="FL198">
        <v>0.27968571428570849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39.9</v>
      </c>
      <c r="FU198">
        <v>39.9</v>
      </c>
      <c r="FV198">
        <v>1.7663599999999999</v>
      </c>
      <c r="FW198">
        <v>2.5842299999999998</v>
      </c>
      <c r="FX198">
        <v>1.5490699999999999</v>
      </c>
      <c r="FY198">
        <v>2.3327599999999999</v>
      </c>
      <c r="FZ198">
        <v>1.50146</v>
      </c>
      <c r="GA198">
        <v>2.36694</v>
      </c>
      <c r="GB198">
        <v>33.535499999999999</v>
      </c>
      <c r="GC198">
        <v>23.982399999999998</v>
      </c>
      <c r="GD198">
        <v>19</v>
      </c>
      <c r="GE198">
        <v>281.529</v>
      </c>
      <c r="GF198">
        <v>576.16700000000003</v>
      </c>
      <c r="GG198">
        <v>25.044</v>
      </c>
      <c r="GH198">
        <v>25.938500000000001</v>
      </c>
      <c r="GI198">
        <v>29.9998</v>
      </c>
      <c r="GJ198">
        <v>26.064499999999999</v>
      </c>
      <c r="GK198">
        <v>26.043700000000001</v>
      </c>
      <c r="GL198">
        <v>35.3155</v>
      </c>
      <c r="GM198">
        <v>100</v>
      </c>
      <c r="GN198">
        <v>27.048300000000001</v>
      </c>
      <c r="GO198">
        <v>25.046900000000001</v>
      </c>
      <c r="GP198">
        <v>800</v>
      </c>
      <c r="GQ198">
        <v>0</v>
      </c>
      <c r="GR198">
        <v>99.8108</v>
      </c>
      <c r="GS198">
        <v>99.6755</v>
      </c>
    </row>
    <row r="199" spans="1:201" x14ac:dyDescent="0.25">
      <c r="A199">
        <v>183</v>
      </c>
      <c r="B199">
        <v>1690387226</v>
      </c>
      <c r="C199">
        <v>1891.400000095367</v>
      </c>
      <c r="D199" t="s">
        <v>699</v>
      </c>
      <c r="E199" t="s">
        <v>700</v>
      </c>
      <c r="F199" t="s">
        <v>330</v>
      </c>
      <c r="H199">
        <v>1690387226</v>
      </c>
      <c r="I199">
        <f t="shared" si="60"/>
        <v>2.292008979229738E-3</v>
      </c>
      <c r="J199">
        <f t="shared" si="61"/>
        <v>2.2920089792297378</v>
      </c>
      <c r="K199">
        <f t="shared" si="62"/>
        <v>32.648036643221751</v>
      </c>
      <c r="L199">
        <f t="shared" si="63"/>
        <v>443.30099999999999</v>
      </c>
      <c r="M199">
        <f t="shared" si="64"/>
        <v>108.0102488259968</v>
      </c>
      <c r="N199">
        <f t="shared" si="65"/>
        <v>10.667714032262035</v>
      </c>
      <c r="O199">
        <f t="shared" si="66"/>
        <v>43.782959021177398</v>
      </c>
      <c r="P199">
        <f t="shared" si="67"/>
        <v>0.16456373999050317</v>
      </c>
      <c r="Q199">
        <f t="shared" si="68"/>
        <v>2.1548325230291483</v>
      </c>
      <c r="R199">
        <f t="shared" si="69"/>
        <v>0.15788697061944265</v>
      </c>
      <c r="S199">
        <f t="shared" si="70"/>
        <v>9.9256665127277988E-2</v>
      </c>
      <c r="T199">
        <f t="shared" si="71"/>
        <v>276.11466231600002</v>
      </c>
      <c r="U199">
        <f t="shared" si="72"/>
        <v>27.810248221213037</v>
      </c>
      <c r="V199">
        <f t="shared" si="73"/>
        <v>27.810248221213037</v>
      </c>
      <c r="W199">
        <f t="shared" si="74"/>
        <v>3.7530636445812342</v>
      </c>
      <c r="X199">
        <f t="shared" si="75"/>
        <v>68.253592460374662</v>
      </c>
      <c r="Y199">
        <f t="shared" si="76"/>
        <v>2.3637016123997601</v>
      </c>
      <c r="Z199">
        <f t="shared" si="77"/>
        <v>3.463116778464125</v>
      </c>
      <c r="AA199">
        <f t="shared" si="78"/>
        <v>1.3893620321814741</v>
      </c>
      <c r="AB199">
        <f t="shared" si="79"/>
        <v>-101.07759598403145</v>
      </c>
      <c r="AC199">
        <f t="shared" si="80"/>
        <v>-159.18355963341622</v>
      </c>
      <c r="AD199">
        <f t="shared" si="81"/>
        <v>-15.962658378614297</v>
      </c>
      <c r="AE199">
        <f t="shared" si="82"/>
        <v>-0.10915168006198428</v>
      </c>
      <c r="AF199">
        <v>0</v>
      </c>
      <c r="AG199">
        <v>0</v>
      </c>
      <c r="AH199">
        <f t="shared" si="83"/>
        <v>1</v>
      </c>
      <c r="AI199">
        <f t="shared" si="84"/>
        <v>0</v>
      </c>
      <c r="AJ199">
        <f t="shared" si="85"/>
        <v>52137.604243633788</v>
      </c>
      <c r="AK199">
        <f t="shared" si="86"/>
        <v>1800</v>
      </c>
      <c r="AL199">
        <f t="shared" si="87"/>
        <v>1499.1112295999999</v>
      </c>
      <c r="AM199">
        <f t="shared" si="88"/>
        <v>0.83283957199999992</v>
      </c>
      <c r="AN199">
        <f t="shared" si="89"/>
        <v>0.15339703462000001</v>
      </c>
      <c r="AO199">
        <v>31.8</v>
      </c>
      <c r="AP199">
        <v>0.5</v>
      </c>
      <c r="AQ199" t="s">
        <v>331</v>
      </c>
      <c r="AR199">
        <v>2</v>
      </c>
      <c r="AS199">
        <v>1690387226</v>
      </c>
      <c r="AT199">
        <v>443.30099999999999</v>
      </c>
      <c r="AU199">
        <v>799.98099999999999</v>
      </c>
      <c r="AV199">
        <v>23.932400000000001</v>
      </c>
      <c r="AW199">
        <v>0.22913700000000001</v>
      </c>
      <c r="AX199">
        <v>443.33699999999999</v>
      </c>
      <c r="AY199">
        <v>23.652799999999999</v>
      </c>
      <c r="AZ199">
        <v>300.13400000000001</v>
      </c>
      <c r="BA199">
        <v>98.665800000000004</v>
      </c>
      <c r="BB199">
        <v>9.9957400000000002E-2</v>
      </c>
      <c r="BC199">
        <v>26.44</v>
      </c>
      <c r="BD199">
        <v>27.013200000000001</v>
      </c>
      <c r="BE199">
        <v>27.842300000000002</v>
      </c>
      <c r="BF199">
        <v>0</v>
      </c>
      <c r="BG199">
        <v>0</v>
      </c>
      <c r="BH199">
        <v>9973.75</v>
      </c>
      <c r="BI199">
        <v>1078.83</v>
      </c>
      <c r="BJ199">
        <v>1.5137799999999999</v>
      </c>
      <c r="BK199">
        <v>-356.68</v>
      </c>
      <c r="BL199">
        <v>454.17</v>
      </c>
      <c r="BM199">
        <v>800.16499999999996</v>
      </c>
      <c r="BN199">
        <v>23.703299999999999</v>
      </c>
      <c r="BO199">
        <v>799.98099999999999</v>
      </c>
      <c r="BP199">
        <v>0.22913700000000001</v>
      </c>
      <c r="BQ199">
        <v>2.36131</v>
      </c>
      <c r="BR199">
        <v>2.2608E-2</v>
      </c>
      <c r="BS199">
        <v>20.100899999999999</v>
      </c>
      <c r="BT199">
        <v>-38.238100000000003</v>
      </c>
      <c r="BU199">
        <v>1800</v>
      </c>
      <c r="BV199">
        <v>0.91000599999999998</v>
      </c>
      <c r="BW199">
        <v>3.4007900000000001E-2</v>
      </c>
      <c r="BX199">
        <v>2.19946E-2</v>
      </c>
      <c r="BY199">
        <v>3.3991599999999997E-2</v>
      </c>
      <c r="BZ199">
        <v>25.25</v>
      </c>
      <c r="CA199">
        <v>33528.400000000001</v>
      </c>
      <c r="CB199">
        <v>1690384821</v>
      </c>
      <c r="CC199" t="s">
        <v>332</v>
      </c>
      <c r="CD199">
        <v>1690384820</v>
      </c>
      <c r="CE199">
        <v>1690384821</v>
      </c>
      <c r="CF199">
        <v>5</v>
      </c>
      <c r="CG199">
        <v>-2.5000000000000001E-2</v>
      </c>
      <c r="CH199">
        <v>0.104</v>
      </c>
      <c r="CI199">
        <v>-0.28799999999999998</v>
      </c>
      <c r="CJ199">
        <v>0.28000000000000003</v>
      </c>
      <c r="CK199">
        <v>800</v>
      </c>
      <c r="CL199">
        <v>24</v>
      </c>
      <c r="CM199">
        <v>0.08</v>
      </c>
      <c r="CN199">
        <v>0.11</v>
      </c>
      <c r="CO199">
        <v>-355.97797500000001</v>
      </c>
      <c r="CP199">
        <v>-3.036754221388017</v>
      </c>
      <c r="CQ199">
        <v>0.29347763862856252</v>
      </c>
      <c r="CR199">
        <v>-1</v>
      </c>
      <c r="CS199">
        <v>23.673727499999998</v>
      </c>
      <c r="CT199">
        <v>0.14320187617255609</v>
      </c>
      <c r="CU199">
        <v>1.384552251632261E-2</v>
      </c>
      <c r="CV199">
        <v>-1</v>
      </c>
      <c r="CW199">
        <v>0</v>
      </c>
      <c r="CX199">
        <v>0</v>
      </c>
      <c r="CY199" t="s">
        <v>333</v>
      </c>
      <c r="CZ199">
        <v>2.3648799999999999</v>
      </c>
      <c r="DA199">
        <v>2.7137199999999999</v>
      </c>
      <c r="DB199">
        <v>9.63841E-2</v>
      </c>
      <c r="DC199">
        <v>0.14547199999999999</v>
      </c>
      <c r="DD199">
        <v>0.112983</v>
      </c>
      <c r="DE199">
        <v>1.9145900000000001E-3</v>
      </c>
      <c r="DF199">
        <v>33018.300000000003</v>
      </c>
      <c r="DG199">
        <v>27569</v>
      </c>
      <c r="DH199">
        <v>31193.4</v>
      </c>
      <c r="DI199">
        <v>28111.7</v>
      </c>
      <c r="DJ199">
        <v>37562.800000000003</v>
      </c>
      <c r="DK199">
        <v>39906.199999999997</v>
      </c>
      <c r="DL199">
        <v>44395.4</v>
      </c>
      <c r="DM199">
        <v>42608.4</v>
      </c>
      <c r="DN199">
        <v>1.4762500000000001</v>
      </c>
      <c r="DO199">
        <v>2.0318499999999999</v>
      </c>
      <c r="DP199">
        <v>0.104308</v>
      </c>
      <c r="DQ199">
        <v>0.16936999999999999</v>
      </c>
      <c r="DR199">
        <v>25.305</v>
      </c>
      <c r="DS199">
        <v>25.069900000000001</v>
      </c>
      <c r="DT199">
        <v>30.9</v>
      </c>
      <c r="DU199">
        <v>29</v>
      </c>
      <c r="DV199">
        <v>12.5954</v>
      </c>
      <c r="DW199">
        <v>61.202199999999998</v>
      </c>
      <c r="DX199">
        <v>37.536099999999998</v>
      </c>
      <c r="DY199">
        <v>1</v>
      </c>
      <c r="DZ199">
        <v>-0.117746</v>
      </c>
      <c r="EA199">
        <v>-0.21465100000000001</v>
      </c>
      <c r="EB199">
        <v>20.190200000000001</v>
      </c>
      <c r="EC199">
        <v>5.2411000000000003</v>
      </c>
      <c r="ED199">
        <v>12.039899999999999</v>
      </c>
      <c r="EE199">
        <v>5.01675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</v>
      </c>
      <c r="EL199">
        <v>1.8646199999999999</v>
      </c>
      <c r="EM199">
        <v>1.8692</v>
      </c>
      <c r="EN199">
        <v>1.86724</v>
      </c>
      <c r="EO199">
        <v>1.8633900000000001</v>
      </c>
      <c r="EP199">
        <v>1.8644700000000001</v>
      </c>
      <c r="EQ199">
        <v>1.87015</v>
      </c>
      <c r="ER199">
        <v>1.8694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-3.5999999999999997E-2</v>
      </c>
      <c r="FG199">
        <v>0.27960000000000002</v>
      </c>
      <c r="FH199">
        <v>0.26269369235785539</v>
      </c>
      <c r="FI199">
        <v>-6.1462078757559423E-4</v>
      </c>
      <c r="FJ199">
        <v>-1.8861989874597051E-7</v>
      </c>
      <c r="FK199">
        <v>1.1980462299894961E-10</v>
      </c>
      <c r="FL199">
        <v>0.27968571428570849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40.1</v>
      </c>
      <c r="FU199">
        <v>40.1</v>
      </c>
      <c r="FV199">
        <v>1.7663599999999999</v>
      </c>
      <c r="FW199">
        <v>2.5830099999999998</v>
      </c>
      <c r="FX199">
        <v>1.5490699999999999</v>
      </c>
      <c r="FY199">
        <v>2.3327599999999999</v>
      </c>
      <c r="FZ199">
        <v>1.50146</v>
      </c>
      <c r="GA199">
        <v>2.3132299999999999</v>
      </c>
      <c r="GB199">
        <v>33.512999999999998</v>
      </c>
      <c r="GC199">
        <v>23.982399999999998</v>
      </c>
      <c r="GD199">
        <v>19</v>
      </c>
      <c r="GE199">
        <v>281.63499999999999</v>
      </c>
      <c r="GF199">
        <v>576.12599999999998</v>
      </c>
      <c r="GG199">
        <v>25.0503</v>
      </c>
      <c r="GH199">
        <v>25.936299999999999</v>
      </c>
      <c r="GI199">
        <v>29.9999</v>
      </c>
      <c r="GJ199">
        <v>26.064499999999999</v>
      </c>
      <c r="GK199">
        <v>26.043700000000001</v>
      </c>
      <c r="GL199">
        <v>35.317</v>
      </c>
      <c r="GM199">
        <v>100</v>
      </c>
      <c r="GN199">
        <v>26.270700000000001</v>
      </c>
      <c r="GO199">
        <v>25.042899999999999</v>
      </c>
      <c r="GP199">
        <v>800</v>
      </c>
      <c r="GQ199">
        <v>0</v>
      </c>
      <c r="GR199">
        <v>99.811099999999996</v>
      </c>
      <c r="GS199">
        <v>99.6751</v>
      </c>
    </row>
    <row r="200" spans="1:201" x14ac:dyDescent="0.25">
      <c r="A200">
        <v>184</v>
      </c>
      <c r="B200">
        <v>1690387236</v>
      </c>
      <c r="C200">
        <v>1901.400000095367</v>
      </c>
      <c r="D200" t="s">
        <v>701</v>
      </c>
      <c r="E200" t="s">
        <v>702</v>
      </c>
      <c r="F200" t="s">
        <v>330</v>
      </c>
      <c r="H200">
        <v>1690387236</v>
      </c>
      <c r="I200">
        <f t="shared" si="60"/>
        <v>2.2939256477519389E-3</v>
      </c>
      <c r="J200">
        <f t="shared" si="61"/>
        <v>2.293925647751939</v>
      </c>
      <c r="K200">
        <f t="shared" si="62"/>
        <v>32.69382735966937</v>
      </c>
      <c r="L200">
        <f t="shared" si="63"/>
        <v>442.79700000000003</v>
      </c>
      <c r="M200">
        <f t="shared" si="64"/>
        <v>107.85867613686723</v>
      </c>
      <c r="N200">
        <f t="shared" si="65"/>
        <v>10.652283402916437</v>
      </c>
      <c r="O200">
        <f t="shared" si="66"/>
        <v>43.731290823334504</v>
      </c>
      <c r="P200">
        <f t="shared" si="67"/>
        <v>0.16497122768662995</v>
      </c>
      <c r="Q200">
        <f t="shared" si="68"/>
        <v>2.1568786105267264</v>
      </c>
      <c r="R200">
        <f t="shared" si="69"/>
        <v>0.15826816300140123</v>
      </c>
      <c r="S200">
        <f t="shared" si="70"/>
        <v>9.949715089209242E-2</v>
      </c>
      <c r="T200">
        <f t="shared" si="71"/>
        <v>276.11477909999996</v>
      </c>
      <c r="U200">
        <f t="shared" si="72"/>
        <v>27.809504416993388</v>
      </c>
      <c r="V200">
        <f t="shared" si="73"/>
        <v>27.809504416993388</v>
      </c>
      <c r="W200">
        <f t="shared" si="74"/>
        <v>3.7529006803487208</v>
      </c>
      <c r="X200">
        <f t="shared" si="75"/>
        <v>68.309805887079108</v>
      </c>
      <c r="Y200">
        <f t="shared" si="76"/>
        <v>2.3658018285709499</v>
      </c>
      <c r="Z200">
        <f t="shared" si="77"/>
        <v>3.4633414600559487</v>
      </c>
      <c r="AA200">
        <f t="shared" si="78"/>
        <v>1.3870988517777709</v>
      </c>
      <c r="AB200">
        <f t="shared" si="79"/>
        <v>-101.1621210658605</v>
      </c>
      <c r="AC200">
        <f t="shared" si="80"/>
        <v>-159.12030931327459</v>
      </c>
      <c r="AD200">
        <f t="shared" si="81"/>
        <v>-15.941207201889183</v>
      </c>
      <c r="AE200">
        <f t="shared" si="82"/>
        <v>-0.1088584810243276</v>
      </c>
      <c r="AF200">
        <v>0</v>
      </c>
      <c r="AG200">
        <v>0</v>
      </c>
      <c r="AH200">
        <f t="shared" si="83"/>
        <v>1</v>
      </c>
      <c r="AI200">
        <f t="shared" si="84"/>
        <v>0</v>
      </c>
      <c r="AJ200">
        <f t="shared" si="85"/>
        <v>52222.913696576434</v>
      </c>
      <c r="AK200">
        <f t="shared" si="86"/>
        <v>1800</v>
      </c>
      <c r="AL200">
        <f t="shared" si="87"/>
        <v>1499.112063</v>
      </c>
      <c r="AM200">
        <f t="shared" si="88"/>
        <v>0.83284003500000003</v>
      </c>
      <c r="AN200">
        <f t="shared" si="89"/>
        <v>0.15339709949999999</v>
      </c>
      <c r="AO200">
        <v>31.8</v>
      </c>
      <c r="AP200">
        <v>0.5</v>
      </c>
      <c r="AQ200" t="s">
        <v>331</v>
      </c>
      <c r="AR200">
        <v>2</v>
      </c>
      <c r="AS200">
        <v>1690387236</v>
      </c>
      <c r="AT200">
        <v>442.79700000000003</v>
      </c>
      <c r="AU200">
        <v>800.04700000000003</v>
      </c>
      <c r="AV200">
        <v>23.954699999999999</v>
      </c>
      <c r="AW200">
        <v>0.22630700000000001</v>
      </c>
      <c r="AX200">
        <v>442.83300000000003</v>
      </c>
      <c r="AY200">
        <v>23.675000000000001</v>
      </c>
      <c r="AZ200">
        <v>300.06</v>
      </c>
      <c r="BA200">
        <v>98.661500000000004</v>
      </c>
      <c r="BB200">
        <v>9.9988499999999994E-2</v>
      </c>
      <c r="BC200">
        <v>26.441099999999999</v>
      </c>
      <c r="BD200">
        <v>27.0166</v>
      </c>
      <c r="BE200">
        <v>27.845300000000002</v>
      </c>
      <c r="BF200">
        <v>0</v>
      </c>
      <c r="BG200">
        <v>0</v>
      </c>
      <c r="BH200">
        <v>9991.25</v>
      </c>
      <c r="BI200">
        <v>1078.82</v>
      </c>
      <c r="BJ200">
        <v>1.5137799999999999</v>
      </c>
      <c r="BK200">
        <v>-357.25</v>
      </c>
      <c r="BL200">
        <v>453.66399999999999</v>
      </c>
      <c r="BM200">
        <v>800.22799999999995</v>
      </c>
      <c r="BN200">
        <v>23.728400000000001</v>
      </c>
      <c r="BO200">
        <v>800.04700000000003</v>
      </c>
      <c r="BP200">
        <v>0.22630700000000001</v>
      </c>
      <c r="BQ200">
        <v>2.36341</v>
      </c>
      <c r="BR200">
        <v>2.2327799999999998E-2</v>
      </c>
      <c r="BS200">
        <v>20.115200000000002</v>
      </c>
      <c r="BT200">
        <v>-38.359499999999997</v>
      </c>
      <c r="BU200">
        <v>1800</v>
      </c>
      <c r="BV200">
        <v>0.91000700000000001</v>
      </c>
      <c r="BW200">
        <v>3.4007700000000002E-2</v>
      </c>
      <c r="BX200">
        <v>2.19945E-2</v>
      </c>
      <c r="BY200">
        <v>3.3991399999999998E-2</v>
      </c>
      <c r="BZ200">
        <v>25.125</v>
      </c>
      <c r="CA200">
        <v>33528.400000000001</v>
      </c>
      <c r="CB200">
        <v>1690384821</v>
      </c>
      <c r="CC200" t="s">
        <v>332</v>
      </c>
      <c r="CD200">
        <v>1690384820</v>
      </c>
      <c r="CE200">
        <v>1690384821</v>
      </c>
      <c r="CF200">
        <v>5</v>
      </c>
      <c r="CG200">
        <v>-2.5000000000000001E-2</v>
      </c>
      <c r="CH200">
        <v>0.104</v>
      </c>
      <c r="CI200">
        <v>-0.28799999999999998</v>
      </c>
      <c r="CJ200">
        <v>0.28000000000000003</v>
      </c>
      <c r="CK200">
        <v>800</v>
      </c>
      <c r="CL200">
        <v>24</v>
      </c>
      <c r="CM200">
        <v>0.08</v>
      </c>
      <c r="CN200">
        <v>0.11</v>
      </c>
      <c r="CO200">
        <v>-356.55599999999998</v>
      </c>
      <c r="CP200">
        <v>-3.6527729831130138</v>
      </c>
      <c r="CQ200">
        <v>0.35494224882366759</v>
      </c>
      <c r="CR200">
        <v>-1</v>
      </c>
      <c r="CS200">
        <v>23.6994075</v>
      </c>
      <c r="CT200">
        <v>0.15846641651023241</v>
      </c>
      <c r="CU200">
        <v>1.5290019416272879E-2</v>
      </c>
      <c r="CV200">
        <v>-1</v>
      </c>
      <c r="CW200">
        <v>0</v>
      </c>
      <c r="CX200">
        <v>0</v>
      </c>
      <c r="CY200" t="s">
        <v>333</v>
      </c>
      <c r="CZ200">
        <v>2.3646099999999999</v>
      </c>
      <c r="DA200">
        <v>2.7137699999999998</v>
      </c>
      <c r="DB200">
        <v>9.6298800000000004E-2</v>
      </c>
      <c r="DC200">
        <v>0.14547499999999999</v>
      </c>
      <c r="DD200">
        <v>0.113054</v>
      </c>
      <c r="DE200">
        <v>1.8912099999999999E-3</v>
      </c>
      <c r="DF200">
        <v>33021.5</v>
      </c>
      <c r="DG200">
        <v>27568.7</v>
      </c>
      <c r="DH200">
        <v>31193.4</v>
      </c>
      <c r="DI200">
        <v>28111.5</v>
      </c>
      <c r="DJ200">
        <v>37560</v>
      </c>
      <c r="DK200">
        <v>39906.9</v>
      </c>
      <c r="DL200">
        <v>44395.6</v>
      </c>
      <c r="DM200">
        <v>42608.1</v>
      </c>
      <c r="DN200">
        <v>1.4758</v>
      </c>
      <c r="DO200">
        <v>2.0318800000000001</v>
      </c>
      <c r="DP200">
        <v>0.104494</v>
      </c>
      <c r="DQ200">
        <v>0.169687</v>
      </c>
      <c r="DR200">
        <v>25.305399999999999</v>
      </c>
      <c r="DS200">
        <v>25.067799999999998</v>
      </c>
      <c r="DT200">
        <v>30.5</v>
      </c>
      <c r="DU200">
        <v>29</v>
      </c>
      <c r="DV200">
        <v>12.4323</v>
      </c>
      <c r="DW200">
        <v>61.432200000000002</v>
      </c>
      <c r="DX200">
        <v>37.395800000000001</v>
      </c>
      <c r="DY200">
        <v>1</v>
      </c>
      <c r="DZ200">
        <v>-0.117533</v>
      </c>
      <c r="EA200">
        <v>-0.23683599999999999</v>
      </c>
      <c r="EB200">
        <v>20.190000000000001</v>
      </c>
      <c r="EC200">
        <v>5.2411000000000003</v>
      </c>
      <c r="ED200">
        <v>12.039899999999999</v>
      </c>
      <c r="EE200">
        <v>5.0166500000000003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</v>
      </c>
      <c r="EL200">
        <v>1.8646100000000001</v>
      </c>
      <c r="EM200">
        <v>1.8692</v>
      </c>
      <c r="EN200">
        <v>1.8672299999999999</v>
      </c>
      <c r="EO200">
        <v>1.86338</v>
      </c>
      <c r="EP200">
        <v>1.86446</v>
      </c>
      <c r="EQ200">
        <v>1.87018</v>
      </c>
      <c r="ER200">
        <v>1.8693900000000001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-3.5999999999999997E-2</v>
      </c>
      <c r="FG200">
        <v>0.2797</v>
      </c>
      <c r="FH200">
        <v>0.26269369235785539</v>
      </c>
      <c r="FI200">
        <v>-6.1462078757559423E-4</v>
      </c>
      <c r="FJ200">
        <v>-1.8861989874597051E-7</v>
      </c>
      <c r="FK200">
        <v>1.1980462299894961E-10</v>
      </c>
      <c r="FL200">
        <v>0.27968571428570849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40.299999999999997</v>
      </c>
      <c r="FU200">
        <v>40.200000000000003</v>
      </c>
      <c r="FV200">
        <v>1.7663599999999999</v>
      </c>
      <c r="FW200">
        <v>2.5817899999999998</v>
      </c>
      <c r="FX200">
        <v>1.5490699999999999</v>
      </c>
      <c r="FY200">
        <v>2.3327599999999999</v>
      </c>
      <c r="FZ200">
        <v>1.50146</v>
      </c>
      <c r="GA200">
        <v>2.36694</v>
      </c>
      <c r="GB200">
        <v>33.512999999999998</v>
      </c>
      <c r="GC200">
        <v>23.982399999999998</v>
      </c>
      <c r="GD200">
        <v>19</v>
      </c>
      <c r="GE200">
        <v>281.43400000000003</v>
      </c>
      <c r="GF200">
        <v>576.12199999999996</v>
      </c>
      <c r="GG200">
        <v>25.033799999999999</v>
      </c>
      <c r="GH200">
        <v>25.936299999999999</v>
      </c>
      <c r="GI200">
        <v>30.0001</v>
      </c>
      <c r="GJ200">
        <v>26.0623</v>
      </c>
      <c r="GK200">
        <v>26.041499999999999</v>
      </c>
      <c r="GL200">
        <v>35.313200000000002</v>
      </c>
      <c r="GM200">
        <v>100</v>
      </c>
      <c r="GN200">
        <v>25.875800000000002</v>
      </c>
      <c r="GO200">
        <v>25.039899999999999</v>
      </c>
      <c r="GP200">
        <v>800</v>
      </c>
      <c r="GQ200">
        <v>0</v>
      </c>
      <c r="GR200">
        <v>99.811499999999995</v>
      </c>
      <c r="GS200">
        <v>99.674499999999995</v>
      </c>
    </row>
    <row r="201" spans="1:201" x14ac:dyDescent="0.25">
      <c r="A201">
        <v>185</v>
      </c>
      <c r="B201">
        <v>1690387246</v>
      </c>
      <c r="C201">
        <v>1911.400000095367</v>
      </c>
      <c r="D201" t="s">
        <v>703</v>
      </c>
      <c r="E201" t="s">
        <v>704</v>
      </c>
      <c r="F201" t="s">
        <v>330</v>
      </c>
      <c r="H201">
        <v>1690387246</v>
      </c>
      <c r="I201">
        <f t="shared" si="60"/>
        <v>2.2962156989619776E-3</v>
      </c>
      <c r="J201">
        <f t="shared" si="61"/>
        <v>2.2962156989619777</v>
      </c>
      <c r="K201">
        <f t="shared" si="62"/>
        <v>32.737553843893998</v>
      </c>
      <c r="L201">
        <f t="shared" si="63"/>
        <v>442.33499999999998</v>
      </c>
      <c r="M201">
        <f t="shared" si="64"/>
        <v>107.79262086974792</v>
      </c>
      <c r="N201">
        <f t="shared" si="65"/>
        <v>10.645608981549231</v>
      </c>
      <c r="O201">
        <f t="shared" si="66"/>
        <v>43.685044587084001</v>
      </c>
      <c r="P201">
        <f t="shared" si="67"/>
        <v>0.16540289649570544</v>
      </c>
      <c r="Q201">
        <f t="shared" si="68"/>
        <v>2.1552132792772789</v>
      </c>
      <c r="R201">
        <f t="shared" si="69"/>
        <v>0.15866049948171687</v>
      </c>
      <c r="S201">
        <f t="shared" si="70"/>
        <v>9.9745687737333805E-2</v>
      </c>
      <c r="T201">
        <f t="shared" si="71"/>
        <v>276.11451606600008</v>
      </c>
      <c r="U201">
        <f t="shared" si="72"/>
        <v>27.80797561506181</v>
      </c>
      <c r="V201">
        <f t="shared" si="73"/>
        <v>27.80797561506181</v>
      </c>
      <c r="W201">
        <f t="shared" si="74"/>
        <v>3.7525657459576975</v>
      </c>
      <c r="X201">
        <f t="shared" si="75"/>
        <v>68.367021765804125</v>
      </c>
      <c r="Y201">
        <f t="shared" si="76"/>
        <v>2.3675460191320798</v>
      </c>
      <c r="Z201">
        <f t="shared" si="77"/>
        <v>3.46299423023321</v>
      </c>
      <c r="AA201">
        <f t="shared" si="78"/>
        <v>1.3850197268256177</v>
      </c>
      <c r="AB201">
        <f t="shared" si="79"/>
        <v>-101.26311232422321</v>
      </c>
      <c r="AC201">
        <f t="shared" si="80"/>
        <v>-159.0173439550631</v>
      </c>
      <c r="AD201">
        <f t="shared" si="81"/>
        <v>-15.942944314546606</v>
      </c>
      <c r="AE201">
        <f t="shared" si="82"/>
        <v>-0.10888452783282787</v>
      </c>
      <c r="AF201">
        <v>0</v>
      </c>
      <c r="AG201">
        <v>0</v>
      </c>
      <c r="AH201">
        <f t="shared" si="83"/>
        <v>1</v>
      </c>
      <c r="AI201">
        <f t="shared" si="84"/>
        <v>0</v>
      </c>
      <c r="AJ201">
        <f t="shared" si="85"/>
        <v>52153.508837945679</v>
      </c>
      <c r="AK201">
        <f t="shared" si="86"/>
        <v>1800</v>
      </c>
      <c r="AL201">
        <f t="shared" si="87"/>
        <v>1499.1112475999998</v>
      </c>
      <c r="AM201">
        <f t="shared" si="88"/>
        <v>0.83283958199999997</v>
      </c>
      <c r="AN201">
        <f t="shared" si="89"/>
        <v>0.15339695337000003</v>
      </c>
      <c r="AO201">
        <v>31.8</v>
      </c>
      <c r="AP201">
        <v>0.5</v>
      </c>
      <c r="AQ201" t="s">
        <v>331</v>
      </c>
      <c r="AR201">
        <v>2</v>
      </c>
      <c r="AS201">
        <v>1690387246</v>
      </c>
      <c r="AT201">
        <v>442.33499999999998</v>
      </c>
      <c r="AU201">
        <v>800.005</v>
      </c>
      <c r="AV201">
        <v>23.9727</v>
      </c>
      <c r="AW201">
        <v>0.22390599999999999</v>
      </c>
      <c r="AX201">
        <v>442.37099999999998</v>
      </c>
      <c r="AY201">
        <v>23.693000000000001</v>
      </c>
      <c r="AZ201">
        <v>300.096</v>
      </c>
      <c r="BA201">
        <v>98.6601</v>
      </c>
      <c r="BB201">
        <v>9.9990399999999993E-2</v>
      </c>
      <c r="BC201">
        <v>26.439399999999999</v>
      </c>
      <c r="BD201">
        <v>27.009599999999999</v>
      </c>
      <c r="BE201">
        <v>27.8414</v>
      </c>
      <c r="BF201">
        <v>0</v>
      </c>
      <c r="BG201">
        <v>0</v>
      </c>
      <c r="BH201">
        <v>9977.5</v>
      </c>
      <c r="BI201">
        <v>1078.8</v>
      </c>
      <c r="BJ201">
        <v>1.5137799999999999</v>
      </c>
      <c r="BK201">
        <v>-357.67</v>
      </c>
      <c r="BL201">
        <v>453.19900000000001</v>
      </c>
      <c r="BM201">
        <v>800.18399999999997</v>
      </c>
      <c r="BN201">
        <v>23.748799999999999</v>
      </c>
      <c r="BO201">
        <v>800.005</v>
      </c>
      <c r="BP201">
        <v>0.22390599999999999</v>
      </c>
      <c r="BQ201">
        <v>2.3651499999999999</v>
      </c>
      <c r="BR201">
        <v>2.2090599999999998E-2</v>
      </c>
      <c r="BS201">
        <v>20.127099999999999</v>
      </c>
      <c r="BT201">
        <v>-38.4634</v>
      </c>
      <c r="BU201">
        <v>1800</v>
      </c>
      <c r="BV201">
        <v>0.91000800000000004</v>
      </c>
      <c r="BW201">
        <v>3.4007099999999998E-2</v>
      </c>
      <c r="BX201">
        <v>2.1994099999999999E-2</v>
      </c>
      <c r="BY201">
        <v>3.3990699999999999E-2</v>
      </c>
      <c r="BZ201">
        <v>25.208300000000001</v>
      </c>
      <c r="CA201">
        <v>33528.400000000001</v>
      </c>
      <c r="CB201">
        <v>1690384821</v>
      </c>
      <c r="CC201" t="s">
        <v>332</v>
      </c>
      <c r="CD201">
        <v>1690384820</v>
      </c>
      <c r="CE201">
        <v>1690384821</v>
      </c>
      <c r="CF201">
        <v>5</v>
      </c>
      <c r="CG201">
        <v>-2.5000000000000001E-2</v>
      </c>
      <c r="CH201">
        <v>0.104</v>
      </c>
      <c r="CI201">
        <v>-0.28799999999999998</v>
      </c>
      <c r="CJ201">
        <v>0.28000000000000003</v>
      </c>
      <c r="CK201">
        <v>800</v>
      </c>
      <c r="CL201">
        <v>24</v>
      </c>
      <c r="CM201">
        <v>0.08</v>
      </c>
      <c r="CN201">
        <v>0.11</v>
      </c>
      <c r="CO201">
        <v>-357.14741463414629</v>
      </c>
      <c r="CP201">
        <v>-3.1316027874563628</v>
      </c>
      <c r="CQ201">
        <v>0.31244456878993537</v>
      </c>
      <c r="CR201">
        <v>-1</v>
      </c>
      <c r="CS201">
        <v>23.7250756097561</v>
      </c>
      <c r="CT201">
        <v>0.13693170731712739</v>
      </c>
      <c r="CU201">
        <v>1.3545637052748249E-2</v>
      </c>
      <c r="CV201">
        <v>-1</v>
      </c>
      <c r="CW201">
        <v>0</v>
      </c>
      <c r="CX201">
        <v>0</v>
      </c>
      <c r="CY201" t="s">
        <v>333</v>
      </c>
      <c r="CZ201">
        <v>2.3647399999999998</v>
      </c>
      <c r="DA201">
        <v>2.7137600000000002</v>
      </c>
      <c r="DB201">
        <v>9.6222299999999997E-2</v>
      </c>
      <c r="DC201">
        <v>0.14546799999999999</v>
      </c>
      <c r="DD201">
        <v>0.113112</v>
      </c>
      <c r="DE201">
        <v>1.8713899999999999E-3</v>
      </c>
      <c r="DF201">
        <v>33024.300000000003</v>
      </c>
      <c r="DG201">
        <v>27569.3</v>
      </c>
      <c r="DH201">
        <v>31193.5</v>
      </c>
      <c r="DI201">
        <v>28111.9</v>
      </c>
      <c r="DJ201">
        <v>37557.5</v>
      </c>
      <c r="DK201">
        <v>39908.199999999997</v>
      </c>
      <c r="DL201">
        <v>44395.6</v>
      </c>
      <c r="DM201">
        <v>42608.7</v>
      </c>
      <c r="DN201">
        <v>1.47627</v>
      </c>
      <c r="DO201">
        <v>2.0318999999999998</v>
      </c>
      <c r="DP201">
        <v>0.103936</v>
      </c>
      <c r="DQ201">
        <v>0.16944500000000001</v>
      </c>
      <c r="DR201">
        <v>25.307600000000001</v>
      </c>
      <c r="DS201">
        <v>25.067799999999998</v>
      </c>
      <c r="DT201">
        <v>30.1</v>
      </c>
      <c r="DU201">
        <v>29</v>
      </c>
      <c r="DV201">
        <v>12.268599999999999</v>
      </c>
      <c r="DW201">
        <v>61.182200000000002</v>
      </c>
      <c r="DX201">
        <v>37.239600000000003</v>
      </c>
      <c r="DY201">
        <v>1</v>
      </c>
      <c r="DZ201">
        <v>-0.11757099999999999</v>
      </c>
      <c r="EA201">
        <v>-0.22384499999999999</v>
      </c>
      <c r="EB201">
        <v>20.190000000000001</v>
      </c>
      <c r="EC201">
        <v>5.2411000000000003</v>
      </c>
      <c r="ED201">
        <v>12.039899999999999</v>
      </c>
      <c r="EE201">
        <v>5.0164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</v>
      </c>
      <c r="EL201">
        <v>1.8646199999999999</v>
      </c>
      <c r="EM201">
        <v>1.8692</v>
      </c>
      <c r="EN201">
        <v>1.86727</v>
      </c>
      <c r="EO201">
        <v>1.8633900000000001</v>
      </c>
      <c r="EP201">
        <v>1.8644700000000001</v>
      </c>
      <c r="EQ201">
        <v>1.87016</v>
      </c>
      <c r="ER201">
        <v>1.8693900000000001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-3.5999999999999997E-2</v>
      </c>
      <c r="FG201">
        <v>0.2797</v>
      </c>
      <c r="FH201">
        <v>0.26269369235785539</v>
      </c>
      <c r="FI201">
        <v>-6.1462078757559423E-4</v>
      </c>
      <c r="FJ201">
        <v>-1.8861989874597051E-7</v>
      </c>
      <c r="FK201">
        <v>1.1980462299894961E-10</v>
      </c>
      <c r="FL201">
        <v>0.27968571428570849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40.4</v>
      </c>
      <c r="FU201">
        <v>40.4</v>
      </c>
      <c r="FV201">
        <v>1.7663599999999999</v>
      </c>
      <c r="FW201">
        <v>2.5866699999999998</v>
      </c>
      <c r="FX201">
        <v>1.5490699999999999</v>
      </c>
      <c r="FY201">
        <v>2.3327599999999999</v>
      </c>
      <c r="FZ201">
        <v>1.50146</v>
      </c>
      <c r="GA201">
        <v>2.34375</v>
      </c>
      <c r="GB201">
        <v>33.512999999999998</v>
      </c>
      <c r="GC201">
        <v>23.982399999999998</v>
      </c>
      <c r="GD201">
        <v>19</v>
      </c>
      <c r="GE201">
        <v>281.63499999999999</v>
      </c>
      <c r="GF201">
        <v>576.14300000000003</v>
      </c>
      <c r="GG201">
        <v>25.036899999999999</v>
      </c>
      <c r="GH201">
        <v>25.934100000000001</v>
      </c>
      <c r="GI201">
        <v>30</v>
      </c>
      <c r="GJ201">
        <v>26.0623</v>
      </c>
      <c r="GK201">
        <v>26.041499999999999</v>
      </c>
      <c r="GL201">
        <v>35.313699999999997</v>
      </c>
      <c r="GM201">
        <v>100</v>
      </c>
      <c r="GN201">
        <v>25.0989</v>
      </c>
      <c r="GO201">
        <v>25.037400000000002</v>
      </c>
      <c r="GP201">
        <v>800</v>
      </c>
      <c r="GQ201">
        <v>0</v>
      </c>
      <c r="GR201">
        <v>99.811599999999999</v>
      </c>
      <c r="GS201">
        <v>99.675700000000006</v>
      </c>
    </row>
    <row r="202" spans="1:201" x14ac:dyDescent="0.25">
      <c r="A202">
        <v>186</v>
      </c>
      <c r="B202">
        <v>1690387256</v>
      </c>
      <c r="C202">
        <v>1921.400000095367</v>
      </c>
      <c r="D202" t="s">
        <v>705</v>
      </c>
      <c r="E202" t="s">
        <v>706</v>
      </c>
      <c r="F202" t="s">
        <v>330</v>
      </c>
      <c r="H202">
        <v>1690387256</v>
      </c>
      <c r="I202">
        <f t="shared" si="60"/>
        <v>2.2982691608720929E-3</v>
      </c>
      <c r="J202">
        <f t="shared" si="61"/>
        <v>2.2982691608720929</v>
      </c>
      <c r="K202">
        <f t="shared" si="62"/>
        <v>32.784540362034157</v>
      </c>
      <c r="L202">
        <f t="shared" si="63"/>
        <v>441.88299999999998</v>
      </c>
      <c r="M202">
        <f t="shared" si="64"/>
        <v>107.83299868628977</v>
      </c>
      <c r="N202">
        <f t="shared" si="65"/>
        <v>10.649849954941773</v>
      </c>
      <c r="O202">
        <f t="shared" si="66"/>
        <v>43.641442832636997</v>
      </c>
      <c r="P202">
        <f t="shared" si="67"/>
        <v>0.16587951145093666</v>
      </c>
      <c r="Q202">
        <f t="shared" si="68"/>
        <v>2.161752127670459</v>
      </c>
      <c r="R202">
        <f t="shared" si="69"/>
        <v>0.159118668498205</v>
      </c>
      <c r="S202">
        <f t="shared" si="70"/>
        <v>0.10003364135347491</v>
      </c>
      <c r="T202">
        <f t="shared" si="71"/>
        <v>276.1146612</v>
      </c>
      <c r="U202">
        <f t="shared" si="72"/>
        <v>27.803504085304304</v>
      </c>
      <c r="V202">
        <f t="shared" si="73"/>
        <v>27.803504085304304</v>
      </c>
      <c r="W202">
        <f t="shared" si="74"/>
        <v>3.7515862598628567</v>
      </c>
      <c r="X202">
        <f t="shared" si="75"/>
        <v>68.41741572762146</v>
      </c>
      <c r="Y202">
        <f t="shared" si="76"/>
        <v>2.3692911591221999</v>
      </c>
      <c r="Z202">
        <f t="shared" si="77"/>
        <v>3.46299423023321</v>
      </c>
      <c r="AA202">
        <f t="shared" si="78"/>
        <v>1.3822951007406568</v>
      </c>
      <c r="AB202">
        <f t="shared" si="79"/>
        <v>-101.3536699944593</v>
      </c>
      <c r="AC202">
        <f t="shared" si="80"/>
        <v>-158.97866584163773</v>
      </c>
      <c r="AD202">
        <f t="shared" si="81"/>
        <v>-15.890498463936863</v>
      </c>
      <c r="AE202">
        <f t="shared" si="82"/>
        <v>-0.1081731000338948</v>
      </c>
      <c r="AF202">
        <v>0</v>
      </c>
      <c r="AG202">
        <v>0</v>
      </c>
      <c r="AH202">
        <f t="shared" si="83"/>
        <v>1</v>
      </c>
      <c r="AI202">
        <f t="shared" si="84"/>
        <v>0</v>
      </c>
      <c r="AJ202">
        <f t="shared" si="85"/>
        <v>52427.454373242501</v>
      </c>
      <c r="AK202">
        <f t="shared" si="86"/>
        <v>1800</v>
      </c>
      <c r="AL202">
        <f t="shared" si="87"/>
        <v>1499.112216</v>
      </c>
      <c r="AM202">
        <f t="shared" si="88"/>
        <v>0.83284011999999996</v>
      </c>
      <c r="AN202">
        <f t="shared" si="89"/>
        <v>0.15339703399999999</v>
      </c>
      <c r="AO202">
        <v>31.8</v>
      </c>
      <c r="AP202">
        <v>0.5</v>
      </c>
      <c r="AQ202" t="s">
        <v>331</v>
      </c>
      <c r="AR202">
        <v>2</v>
      </c>
      <c r="AS202">
        <v>1690387256</v>
      </c>
      <c r="AT202">
        <v>441.88299999999998</v>
      </c>
      <c r="AU202">
        <v>800.03399999999999</v>
      </c>
      <c r="AV202">
        <v>23.989799999999999</v>
      </c>
      <c r="AW202">
        <v>0.22121399999999999</v>
      </c>
      <c r="AX202">
        <v>441.91800000000001</v>
      </c>
      <c r="AY202">
        <v>23.710100000000001</v>
      </c>
      <c r="AZ202">
        <v>300.10899999999998</v>
      </c>
      <c r="BA202">
        <v>98.662499999999994</v>
      </c>
      <c r="BB202">
        <v>9.9939E-2</v>
      </c>
      <c r="BC202">
        <v>26.439399999999999</v>
      </c>
      <c r="BD202">
        <v>26.999500000000001</v>
      </c>
      <c r="BE202">
        <v>27.822199999999999</v>
      </c>
      <c r="BF202">
        <v>0</v>
      </c>
      <c r="BG202">
        <v>0</v>
      </c>
      <c r="BH202">
        <v>10031.9</v>
      </c>
      <c r="BI202">
        <v>1078.92</v>
      </c>
      <c r="BJ202">
        <v>1.4296899999999999</v>
      </c>
      <c r="BK202">
        <v>-358.15100000000001</v>
      </c>
      <c r="BL202">
        <v>452.74400000000003</v>
      </c>
      <c r="BM202">
        <v>800.21100000000001</v>
      </c>
      <c r="BN202">
        <v>23.768599999999999</v>
      </c>
      <c r="BO202">
        <v>800.03399999999999</v>
      </c>
      <c r="BP202">
        <v>0.22121399999999999</v>
      </c>
      <c r="BQ202">
        <v>2.3668900000000002</v>
      </c>
      <c r="BR202">
        <v>2.1825500000000001E-2</v>
      </c>
      <c r="BS202">
        <v>20.138999999999999</v>
      </c>
      <c r="BT202">
        <v>-38.580800000000004</v>
      </c>
      <c r="BU202">
        <v>1800</v>
      </c>
      <c r="BV202">
        <v>0.91000899999999996</v>
      </c>
      <c r="BW202">
        <v>3.40069E-2</v>
      </c>
      <c r="BX202">
        <v>2.1994E-2</v>
      </c>
      <c r="BY202">
        <v>3.3990600000000003E-2</v>
      </c>
      <c r="BZ202">
        <v>25.041699999999999</v>
      </c>
      <c r="CA202">
        <v>33528.5</v>
      </c>
      <c r="CB202">
        <v>1690384821</v>
      </c>
      <c r="CC202" t="s">
        <v>332</v>
      </c>
      <c r="CD202">
        <v>1690384820</v>
      </c>
      <c r="CE202">
        <v>1690384821</v>
      </c>
      <c r="CF202">
        <v>5</v>
      </c>
      <c r="CG202">
        <v>-2.5000000000000001E-2</v>
      </c>
      <c r="CH202">
        <v>0.104</v>
      </c>
      <c r="CI202">
        <v>-0.28799999999999998</v>
      </c>
      <c r="CJ202">
        <v>0.28000000000000003</v>
      </c>
      <c r="CK202">
        <v>800</v>
      </c>
      <c r="CL202">
        <v>24</v>
      </c>
      <c r="CM202">
        <v>0.08</v>
      </c>
      <c r="CN202">
        <v>0.11</v>
      </c>
      <c r="CO202">
        <v>-357.63058536585362</v>
      </c>
      <c r="CP202">
        <v>-2.6650034843203212</v>
      </c>
      <c r="CQ202">
        <v>0.26352803114749668</v>
      </c>
      <c r="CR202">
        <v>-1</v>
      </c>
      <c r="CS202">
        <v>23.74649512195122</v>
      </c>
      <c r="CT202">
        <v>0.1202027874564796</v>
      </c>
      <c r="CU202">
        <v>1.188501723773344E-2</v>
      </c>
      <c r="CV202">
        <v>-1</v>
      </c>
      <c r="CW202">
        <v>0</v>
      </c>
      <c r="CX202">
        <v>0</v>
      </c>
      <c r="CY202" t="s">
        <v>333</v>
      </c>
      <c r="CZ202">
        <v>2.3647499999999999</v>
      </c>
      <c r="DA202">
        <v>2.7137600000000002</v>
      </c>
      <c r="DB202">
        <v>9.6151399999999998E-2</v>
      </c>
      <c r="DC202">
        <v>0.14547499999999999</v>
      </c>
      <c r="DD202">
        <v>0.113173</v>
      </c>
      <c r="DE202">
        <v>1.84925E-3</v>
      </c>
      <c r="DF202">
        <v>33026.800000000003</v>
      </c>
      <c r="DG202">
        <v>27569</v>
      </c>
      <c r="DH202">
        <v>31193.4</v>
      </c>
      <c r="DI202">
        <v>28111.8</v>
      </c>
      <c r="DJ202">
        <v>37554.699999999997</v>
      </c>
      <c r="DK202">
        <v>39909.1</v>
      </c>
      <c r="DL202">
        <v>44395.4</v>
      </c>
      <c r="DM202">
        <v>42608.6</v>
      </c>
      <c r="DN202">
        <v>1.47607</v>
      </c>
      <c r="DO202">
        <v>2.0318499999999999</v>
      </c>
      <c r="DP202">
        <v>0.103284</v>
      </c>
      <c r="DQ202">
        <v>0.168271</v>
      </c>
      <c r="DR202">
        <v>25.3081</v>
      </c>
      <c r="DS202">
        <v>25.067799999999998</v>
      </c>
      <c r="DT202">
        <v>29.8</v>
      </c>
      <c r="DU202">
        <v>29</v>
      </c>
      <c r="DV202">
        <v>12.1478</v>
      </c>
      <c r="DW202">
        <v>60.812199999999997</v>
      </c>
      <c r="DX202">
        <v>36.975200000000001</v>
      </c>
      <c r="DY202">
        <v>1</v>
      </c>
      <c r="DZ202">
        <v>-0.117564</v>
      </c>
      <c r="EA202">
        <v>-0.17834700000000001</v>
      </c>
      <c r="EB202">
        <v>20.190200000000001</v>
      </c>
      <c r="EC202">
        <v>5.2411000000000003</v>
      </c>
      <c r="ED202">
        <v>12.039899999999999</v>
      </c>
      <c r="EE202">
        <v>5.0165499999999996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</v>
      </c>
      <c r="EL202">
        <v>1.8646199999999999</v>
      </c>
      <c r="EM202">
        <v>1.8692</v>
      </c>
      <c r="EN202">
        <v>1.8672500000000001</v>
      </c>
      <c r="EO202">
        <v>1.8633999999999999</v>
      </c>
      <c r="EP202">
        <v>1.8644400000000001</v>
      </c>
      <c r="EQ202">
        <v>1.87018</v>
      </c>
      <c r="ER202">
        <v>1.86941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-3.5000000000000003E-2</v>
      </c>
      <c r="FG202">
        <v>0.2797</v>
      </c>
      <c r="FH202">
        <v>0.26269369235785539</v>
      </c>
      <c r="FI202">
        <v>-6.1462078757559423E-4</v>
      </c>
      <c r="FJ202">
        <v>-1.8861989874597051E-7</v>
      </c>
      <c r="FK202">
        <v>1.1980462299894961E-10</v>
      </c>
      <c r="FL202">
        <v>0.27968571428570849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40.6</v>
      </c>
      <c r="FU202">
        <v>40.6</v>
      </c>
      <c r="FV202">
        <v>1.7663599999999999</v>
      </c>
      <c r="FW202">
        <v>2.5891099999999998</v>
      </c>
      <c r="FX202">
        <v>1.5490699999999999</v>
      </c>
      <c r="FY202">
        <v>2.3327599999999999</v>
      </c>
      <c r="FZ202">
        <v>1.50146</v>
      </c>
      <c r="GA202">
        <v>2.3120099999999999</v>
      </c>
      <c r="GB202">
        <v>33.512999999999998</v>
      </c>
      <c r="GC202">
        <v>23.973700000000001</v>
      </c>
      <c r="GD202">
        <v>19</v>
      </c>
      <c r="GE202">
        <v>281.541</v>
      </c>
      <c r="GF202">
        <v>576.077</v>
      </c>
      <c r="GG202">
        <v>25.0322</v>
      </c>
      <c r="GH202">
        <v>25.934100000000001</v>
      </c>
      <c r="GI202">
        <v>30.0001</v>
      </c>
      <c r="GJ202">
        <v>26.060099999999998</v>
      </c>
      <c r="GK202">
        <v>26.039300000000001</v>
      </c>
      <c r="GL202">
        <v>35.313899999999997</v>
      </c>
      <c r="GM202">
        <v>100</v>
      </c>
      <c r="GN202">
        <v>24.3414</v>
      </c>
      <c r="GO202">
        <v>25.0259</v>
      </c>
      <c r="GP202">
        <v>800</v>
      </c>
      <c r="GQ202">
        <v>0</v>
      </c>
      <c r="GR202">
        <v>99.811199999999999</v>
      </c>
      <c r="GS202">
        <v>99.675600000000003</v>
      </c>
    </row>
    <row r="203" spans="1:201" x14ac:dyDescent="0.25">
      <c r="A203">
        <v>187</v>
      </c>
      <c r="B203">
        <v>1690387266</v>
      </c>
      <c r="C203">
        <v>1931.400000095367</v>
      </c>
      <c r="D203" t="s">
        <v>707</v>
      </c>
      <c r="E203" t="s">
        <v>708</v>
      </c>
      <c r="F203" t="s">
        <v>330</v>
      </c>
      <c r="H203">
        <v>1690387266</v>
      </c>
      <c r="I203">
        <f t="shared" si="60"/>
        <v>2.3012765020616385E-3</v>
      </c>
      <c r="J203">
        <f t="shared" si="61"/>
        <v>2.3012765020616386</v>
      </c>
      <c r="K203">
        <f t="shared" si="62"/>
        <v>32.848321624923216</v>
      </c>
      <c r="L203">
        <f t="shared" si="63"/>
        <v>441.3</v>
      </c>
      <c r="M203">
        <f t="shared" si="64"/>
        <v>107.34260273820117</v>
      </c>
      <c r="N203">
        <f t="shared" si="65"/>
        <v>10.601296709289951</v>
      </c>
      <c r="O203">
        <f t="shared" si="66"/>
        <v>43.583368750799998</v>
      </c>
      <c r="P203">
        <f t="shared" si="67"/>
        <v>0.16626676057891177</v>
      </c>
      <c r="Q203">
        <f t="shared" si="68"/>
        <v>2.1569516602189323</v>
      </c>
      <c r="R203">
        <f t="shared" si="69"/>
        <v>0.1594605587854695</v>
      </c>
      <c r="S203">
        <f t="shared" si="70"/>
        <v>0.10025114300292999</v>
      </c>
      <c r="T203">
        <f t="shared" si="71"/>
        <v>276.11448708600005</v>
      </c>
      <c r="U203">
        <f t="shared" si="72"/>
        <v>27.808322788258796</v>
      </c>
      <c r="V203">
        <f t="shared" si="73"/>
        <v>27.808322788258796</v>
      </c>
      <c r="W203">
        <f t="shared" si="74"/>
        <v>3.7526418033863647</v>
      </c>
      <c r="X203">
        <f t="shared" si="75"/>
        <v>68.469997082890401</v>
      </c>
      <c r="Y203">
        <f t="shared" si="76"/>
        <v>2.3715456049763999</v>
      </c>
      <c r="Z203">
        <f t="shared" si="77"/>
        <v>3.4636274368544009</v>
      </c>
      <c r="AA203">
        <f t="shared" si="78"/>
        <v>1.3810961984099648</v>
      </c>
      <c r="AB203">
        <f t="shared" si="79"/>
        <v>-101.48629374091826</v>
      </c>
      <c r="AC203">
        <f t="shared" si="80"/>
        <v>-158.82549224948019</v>
      </c>
      <c r="AD203">
        <f t="shared" si="81"/>
        <v>-15.911149609424962</v>
      </c>
      <c r="AE203">
        <f t="shared" si="82"/>
        <v>-0.10844851382336174</v>
      </c>
      <c r="AF203">
        <v>0</v>
      </c>
      <c r="AG203">
        <v>0</v>
      </c>
      <c r="AH203">
        <f t="shared" si="83"/>
        <v>1</v>
      </c>
      <c r="AI203">
        <f t="shared" si="84"/>
        <v>0</v>
      </c>
      <c r="AJ203">
        <f t="shared" si="85"/>
        <v>52225.722651591852</v>
      </c>
      <c r="AK203">
        <f t="shared" si="86"/>
        <v>1800</v>
      </c>
      <c r="AL203">
        <f t="shared" si="87"/>
        <v>1499.1111215999999</v>
      </c>
      <c r="AM203">
        <f t="shared" si="88"/>
        <v>0.83283951199999995</v>
      </c>
      <c r="AN203">
        <f t="shared" si="89"/>
        <v>0.15339693727000003</v>
      </c>
      <c r="AO203">
        <v>31.8</v>
      </c>
      <c r="AP203">
        <v>0.5</v>
      </c>
      <c r="AQ203" t="s">
        <v>331</v>
      </c>
      <c r="AR203">
        <v>2</v>
      </c>
      <c r="AS203">
        <v>1690387266</v>
      </c>
      <c r="AT203">
        <v>441.3</v>
      </c>
      <c r="AU203">
        <v>800.04899999999998</v>
      </c>
      <c r="AV203">
        <v>24.012899999999998</v>
      </c>
      <c r="AW203">
        <v>0.21892900000000001</v>
      </c>
      <c r="AX203">
        <v>441.33499999999998</v>
      </c>
      <c r="AY203">
        <v>23.7333</v>
      </c>
      <c r="AZ203">
        <v>300.17399999999998</v>
      </c>
      <c r="BA203">
        <v>98.661299999999997</v>
      </c>
      <c r="BB203">
        <v>0.10001599999999999</v>
      </c>
      <c r="BC203">
        <v>26.442499999999999</v>
      </c>
      <c r="BD203">
        <v>27.0123</v>
      </c>
      <c r="BE203">
        <v>27.842600000000001</v>
      </c>
      <c r="BF203">
        <v>0</v>
      </c>
      <c r="BG203">
        <v>0</v>
      </c>
      <c r="BH203">
        <v>9991.8799999999992</v>
      </c>
      <c r="BI203">
        <v>1078.9100000000001</v>
      </c>
      <c r="BJ203">
        <v>1.29373</v>
      </c>
      <c r="BK203">
        <v>-358.74900000000002</v>
      </c>
      <c r="BL203">
        <v>452.15800000000002</v>
      </c>
      <c r="BM203">
        <v>800.22400000000005</v>
      </c>
      <c r="BN203">
        <v>23.794</v>
      </c>
      <c r="BO203">
        <v>800.04899999999998</v>
      </c>
      <c r="BP203">
        <v>0.21892900000000001</v>
      </c>
      <c r="BQ203">
        <v>2.3691499999999999</v>
      </c>
      <c r="BR203">
        <v>2.1599799999999999E-2</v>
      </c>
      <c r="BS203">
        <v>20.154399999999999</v>
      </c>
      <c r="BT203">
        <v>-38.681699999999999</v>
      </c>
      <c r="BU203">
        <v>1800</v>
      </c>
      <c r="BV203">
        <v>0.91000800000000004</v>
      </c>
      <c r="BW203">
        <v>3.4007000000000003E-2</v>
      </c>
      <c r="BX203">
        <v>2.1994099999999999E-2</v>
      </c>
      <c r="BY203">
        <v>3.3990699999999999E-2</v>
      </c>
      <c r="BZ203">
        <v>25</v>
      </c>
      <c r="CA203">
        <v>33528.400000000001</v>
      </c>
      <c r="CB203">
        <v>1690384821</v>
      </c>
      <c r="CC203" t="s">
        <v>332</v>
      </c>
      <c r="CD203">
        <v>1690384820</v>
      </c>
      <c r="CE203">
        <v>1690384821</v>
      </c>
      <c r="CF203">
        <v>5</v>
      </c>
      <c r="CG203">
        <v>-2.5000000000000001E-2</v>
      </c>
      <c r="CH203">
        <v>0.104</v>
      </c>
      <c r="CI203">
        <v>-0.28799999999999998</v>
      </c>
      <c r="CJ203">
        <v>0.28000000000000003</v>
      </c>
      <c r="CK203">
        <v>800</v>
      </c>
      <c r="CL203">
        <v>24</v>
      </c>
      <c r="CM203">
        <v>0.08</v>
      </c>
      <c r="CN203">
        <v>0.11</v>
      </c>
      <c r="CO203">
        <v>-358.09395000000012</v>
      </c>
      <c r="CP203">
        <v>-3.0047504690427118</v>
      </c>
      <c r="CQ203">
        <v>0.29007817480810272</v>
      </c>
      <c r="CR203">
        <v>-1</v>
      </c>
      <c r="CS203">
        <v>23.766625000000001</v>
      </c>
      <c r="CT203">
        <v>0.13294784240145971</v>
      </c>
      <c r="CU203">
        <v>1.2844098839545339E-2</v>
      </c>
      <c r="CV203">
        <v>-1</v>
      </c>
      <c r="CW203">
        <v>0</v>
      </c>
      <c r="CX203">
        <v>0</v>
      </c>
      <c r="CY203" t="s">
        <v>333</v>
      </c>
      <c r="CZ203">
        <v>2.3650000000000002</v>
      </c>
      <c r="DA203">
        <v>2.7138</v>
      </c>
      <c r="DB203">
        <v>9.6055399999999999E-2</v>
      </c>
      <c r="DC203">
        <v>0.14547499999999999</v>
      </c>
      <c r="DD203">
        <v>0.113249</v>
      </c>
      <c r="DE203">
        <v>1.8303799999999999E-3</v>
      </c>
      <c r="DF203">
        <v>33031.1</v>
      </c>
      <c r="DG203">
        <v>27568.9</v>
      </c>
      <c r="DH203">
        <v>31194.1</v>
      </c>
      <c r="DI203">
        <v>28111.7</v>
      </c>
      <c r="DJ203">
        <v>37552.199999999997</v>
      </c>
      <c r="DK203">
        <v>39909.699999999997</v>
      </c>
      <c r="DL203">
        <v>44396.4</v>
      </c>
      <c r="DM203">
        <v>42608.5</v>
      </c>
      <c r="DN203">
        <v>1.4762299999999999</v>
      </c>
      <c r="DO203">
        <v>2.0317500000000002</v>
      </c>
      <c r="DP203">
        <v>0.10406600000000001</v>
      </c>
      <c r="DQ203">
        <v>0.169519</v>
      </c>
      <c r="DR203">
        <v>25.3081</v>
      </c>
      <c r="DS203">
        <v>25.067799999999998</v>
      </c>
      <c r="DT203">
        <v>29.5</v>
      </c>
      <c r="DU203">
        <v>29</v>
      </c>
      <c r="DV203">
        <v>12.0265</v>
      </c>
      <c r="DW203">
        <v>61.042200000000001</v>
      </c>
      <c r="DX203">
        <v>36.859000000000002</v>
      </c>
      <c r="DY203">
        <v>1</v>
      </c>
      <c r="DZ203">
        <v>-0.118006</v>
      </c>
      <c r="EA203">
        <v>-0.23285400000000001</v>
      </c>
      <c r="EB203">
        <v>20.190200000000001</v>
      </c>
      <c r="EC203">
        <v>5.2411000000000003</v>
      </c>
      <c r="ED203">
        <v>12.039899999999999</v>
      </c>
      <c r="EE203">
        <v>5.01675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</v>
      </c>
      <c r="EL203">
        <v>1.8646199999999999</v>
      </c>
      <c r="EM203">
        <v>1.8692</v>
      </c>
      <c r="EN203">
        <v>1.86724</v>
      </c>
      <c r="EO203">
        <v>1.8633900000000001</v>
      </c>
      <c r="EP203">
        <v>1.8644700000000001</v>
      </c>
      <c r="EQ203">
        <v>1.8702099999999999</v>
      </c>
      <c r="ER203">
        <v>1.86941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-3.5000000000000003E-2</v>
      </c>
      <c r="FG203">
        <v>0.27960000000000002</v>
      </c>
      <c r="FH203">
        <v>0.26269369235785539</v>
      </c>
      <c r="FI203">
        <v>-6.1462078757559423E-4</v>
      </c>
      <c r="FJ203">
        <v>-1.8861989874597051E-7</v>
      </c>
      <c r="FK203">
        <v>1.1980462299894961E-10</v>
      </c>
      <c r="FL203">
        <v>0.27968571428570849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40.799999999999997</v>
      </c>
      <c r="FU203">
        <v>40.799999999999997</v>
      </c>
      <c r="FV203">
        <v>1.7663599999999999</v>
      </c>
      <c r="FW203">
        <v>2.5903299999999998</v>
      </c>
      <c r="FX203">
        <v>1.5490699999999999</v>
      </c>
      <c r="FY203">
        <v>2.3327599999999999</v>
      </c>
      <c r="FZ203">
        <v>1.50146</v>
      </c>
      <c r="GA203">
        <v>2.3010299999999999</v>
      </c>
      <c r="GB203">
        <v>33.512999999999998</v>
      </c>
      <c r="GC203">
        <v>23.973700000000001</v>
      </c>
      <c r="GD203">
        <v>19</v>
      </c>
      <c r="GE203">
        <v>281.60399999999998</v>
      </c>
      <c r="GF203">
        <v>575.995</v>
      </c>
      <c r="GG203">
        <v>25.033000000000001</v>
      </c>
      <c r="GH203">
        <v>25.934100000000001</v>
      </c>
      <c r="GI203">
        <v>30.0001</v>
      </c>
      <c r="GJ203">
        <v>26.060099999999998</v>
      </c>
      <c r="GK203">
        <v>26.039300000000001</v>
      </c>
      <c r="GL203">
        <v>35.312100000000001</v>
      </c>
      <c r="GM203">
        <v>100</v>
      </c>
      <c r="GN203">
        <v>23.582699999999999</v>
      </c>
      <c r="GO203">
        <v>25.034800000000001</v>
      </c>
      <c r="GP203">
        <v>800</v>
      </c>
      <c r="GQ203">
        <v>0</v>
      </c>
      <c r="GR203">
        <v>99.813400000000001</v>
      </c>
      <c r="GS203">
        <v>99.675200000000004</v>
      </c>
    </row>
    <row r="204" spans="1:201" x14ac:dyDescent="0.25">
      <c r="A204">
        <v>188</v>
      </c>
      <c r="B204">
        <v>1690387276</v>
      </c>
      <c r="C204">
        <v>1941.400000095367</v>
      </c>
      <c r="D204" t="s">
        <v>709</v>
      </c>
      <c r="E204" t="s">
        <v>710</v>
      </c>
      <c r="F204" t="s">
        <v>330</v>
      </c>
      <c r="H204">
        <v>1690387276</v>
      </c>
      <c r="I204">
        <f t="shared" si="60"/>
        <v>2.3033506495228353E-3</v>
      </c>
      <c r="J204">
        <f t="shared" si="61"/>
        <v>2.3033506495228351</v>
      </c>
      <c r="K204">
        <f t="shared" si="62"/>
        <v>32.880880137628075</v>
      </c>
      <c r="L204">
        <f t="shared" si="63"/>
        <v>440.84500000000003</v>
      </c>
      <c r="M204">
        <f t="shared" si="64"/>
        <v>107.6923564228676</v>
      </c>
      <c r="N204">
        <f t="shared" si="65"/>
        <v>10.636143149755</v>
      </c>
      <c r="O204">
        <f t="shared" si="66"/>
        <v>43.539678047736501</v>
      </c>
      <c r="P204">
        <f t="shared" si="67"/>
        <v>0.16685330827507572</v>
      </c>
      <c r="Q204">
        <f t="shared" si="68"/>
        <v>2.1569868446198681</v>
      </c>
      <c r="R204">
        <f t="shared" si="69"/>
        <v>0.16000017164024488</v>
      </c>
      <c r="S204">
        <f t="shared" si="70"/>
        <v>0.10059237926464545</v>
      </c>
      <c r="T204">
        <f t="shared" si="71"/>
        <v>276.11441802000002</v>
      </c>
      <c r="U204">
        <f t="shared" si="72"/>
        <v>27.804790045665591</v>
      </c>
      <c r="V204">
        <f t="shared" si="73"/>
        <v>27.804790045665591</v>
      </c>
      <c r="W204">
        <f t="shared" si="74"/>
        <v>3.7518679259066445</v>
      </c>
      <c r="X204">
        <f t="shared" si="75"/>
        <v>68.556844394407975</v>
      </c>
      <c r="Y204">
        <f t="shared" si="76"/>
        <v>2.3741615730837897</v>
      </c>
      <c r="Z204">
        <f t="shared" si="77"/>
        <v>3.4630555038753279</v>
      </c>
      <c r="AA204">
        <f t="shared" si="78"/>
        <v>1.3777063528228548</v>
      </c>
      <c r="AB204">
        <f t="shared" si="79"/>
        <v>-101.57776364395704</v>
      </c>
      <c r="AC204">
        <f t="shared" si="80"/>
        <v>-158.74287424022023</v>
      </c>
      <c r="AD204">
        <f t="shared" si="81"/>
        <v>-15.902110119521573</v>
      </c>
      <c r="AE204">
        <f t="shared" si="82"/>
        <v>-0.1083299836988374</v>
      </c>
      <c r="AF204">
        <v>0</v>
      </c>
      <c r="AG204">
        <v>0</v>
      </c>
      <c r="AH204">
        <f t="shared" si="83"/>
        <v>1</v>
      </c>
      <c r="AI204">
        <f t="shared" si="84"/>
        <v>0</v>
      </c>
      <c r="AJ204">
        <f t="shared" si="85"/>
        <v>52227.746114394293</v>
      </c>
      <c r="AK204">
        <f t="shared" si="86"/>
        <v>1800</v>
      </c>
      <c r="AL204">
        <f t="shared" si="87"/>
        <v>1499.1108299999999</v>
      </c>
      <c r="AM204">
        <f t="shared" si="88"/>
        <v>0.83283934999999998</v>
      </c>
      <c r="AN204">
        <f t="shared" si="89"/>
        <v>0.15339689890000002</v>
      </c>
      <c r="AO204">
        <v>31.8</v>
      </c>
      <c r="AP204">
        <v>0.5</v>
      </c>
      <c r="AQ204" t="s">
        <v>331</v>
      </c>
      <c r="AR204">
        <v>2</v>
      </c>
      <c r="AS204">
        <v>1690387276</v>
      </c>
      <c r="AT204">
        <v>440.84500000000003</v>
      </c>
      <c r="AU204">
        <v>800.05</v>
      </c>
      <c r="AV204">
        <v>24.038699999999999</v>
      </c>
      <c r="AW204">
        <v>0.21645300000000001</v>
      </c>
      <c r="AX204">
        <v>440.88</v>
      </c>
      <c r="AY204">
        <v>23.759</v>
      </c>
      <c r="AZ204">
        <v>300.08</v>
      </c>
      <c r="BA204">
        <v>98.664199999999994</v>
      </c>
      <c r="BB204">
        <v>9.9941699999999994E-2</v>
      </c>
      <c r="BC204">
        <v>26.439699999999998</v>
      </c>
      <c r="BD204">
        <v>26.9923</v>
      </c>
      <c r="BE204">
        <v>27.852</v>
      </c>
      <c r="BF204">
        <v>0</v>
      </c>
      <c r="BG204">
        <v>0</v>
      </c>
      <c r="BH204">
        <v>9991.8799999999992</v>
      </c>
      <c r="BI204">
        <v>1078.94</v>
      </c>
      <c r="BJ204">
        <v>1.3455900000000001</v>
      </c>
      <c r="BK204">
        <v>-359.20499999999998</v>
      </c>
      <c r="BL204">
        <v>451.70299999999997</v>
      </c>
      <c r="BM204">
        <v>800.22299999999996</v>
      </c>
      <c r="BN204">
        <v>23.822299999999998</v>
      </c>
      <c r="BO204">
        <v>800.05</v>
      </c>
      <c r="BP204">
        <v>0.21645300000000001</v>
      </c>
      <c r="BQ204">
        <v>2.3717600000000001</v>
      </c>
      <c r="BR204">
        <v>2.1356199999999999E-2</v>
      </c>
      <c r="BS204">
        <v>20.1723</v>
      </c>
      <c r="BT204">
        <v>-38.791699999999999</v>
      </c>
      <c r="BU204">
        <v>1800</v>
      </c>
      <c r="BV204">
        <v>0.91000800000000004</v>
      </c>
      <c r="BW204">
        <v>3.4007000000000003E-2</v>
      </c>
      <c r="BX204">
        <v>2.1994E-2</v>
      </c>
      <c r="BY204">
        <v>3.3990600000000003E-2</v>
      </c>
      <c r="BZ204">
        <v>25.083300000000001</v>
      </c>
      <c r="CA204">
        <v>33528.400000000001</v>
      </c>
      <c r="CB204">
        <v>1690384821</v>
      </c>
      <c r="CC204" t="s">
        <v>332</v>
      </c>
      <c r="CD204">
        <v>1690384820</v>
      </c>
      <c r="CE204">
        <v>1690384821</v>
      </c>
      <c r="CF204">
        <v>5</v>
      </c>
      <c r="CG204">
        <v>-2.5000000000000001E-2</v>
      </c>
      <c r="CH204">
        <v>0.104</v>
      </c>
      <c r="CI204">
        <v>-0.28799999999999998</v>
      </c>
      <c r="CJ204">
        <v>0.28000000000000003</v>
      </c>
      <c r="CK204">
        <v>800</v>
      </c>
      <c r="CL204">
        <v>24</v>
      </c>
      <c r="CM204">
        <v>0.08</v>
      </c>
      <c r="CN204">
        <v>0.11</v>
      </c>
      <c r="CO204">
        <v>-358.70077500000002</v>
      </c>
      <c r="CP204">
        <v>-3.3312157598501289</v>
      </c>
      <c r="CQ204">
        <v>0.325916054184202</v>
      </c>
      <c r="CR204">
        <v>-1</v>
      </c>
      <c r="CS204">
        <v>23.794482500000001</v>
      </c>
      <c r="CT204">
        <v>0.1755388367729365</v>
      </c>
      <c r="CU204">
        <v>1.6925363917800852E-2</v>
      </c>
      <c r="CV204">
        <v>-1</v>
      </c>
      <c r="CW204">
        <v>0</v>
      </c>
      <c r="CX204">
        <v>0</v>
      </c>
      <c r="CY204" t="s">
        <v>333</v>
      </c>
      <c r="CZ204">
        <v>2.3646699999999998</v>
      </c>
      <c r="DA204">
        <v>2.7137199999999999</v>
      </c>
      <c r="DB204">
        <v>9.5984399999999997E-2</v>
      </c>
      <c r="DC204">
        <v>0.14548</v>
      </c>
      <c r="DD204">
        <v>0.113339</v>
      </c>
      <c r="DE204">
        <v>1.8100099999999999E-3</v>
      </c>
      <c r="DF204">
        <v>33033.5</v>
      </c>
      <c r="DG204">
        <v>27568.7</v>
      </c>
      <c r="DH204">
        <v>31193.9</v>
      </c>
      <c r="DI204">
        <v>28111.7</v>
      </c>
      <c r="DJ204">
        <v>37548.199999999997</v>
      </c>
      <c r="DK204">
        <v>39910.400000000001</v>
      </c>
      <c r="DL204">
        <v>44396.2</v>
      </c>
      <c r="DM204">
        <v>42608.4</v>
      </c>
      <c r="DN204">
        <v>1.4758</v>
      </c>
      <c r="DO204">
        <v>2.0318299999999998</v>
      </c>
      <c r="DP204">
        <v>0.10287399999999999</v>
      </c>
      <c r="DQ204">
        <v>0.170097</v>
      </c>
      <c r="DR204">
        <v>25.307600000000001</v>
      </c>
      <c r="DS204">
        <v>25.067799999999998</v>
      </c>
      <c r="DT204">
        <v>29.1</v>
      </c>
      <c r="DU204">
        <v>29</v>
      </c>
      <c r="DV204">
        <v>11.8619</v>
      </c>
      <c r="DW204">
        <v>61.092199999999998</v>
      </c>
      <c r="DX204">
        <v>36.786900000000003</v>
      </c>
      <c r="DY204">
        <v>1</v>
      </c>
      <c r="DZ204">
        <v>-0.11816599999999999</v>
      </c>
      <c r="EA204">
        <v>-0.186446</v>
      </c>
      <c r="EB204">
        <v>20.190200000000001</v>
      </c>
      <c r="EC204">
        <v>5.2409499999999998</v>
      </c>
      <c r="ED204">
        <v>12.039899999999999</v>
      </c>
      <c r="EE204">
        <v>5.0172499999999998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</v>
      </c>
      <c r="EL204">
        <v>1.8646199999999999</v>
      </c>
      <c r="EM204">
        <v>1.8692</v>
      </c>
      <c r="EN204">
        <v>1.8672500000000001</v>
      </c>
      <c r="EO204">
        <v>1.8633999999999999</v>
      </c>
      <c r="EP204">
        <v>1.86446</v>
      </c>
      <c r="EQ204">
        <v>1.87019</v>
      </c>
      <c r="ER204">
        <v>1.8694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-3.5000000000000003E-2</v>
      </c>
      <c r="FG204">
        <v>0.2797</v>
      </c>
      <c r="FH204">
        <v>0.26269369235785539</v>
      </c>
      <c r="FI204">
        <v>-6.1462078757559423E-4</v>
      </c>
      <c r="FJ204">
        <v>-1.8861989874597051E-7</v>
      </c>
      <c r="FK204">
        <v>1.1980462299894961E-10</v>
      </c>
      <c r="FL204">
        <v>0.27968571428570849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40.9</v>
      </c>
      <c r="FU204">
        <v>40.9</v>
      </c>
      <c r="FV204">
        <v>1.7663599999999999</v>
      </c>
      <c r="FW204">
        <v>2.5817899999999998</v>
      </c>
      <c r="FX204">
        <v>1.5490699999999999</v>
      </c>
      <c r="FY204">
        <v>2.3327599999999999</v>
      </c>
      <c r="FZ204">
        <v>1.50146</v>
      </c>
      <c r="GA204">
        <v>2.3584000000000001</v>
      </c>
      <c r="GB204">
        <v>33.512999999999998</v>
      </c>
      <c r="GC204">
        <v>23.982399999999998</v>
      </c>
      <c r="GD204">
        <v>19</v>
      </c>
      <c r="GE204">
        <v>281.41899999999998</v>
      </c>
      <c r="GF204">
        <v>576.05600000000004</v>
      </c>
      <c r="GG204">
        <v>25.030200000000001</v>
      </c>
      <c r="GH204">
        <v>25.931899999999999</v>
      </c>
      <c r="GI204">
        <v>30</v>
      </c>
      <c r="GJ204">
        <v>26.058800000000002</v>
      </c>
      <c r="GK204">
        <v>26.039200000000001</v>
      </c>
      <c r="GL204">
        <v>35.309199999999997</v>
      </c>
      <c r="GM204">
        <v>100</v>
      </c>
      <c r="GN204">
        <v>22.838100000000001</v>
      </c>
      <c r="GO204">
        <v>25.024999999999999</v>
      </c>
      <c r="GP204">
        <v>800</v>
      </c>
      <c r="GQ204">
        <v>0</v>
      </c>
      <c r="GR204">
        <v>99.812899999999999</v>
      </c>
      <c r="GS204">
        <v>99.6751</v>
      </c>
    </row>
    <row r="205" spans="1:201" x14ac:dyDescent="0.25">
      <c r="A205">
        <v>189</v>
      </c>
      <c r="B205">
        <v>1690387286</v>
      </c>
      <c r="C205">
        <v>1951.400000095367</v>
      </c>
      <c r="D205" t="s">
        <v>711</v>
      </c>
      <c r="E205" t="s">
        <v>712</v>
      </c>
      <c r="F205" t="s">
        <v>330</v>
      </c>
      <c r="H205">
        <v>1690387286</v>
      </c>
      <c r="I205">
        <f t="shared" si="60"/>
        <v>2.3061339152431809E-3</v>
      </c>
      <c r="J205">
        <f t="shared" si="61"/>
        <v>2.3061339152431808</v>
      </c>
      <c r="K205">
        <f t="shared" si="62"/>
        <v>32.937240584791205</v>
      </c>
      <c r="L205">
        <f t="shared" si="63"/>
        <v>440.28300000000002</v>
      </c>
      <c r="M205">
        <f t="shared" si="64"/>
        <v>107.33372100744045</v>
      </c>
      <c r="N205">
        <f t="shared" si="65"/>
        <v>10.600688945511392</v>
      </c>
      <c r="O205">
        <f t="shared" si="66"/>
        <v>43.484033602757997</v>
      </c>
      <c r="P205">
        <f t="shared" si="67"/>
        <v>0.16725448196362047</v>
      </c>
      <c r="Q205">
        <f t="shared" si="68"/>
        <v>2.1548838569628925</v>
      </c>
      <c r="R205">
        <f t="shared" si="69"/>
        <v>0.1603626603154602</v>
      </c>
      <c r="S205">
        <f t="shared" si="70"/>
        <v>0.10082220160619756</v>
      </c>
      <c r="T205">
        <f t="shared" si="71"/>
        <v>276.114398166</v>
      </c>
      <c r="U205">
        <f t="shared" si="72"/>
        <v>27.807837132342975</v>
      </c>
      <c r="V205">
        <f t="shared" si="73"/>
        <v>27.807837132342975</v>
      </c>
      <c r="W205">
        <f t="shared" si="74"/>
        <v>3.752535408047629</v>
      </c>
      <c r="X205">
        <f t="shared" si="75"/>
        <v>68.607466559137649</v>
      </c>
      <c r="Y205">
        <f t="shared" si="76"/>
        <v>2.3763070354729998</v>
      </c>
      <c r="Z205">
        <f t="shared" si="77"/>
        <v>3.4636274368544009</v>
      </c>
      <c r="AA205">
        <f t="shared" si="78"/>
        <v>1.3762283725746292</v>
      </c>
      <c r="AB205">
        <f t="shared" si="79"/>
        <v>-101.70050566222427</v>
      </c>
      <c r="AC205">
        <f t="shared" si="80"/>
        <v>-158.6168104938557</v>
      </c>
      <c r="AD205">
        <f t="shared" si="81"/>
        <v>-15.905453296655439</v>
      </c>
      <c r="AE205">
        <f t="shared" si="82"/>
        <v>-0.10837128673537677</v>
      </c>
      <c r="AF205">
        <v>0</v>
      </c>
      <c r="AG205">
        <v>0</v>
      </c>
      <c r="AH205">
        <f t="shared" si="83"/>
        <v>1</v>
      </c>
      <c r="AI205">
        <f t="shared" si="84"/>
        <v>0</v>
      </c>
      <c r="AJ205">
        <f t="shared" si="85"/>
        <v>52139.272783538152</v>
      </c>
      <c r="AK205">
        <f t="shared" si="86"/>
        <v>1800</v>
      </c>
      <c r="AL205">
        <f t="shared" si="87"/>
        <v>1499.1114006</v>
      </c>
      <c r="AM205">
        <f t="shared" si="88"/>
        <v>0.83283966700000001</v>
      </c>
      <c r="AN205">
        <f t="shared" si="89"/>
        <v>0.15339688787</v>
      </c>
      <c r="AO205">
        <v>31.8</v>
      </c>
      <c r="AP205">
        <v>0.5</v>
      </c>
      <c r="AQ205" t="s">
        <v>331</v>
      </c>
      <c r="AR205">
        <v>2</v>
      </c>
      <c r="AS205">
        <v>1690387286</v>
      </c>
      <c r="AT205">
        <v>440.28300000000002</v>
      </c>
      <c r="AU205">
        <v>800.01499999999999</v>
      </c>
      <c r="AV205">
        <v>24.060500000000001</v>
      </c>
      <c r="AW205">
        <v>0.21460899999999999</v>
      </c>
      <c r="AX205">
        <v>440.31700000000001</v>
      </c>
      <c r="AY205">
        <v>23.780799999999999</v>
      </c>
      <c r="AZ205">
        <v>300.13799999999998</v>
      </c>
      <c r="BA205">
        <v>98.663799999999995</v>
      </c>
      <c r="BB205">
        <v>0.100026</v>
      </c>
      <c r="BC205">
        <v>26.442499999999999</v>
      </c>
      <c r="BD205">
        <v>27.015699999999999</v>
      </c>
      <c r="BE205">
        <v>27.834299999999999</v>
      </c>
      <c r="BF205">
        <v>0</v>
      </c>
      <c r="BG205">
        <v>0</v>
      </c>
      <c r="BH205">
        <v>9974.3799999999992</v>
      </c>
      <c r="BI205">
        <v>1078.83</v>
      </c>
      <c r="BJ205">
        <v>1.3455900000000001</v>
      </c>
      <c r="BK205">
        <v>-359.73200000000003</v>
      </c>
      <c r="BL205">
        <v>451.137</v>
      </c>
      <c r="BM205">
        <v>800.18600000000004</v>
      </c>
      <c r="BN205">
        <v>23.8459</v>
      </c>
      <c r="BO205">
        <v>800.01499999999999</v>
      </c>
      <c r="BP205">
        <v>0.21460899999999999</v>
      </c>
      <c r="BQ205">
        <v>2.3738999999999999</v>
      </c>
      <c r="BR205">
        <v>2.1174100000000001E-2</v>
      </c>
      <c r="BS205">
        <v>20.186800000000002</v>
      </c>
      <c r="BT205">
        <v>-38.874600000000001</v>
      </c>
      <c r="BU205">
        <v>1800</v>
      </c>
      <c r="BV205">
        <v>0.91000999999999999</v>
      </c>
      <c r="BW205">
        <v>3.4006300000000003E-2</v>
      </c>
      <c r="BX205">
        <v>2.1993599999999999E-2</v>
      </c>
      <c r="BY205">
        <v>3.3989900000000003E-2</v>
      </c>
      <c r="BZ205">
        <v>25.416699999999999</v>
      </c>
      <c r="CA205">
        <v>33528.400000000001</v>
      </c>
      <c r="CB205">
        <v>1690384821</v>
      </c>
      <c r="CC205" t="s">
        <v>332</v>
      </c>
      <c r="CD205">
        <v>1690384820</v>
      </c>
      <c r="CE205">
        <v>1690384821</v>
      </c>
      <c r="CF205">
        <v>5</v>
      </c>
      <c r="CG205">
        <v>-2.5000000000000001E-2</v>
      </c>
      <c r="CH205">
        <v>0.104</v>
      </c>
      <c r="CI205">
        <v>-0.28799999999999998</v>
      </c>
      <c r="CJ205">
        <v>0.28000000000000003</v>
      </c>
      <c r="CK205">
        <v>800</v>
      </c>
      <c r="CL205">
        <v>24</v>
      </c>
      <c r="CM205">
        <v>0.08</v>
      </c>
      <c r="CN205">
        <v>0.11</v>
      </c>
      <c r="CO205">
        <v>-359.22564999999997</v>
      </c>
      <c r="CP205">
        <v>-3.251864915571363</v>
      </c>
      <c r="CQ205">
        <v>0.32079218740486581</v>
      </c>
      <c r="CR205">
        <v>-1</v>
      </c>
      <c r="CS205">
        <v>23.820035000000001</v>
      </c>
      <c r="CT205">
        <v>0.17202776735463621</v>
      </c>
      <c r="CU205">
        <v>1.660238762949481E-2</v>
      </c>
      <c r="CV205">
        <v>-1</v>
      </c>
      <c r="CW205">
        <v>0</v>
      </c>
      <c r="CX205">
        <v>0</v>
      </c>
      <c r="CY205" t="s">
        <v>333</v>
      </c>
      <c r="CZ205">
        <v>2.3648799999999999</v>
      </c>
      <c r="DA205">
        <v>2.7137899999999999</v>
      </c>
      <c r="DB205">
        <v>9.5892500000000006E-2</v>
      </c>
      <c r="DC205">
        <v>0.14547499999999999</v>
      </c>
      <c r="DD205">
        <v>0.113411</v>
      </c>
      <c r="DE205">
        <v>1.7948E-3</v>
      </c>
      <c r="DF205">
        <v>33037.1</v>
      </c>
      <c r="DG205">
        <v>27568.9</v>
      </c>
      <c r="DH205">
        <v>31194.1</v>
      </c>
      <c r="DI205">
        <v>28111.8</v>
      </c>
      <c r="DJ205">
        <v>37545.4</v>
      </c>
      <c r="DK205">
        <v>39911.1</v>
      </c>
      <c r="DL205">
        <v>44396.5</v>
      </c>
      <c r="DM205">
        <v>42608.4</v>
      </c>
      <c r="DN205">
        <v>1.4760500000000001</v>
      </c>
      <c r="DO205">
        <v>2.03165</v>
      </c>
      <c r="DP205">
        <v>0.104439</v>
      </c>
      <c r="DQ205">
        <v>0.16905400000000001</v>
      </c>
      <c r="DR205">
        <v>25.305399999999999</v>
      </c>
      <c r="DS205">
        <v>25.0671</v>
      </c>
      <c r="DT205">
        <v>28.8</v>
      </c>
      <c r="DU205">
        <v>29</v>
      </c>
      <c r="DV205">
        <v>11.7384</v>
      </c>
      <c r="DW205">
        <v>60.902200000000001</v>
      </c>
      <c r="DX205">
        <v>36.899000000000001</v>
      </c>
      <c r="DY205">
        <v>1</v>
      </c>
      <c r="DZ205">
        <v>-0.11813800000000001</v>
      </c>
      <c r="EA205">
        <v>-0.21484200000000001</v>
      </c>
      <c r="EB205">
        <v>20.190300000000001</v>
      </c>
      <c r="EC205">
        <v>5.24125</v>
      </c>
      <c r="ED205">
        <v>12.039899999999999</v>
      </c>
      <c r="EE205">
        <v>5.01715</v>
      </c>
      <c r="EF205">
        <v>3.2879700000000001</v>
      </c>
      <c r="EG205">
        <v>9999</v>
      </c>
      <c r="EH205">
        <v>9999</v>
      </c>
      <c r="EI205">
        <v>9999</v>
      </c>
      <c r="EJ205">
        <v>999.9</v>
      </c>
      <c r="EK205">
        <v>1.8689</v>
      </c>
      <c r="EL205">
        <v>1.8646199999999999</v>
      </c>
      <c r="EM205">
        <v>1.8692</v>
      </c>
      <c r="EN205">
        <v>1.86724</v>
      </c>
      <c r="EO205">
        <v>1.8633999999999999</v>
      </c>
      <c r="EP205">
        <v>1.86446</v>
      </c>
      <c r="EQ205">
        <v>1.8701399999999999</v>
      </c>
      <c r="ER205">
        <v>1.8693900000000001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-3.4000000000000002E-2</v>
      </c>
      <c r="FG205">
        <v>0.2797</v>
      </c>
      <c r="FH205">
        <v>0.26269369235785539</v>
      </c>
      <c r="FI205">
        <v>-6.1462078757559423E-4</v>
      </c>
      <c r="FJ205">
        <v>-1.8861989874597051E-7</v>
      </c>
      <c r="FK205">
        <v>1.1980462299894961E-10</v>
      </c>
      <c r="FL205">
        <v>0.27968571428570849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41.1</v>
      </c>
      <c r="FU205">
        <v>41.1</v>
      </c>
      <c r="FV205">
        <v>1.7663599999999999</v>
      </c>
      <c r="FW205">
        <v>2.5842299999999998</v>
      </c>
      <c r="FX205">
        <v>1.5490699999999999</v>
      </c>
      <c r="FY205">
        <v>2.3327599999999999</v>
      </c>
      <c r="FZ205">
        <v>1.50146</v>
      </c>
      <c r="GA205">
        <v>2.3059099999999999</v>
      </c>
      <c r="GB205">
        <v>33.512999999999998</v>
      </c>
      <c r="GC205">
        <v>23.982399999999998</v>
      </c>
      <c r="GD205">
        <v>19</v>
      </c>
      <c r="GE205">
        <v>281.52100000000002</v>
      </c>
      <c r="GF205">
        <v>575.89</v>
      </c>
      <c r="GG205">
        <v>25.029900000000001</v>
      </c>
      <c r="GH205">
        <v>25.931899999999999</v>
      </c>
      <c r="GI205">
        <v>30</v>
      </c>
      <c r="GJ205">
        <v>26.058</v>
      </c>
      <c r="GK205">
        <v>26.037199999999999</v>
      </c>
      <c r="GL205">
        <v>35.304299999999998</v>
      </c>
      <c r="GM205">
        <v>100</v>
      </c>
      <c r="GN205">
        <v>22.437799999999999</v>
      </c>
      <c r="GO205">
        <v>25.029699999999998</v>
      </c>
      <c r="GP205">
        <v>800</v>
      </c>
      <c r="GQ205">
        <v>0</v>
      </c>
      <c r="GR205">
        <v>99.813599999999994</v>
      </c>
      <c r="GS205">
        <v>99.675200000000004</v>
      </c>
    </row>
    <row r="206" spans="1:201" x14ac:dyDescent="0.25">
      <c r="A206">
        <v>190</v>
      </c>
      <c r="B206">
        <v>1690387296</v>
      </c>
      <c r="C206">
        <v>1961.400000095367</v>
      </c>
      <c r="D206" t="s">
        <v>713</v>
      </c>
      <c r="E206" t="s">
        <v>714</v>
      </c>
      <c r="F206" t="s">
        <v>330</v>
      </c>
      <c r="H206">
        <v>1690387296</v>
      </c>
      <c r="I206">
        <f t="shared" si="60"/>
        <v>2.3079228111454785E-3</v>
      </c>
      <c r="J206">
        <f t="shared" si="61"/>
        <v>2.3079228111454784</v>
      </c>
      <c r="K206">
        <f t="shared" si="62"/>
        <v>32.985232419774903</v>
      </c>
      <c r="L206">
        <f t="shared" si="63"/>
        <v>439.82400000000001</v>
      </c>
      <c r="M206">
        <f t="shared" si="64"/>
        <v>107.2042066075967</v>
      </c>
      <c r="N206">
        <f t="shared" si="65"/>
        <v>10.5877510597103</v>
      </c>
      <c r="O206">
        <f t="shared" si="66"/>
        <v>43.438099767216002</v>
      </c>
      <c r="P206">
        <f t="shared" si="67"/>
        <v>0.16766044304754998</v>
      </c>
      <c r="Q206">
        <f t="shared" si="68"/>
        <v>2.1594330319553436</v>
      </c>
      <c r="R206">
        <f t="shared" si="69"/>
        <v>0.16074981087732473</v>
      </c>
      <c r="S206">
        <f t="shared" si="70"/>
        <v>0.10106578900522972</v>
      </c>
      <c r="T206">
        <f t="shared" si="71"/>
        <v>276.11285071519626</v>
      </c>
      <c r="U206">
        <f t="shared" si="72"/>
        <v>27.804292753066406</v>
      </c>
      <c r="V206">
        <f t="shared" si="73"/>
        <v>27.804292753066406</v>
      </c>
      <c r="W206">
        <f t="shared" si="74"/>
        <v>3.7517590008908304</v>
      </c>
      <c r="X206">
        <f t="shared" si="75"/>
        <v>68.651928587525418</v>
      </c>
      <c r="Y206">
        <f t="shared" si="76"/>
        <v>2.3778049628840003</v>
      </c>
      <c r="Z206">
        <f t="shared" si="77"/>
        <v>3.4635661543761285</v>
      </c>
      <c r="AA206">
        <f t="shared" si="78"/>
        <v>1.37395403800683</v>
      </c>
      <c r="AB206">
        <f t="shared" si="79"/>
        <v>-101.7793959715156</v>
      </c>
      <c r="AC206">
        <f t="shared" si="80"/>
        <v>-158.57395788081075</v>
      </c>
      <c r="AD206">
        <f t="shared" si="81"/>
        <v>-15.86735273322078</v>
      </c>
      <c r="AE206">
        <f t="shared" si="82"/>
        <v>-0.10785587035090316</v>
      </c>
      <c r="AF206">
        <v>0</v>
      </c>
      <c r="AG206">
        <v>0</v>
      </c>
      <c r="AH206">
        <f t="shared" si="83"/>
        <v>1</v>
      </c>
      <c r="AI206">
        <f t="shared" si="84"/>
        <v>0</v>
      </c>
      <c r="AJ206">
        <f t="shared" si="85"/>
        <v>52329.720297441389</v>
      </c>
      <c r="AK206">
        <f t="shared" si="86"/>
        <v>1799.99</v>
      </c>
      <c r="AL206">
        <f t="shared" si="87"/>
        <v>1499.1040369979701</v>
      </c>
      <c r="AM206">
        <f t="shared" si="88"/>
        <v>0.83284020300000006</v>
      </c>
      <c r="AN206">
        <f t="shared" si="89"/>
        <v>0.15339688038000002</v>
      </c>
      <c r="AO206">
        <v>31.8</v>
      </c>
      <c r="AP206">
        <v>0.5</v>
      </c>
      <c r="AQ206" t="s">
        <v>331</v>
      </c>
      <c r="AR206">
        <v>2</v>
      </c>
      <c r="AS206">
        <v>1690387296</v>
      </c>
      <c r="AT206">
        <v>439.82400000000001</v>
      </c>
      <c r="AU206">
        <v>800.05799999999999</v>
      </c>
      <c r="AV206">
        <v>24.076000000000001</v>
      </c>
      <c r="AW206">
        <v>0.212229</v>
      </c>
      <c r="AX206">
        <v>439.858</v>
      </c>
      <c r="AY206">
        <v>23.796299999999999</v>
      </c>
      <c r="AZ206">
        <v>300.14100000000002</v>
      </c>
      <c r="BA206">
        <v>98.662400000000005</v>
      </c>
      <c r="BB206">
        <v>0.100059</v>
      </c>
      <c r="BC206">
        <v>26.4422</v>
      </c>
      <c r="BD206">
        <v>26.984100000000002</v>
      </c>
      <c r="BE206">
        <v>27.838100000000001</v>
      </c>
      <c r="BF206">
        <v>0</v>
      </c>
      <c r="BG206">
        <v>0</v>
      </c>
      <c r="BH206">
        <v>10012.5</v>
      </c>
      <c r="BI206">
        <v>1078.79</v>
      </c>
      <c r="BJ206">
        <v>1.3455900000000001</v>
      </c>
      <c r="BK206">
        <v>-360.23399999999998</v>
      </c>
      <c r="BL206">
        <v>450.67500000000001</v>
      </c>
      <c r="BM206">
        <v>800.22799999999995</v>
      </c>
      <c r="BN206">
        <v>23.863800000000001</v>
      </c>
      <c r="BO206">
        <v>800.05799999999999</v>
      </c>
      <c r="BP206">
        <v>0.212229</v>
      </c>
      <c r="BQ206">
        <v>2.3754</v>
      </c>
      <c r="BR206">
        <v>2.0938999999999999E-2</v>
      </c>
      <c r="BS206">
        <v>20.196999999999999</v>
      </c>
      <c r="BT206">
        <v>-38.982700000000001</v>
      </c>
      <c r="BU206">
        <v>1799.99</v>
      </c>
      <c r="BV206">
        <v>0.91001299999999996</v>
      </c>
      <c r="BW206">
        <v>3.4005300000000002E-2</v>
      </c>
      <c r="BX206">
        <v>2.1992899999999999E-2</v>
      </c>
      <c r="BY206">
        <v>3.3988999999999998E-2</v>
      </c>
      <c r="BZ206">
        <v>25.625</v>
      </c>
      <c r="CA206">
        <v>33528.400000000001</v>
      </c>
      <c r="CB206">
        <v>1690384821</v>
      </c>
      <c r="CC206" t="s">
        <v>332</v>
      </c>
      <c r="CD206">
        <v>1690384820</v>
      </c>
      <c r="CE206">
        <v>1690384821</v>
      </c>
      <c r="CF206">
        <v>5</v>
      </c>
      <c r="CG206">
        <v>-2.5000000000000001E-2</v>
      </c>
      <c r="CH206">
        <v>0.104</v>
      </c>
      <c r="CI206">
        <v>-0.28799999999999998</v>
      </c>
      <c r="CJ206">
        <v>0.28000000000000003</v>
      </c>
      <c r="CK206">
        <v>800</v>
      </c>
      <c r="CL206">
        <v>24</v>
      </c>
      <c r="CM206">
        <v>0.08</v>
      </c>
      <c r="CN206">
        <v>0.11</v>
      </c>
      <c r="CO206">
        <v>-359.74697500000002</v>
      </c>
      <c r="CP206">
        <v>-2.4124840525326992</v>
      </c>
      <c r="CQ206">
        <v>0.23958187405352871</v>
      </c>
      <c r="CR206">
        <v>-1</v>
      </c>
      <c r="CS206">
        <v>23.845937500000002</v>
      </c>
      <c r="CT206">
        <v>0.1204401500937317</v>
      </c>
      <c r="CU206">
        <v>1.179085848231601E-2</v>
      </c>
      <c r="CV206">
        <v>-1</v>
      </c>
      <c r="CW206">
        <v>0</v>
      </c>
      <c r="CX206">
        <v>0</v>
      </c>
      <c r="CY206" t="s">
        <v>333</v>
      </c>
      <c r="CZ206">
        <v>2.3648600000000002</v>
      </c>
      <c r="DA206">
        <v>2.7138599999999999</v>
      </c>
      <c r="DB206">
        <v>9.5816799999999994E-2</v>
      </c>
      <c r="DC206">
        <v>0.145479</v>
      </c>
      <c r="DD206">
        <v>0.11346199999999999</v>
      </c>
      <c r="DE206">
        <v>1.77513E-3</v>
      </c>
      <c r="DF206">
        <v>33040</v>
      </c>
      <c r="DG206">
        <v>27568.9</v>
      </c>
      <c r="DH206">
        <v>31194.3</v>
      </c>
      <c r="DI206">
        <v>28111.9</v>
      </c>
      <c r="DJ206">
        <v>37543.300000000003</v>
      </c>
      <c r="DK206">
        <v>39912</v>
      </c>
      <c r="DL206">
        <v>44396.6</v>
      </c>
      <c r="DM206">
        <v>42608.6</v>
      </c>
      <c r="DN206">
        <v>1.4764200000000001</v>
      </c>
      <c r="DO206">
        <v>2.0317699999999999</v>
      </c>
      <c r="DP206">
        <v>0.102632</v>
      </c>
      <c r="DQ206">
        <v>0.16936999999999999</v>
      </c>
      <c r="DR206">
        <v>25.3033</v>
      </c>
      <c r="DS206">
        <v>25.0657</v>
      </c>
      <c r="DT206">
        <v>28.6</v>
      </c>
      <c r="DU206">
        <v>29</v>
      </c>
      <c r="DV206">
        <v>11.6585</v>
      </c>
      <c r="DW206">
        <v>61.0122</v>
      </c>
      <c r="DX206">
        <v>36.786900000000003</v>
      </c>
      <c r="DY206">
        <v>1</v>
      </c>
      <c r="DZ206">
        <v>-0.11804099999999999</v>
      </c>
      <c r="EA206">
        <v>-0.16208900000000001</v>
      </c>
      <c r="EB206">
        <v>20.190300000000001</v>
      </c>
      <c r="EC206">
        <v>5.2411000000000003</v>
      </c>
      <c r="ED206">
        <v>12.039899999999999</v>
      </c>
      <c r="EE206">
        <v>5.0174000000000003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1.8689100000000001</v>
      </c>
      <c r="EL206">
        <v>1.8646199999999999</v>
      </c>
      <c r="EM206">
        <v>1.8692</v>
      </c>
      <c r="EN206">
        <v>1.8672500000000001</v>
      </c>
      <c r="EO206">
        <v>1.8633900000000001</v>
      </c>
      <c r="EP206">
        <v>1.8644700000000001</v>
      </c>
      <c r="EQ206">
        <v>1.87016</v>
      </c>
      <c r="ER206">
        <v>1.8694299999999999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-3.4000000000000002E-2</v>
      </c>
      <c r="FG206">
        <v>0.2797</v>
      </c>
      <c r="FH206">
        <v>0.26269369235785539</v>
      </c>
      <c r="FI206">
        <v>-6.1462078757559423E-4</v>
      </c>
      <c r="FJ206">
        <v>-1.8861989874597051E-7</v>
      </c>
      <c r="FK206">
        <v>1.1980462299894961E-10</v>
      </c>
      <c r="FL206">
        <v>0.27968571428570849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41.3</v>
      </c>
      <c r="FU206">
        <v>41.2</v>
      </c>
      <c r="FV206">
        <v>1.7663599999999999</v>
      </c>
      <c r="FW206">
        <v>2.5842299999999998</v>
      </c>
      <c r="FX206">
        <v>1.5490699999999999</v>
      </c>
      <c r="FY206">
        <v>2.3327599999999999</v>
      </c>
      <c r="FZ206">
        <v>1.50146</v>
      </c>
      <c r="GA206">
        <v>2.2924799999999999</v>
      </c>
      <c r="GB206">
        <v>33.512999999999998</v>
      </c>
      <c r="GC206">
        <v>23.982399999999998</v>
      </c>
      <c r="GD206">
        <v>19</v>
      </c>
      <c r="GE206">
        <v>281.67399999999998</v>
      </c>
      <c r="GF206">
        <v>575.99199999999996</v>
      </c>
      <c r="GG206">
        <v>25.012599999999999</v>
      </c>
      <c r="GH206">
        <v>25.93</v>
      </c>
      <c r="GI206">
        <v>30.0001</v>
      </c>
      <c r="GJ206">
        <v>26.0566</v>
      </c>
      <c r="GK206">
        <v>26.037199999999999</v>
      </c>
      <c r="GL206">
        <v>35.303600000000003</v>
      </c>
      <c r="GM206">
        <v>100</v>
      </c>
      <c r="GN206">
        <v>21.643699999999999</v>
      </c>
      <c r="GO206">
        <v>25.0093</v>
      </c>
      <c r="GP206">
        <v>800</v>
      </c>
      <c r="GQ206">
        <v>0</v>
      </c>
      <c r="GR206">
        <v>99.813900000000004</v>
      </c>
      <c r="GS206">
        <v>99.675600000000003</v>
      </c>
    </row>
    <row r="207" spans="1:201" x14ac:dyDescent="0.25">
      <c r="A207">
        <v>191</v>
      </c>
      <c r="B207">
        <v>1690387306</v>
      </c>
      <c r="C207">
        <v>1971.400000095367</v>
      </c>
      <c r="D207" t="s">
        <v>715</v>
      </c>
      <c r="E207" t="s">
        <v>716</v>
      </c>
      <c r="F207" t="s">
        <v>330</v>
      </c>
      <c r="H207">
        <v>1690387306</v>
      </c>
      <c r="I207">
        <f t="shared" si="60"/>
        <v>2.3101914169313155E-3</v>
      </c>
      <c r="J207">
        <f t="shared" si="61"/>
        <v>2.3101914169313154</v>
      </c>
      <c r="K207">
        <f t="shared" si="62"/>
        <v>33.017621759032117</v>
      </c>
      <c r="L207">
        <f t="shared" si="63"/>
        <v>439.46100000000001</v>
      </c>
      <c r="M207">
        <f t="shared" si="64"/>
        <v>107.31831962820662</v>
      </c>
      <c r="N207">
        <f t="shared" si="65"/>
        <v>10.598878462523706</v>
      </c>
      <c r="O207">
        <f t="shared" si="66"/>
        <v>43.401664731199496</v>
      </c>
      <c r="P207">
        <f t="shared" si="67"/>
        <v>0.16807964163974559</v>
      </c>
      <c r="Q207">
        <f t="shared" si="68"/>
        <v>2.15941846938061</v>
      </c>
      <c r="R207">
        <f t="shared" si="69"/>
        <v>0.1611351339681707</v>
      </c>
      <c r="S207">
        <f t="shared" si="70"/>
        <v>0.10130948593220912</v>
      </c>
      <c r="T207">
        <f t="shared" si="71"/>
        <v>276.11298735243713</v>
      </c>
      <c r="U207">
        <f t="shared" si="72"/>
        <v>27.80292124060469</v>
      </c>
      <c r="V207">
        <f t="shared" si="73"/>
        <v>27.80292124060469</v>
      </c>
      <c r="W207">
        <f t="shared" si="74"/>
        <v>3.7514586044921461</v>
      </c>
      <c r="X207">
        <f t="shared" si="75"/>
        <v>68.702480115080505</v>
      </c>
      <c r="Y207">
        <f t="shared" si="76"/>
        <v>2.3794716452693998</v>
      </c>
      <c r="Z207">
        <f t="shared" si="77"/>
        <v>3.4634435922599174</v>
      </c>
      <c r="AA207">
        <f t="shared" si="78"/>
        <v>1.3719869592227463</v>
      </c>
      <c r="AB207">
        <f t="shared" si="79"/>
        <v>-101.87944148667101</v>
      </c>
      <c r="AC207">
        <f t="shared" si="80"/>
        <v>-158.48307012876651</v>
      </c>
      <c r="AD207">
        <f t="shared" si="81"/>
        <v>-15.858208843168969</v>
      </c>
      <c r="AE207">
        <f t="shared" si="82"/>
        <v>-0.10773310616937692</v>
      </c>
      <c r="AF207">
        <v>0</v>
      </c>
      <c r="AG207">
        <v>0</v>
      </c>
      <c r="AH207">
        <f t="shared" si="83"/>
        <v>1</v>
      </c>
      <c r="AI207">
        <f t="shared" si="84"/>
        <v>0</v>
      </c>
      <c r="AJ207">
        <f t="shared" si="85"/>
        <v>52329.188680708852</v>
      </c>
      <c r="AK207">
        <f t="shared" si="86"/>
        <v>1799.99</v>
      </c>
      <c r="AL207">
        <f t="shared" si="87"/>
        <v>1499.1042997965101</v>
      </c>
      <c r="AM207">
        <f t="shared" si="88"/>
        <v>0.83284034900000004</v>
      </c>
      <c r="AN207">
        <f t="shared" si="89"/>
        <v>0.15339695629000002</v>
      </c>
      <c r="AO207">
        <v>31.8</v>
      </c>
      <c r="AP207">
        <v>0.5</v>
      </c>
      <c r="AQ207" t="s">
        <v>331</v>
      </c>
      <c r="AR207">
        <v>2</v>
      </c>
      <c r="AS207">
        <v>1690387306</v>
      </c>
      <c r="AT207">
        <v>439.46100000000001</v>
      </c>
      <c r="AU207">
        <v>799.98699999999997</v>
      </c>
      <c r="AV207">
        <v>24.0932</v>
      </c>
      <c r="AW207">
        <v>0.209894</v>
      </c>
      <c r="AX207">
        <v>439.495</v>
      </c>
      <c r="AY207">
        <v>23.813500000000001</v>
      </c>
      <c r="AZ207">
        <v>300.185</v>
      </c>
      <c r="BA207">
        <v>98.661199999999994</v>
      </c>
      <c r="BB207">
        <v>9.9929500000000004E-2</v>
      </c>
      <c r="BC207">
        <v>26.441600000000001</v>
      </c>
      <c r="BD207">
        <v>26.9938</v>
      </c>
      <c r="BE207">
        <v>27.841699999999999</v>
      </c>
      <c r="BF207">
        <v>0</v>
      </c>
      <c r="BG207">
        <v>0</v>
      </c>
      <c r="BH207">
        <v>10012.5</v>
      </c>
      <c r="BI207">
        <v>1078.8599999999999</v>
      </c>
      <c r="BJ207">
        <v>1.3455900000000001</v>
      </c>
      <c r="BK207">
        <v>-360.52600000000001</v>
      </c>
      <c r="BL207">
        <v>450.31099999999998</v>
      </c>
      <c r="BM207">
        <v>800.15499999999997</v>
      </c>
      <c r="BN207">
        <v>23.883299999999998</v>
      </c>
      <c r="BO207">
        <v>799.98699999999997</v>
      </c>
      <c r="BP207">
        <v>0.209894</v>
      </c>
      <c r="BQ207">
        <v>2.3770600000000002</v>
      </c>
      <c r="BR207">
        <v>2.0708399999999998E-2</v>
      </c>
      <c r="BS207">
        <v>20.208400000000001</v>
      </c>
      <c r="BT207">
        <v>-39.089799999999997</v>
      </c>
      <c r="BU207">
        <v>1799.99</v>
      </c>
      <c r="BV207">
        <v>0.91001200000000004</v>
      </c>
      <c r="BW207">
        <v>3.4005800000000003E-2</v>
      </c>
      <c r="BX207">
        <v>2.1993200000000001E-2</v>
      </c>
      <c r="BY207">
        <v>3.3989499999999999E-2</v>
      </c>
      <c r="BZ207">
        <v>25.541699999999999</v>
      </c>
      <c r="CA207">
        <v>33528.300000000003</v>
      </c>
      <c r="CB207">
        <v>1690384821</v>
      </c>
      <c r="CC207" t="s">
        <v>332</v>
      </c>
      <c r="CD207">
        <v>1690384820</v>
      </c>
      <c r="CE207">
        <v>1690384821</v>
      </c>
      <c r="CF207">
        <v>5</v>
      </c>
      <c r="CG207">
        <v>-2.5000000000000001E-2</v>
      </c>
      <c r="CH207">
        <v>0.104</v>
      </c>
      <c r="CI207">
        <v>-0.28799999999999998</v>
      </c>
      <c r="CJ207">
        <v>0.28000000000000003</v>
      </c>
      <c r="CK207">
        <v>800</v>
      </c>
      <c r="CL207">
        <v>24</v>
      </c>
      <c r="CM207">
        <v>0.08</v>
      </c>
      <c r="CN207">
        <v>0.11</v>
      </c>
      <c r="CO207">
        <v>-360.15780000000001</v>
      </c>
      <c r="CP207">
        <v>-2.5719174484036298</v>
      </c>
      <c r="CQ207">
        <v>0.24954210065637861</v>
      </c>
      <c r="CR207">
        <v>-1</v>
      </c>
      <c r="CS207">
        <v>23.864265</v>
      </c>
      <c r="CT207">
        <v>0.10517223264532791</v>
      </c>
      <c r="CU207">
        <v>1.020067522274906E-2</v>
      </c>
      <c r="CV207">
        <v>-1</v>
      </c>
      <c r="CW207">
        <v>0</v>
      </c>
      <c r="CX207">
        <v>0</v>
      </c>
      <c r="CY207" t="s">
        <v>333</v>
      </c>
      <c r="CZ207">
        <v>2.3650199999999999</v>
      </c>
      <c r="DA207">
        <v>2.71373</v>
      </c>
      <c r="DB207">
        <v>9.5756499999999994E-2</v>
      </c>
      <c r="DC207">
        <v>0.14546899999999999</v>
      </c>
      <c r="DD207">
        <v>0.11351799999999999</v>
      </c>
      <c r="DE207">
        <v>1.75584E-3</v>
      </c>
      <c r="DF207">
        <v>33041.599999999999</v>
      </c>
      <c r="DG207">
        <v>27569.5</v>
      </c>
      <c r="DH207">
        <v>31193.7</v>
      </c>
      <c r="DI207">
        <v>28112.1</v>
      </c>
      <c r="DJ207">
        <v>37540.1</v>
      </c>
      <c r="DK207">
        <v>39913.1</v>
      </c>
      <c r="DL207">
        <v>44395.7</v>
      </c>
      <c r="DM207">
        <v>42608.9</v>
      </c>
      <c r="DN207">
        <v>1.4762999999999999</v>
      </c>
      <c r="DO207">
        <v>2.0314999999999999</v>
      </c>
      <c r="DP207">
        <v>0.103228</v>
      </c>
      <c r="DQ207">
        <v>0.169463</v>
      </c>
      <c r="DR207">
        <v>25.3033</v>
      </c>
      <c r="DS207">
        <v>25.067799999999998</v>
      </c>
      <c r="DT207">
        <v>28.2</v>
      </c>
      <c r="DU207">
        <v>29</v>
      </c>
      <c r="DV207">
        <v>11.497299999999999</v>
      </c>
      <c r="DW207">
        <v>61.062199999999997</v>
      </c>
      <c r="DX207">
        <v>36.666699999999999</v>
      </c>
      <c r="DY207">
        <v>1</v>
      </c>
      <c r="DZ207">
        <v>-0.11815000000000001</v>
      </c>
      <c r="EA207">
        <v>-0.22534899999999999</v>
      </c>
      <c r="EB207">
        <v>20.190200000000001</v>
      </c>
      <c r="EC207">
        <v>5.2416999999999998</v>
      </c>
      <c r="ED207">
        <v>12.039899999999999</v>
      </c>
      <c r="EE207">
        <v>5.0171999999999999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</v>
      </c>
      <c r="EL207">
        <v>1.8646100000000001</v>
      </c>
      <c r="EM207">
        <v>1.8692</v>
      </c>
      <c r="EN207">
        <v>1.86724</v>
      </c>
      <c r="EO207">
        <v>1.86338</v>
      </c>
      <c r="EP207">
        <v>1.8644499999999999</v>
      </c>
      <c r="EQ207">
        <v>1.87015</v>
      </c>
      <c r="ER207">
        <v>1.8693900000000001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-3.4000000000000002E-2</v>
      </c>
      <c r="FG207">
        <v>0.2797</v>
      </c>
      <c r="FH207">
        <v>0.26269369235785539</v>
      </c>
      <c r="FI207">
        <v>-6.1462078757559423E-4</v>
      </c>
      <c r="FJ207">
        <v>-1.8861989874597051E-7</v>
      </c>
      <c r="FK207">
        <v>1.1980462299894961E-10</v>
      </c>
      <c r="FL207">
        <v>0.27968571428570849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41.4</v>
      </c>
      <c r="FU207">
        <v>41.4</v>
      </c>
      <c r="FV207">
        <v>1.7663599999999999</v>
      </c>
      <c r="FW207">
        <v>2.5830099999999998</v>
      </c>
      <c r="FX207">
        <v>1.5490699999999999</v>
      </c>
      <c r="FY207">
        <v>2.3327599999999999</v>
      </c>
      <c r="FZ207">
        <v>1.50146</v>
      </c>
      <c r="GA207">
        <v>2.2729499999999998</v>
      </c>
      <c r="GB207">
        <v>33.512999999999998</v>
      </c>
      <c r="GC207">
        <v>23.982399999999998</v>
      </c>
      <c r="GD207">
        <v>19</v>
      </c>
      <c r="GE207">
        <v>281.61700000000002</v>
      </c>
      <c r="GF207">
        <v>575.74300000000005</v>
      </c>
      <c r="GG207">
        <v>25.019100000000002</v>
      </c>
      <c r="GH207">
        <v>25.9298</v>
      </c>
      <c r="GI207">
        <v>30</v>
      </c>
      <c r="GJ207">
        <v>26.055800000000001</v>
      </c>
      <c r="GK207">
        <v>26.035</v>
      </c>
      <c r="GL207">
        <v>35.302799999999998</v>
      </c>
      <c r="GM207">
        <v>100</v>
      </c>
      <c r="GN207">
        <v>20.870100000000001</v>
      </c>
      <c r="GO207">
        <v>25.0215</v>
      </c>
      <c r="GP207">
        <v>800</v>
      </c>
      <c r="GQ207">
        <v>0</v>
      </c>
      <c r="GR207">
        <v>99.811999999999998</v>
      </c>
      <c r="GS207">
        <v>99.676400000000001</v>
      </c>
    </row>
    <row r="208" spans="1:201" x14ac:dyDescent="0.25">
      <c r="A208">
        <v>192</v>
      </c>
      <c r="B208">
        <v>1690387316</v>
      </c>
      <c r="C208">
        <v>1981.400000095367</v>
      </c>
      <c r="D208" t="s">
        <v>717</v>
      </c>
      <c r="E208" t="s">
        <v>718</v>
      </c>
      <c r="F208" t="s">
        <v>330</v>
      </c>
      <c r="H208">
        <v>1690387316</v>
      </c>
      <c r="I208">
        <f t="shared" si="60"/>
        <v>2.3120497994384833E-3</v>
      </c>
      <c r="J208">
        <f t="shared" si="61"/>
        <v>2.3120497994384834</v>
      </c>
      <c r="K208">
        <f t="shared" si="62"/>
        <v>33.057323581019013</v>
      </c>
      <c r="L208">
        <f t="shared" si="63"/>
        <v>438.91</v>
      </c>
      <c r="M208">
        <f t="shared" si="64"/>
        <v>107.09092566372379</v>
      </c>
      <c r="N208">
        <f t="shared" si="65"/>
        <v>10.576541030150327</v>
      </c>
      <c r="O208">
        <f t="shared" si="66"/>
        <v>43.347740200884004</v>
      </c>
      <c r="P208">
        <f t="shared" si="67"/>
        <v>0.16845381641554566</v>
      </c>
      <c r="Q208">
        <f t="shared" si="68"/>
        <v>2.1592763536095987</v>
      </c>
      <c r="R208">
        <f t="shared" si="69"/>
        <v>0.16147860612130124</v>
      </c>
      <c r="S208">
        <f t="shared" si="70"/>
        <v>0.10152675615089865</v>
      </c>
      <c r="T208">
        <f t="shared" si="71"/>
        <v>276.11443564200005</v>
      </c>
      <c r="U208">
        <f t="shared" si="72"/>
        <v>27.805769497443318</v>
      </c>
      <c r="V208">
        <f t="shared" si="73"/>
        <v>27.805769497443318</v>
      </c>
      <c r="W208">
        <f t="shared" si="74"/>
        <v>3.7520824692427341</v>
      </c>
      <c r="X208">
        <f t="shared" si="75"/>
        <v>68.759335338513111</v>
      </c>
      <c r="Y208">
        <f t="shared" si="76"/>
        <v>2.3819183747074804</v>
      </c>
      <c r="Z208">
        <f t="shared" si="77"/>
        <v>3.4641381609943123</v>
      </c>
      <c r="AA208">
        <f t="shared" si="78"/>
        <v>1.3701640945352538</v>
      </c>
      <c r="AB208">
        <f t="shared" si="79"/>
        <v>-101.96139615523711</v>
      </c>
      <c r="AC208">
        <f t="shared" si="80"/>
        <v>-158.40841111022726</v>
      </c>
      <c r="AD208">
        <f t="shared" si="81"/>
        <v>-15.852276480701585</v>
      </c>
      <c r="AE208">
        <f t="shared" si="82"/>
        <v>-0.10764810416588944</v>
      </c>
      <c r="AF208">
        <v>0</v>
      </c>
      <c r="AG208">
        <v>0</v>
      </c>
      <c r="AH208">
        <f t="shared" si="83"/>
        <v>1</v>
      </c>
      <c r="AI208">
        <f t="shared" si="84"/>
        <v>0</v>
      </c>
      <c r="AJ208">
        <f t="shared" si="85"/>
        <v>52322.663263834911</v>
      </c>
      <c r="AK208">
        <f t="shared" si="86"/>
        <v>1800</v>
      </c>
      <c r="AL208">
        <f t="shared" si="87"/>
        <v>1499.1122322000001</v>
      </c>
      <c r="AM208">
        <f t="shared" si="88"/>
        <v>0.83284012900000004</v>
      </c>
      <c r="AN208">
        <f t="shared" si="89"/>
        <v>0.15339690869000003</v>
      </c>
      <c r="AO208">
        <v>31.8</v>
      </c>
      <c r="AP208">
        <v>0.5</v>
      </c>
      <c r="AQ208" t="s">
        <v>331</v>
      </c>
      <c r="AR208">
        <v>2</v>
      </c>
      <c r="AS208">
        <v>1690387316</v>
      </c>
      <c r="AT208">
        <v>438.91</v>
      </c>
      <c r="AU208">
        <v>799.96600000000001</v>
      </c>
      <c r="AV208">
        <v>24.117699999999999</v>
      </c>
      <c r="AW208">
        <v>0.20821500000000001</v>
      </c>
      <c r="AX208">
        <v>438.94400000000002</v>
      </c>
      <c r="AY208">
        <v>23.838000000000001</v>
      </c>
      <c r="AZ208">
        <v>300.08999999999997</v>
      </c>
      <c r="BA208">
        <v>98.662300000000002</v>
      </c>
      <c r="BB208">
        <v>9.9952399999999997E-2</v>
      </c>
      <c r="BC208">
        <v>26.445</v>
      </c>
      <c r="BD208">
        <v>26.979800000000001</v>
      </c>
      <c r="BE208">
        <v>27.834099999999999</v>
      </c>
      <c r="BF208">
        <v>0</v>
      </c>
      <c r="BG208">
        <v>0</v>
      </c>
      <c r="BH208">
        <v>10011.200000000001</v>
      </c>
      <c r="BI208">
        <v>1078.8399999999999</v>
      </c>
      <c r="BJ208">
        <v>1.3455900000000001</v>
      </c>
      <c r="BK208">
        <v>-361.05599999999998</v>
      </c>
      <c r="BL208">
        <v>449.75799999999998</v>
      </c>
      <c r="BM208">
        <v>800.13300000000004</v>
      </c>
      <c r="BN208">
        <v>23.909500000000001</v>
      </c>
      <c r="BO208">
        <v>799.96600000000001</v>
      </c>
      <c r="BP208">
        <v>0.20821500000000001</v>
      </c>
      <c r="BQ208">
        <v>2.3795099999999998</v>
      </c>
      <c r="BR208">
        <v>2.0542999999999999E-2</v>
      </c>
      <c r="BS208">
        <v>20.225000000000001</v>
      </c>
      <c r="BT208">
        <v>-39.167200000000001</v>
      </c>
      <c r="BU208">
        <v>1800</v>
      </c>
      <c r="BV208">
        <v>0.91001200000000004</v>
      </c>
      <c r="BW208">
        <v>3.40057E-2</v>
      </c>
      <c r="BX208">
        <v>2.1993200000000001E-2</v>
      </c>
      <c r="BY208">
        <v>3.39893E-2</v>
      </c>
      <c r="BZ208">
        <v>25.583300000000001</v>
      </c>
      <c r="CA208">
        <v>33528.5</v>
      </c>
      <c r="CB208">
        <v>1690384821</v>
      </c>
      <c r="CC208" t="s">
        <v>332</v>
      </c>
      <c r="CD208">
        <v>1690384820</v>
      </c>
      <c r="CE208">
        <v>1690384821</v>
      </c>
      <c r="CF208">
        <v>5</v>
      </c>
      <c r="CG208">
        <v>-2.5000000000000001E-2</v>
      </c>
      <c r="CH208">
        <v>0.104</v>
      </c>
      <c r="CI208">
        <v>-0.28799999999999998</v>
      </c>
      <c r="CJ208">
        <v>0.28000000000000003</v>
      </c>
      <c r="CK208">
        <v>800</v>
      </c>
      <c r="CL208">
        <v>24</v>
      </c>
      <c r="CM208">
        <v>0.08</v>
      </c>
      <c r="CN208">
        <v>0.11</v>
      </c>
      <c r="CO208">
        <v>-360.60702500000002</v>
      </c>
      <c r="CP208">
        <v>-2.8515534709182968</v>
      </c>
      <c r="CQ208">
        <v>0.28025412463512939</v>
      </c>
      <c r="CR208">
        <v>-1</v>
      </c>
      <c r="CS208">
        <v>23.883559999999999</v>
      </c>
      <c r="CT208">
        <v>0.12771557223262209</v>
      </c>
      <c r="CU208">
        <v>1.2425916465194579E-2</v>
      </c>
      <c r="CV208">
        <v>-1</v>
      </c>
      <c r="CW208">
        <v>0</v>
      </c>
      <c r="CX208">
        <v>0</v>
      </c>
      <c r="CY208" t="s">
        <v>333</v>
      </c>
      <c r="CZ208">
        <v>2.3647200000000002</v>
      </c>
      <c r="DA208">
        <v>2.7137500000000001</v>
      </c>
      <c r="DB208">
        <v>9.5667799999999997E-2</v>
      </c>
      <c r="DC208">
        <v>0.14546799999999999</v>
      </c>
      <c r="DD208">
        <v>0.11360099999999999</v>
      </c>
      <c r="DE208">
        <v>1.7420000000000001E-3</v>
      </c>
      <c r="DF208">
        <v>33045.300000000003</v>
      </c>
      <c r="DG208">
        <v>27569.7</v>
      </c>
      <c r="DH208">
        <v>31194.1</v>
      </c>
      <c r="DI208">
        <v>28112.3</v>
      </c>
      <c r="DJ208">
        <v>37537.199999999997</v>
      </c>
      <c r="DK208">
        <v>39913.9</v>
      </c>
      <c r="DL208">
        <v>44396.5</v>
      </c>
      <c r="DM208">
        <v>42609.2</v>
      </c>
      <c r="DN208">
        <v>1.4761299999999999</v>
      </c>
      <c r="DO208">
        <v>2.0317699999999999</v>
      </c>
      <c r="DP208">
        <v>0.102371</v>
      </c>
      <c r="DQ208">
        <v>0.16886699999999999</v>
      </c>
      <c r="DR208">
        <v>25.3033</v>
      </c>
      <c r="DS208">
        <v>25.069900000000001</v>
      </c>
      <c r="DT208">
        <v>27.9</v>
      </c>
      <c r="DU208">
        <v>29</v>
      </c>
      <c r="DV208">
        <v>11.3725</v>
      </c>
      <c r="DW208">
        <v>61.352200000000003</v>
      </c>
      <c r="DX208">
        <v>36.8309</v>
      </c>
      <c r="DY208">
        <v>1</v>
      </c>
      <c r="DZ208">
        <v>-0.118239</v>
      </c>
      <c r="EA208">
        <v>-0.15022099999999999</v>
      </c>
      <c r="EB208">
        <v>20.1904</v>
      </c>
      <c r="EC208">
        <v>5.2415500000000002</v>
      </c>
      <c r="ED208">
        <v>12.039899999999999</v>
      </c>
      <c r="EE208">
        <v>5.0170500000000002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</v>
      </c>
      <c r="EL208">
        <v>1.8646100000000001</v>
      </c>
      <c r="EM208">
        <v>1.8692</v>
      </c>
      <c r="EN208">
        <v>1.8672299999999999</v>
      </c>
      <c r="EO208">
        <v>1.8633999999999999</v>
      </c>
      <c r="EP208">
        <v>1.8644700000000001</v>
      </c>
      <c r="EQ208">
        <v>1.8701700000000001</v>
      </c>
      <c r="ER208">
        <v>1.86938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-3.4000000000000002E-2</v>
      </c>
      <c r="FG208">
        <v>0.2797</v>
      </c>
      <c r="FH208">
        <v>0.26269369235785539</v>
      </c>
      <c r="FI208">
        <v>-6.1462078757559423E-4</v>
      </c>
      <c r="FJ208">
        <v>-1.8861989874597051E-7</v>
      </c>
      <c r="FK208">
        <v>1.1980462299894961E-10</v>
      </c>
      <c r="FL208">
        <v>0.27968571428570849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41.6</v>
      </c>
      <c r="FU208">
        <v>41.6</v>
      </c>
      <c r="FV208">
        <v>1.7651399999999999</v>
      </c>
      <c r="FW208">
        <v>2.5842299999999998</v>
      </c>
      <c r="FX208">
        <v>1.5490699999999999</v>
      </c>
      <c r="FY208">
        <v>2.3327599999999999</v>
      </c>
      <c r="FZ208">
        <v>1.50146</v>
      </c>
      <c r="GA208">
        <v>2.2778299999999998</v>
      </c>
      <c r="GB208">
        <v>33.512999999999998</v>
      </c>
      <c r="GC208">
        <v>23.982399999999998</v>
      </c>
      <c r="GD208">
        <v>19</v>
      </c>
      <c r="GE208">
        <v>281.54199999999997</v>
      </c>
      <c r="GF208">
        <v>575.96699999999998</v>
      </c>
      <c r="GG208">
        <v>25.014199999999999</v>
      </c>
      <c r="GH208">
        <v>25.9298</v>
      </c>
      <c r="GI208">
        <v>30</v>
      </c>
      <c r="GJ208">
        <v>26.055499999999999</v>
      </c>
      <c r="GK208">
        <v>26.035</v>
      </c>
      <c r="GL208">
        <v>35.301299999999998</v>
      </c>
      <c r="GM208">
        <v>100</v>
      </c>
      <c r="GN208">
        <v>20.4877</v>
      </c>
      <c r="GO208">
        <v>25.005299999999998</v>
      </c>
      <c r="GP208">
        <v>800</v>
      </c>
      <c r="GQ208">
        <v>0</v>
      </c>
      <c r="GR208">
        <v>99.813599999999994</v>
      </c>
      <c r="GS208">
        <v>99.677099999999996</v>
      </c>
    </row>
    <row r="209" spans="1:201" x14ac:dyDescent="0.25">
      <c r="A209">
        <v>193</v>
      </c>
      <c r="B209">
        <v>1690387326</v>
      </c>
      <c r="C209">
        <v>1991.400000095367</v>
      </c>
      <c r="D209" t="s">
        <v>719</v>
      </c>
      <c r="E209" t="s">
        <v>720</v>
      </c>
      <c r="F209" t="s">
        <v>330</v>
      </c>
      <c r="H209">
        <v>1690387326</v>
      </c>
      <c r="I209">
        <f t="shared" ref="I209:I272" si="90">(J209)/1000</f>
        <v>2.3144940730690506E-3</v>
      </c>
      <c r="J209">
        <f t="shared" ref="J209:J229" si="91">1000*AZ209*AH209*(AV209-AW209)/(100*AO209*(1000-AH209*AV209))</f>
        <v>2.3144940730690506</v>
      </c>
      <c r="K209">
        <f t="shared" ref="K209:K229" si="92">AZ209*AH209*(AU209-AT209*(1000-AH209*AW209)/(1000-AH209*AV209))/(100*AO209)</f>
        <v>33.10709354973315</v>
      </c>
      <c r="L209">
        <f t="shared" ref="L209:L272" si="93">AT209 - IF(AH209&gt;1, K209*AO209*100/(AJ209*BH209), 0)</f>
        <v>438.47300000000001</v>
      </c>
      <c r="M209">
        <f t="shared" ref="M209:M272" si="94">((S209-I209/2)*L209-K209)/(S209+I209/2)</f>
        <v>106.76904549689876</v>
      </c>
      <c r="N209">
        <f t="shared" ref="N209:N272" si="95">M209*(BA209+BB209)/1000</f>
        <v>10.544829628197624</v>
      </c>
      <c r="O209">
        <f t="shared" ref="O209:O229" si="96">(AT209 - IF(AH209&gt;1, K209*AO209*100/(AJ209*BH209), 0))*(BA209+BB209)/1000</f>
        <v>43.304902278057696</v>
      </c>
      <c r="P209">
        <f t="shared" ref="P209:P272" si="97">2/((1/R209-1/Q209)+SIGN(R209)*SQRT((1/R209-1/Q209)*(1/R209-1/Q209) + 4*AP209/((AP209+1)*(AP209+1))*(2*1/R209*1/Q209-1/Q209*1/Q209)))</f>
        <v>0.16878055455905355</v>
      </c>
      <c r="Q209">
        <f t="shared" ref="Q209:Q229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2.1561478076117253</v>
      </c>
      <c r="R209">
        <f t="shared" ref="R209:R229" si="99">I209*(1000-(1000*0.61365*EXP(17.502*V209/(240.97+V209))/(BA209+BB209)+AV209)/2)/(1000*0.61365*EXP(17.502*V209/(240.97+V209))/(BA209+BB209)-AV209)</f>
        <v>0.16176915841255773</v>
      </c>
      <c r="S209">
        <f t="shared" ref="S209:S229" si="100">1/((AP209+1)/(P209/1.6)+1/(Q209/1.37)) + AP209/((AP209+1)/(P209/1.6) + AP209/(Q209/1.37))</f>
        <v>0.10171139907457155</v>
      </c>
      <c r="T209">
        <f t="shared" ref="T209:T229" si="101">(AK209*AN209)</f>
        <v>276.11437507199997</v>
      </c>
      <c r="U209">
        <f t="shared" ref="U209:U272" si="102">(BC209+(T209+2*0.95*0.0000000567*(((BC209+$B$7)+273)^4-(BC209+273)^4)-44100*I209)/(1.84*29.3*Q209+8*0.95*0.0000000567*(BC209+273)^3))</f>
        <v>27.809517923035795</v>
      </c>
      <c r="V209">
        <f t="shared" ref="V209:V272" si="103">($C$7*BD209+$D$7*BE209+$E$7*U209)</f>
        <v>27.809517923035795</v>
      </c>
      <c r="W209">
        <f t="shared" ref="W209:W272" si="104">0.61365*EXP(17.502*V209/(240.97+V209))</f>
        <v>3.7529036394081619</v>
      </c>
      <c r="X209">
        <f t="shared" ref="X209:X272" si="105">(Y209/Z209*100)</f>
        <v>68.801226771447617</v>
      </c>
      <c r="Y209">
        <f t="shared" ref="Y209:Y229" si="106">AV209*(BA209+BB209)/1000</f>
        <v>2.3837631561433796</v>
      </c>
      <c r="Z209">
        <f t="shared" ref="Z209:Z229" si="107">0.61365*EXP(17.502*BC209/(240.97+BC209))</f>
        <v>3.464710250097804</v>
      </c>
      <c r="AA209">
        <f t="shared" ref="AA209:AA229" si="108">(W209-AV209*(BA209+BB209)/1000)</f>
        <v>1.3691404832647822</v>
      </c>
      <c r="AB209">
        <f t="shared" ref="AB209:AB229" si="109">(-I209*44100)</f>
        <v>-102.06918862234514</v>
      </c>
      <c r="AC209">
        <f t="shared" ref="AC209:AC229" si="110">2*29.3*Q209*0.92*(BC209-V209)</f>
        <v>-158.28914244425602</v>
      </c>
      <c r="AD209">
        <f t="shared" ref="AD209:AD229" si="111">2*0.95*0.0000000567*(((BC209+$B$7)+273)^4-(V209+273)^4)</f>
        <v>-15.863844458819006</v>
      </c>
      <c r="AE209">
        <f t="shared" ref="AE209:AE272" si="112">T209+AD209+AB209+AC209</f>
        <v>-0.10780045342019662</v>
      </c>
      <c r="AF209">
        <v>0</v>
      </c>
      <c r="AG209">
        <v>0</v>
      </c>
      <c r="AH209">
        <f t="shared" ref="AH209:AH229" si="113">IF(AF209*$H$13&gt;=AJ209,1,(AJ209/(AJ209-AF209*$H$13)))</f>
        <v>1</v>
      </c>
      <c r="AI209">
        <f t="shared" ref="AI209:AI272" si="114">(AH209-1)*100</f>
        <v>0</v>
      </c>
      <c r="AJ209">
        <f t="shared" ref="AJ209:AJ229" si="115">MAX(0,($B$13+$C$13*BH209)/(1+$D$13*BH209)*BA209/(BC209+273)*$E$13)</f>
        <v>52191.196987035488</v>
      </c>
      <c r="AK209">
        <f t="shared" ref="AK209:AK229" si="116">$B$11*BI209+$C$11*BJ209+$D$11*BU209</f>
        <v>1800</v>
      </c>
      <c r="AL209">
        <f t="shared" ref="AL209:AL272" si="117">AK209*AM209</f>
        <v>1499.1126462</v>
      </c>
      <c r="AM209">
        <f t="shared" ref="AM209:AM229" si="118">($B$11*$D$9+$C$11*$D$9+$D$11*(BV209*$E$9+BW209*$F$9+BX209*$G$9+BY209*$H$9))/($B$11+$C$11+$D$11)</f>
        <v>0.83284035899999997</v>
      </c>
      <c r="AN209">
        <f t="shared" ref="AN209:AN229" si="119">($B$11*$K$9+$C$11*$K$9+$D$11*(BV209*$L$9+BW209*$M$9+BX209*$N$9+BY209*$O$9))/($B$11+$C$11+$D$11)</f>
        <v>0.15339687503999999</v>
      </c>
      <c r="AO209">
        <v>31.8</v>
      </c>
      <c r="AP209">
        <v>0.5</v>
      </c>
      <c r="AQ209" t="s">
        <v>331</v>
      </c>
      <c r="AR209">
        <v>2</v>
      </c>
      <c r="AS209">
        <v>1690387326</v>
      </c>
      <c r="AT209">
        <v>438.47300000000001</v>
      </c>
      <c r="AU209">
        <v>799.99199999999996</v>
      </c>
      <c r="AV209">
        <v>24.136199999999999</v>
      </c>
      <c r="AW209">
        <v>0.20619799999999999</v>
      </c>
      <c r="AX209">
        <v>438.50599999999997</v>
      </c>
      <c r="AY209">
        <v>23.8565</v>
      </c>
      <c r="AZ209">
        <v>300.14400000000001</v>
      </c>
      <c r="BA209">
        <v>98.662999999999997</v>
      </c>
      <c r="BB209">
        <v>9.9984900000000002E-2</v>
      </c>
      <c r="BC209">
        <v>26.447800000000001</v>
      </c>
      <c r="BD209">
        <v>26.995999999999999</v>
      </c>
      <c r="BE209">
        <v>27.833400000000001</v>
      </c>
      <c r="BF209">
        <v>0</v>
      </c>
      <c r="BG209">
        <v>0</v>
      </c>
      <c r="BH209">
        <v>9985</v>
      </c>
      <c r="BI209">
        <v>1078.82</v>
      </c>
      <c r="BJ209">
        <v>1.3455900000000001</v>
      </c>
      <c r="BK209">
        <v>-361.51900000000001</v>
      </c>
      <c r="BL209">
        <v>449.31799999999998</v>
      </c>
      <c r="BM209">
        <v>800.15700000000004</v>
      </c>
      <c r="BN209">
        <v>23.93</v>
      </c>
      <c r="BO209">
        <v>799.99199999999996</v>
      </c>
      <c r="BP209">
        <v>0.20619799999999999</v>
      </c>
      <c r="BQ209">
        <v>2.3813499999999999</v>
      </c>
      <c r="BR209">
        <v>2.03441E-2</v>
      </c>
      <c r="BS209">
        <v>20.237500000000001</v>
      </c>
      <c r="BT209">
        <v>-39.261099999999999</v>
      </c>
      <c r="BU209">
        <v>1800</v>
      </c>
      <c r="BV209">
        <v>0.91001399999999999</v>
      </c>
      <c r="BW209">
        <v>3.4005000000000001E-2</v>
      </c>
      <c r="BX209">
        <v>2.19927E-2</v>
      </c>
      <c r="BY209">
        <v>3.3988600000000001E-2</v>
      </c>
      <c r="BZ209">
        <v>25.666699999999999</v>
      </c>
      <c r="CA209">
        <v>33528.5</v>
      </c>
      <c r="CB209">
        <v>1690384821</v>
      </c>
      <c r="CC209" t="s">
        <v>332</v>
      </c>
      <c r="CD209">
        <v>1690384820</v>
      </c>
      <c r="CE209">
        <v>1690384821</v>
      </c>
      <c r="CF209">
        <v>5</v>
      </c>
      <c r="CG209">
        <v>-2.5000000000000001E-2</v>
      </c>
      <c r="CH209">
        <v>0.104</v>
      </c>
      <c r="CI209">
        <v>-0.28799999999999998</v>
      </c>
      <c r="CJ209">
        <v>0.28000000000000003</v>
      </c>
      <c r="CK209">
        <v>800</v>
      </c>
      <c r="CL209">
        <v>24</v>
      </c>
      <c r="CM209">
        <v>0.08</v>
      </c>
      <c r="CN209">
        <v>0.11</v>
      </c>
      <c r="CO209">
        <v>-361.03822500000001</v>
      </c>
      <c r="CP209">
        <v>-3.2590581613502851</v>
      </c>
      <c r="CQ209">
        <v>0.31761828406910242</v>
      </c>
      <c r="CR209">
        <v>-1</v>
      </c>
      <c r="CS209">
        <v>23.9050075</v>
      </c>
      <c r="CT209">
        <v>0.1585632270168815</v>
      </c>
      <c r="CU209">
        <v>1.5283968520970029E-2</v>
      </c>
      <c r="CV209">
        <v>-1</v>
      </c>
      <c r="CW209">
        <v>0</v>
      </c>
      <c r="CX209">
        <v>0</v>
      </c>
      <c r="CY209" t="s">
        <v>333</v>
      </c>
      <c r="CZ209">
        <v>2.3648799999999999</v>
      </c>
      <c r="DA209">
        <v>2.7137600000000002</v>
      </c>
      <c r="DB209">
        <v>9.5597399999999999E-2</v>
      </c>
      <c r="DC209">
        <v>0.14547299999999999</v>
      </c>
      <c r="DD209">
        <v>0.113664</v>
      </c>
      <c r="DE209">
        <v>1.7253500000000001E-3</v>
      </c>
      <c r="DF209">
        <v>33047.699999999997</v>
      </c>
      <c r="DG209">
        <v>27569.7</v>
      </c>
      <c r="DH209">
        <v>31193.9</v>
      </c>
      <c r="DI209">
        <v>28112.400000000001</v>
      </c>
      <c r="DJ209">
        <v>37534.1</v>
      </c>
      <c r="DK209">
        <v>39914.800000000003</v>
      </c>
      <c r="DL209">
        <v>44396</v>
      </c>
      <c r="DM209">
        <v>42609.4</v>
      </c>
      <c r="DN209">
        <v>1.4761500000000001</v>
      </c>
      <c r="DO209">
        <v>2.0317500000000002</v>
      </c>
      <c r="DP209">
        <v>0.10335800000000001</v>
      </c>
      <c r="DQ209">
        <v>0.16871800000000001</v>
      </c>
      <c r="DR209">
        <v>25.3033</v>
      </c>
      <c r="DS209">
        <v>25.0717</v>
      </c>
      <c r="DT209">
        <v>27.7</v>
      </c>
      <c r="DU209">
        <v>29</v>
      </c>
      <c r="DV209">
        <v>11.2903</v>
      </c>
      <c r="DW209">
        <v>60.892200000000003</v>
      </c>
      <c r="DX209">
        <v>36.806899999999999</v>
      </c>
      <c r="DY209">
        <v>1</v>
      </c>
      <c r="DZ209">
        <v>-0.118267</v>
      </c>
      <c r="EA209">
        <v>-0.247004</v>
      </c>
      <c r="EB209">
        <v>20.189900000000002</v>
      </c>
      <c r="EC209">
        <v>5.24125</v>
      </c>
      <c r="ED209">
        <v>12.039899999999999</v>
      </c>
      <c r="EE209">
        <v>5.0175999999999998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1.8689199999999999</v>
      </c>
      <c r="EL209">
        <v>1.8646199999999999</v>
      </c>
      <c r="EM209">
        <v>1.8692</v>
      </c>
      <c r="EN209">
        <v>1.8672299999999999</v>
      </c>
      <c r="EO209">
        <v>1.8633999999999999</v>
      </c>
      <c r="EP209">
        <v>1.8644700000000001</v>
      </c>
      <c r="EQ209">
        <v>1.87018</v>
      </c>
      <c r="ER209">
        <v>1.86941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-3.3000000000000002E-2</v>
      </c>
      <c r="FG209">
        <v>0.2797</v>
      </c>
      <c r="FH209">
        <v>0.26269369235785539</v>
      </c>
      <c r="FI209">
        <v>-6.1462078757559423E-4</v>
      </c>
      <c r="FJ209">
        <v>-1.8861989874597051E-7</v>
      </c>
      <c r="FK209">
        <v>1.1980462299894961E-10</v>
      </c>
      <c r="FL209">
        <v>0.27968571428570849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41.8</v>
      </c>
      <c r="FU209">
        <v>41.8</v>
      </c>
      <c r="FV209">
        <v>1.7651399999999999</v>
      </c>
      <c r="FW209">
        <v>2.5854499999999998</v>
      </c>
      <c r="FX209">
        <v>1.5490699999999999</v>
      </c>
      <c r="FY209">
        <v>2.3327599999999999</v>
      </c>
      <c r="FZ209">
        <v>1.50146</v>
      </c>
      <c r="GA209">
        <v>2.2631800000000002</v>
      </c>
      <c r="GB209">
        <v>33.512999999999998</v>
      </c>
      <c r="GC209">
        <v>23.982399999999998</v>
      </c>
      <c r="GD209">
        <v>19</v>
      </c>
      <c r="GE209">
        <v>281.54399999999998</v>
      </c>
      <c r="GF209">
        <v>575.923</v>
      </c>
      <c r="GG209">
        <v>25.017800000000001</v>
      </c>
      <c r="GH209">
        <v>25.927600000000002</v>
      </c>
      <c r="GI209">
        <v>30</v>
      </c>
      <c r="GJ209">
        <v>26.053599999999999</v>
      </c>
      <c r="GK209">
        <v>26.032800000000002</v>
      </c>
      <c r="GL209">
        <v>35.304200000000002</v>
      </c>
      <c r="GM209">
        <v>100</v>
      </c>
      <c r="GN209">
        <v>19.726400000000002</v>
      </c>
      <c r="GO209">
        <v>25.023900000000001</v>
      </c>
      <c r="GP209">
        <v>800</v>
      </c>
      <c r="GQ209">
        <v>0</v>
      </c>
      <c r="GR209">
        <v>99.812700000000007</v>
      </c>
      <c r="GS209">
        <v>99.677599999999998</v>
      </c>
    </row>
    <row r="210" spans="1:201" x14ac:dyDescent="0.25">
      <c r="A210">
        <v>194</v>
      </c>
      <c r="B210">
        <v>1690387336</v>
      </c>
      <c r="C210">
        <v>2001.400000095367</v>
      </c>
      <c r="D210" t="s">
        <v>721</v>
      </c>
      <c r="E210" t="s">
        <v>722</v>
      </c>
      <c r="F210" t="s">
        <v>330</v>
      </c>
      <c r="H210">
        <v>1690387336</v>
      </c>
      <c r="I210">
        <f t="shared" si="90"/>
        <v>2.3160908858808255E-3</v>
      </c>
      <c r="J210">
        <f t="shared" si="91"/>
        <v>2.3160908858808256</v>
      </c>
      <c r="K210">
        <f t="shared" si="92"/>
        <v>33.1498056740596</v>
      </c>
      <c r="L210">
        <f t="shared" si="93"/>
        <v>438.07100000000003</v>
      </c>
      <c r="M210">
        <f t="shared" si="94"/>
        <v>106.6323203656269</v>
      </c>
      <c r="N210">
        <f t="shared" si="95"/>
        <v>10.531143702253138</v>
      </c>
      <c r="O210">
        <f t="shared" si="96"/>
        <v>43.264449624383005</v>
      </c>
      <c r="P210">
        <f t="shared" si="97"/>
        <v>0.1691328145225873</v>
      </c>
      <c r="Q210">
        <f t="shared" si="98"/>
        <v>2.1591206965714496</v>
      </c>
      <c r="R210">
        <f t="shared" si="99"/>
        <v>0.16210203746585067</v>
      </c>
      <c r="S210">
        <f t="shared" si="100"/>
        <v>0.10192110621858808</v>
      </c>
      <c r="T210">
        <f t="shared" si="101"/>
        <v>276.11578201404467</v>
      </c>
      <c r="U210">
        <f t="shared" si="102"/>
        <v>27.807772611127547</v>
      </c>
      <c r="V210">
        <f t="shared" si="103"/>
        <v>27.807772611127547</v>
      </c>
      <c r="W210">
        <f t="shared" si="104"/>
        <v>3.7525212732246933</v>
      </c>
      <c r="X210">
        <f t="shared" si="105"/>
        <v>68.843041932548715</v>
      </c>
      <c r="Y210">
        <f t="shared" si="106"/>
        <v>2.385282265496</v>
      </c>
      <c r="Z210">
        <f t="shared" si="107"/>
        <v>3.464812417546947</v>
      </c>
      <c r="AA210">
        <f t="shared" si="108"/>
        <v>1.3672390077286933</v>
      </c>
      <c r="AB210">
        <f t="shared" si="109"/>
        <v>-102.13960806734441</v>
      </c>
      <c r="AC210">
        <f t="shared" si="110"/>
        <v>-158.24603100010847</v>
      </c>
      <c r="AD210">
        <f t="shared" si="111"/>
        <v>-15.837588014268851</v>
      </c>
      <c r="AE210">
        <f t="shared" si="112"/>
        <v>-0.10744506767707662</v>
      </c>
      <c r="AF210">
        <v>0</v>
      </c>
      <c r="AG210">
        <v>0</v>
      </c>
      <c r="AH210">
        <f t="shared" si="113"/>
        <v>1</v>
      </c>
      <c r="AI210">
        <f t="shared" si="114"/>
        <v>0</v>
      </c>
      <c r="AJ210">
        <f t="shared" si="115"/>
        <v>52315.542697273086</v>
      </c>
      <c r="AK210">
        <f t="shared" si="116"/>
        <v>1800.01</v>
      </c>
      <c r="AL210">
        <f t="shared" si="117"/>
        <v>1499.1204310005701</v>
      </c>
      <c r="AM210">
        <f t="shared" si="118"/>
        <v>0.83284005700000008</v>
      </c>
      <c r="AN210">
        <f t="shared" si="119"/>
        <v>0.15339680446999998</v>
      </c>
      <c r="AO210">
        <v>31.8</v>
      </c>
      <c r="AP210">
        <v>0.5</v>
      </c>
      <c r="AQ210" t="s">
        <v>331</v>
      </c>
      <c r="AR210">
        <v>2</v>
      </c>
      <c r="AS210">
        <v>1690387336</v>
      </c>
      <c r="AT210">
        <v>438.07100000000003</v>
      </c>
      <c r="AU210">
        <v>800.06299999999999</v>
      </c>
      <c r="AV210">
        <v>24.152000000000001</v>
      </c>
      <c r="AW210">
        <v>0.20436000000000001</v>
      </c>
      <c r="AX210">
        <v>438.10300000000001</v>
      </c>
      <c r="AY210">
        <v>23.872299999999999</v>
      </c>
      <c r="AZ210">
        <v>300.125</v>
      </c>
      <c r="BA210">
        <v>98.661299999999997</v>
      </c>
      <c r="BB210">
        <v>9.9973000000000006E-2</v>
      </c>
      <c r="BC210">
        <v>26.4483</v>
      </c>
      <c r="BD210">
        <v>27.004200000000001</v>
      </c>
      <c r="BE210">
        <v>27.8352</v>
      </c>
      <c r="BF210">
        <v>0</v>
      </c>
      <c r="BG210">
        <v>0</v>
      </c>
      <c r="BH210">
        <v>10010</v>
      </c>
      <c r="BI210">
        <v>1078.83</v>
      </c>
      <c r="BJ210">
        <v>1.3455900000000001</v>
      </c>
      <c r="BK210">
        <v>-361.99200000000002</v>
      </c>
      <c r="BL210">
        <v>448.91300000000001</v>
      </c>
      <c r="BM210">
        <v>800.226</v>
      </c>
      <c r="BN210">
        <v>23.947600000000001</v>
      </c>
      <c r="BO210">
        <v>800.06299999999999</v>
      </c>
      <c r="BP210">
        <v>0.20436000000000001</v>
      </c>
      <c r="BQ210">
        <v>2.38287</v>
      </c>
      <c r="BR210">
        <v>2.01624E-2</v>
      </c>
      <c r="BS210">
        <v>20.247800000000002</v>
      </c>
      <c r="BT210">
        <v>-39.3476</v>
      </c>
      <c r="BU210">
        <v>1800.01</v>
      </c>
      <c r="BV210">
        <v>0.91001399999999999</v>
      </c>
      <c r="BW210">
        <v>3.4004800000000002E-2</v>
      </c>
      <c r="BX210">
        <v>2.1992600000000001E-2</v>
      </c>
      <c r="BY210">
        <v>3.3988499999999998E-2</v>
      </c>
      <c r="BZ210">
        <v>25.666699999999999</v>
      </c>
      <c r="CA210">
        <v>33528.6</v>
      </c>
      <c r="CB210">
        <v>1690384821</v>
      </c>
      <c r="CC210" t="s">
        <v>332</v>
      </c>
      <c r="CD210">
        <v>1690384820</v>
      </c>
      <c r="CE210">
        <v>1690384821</v>
      </c>
      <c r="CF210">
        <v>5</v>
      </c>
      <c r="CG210">
        <v>-2.5000000000000001E-2</v>
      </c>
      <c r="CH210">
        <v>0.104</v>
      </c>
      <c r="CI210">
        <v>-0.28799999999999998</v>
      </c>
      <c r="CJ210">
        <v>0.28000000000000003</v>
      </c>
      <c r="CK210">
        <v>800</v>
      </c>
      <c r="CL210">
        <v>24</v>
      </c>
      <c r="CM210">
        <v>0.08</v>
      </c>
      <c r="CN210">
        <v>0.11</v>
      </c>
      <c r="CO210">
        <v>-361.46300000000002</v>
      </c>
      <c r="CP210">
        <v>-2.1624090056269178</v>
      </c>
      <c r="CQ210">
        <v>0.21925897929161239</v>
      </c>
      <c r="CR210">
        <v>-1</v>
      </c>
      <c r="CS210">
        <v>23.926950000000001</v>
      </c>
      <c r="CT210">
        <v>0.1054581613507776</v>
      </c>
      <c r="CU210">
        <v>1.02856453370703E-2</v>
      </c>
      <c r="CV210">
        <v>-1</v>
      </c>
      <c r="CW210">
        <v>0</v>
      </c>
      <c r="CX210">
        <v>0</v>
      </c>
      <c r="CY210" t="s">
        <v>333</v>
      </c>
      <c r="CZ210">
        <v>2.36483</v>
      </c>
      <c r="DA210">
        <v>2.7137699999999998</v>
      </c>
      <c r="DB210">
        <v>9.5530100000000007E-2</v>
      </c>
      <c r="DC210">
        <v>0.145479</v>
      </c>
      <c r="DD210">
        <v>0.113715</v>
      </c>
      <c r="DE210">
        <v>1.71014E-3</v>
      </c>
      <c r="DF210">
        <v>33050.199999999997</v>
      </c>
      <c r="DG210">
        <v>27569.9</v>
      </c>
      <c r="DH210">
        <v>31194</v>
      </c>
      <c r="DI210">
        <v>28112.799999999999</v>
      </c>
      <c r="DJ210">
        <v>37532</v>
      </c>
      <c r="DK210">
        <v>39915.800000000003</v>
      </c>
      <c r="DL210">
        <v>44396.1</v>
      </c>
      <c r="DM210">
        <v>42609.8</v>
      </c>
      <c r="DN210">
        <v>1.4762500000000001</v>
      </c>
      <c r="DO210">
        <v>2.0316700000000001</v>
      </c>
      <c r="DP210">
        <v>0.103731</v>
      </c>
      <c r="DQ210">
        <v>0.168681</v>
      </c>
      <c r="DR210">
        <v>25.305399999999999</v>
      </c>
      <c r="DS210">
        <v>25.074100000000001</v>
      </c>
      <c r="DT210">
        <v>27.4</v>
      </c>
      <c r="DU210">
        <v>29</v>
      </c>
      <c r="DV210">
        <v>11.167899999999999</v>
      </c>
      <c r="DW210">
        <v>61.122199999999999</v>
      </c>
      <c r="DX210">
        <v>36.742800000000003</v>
      </c>
      <c r="DY210">
        <v>1</v>
      </c>
      <c r="DZ210">
        <v>-0.11827</v>
      </c>
      <c r="EA210">
        <v>-0.19369</v>
      </c>
      <c r="EB210">
        <v>20.190200000000001</v>
      </c>
      <c r="EC210">
        <v>5.2411000000000003</v>
      </c>
      <c r="ED210">
        <v>12.039899999999999</v>
      </c>
      <c r="EE210">
        <v>5.0171000000000001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</v>
      </c>
      <c r="EL210">
        <v>1.8646199999999999</v>
      </c>
      <c r="EM210">
        <v>1.8692</v>
      </c>
      <c r="EN210">
        <v>1.86724</v>
      </c>
      <c r="EO210">
        <v>1.8633999999999999</v>
      </c>
      <c r="EP210">
        <v>1.8644700000000001</v>
      </c>
      <c r="EQ210">
        <v>1.8701700000000001</v>
      </c>
      <c r="ER210">
        <v>1.86938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-3.2000000000000001E-2</v>
      </c>
      <c r="FG210">
        <v>0.2797</v>
      </c>
      <c r="FH210">
        <v>0.26269369235785539</v>
      </c>
      <c r="FI210">
        <v>-6.1462078757559423E-4</v>
      </c>
      <c r="FJ210">
        <v>-1.8861989874597051E-7</v>
      </c>
      <c r="FK210">
        <v>1.1980462299894961E-10</v>
      </c>
      <c r="FL210">
        <v>0.27968571428570849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41.9</v>
      </c>
      <c r="FU210">
        <v>41.9</v>
      </c>
      <c r="FV210">
        <v>1.7651399999999999</v>
      </c>
      <c r="FW210">
        <v>2.5842299999999998</v>
      </c>
      <c r="FX210">
        <v>1.5490699999999999</v>
      </c>
      <c r="FY210">
        <v>2.3327599999999999</v>
      </c>
      <c r="FZ210">
        <v>1.50146</v>
      </c>
      <c r="GA210">
        <v>2.2802699999999998</v>
      </c>
      <c r="GB210">
        <v>33.512999999999998</v>
      </c>
      <c r="GC210">
        <v>23.982399999999998</v>
      </c>
      <c r="GD210">
        <v>19</v>
      </c>
      <c r="GE210">
        <v>281.58699999999999</v>
      </c>
      <c r="GF210">
        <v>575.86199999999997</v>
      </c>
      <c r="GG210">
        <v>25.027999999999999</v>
      </c>
      <c r="GH210">
        <v>25.927600000000002</v>
      </c>
      <c r="GI210">
        <v>30.0002</v>
      </c>
      <c r="GJ210">
        <v>26.053599999999999</v>
      </c>
      <c r="GK210">
        <v>26.032800000000002</v>
      </c>
      <c r="GL210">
        <v>35.3003</v>
      </c>
      <c r="GM210">
        <v>100</v>
      </c>
      <c r="GN210">
        <v>18.978999999999999</v>
      </c>
      <c r="GO210">
        <v>25.021899999999999</v>
      </c>
      <c r="GP210">
        <v>800</v>
      </c>
      <c r="GQ210">
        <v>0</v>
      </c>
      <c r="GR210">
        <v>99.812899999999999</v>
      </c>
      <c r="GS210">
        <v>99.678700000000006</v>
      </c>
    </row>
    <row r="211" spans="1:201" x14ac:dyDescent="0.25">
      <c r="A211">
        <v>195</v>
      </c>
      <c r="B211">
        <v>1690387346</v>
      </c>
      <c r="C211">
        <v>2011.400000095367</v>
      </c>
      <c r="D211" t="s">
        <v>723</v>
      </c>
      <c r="E211" t="s">
        <v>724</v>
      </c>
      <c r="F211" t="s">
        <v>330</v>
      </c>
      <c r="H211">
        <v>1690387346</v>
      </c>
      <c r="I211">
        <f t="shared" si="90"/>
        <v>2.3182346575944248E-3</v>
      </c>
      <c r="J211">
        <f t="shared" si="91"/>
        <v>2.318234657594425</v>
      </c>
      <c r="K211">
        <f t="shared" si="92"/>
        <v>33.172385537024539</v>
      </c>
      <c r="L211">
        <f t="shared" si="93"/>
        <v>437.726</v>
      </c>
      <c r="M211">
        <f t="shared" si="94"/>
        <v>106.82889616394412</v>
      </c>
      <c r="N211">
        <f t="shared" si="95"/>
        <v>10.550664767475448</v>
      </c>
      <c r="O211">
        <f t="shared" si="96"/>
        <v>43.230815367787002</v>
      </c>
      <c r="P211">
        <f t="shared" si="97"/>
        <v>0.16954316976286235</v>
      </c>
      <c r="Q211">
        <f t="shared" si="98"/>
        <v>2.1578619966289505</v>
      </c>
      <c r="R211">
        <f t="shared" si="99"/>
        <v>0.16247506490987751</v>
      </c>
      <c r="S211">
        <f t="shared" si="100"/>
        <v>0.10215740229143147</v>
      </c>
      <c r="T211">
        <f t="shared" si="101"/>
        <v>276.11420095800003</v>
      </c>
      <c r="U211">
        <f t="shared" si="102"/>
        <v>27.808641254182135</v>
      </c>
      <c r="V211">
        <f t="shared" si="103"/>
        <v>27.808641254182135</v>
      </c>
      <c r="W211">
        <f t="shared" si="104"/>
        <v>3.7527115729137943</v>
      </c>
      <c r="X211">
        <f t="shared" si="105"/>
        <v>68.899086996962751</v>
      </c>
      <c r="Y211">
        <f t="shared" si="106"/>
        <v>2.3873508328061499</v>
      </c>
      <c r="Z211">
        <f t="shared" si="107"/>
        <v>3.4649963255846781</v>
      </c>
      <c r="AA211">
        <f t="shared" si="108"/>
        <v>1.3653607401076444</v>
      </c>
      <c r="AB211">
        <f t="shared" si="109"/>
        <v>-102.23414839991413</v>
      </c>
      <c r="AC211">
        <f t="shared" si="110"/>
        <v>-158.15013060618173</v>
      </c>
      <c r="AD211">
        <f t="shared" si="111"/>
        <v>-15.83736270044305</v>
      </c>
      <c r="AE211">
        <f t="shared" si="112"/>
        <v>-0.10744074853892016</v>
      </c>
      <c r="AF211">
        <v>0</v>
      </c>
      <c r="AG211">
        <v>0</v>
      </c>
      <c r="AH211">
        <f t="shared" si="113"/>
        <v>1</v>
      </c>
      <c r="AI211">
        <f t="shared" si="114"/>
        <v>0</v>
      </c>
      <c r="AJ211">
        <f t="shared" si="115"/>
        <v>52262.685421408845</v>
      </c>
      <c r="AK211">
        <f t="shared" si="116"/>
        <v>1800</v>
      </c>
      <c r="AL211">
        <f t="shared" si="117"/>
        <v>1499.1115517999999</v>
      </c>
      <c r="AM211">
        <f t="shared" si="118"/>
        <v>0.83283975099999996</v>
      </c>
      <c r="AN211">
        <f t="shared" si="119"/>
        <v>0.15339677831000001</v>
      </c>
      <c r="AO211">
        <v>31.8</v>
      </c>
      <c r="AP211">
        <v>0.5</v>
      </c>
      <c r="AQ211" t="s">
        <v>331</v>
      </c>
      <c r="AR211">
        <v>2</v>
      </c>
      <c r="AS211">
        <v>1690387346</v>
      </c>
      <c r="AT211">
        <v>437.726</v>
      </c>
      <c r="AU211">
        <v>799.97199999999998</v>
      </c>
      <c r="AV211">
        <v>24.172699999999999</v>
      </c>
      <c r="AW211">
        <v>0.20252400000000001</v>
      </c>
      <c r="AX211">
        <v>437.75900000000001</v>
      </c>
      <c r="AY211">
        <v>23.8931</v>
      </c>
      <c r="AZ211">
        <v>300.11399999999998</v>
      </c>
      <c r="BA211">
        <v>98.662300000000002</v>
      </c>
      <c r="BB211">
        <v>9.9974499999999994E-2</v>
      </c>
      <c r="BC211">
        <v>26.449200000000001</v>
      </c>
      <c r="BD211">
        <v>27.013000000000002</v>
      </c>
      <c r="BE211">
        <v>27.853999999999999</v>
      </c>
      <c r="BF211">
        <v>0</v>
      </c>
      <c r="BG211">
        <v>0</v>
      </c>
      <c r="BH211">
        <v>9999.3799999999992</v>
      </c>
      <c r="BI211">
        <v>1078.8900000000001</v>
      </c>
      <c r="BJ211">
        <v>1.3455900000000001</v>
      </c>
      <c r="BK211">
        <v>-362.24599999999998</v>
      </c>
      <c r="BL211">
        <v>448.56900000000002</v>
      </c>
      <c r="BM211">
        <v>800.13400000000001</v>
      </c>
      <c r="BN211">
        <v>23.970199999999998</v>
      </c>
      <c r="BO211">
        <v>799.97199999999998</v>
      </c>
      <c r="BP211">
        <v>0.20252400000000001</v>
      </c>
      <c r="BQ211">
        <v>2.3849399999999998</v>
      </c>
      <c r="BR211">
        <v>1.9981499999999999E-2</v>
      </c>
      <c r="BS211">
        <v>20.261900000000001</v>
      </c>
      <c r="BT211">
        <v>-39.4345</v>
      </c>
      <c r="BU211">
        <v>1800</v>
      </c>
      <c r="BV211">
        <v>0.91001299999999996</v>
      </c>
      <c r="BW211">
        <v>3.4005100000000003E-2</v>
      </c>
      <c r="BX211">
        <v>2.19928E-2</v>
      </c>
      <c r="BY211">
        <v>3.3988699999999997E-2</v>
      </c>
      <c r="BZ211">
        <v>25.625</v>
      </c>
      <c r="CA211">
        <v>33528.5</v>
      </c>
      <c r="CB211">
        <v>1690384821</v>
      </c>
      <c r="CC211" t="s">
        <v>332</v>
      </c>
      <c r="CD211">
        <v>1690384820</v>
      </c>
      <c r="CE211">
        <v>1690384821</v>
      </c>
      <c r="CF211">
        <v>5</v>
      </c>
      <c r="CG211">
        <v>-2.5000000000000001E-2</v>
      </c>
      <c r="CH211">
        <v>0.104</v>
      </c>
      <c r="CI211">
        <v>-0.28799999999999998</v>
      </c>
      <c r="CJ211">
        <v>0.28000000000000003</v>
      </c>
      <c r="CK211">
        <v>800</v>
      </c>
      <c r="CL211">
        <v>24</v>
      </c>
      <c r="CM211">
        <v>0.08</v>
      </c>
      <c r="CN211">
        <v>0.11</v>
      </c>
      <c r="CO211">
        <v>-361.93484999999998</v>
      </c>
      <c r="CP211">
        <v>-2.7922851782364368</v>
      </c>
      <c r="CQ211">
        <v>0.28148983551808548</v>
      </c>
      <c r="CR211">
        <v>-1</v>
      </c>
      <c r="CS211">
        <v>23.949545000000001</v>
      </c>
      <c r="CT211">
        <v>0.14314446529073599</v>
      </c>
      <c r="CU211">
        <v>1.3951898616317101E-2</v>
      </c>
      <c r="CV211">
        <v>-1</v>
      </c>
      <c r="CW211">
        <v>0</v>
      </c>
      <c r="CX211">
        <v>0</v>
      </c>
      <c r="CY211" t="s">
        <v>333</v>
      </c>
      <c r="CZ211">
        <v>2.3647800000000001</v>
      </c>
      <c r="DA211">
        <v>2.7137600000000002</v>
      </c>
      <c r="DB211">
        <v>9.5475000000000004E-2</v>
      </c>
      <c r="DC211">
        <v>0.14546899999999999</v>
      </c>
      <c r="DD211">
        <v>0.113786</v>
      </c>
      <c r="DE211">
        <v>1.69499E-3</v>
      </c>
      <c r="DF211">
        <v>33052.199999999997</v>
      </c>
      <c r="DG211">
        <v>27570</v>
      </c>
      <c r="DH211">
        <v>31194</v>
      </c>
      <c r="DI211">
        <v>28112.6</v>
      </c>
      <c r="DJ211">
        <v>37529.199999999997</v>
      </c>
      <c r="DK211">
        <v>39916.300000000003</v>
      </c>
      <c r="DL211">
        <v>44396.4</v>
      </c>
      <c r="DM211">
        <v>42609.7</v>
      </c>
      <c r="DN211">
        <v>1.4762500000000001</v>
      </c>
      <c r="DO211">
        <v>2.0317699999999999</v>
      </c>
      <c r="DP211">
        <v>0.104271</v>
      </c>
      <c r="DQ211">
        <v>0.169575</v>
      </c>
      <c r="DR211">
        <v>25.305399999999999</v>
      </c>
      <c r="DS211">
        <v>25.078399999999998</v>
      </c>
      <c r="DT211">
        <v>27.2</v>
      </c>
      <c r="DU211">
        <v>29</v>
      </c>
      <c r="DV211">
        <v>11.085900000000001</v>
      </c>
      <c r="DW211">
        <v>60.902200000000001</v>
      </c>
      <c r="DX211">
        <v>36.766800000000003</v>
      </c>
      <c r="DY211">
        <v>1</v>
      </c>
      <c r="DZ211">
        <v>-0.11838700000000001</v>
      </c>
      <c r="EA211">
        <v>-0.195912</v>
      </c>
      <c r="EB211">
        <v>20.190000000000001</v>
      </c>
      <c r="EC211">
        <v>5.2408000000000001</v>
      </c>
      <c r="ED211">
        <v>12.039899999999999</v>
      </c>
      <c r="EE211">
        <v>5.0169499999999996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</v>
      </c>
      <c r="EL211">
        <v>1.8646100000000001</v>
      </c>
      <c r="EM211">
        <v>1.8692</v>
      </c>
      <c r="EN211">
        <v>1.8672200000000001</v>
      </c>
      <c r="EO211">
        <v>1.8633900000000001</v>
      </c>
      <c r="EP211">
        <v>1.86446</v>
      </c>
      <c r="EQ211">
        <v>1.8701700000000001</v>
      </c>
      <c r="ER211">
        <v>1.8694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-3.3000000000000002E-2</v>
      </c>
      <c r="FG211">
        <v>0.27960000000000002</v>
      </c>
      <c r="FH211">
        <v>0.26269369235785539</v>
      </c>
      <c r="FI211">
        <v>-6.1462078757559423E-4</v>
      </c>
      <c r="FJ211">
        <v>-1.8861989874597051E-7</v>
      </c>
      <c r="FK211">
        <v>1.1980462299894961E-10</v>
      </c>
      <c r="FL211">
        <v>0.27968571428570849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42.1</v>
      </c>
      <c r="FU211">
        <v>42.1</v>
      </c>
      <c r="FV211">
        <v>1.7651399999999999</v>
      </c>
      <c r="FW211">
        <v>2.5903299999999998</v>
      </c>
      <c r="FX211">
        <v>1.5490699999999999</v>
      </c>
      <c r="FY211">
        <v>2.3327599999999999</v>
      </c>
      <c r="FZ211">
        <v>1.50146</v>
      </c>
      <c r="GA211">
        <v>2.2766099999999998</v>
      </c>
      <c r="GB211">
        <v>33.512999999999998</v>
      </c>
      <c r="GC211">
        <v>23.982399999999998</v>
      </c>
      <c r="GD211">
        <v>19</v>
      </c>
      <c r="GE211">
        <v>281.58300000000003</v>
      </c>
      <c r="GF211">
        <v>575.94299999999998</v>
      </c>
      <c r="GG211">
        <v>25.016300000000001</v>
      </c>
      <c r="GH211">
        <v>25.927600000000002</v>
      </c>
      <c r="GI211">
        <v>30.0001</v>
      </c>
      <c r="GJ211">
        <v>26.052700000000002</v>
      </c>
      <c r="GK211">
        <v>26.032800000000002</v>
      </c>
      <c r="GL211">
        <v>35.297899999999998</v>
      </c>
      <c r="GM211">
        <v>100</v>
      </c>
      <c r="GN211">
        <v>18.579699999999999</v>
      </c>
      <c r="GO211">
        <v>25.0166</v>
      </c>
      <c r="GP211">
        <v>800</v>
      </c>
      <c r="GQ211">
        <v>0</v>
      </c>
      <c r="GR211">
        <v>99.813299999999998</v>
      </c>
      <c r="GS211">
        <v>99.678299999999993</v>
      </c>
    </row>
    <row r="212" spans="1:201" x14ac:dyDescent="0.25">
      <c r="A212">
        <v>196</v>
      </c>
      <c r="B212">
        <v>1690387356</v>
      </c>
      <c r="C212">
        <v>2021.400000095367</v>
      </c>
      <c r="D212" t="s">
        <v>725</v>
      </c>
      <c r="E212" t="s">
        <v>726</v>
      </c>
      <c r="F212" t="s">
        <v>330</v>
      </c>
      <c r="H212">
        <v>1690387356</v>
      </c>
      <c r="I212">
        <f t="shared" si="90"/>
        <v>2.3203619787917603E-3</v>
      </c>
      <c r="J212">
        <f t="shared" si="91"/>
        <v>2.3203619787917602</v>
      </c>
      <c r="K212">
        <f t="shared" si="92"/>
        <v>33.213333577746305</v>
      </c>
      <c r="L212">
        <f t="shared" si="93"/>
        <v>437.29199999999997</v>
      </c>
      <c r="M212">
        <f t="shared" si="94"/>
        <v>106.94911464697165</v>
      </c>
      <c r="N212">
        <f t="shared" si="95"/>
        <v>10.562563871100512</v>
      </c>
      <c r="O212">
        <f t="shared" si="96"/>
        <v>43.188059064985197</v>
      </c>
      <c r="P212">
        <f t="shared" si="97"/>
        <v>0.17005645474945372</v>
      </c>
      <c r="Q212">
        <f t="shared" si="98"/>
        <v>2.1565924055463497</v>
      </c>
      <c r="R212">
        <f t="shared" si="99"/>
        <v>0.16294245575206473</v>
      </c>
      <c r="S212">
        <f t="shared" si="100"/>
        <v>0.10245340000720279</v>
      </c>
      <c r="T212">
        <f t="shared" si="101"/>
        <v>276.11427702599997</v>
      </c>
      <c r="U212">
        <f t="shared" si="102"/>
        <v>27.805839306600188</v>
      </c>
      <c r="V212">
        <f t="shared" si="103"/>
        <v>27.805839306600188</v>
      </c>
      <c r="W212">
        <f t="shared" si="104"/>
        <v>3.7520977609497943</v>
      </c>
      <c r="X212">
        <f t="shared" si="105"/>
        <v>68.969931134268364</v>
      </c>
      <c r="Y212">
        <f t="shared" si="106"/>
        <v>2.3894109816523499</v>
      </c>
      <c r="Z212">
        <f t="shared" si="107"/>
        <v>3.4644241952347676</v>
      </c>
      <c r="AA212">
        <f t="shared" si="108"/>
        <v>1.3626867792974444</v>
      </c>
      <c r="AB212">
        <f t="shared" si="109"/>
        <v>-102.32796326471663</v>
      </c>
      <c r="AC212">
        <f t="shared" si="110"/>
        <v>-158.05685558779007</v>
      </c>
      <c r="AD212">
        <f t="shared" si="111"/>
        <v>-15.836896607524348</v>
      </c>
      <c r="AE212">
        <f t="shared" si="112"/>
        <v>-0.10743843403108144</v>
      </c>
      <c r="AF212">
        <v>0</v>
      </c>
      <c r="AG212">
        <v>0</v>
      </c>
      <c r="AH212">
        <f t="shared" si="113"/>
        <v>1</v>
      </c>
      <c r="AI212">
        <f t="shared" si="114"/>
        <v>0</v>
      </c>
      <c r="AJ212">
        <f t="shared" si="115"/>
        <v>52210.035419603817</v>
      </c>
      <c r="AK212">
        <f t="shared" si="116"/>
        <v>1800</v>
      </c>
      <c r="AL212">
        <f t="shared" si="117"/>
        <v>1499.1122286</v>
      </c>
      <c r="AM212">
        <f t="shared" si="118"/>
        <v>0.83284012699999999</v>
      </c>
      <c r="AN212">
        <f t="shared" si="119"/>
        <v>0.15339682056999998</v>
      </c>
      <c r="AO212">
        <v>31.8</v>
      </c>
      <c r="AP212">
        <v>0.5</v>
      </c>
      <c r="AQ212" t="s">
        <v>331</v>
      </c>
      <c r="AR212">
        <v>2</v>
      </c>
      <c r="AS212">
        <v>1690387356</v>
      </c>
      <c r="AT212">
        <v>437.29199999999997</v>
      </c>
      <c r="AU212">
        <v>799.98800000000006</v>
      </c>
      <c r="AV212">
        <v>24.1935</v>
      </c>
      <c r="AW212">
        <v>0.20072000000000001</v>
      </c>
      <c r="AX212">
        <v>437.32400000000001</v>
      </c>
      <c r="AY212">
        <v>23.913799999999998</v>
      </c>
      <c r="AZ212">
        <v>300.10000000000002</v>
      </c>
      <c r="BA212">
        <v>98.662599999999998</v>
      </c>
      <c r="BB212">
        <v>9.9918099999999996E-2</v>
      </c>
      <c r="BC212">
        <v>26.446400000000001</v>
      </c>
      <c r="BD212">
        <v>26.991099999999999</v>
      </c>
      <c r="BE212">
        <v>27.839700000000001</v>
      </c>
      <c r="BF212">
        <v>0</v>
      </c>
      <c r="BG212">
        <v>0</v>
      </c>
      <c r="BH212">
        <v>9988.75</v>
      </c>
      <c r="BI212">
        <v>1078.96</v>
      </c>
      <c r="BJ212">
        <v>1.3455900000000001</v>
      </c>
      <c r="BK212">
        <v>-362.697</v>
      </c>
      <c r="BL212">
        <v>448.13400000000001</v>
      </c>
      <c r="BM212">
        <v>800.149</v>
      </c>
      <c r="BN212">
        <v>23.992699999999999</v>
      </c>
      <c r="BO212">
        <v>799.98800000000006</v>
      </c>
      <c r="BP212">
        <v>0.20072000000000001</v>
      </c>
      <c r="BQ212">
        <v>2.3869899999999999</v>
      </c>
      <c r="BR212">
        <v>1.9803600000000001E-2</v>
      </c>
      <c r="BS212">
        <v>20.2758</v>
      </c>
      <c r="BT212">
        <v>-39.520600000000002</v>
      </c>
      <c r="BU212">
        <v>1800</v>
      </c>
      <c r="BV212">
        <v>0.91001399999999999</v>
      </c>
      <c r="BW212">
        <v>3.4004899999999998E-2</v>
      </c>
      <c r="BX212">
        <v>2.1992600000000001E-2</v>
      </c>
      <c r="BY212">
        <v>3.3988499999999998E-2</v>
      </c>
      <c r="BZ212">
        <v>25.458300000000001</v>
      </c>
      <c r="CA212">
        <v>33528.5</v>
      </c>
      <c r="CB212">
        <v>1690384821</v>
      </c>
      <c r="CC212" t="s">
        <v>332</v>
      </c>
      <c r="CD212">
        <v>1690384820</v>
      </c>
      <c r="CE212">
        <v>1690384821</v>
      </c>
      <c r="CF212">
        <v>5</v>
      </c>
      <c r="CG212">
        <v>-2.5000000000000001E-2</v>
      </c>
      <c r="CH212">
        <v>0.104</v>
      </c>
      <c r="CI212">
        <v>-0.28799999999999998</v>
      </c>
      <c r="CJ212">
        <v>0.28000000000000003</v>
      </c>
      <c r="CK212">
        <v>800</v>
      </c>
      <c r="CL212">
        <v>24</v>
      </c>
      <c r="CM212">
        <v>0.08</v>
      </c>
      <c r="CN212">
        <v>0.11</v>
      </c>
      <c r="CO212">
        <v>-362.31400000000002</v>
      </c>
      <c r="CP212">
        <v>-1.982814258910256</v>
      </c>
      <c r="CQ212">
        <v>0.20091416077519461</v>
      </c>
      <c r="CR212">
        <v>-1</v>
      </c>
      <c r="CS212">
        <v>23.968515</v>
      </c>
      <c r="CT212">
        <v>0.11699212007503169</v>
      </c>
      <c r="CU212">
        <v>1.1518627305369291E-2</v>
      </c>
      <c r="CV212">
        <v>-1</v>
      </c>
      <c r="CW212">
        <v>0</v>
      </c>
      <c r="CX212">
        <v>0</v>
      </c>
      <c r="CY212" t="s">
        <v>333</v>
      </c>
      <c r="CZ212">
        <v>2.3647800000000001</v>
      </c>
      <c r="DA212">
        <v>2.7136999999999998</v>
      </c>
      <c r="DB212">
        <v>9.5404500000000003E-2</v>
      </c>
      <c r="DC212">
        <v>0.14547199999999999</v>
      </c>
      <c r="DD212">
        <v>0.113856</v>
      </c>
      <c r="DE212">
        <v>1.68009E-3</v>
      </c>
      <c r="DF212">
        <v>33054.9</v>
      </c>
      <c r="DG212">
        <v>27570.2</v>
      </c>
      <c r="DH212">
        <v>31194.2</v>
      </c>
      <c r="DI212">
        <v>28113</v>
      </c>
      <c r="DJ212">
        <v>37526.400000000001</v>
      </c>
      <c r="DK212">
        <v>39917.300000000003</v>
      </c>
      <c r="DL212">
        <v>44396.7</v>
      </c>
      <c r="DM212">
        <v>42610.2</v>
      </c>
      <c r="DN212">
        <v>1.4758</v>
      </c>
      <c r="DO212">
        <v>2.0317500000000002</v>
      </c>
      <c r="DP212">
        <v>0.10292999999999999</v>
      </c>
      <c r="DQ212">
        <v>0.16849500000000001</v>
      </c>
      <c r="DR212">
        <v>25.305399999999999</v>
      </c>
      <c r="DS212">
        <v>25.081700000000001</v>
      </c>
      <c r="DT212">
        <v>26.9</v>
      </c>
      <c r="DU212">
        <v>29</v>
      </c>
      <c r="DV212">
        <v>10.9651</v>
      </c>
      <c r="DW212">
        <v>60.982199999999999</v>
      </c>
      <c r="DX212">
        <v>36.786900000000003</v>
      </c>
      <c r="DY212">
        <v>1</v>
      </c>
      <c r="DZ212">
        <v>-0.118714</v>
      </c>
      <c r="EA212">
        <v>-0.12992600000000001</v>
      </c>
      <c r="EB212">
        <v>20.190200000000001</v>
      </c>
      <c r="EC212">
        <v>5.2406499999999996</v>
      </c>
      <c r="ED212">
        <v>12.039899999999999</v>
      </c>
      <c r="EE212">
        <v>5.0167999999999999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</v>
      </c>
      <c r="EL212">
        <v>1.8646199999999999</v>
      </c>
      <c r="EM212">
        <v>1.86921</v>
      </c>
      <c r="EN212">
        <v>1.8672299999999999</v>
      </c>
      <c r="EO212">
        <v>1.86338</v>
      </c>
      <c r="EP212">
        <v>1.8644700000000001</v>
      </c>
      <c r="EQ212">
        <v>1.87015</v>
      </c>
      <c r="ER212">
        <v>1.8694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-3.2000000000000001E-2</v>
      </c>
      <c r="FG212">
        <v>0.2797</v>
      </c>
      <c r="FH212">
        <v>0.26269369235785539</v>
      </c>
      <c r="FI212">
        <v>-6.1462078757559423E-4</v>
      </c>
      <c r="FJ212">
        <v>-1.8861989874597051E-7</v>
      </c>
      <c r="FK212">
        <v>1.1980462299894961E-10</v>
      </c>
      <c r="FL212">
        <v>0.27968571428570849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42.3</v>
      </c>
      <c r="FU212">
        <v>42.2</v>
      </c>
      <c r="FV212">
        <v>1.7651399999999999</v>
      </c>
      <c r="FW212">
        <v>2.5769000000000002</v>
      </c>
      <c r="FX212">
        <v>1.5490699999999999</v>
      </c>
      <c r="FY212">
        <v>2.3327599999999999</v>
      </c>
      <c r="FZ212">
        <v>1.50024</v>
      </c>
      <c r="GA212">
        <v>2.36694</v>
      </c>
      <c r="GB212">
        <v>33.512999999999998</v>
      </c>
      <c r="GC212">
        <v>23.982399999999998</v>
      </c>
      <c r="GD212">
        <v>19</v>
      </c>
      <c r="GE212">
        <v>281.38600000000002</v>
      </c>
      <c r="GF212">
        <v>575.89800000000002</v>
      </c>
      <c r="GG212">
        <v>24.996500000000001</v>
      </c>
      <c r="GH212">
        <v>25.9254</v>
      </c>
      <c r="GI212">
        <v>29.9999</v>
      </c>
      <c r="GJ212">
        <v>26.051400000000001</v>
      </c>
      <c r="GK212">
        <v>26.0307</v>
      </c>
      <c r="GL212">
        <v>35.297400000000003</v>
      </c>
      <c r="GM212">
        <v>100</v>
      </c>
      <c r="GN212">
        <v>17.788799999999998</v>
      </c>
      <c r="GO212">
        <v>24.990600000000001</v>
      </c>
      <c r="GP212">
        <v>800</v>
      </c>
      <c r="GQ212">
        <v>0</v>
      </c>
      <c r="GR212">
        <v>99.813900000000004</v>
      </c>
      <c r="GS212">
        <v>99.679400000000001</v>
      </c>
    </row>
    <row r="213" spans="1:201" x14ac:dyDescent="0.25">
      <c r="A213">
        <v>197</v>
      </c>
      <c r="B213">
        <v>1690387366</v>
      </c>
      <c r="C213">
        <v>2031.400000095367</v>
      </c>
      <c r="D213" t="s">
        <v>727</v>
      </c>
      <c r="E213" t="s">
        <v>728</v>
      </c>
      <c r="F213" t="s">
        <v>330</v>
      </c>
      <c r="H213">
        <v>1690387366</v>
      </c>
      <c r="I213">
        <f t="shared" si="90"/>
        <v>2.3221747798318356E-3</v>
      </c>
      <c r="J213">
        <f t="shared" si="91"/>
        <v>2.3221747798318355</v>
      </c>
      <c r="K213">
        <f t="shared" si="92"/>
        <v>33.264590401780076</v>
      </c>
      <c r="L213">
        <f t="shared" si="93"/>
        <v>436.82900000000001</v>
      </c>
      <c r="M213">
        <f t="shared" si="94"/>
        <v>106.6641714215714</v>
      </c>
      <c r="N213">
        <f t="shared" si="95"/>
        <v>10.534792562646128</v>
      </c>
      <c r="O213">
        <f t="shared" si="96"/>
        <v>43.143848951490305</v>
      </c>
      <c r="P213">
        <f t="shared" si="97"/>
        <v>0.17040074606635022</v>
      </c>
      <c r="Q213">
        <f t="shared" si="98"/>
        <v>2.1620942303860833</v>
      </c>
      <c r="R213">
        <f t="shared" si="99"/>
        <v>0.163275920179689</v>
      </c>
      <c r="S213">
        <f t="shared" si="100"/>
        <v>0.10266276276478485</v>
      </c>
      <c r="T213">
        <f t="shared" si="101"/>
        <v>276.11427702599997</v>
      </c>
      <c r="U213">
        <f t="shared" si="102"/>
        <v>27.804865006565578</v>
      </c>
      <c r="V213">
        <f t="shared" si="103"/>
        <v>27.804865006565578</v>
      </c>
      <c r="W213">
        <f t="shared" si="104"/>
        <v>3.7518843452867849</v>
      </c>
      <c r="X213">
        <f t="shared" si="105"/>
        <v>69.000873167356602</v>
      </c>
      <c r="Y213">
        <f t="shared" si="106"/>
        <v>2.3908777198702502</v>
      </c>
      <c r="Z213">
        <f t="shared" si="107"/>
        <v>3.4649963255846781</v>
      </c>
      <c r="AA213">
        <f t="shared" si="108"/>
        <v>1.3610066254165347</v>
      </c>
      <c r="AB213">
        <f t="shared" si="109"/>
        <v>-102.40790779058395</v>
      </c>
      <c r="AC213">
        <f t="shared" si="110"/>
        <v>-158.02014176467944</v>
      </c>
      <c r="AD213">
        <f t="shared" si="111"/>
        <v>-15.793071254222223</v>
      </c>
      <c r="AE213">
        <f t="shared" si="112"/>
        <v>-0.10684378348565815</v>
      </c>
      <c r="AF213">
        <v>0</v>
      </c>
      <c r="AG213">
        <v>0</v>
      </c>
      <c r="AH213">
        <f t="shared" si="113"/>
        <v>1</v>
      </c>
      <c r="AI213">
        <f t="shared" si="114"/>
        <v>0</v>
      </c>
      <c r="AJ213">
        <f t="shared" si="115"/>
        <v>52440.172255349818</v>
      </c>
      <c r="AK213">
        <f t="shared" si="116"/>
        <v>1800</v>
      </c>
      <c r="AL213">
        <f t="shared" si="117"/>
        <v>1499.1122286</v>
      </c>
      <c r="AM213">
        <f t="shared" si="118"/>
        <v>0.83284012699999999</v>
      </c>
      <c r="AN213">
        <f t="shared" si="119"/>
        <v>0.15339682056999998</v>
      </c>
      <c r="AO213">
        <v>31.8</v>
      </c>
      <c r="AP213">
        <v>0.5</v>
      </c>
      <c r="AQ213" t="s">
        <v>331</v>
      </c>
      <c r="AR213">
        <v>2</v>
      </c>
      <c r="AS213">
        <v>1690387366</v>
      </c>
      <c r="AT213">
        <v>436.82900000000001</v>
      </c>
      <c r="AU213">
        <v>800.024</v>
      </c>
      <c r="AV213">
        <v>24.2075</v>
      </c>
      <c r="AW213">
        <v>0.19903999999999999</v>
      </c>
      <c r="AX213">
        <v>436.86099999999999</v>
      </c>
      <c r="AY213">
        <v>23.927800000000001</v>
      </c>
      <c r="AZ213">
        <v>300.13400000000001</v>
      </c>
      <c r="BA213">
        <v>98.6661</v>
      </c>
      <c r="BB213">
        <v>9.9890699999999999E-2</v>
      </c>
      <c r="BC213">
        <v>26.449200000000001</v>
      </c>
      <c r="BD213">
        <v>27.002300000000002</v>
      </c>
      <c r="BE213">
        <v>27.832699999999999</v>
      </c>
      <c r="BF213">
        <v>0</v>
      </c>
      <c r="BG213">
        <v>0</v>
      </c>
      <c r="BH213">
        <v>10034.4</v>
      </c>
      <c r="BI213">
        <v>1078.93</v>
      </c>
      <c r="BJ213">
        <v>1.4016500000000001</v>
      </c>
      <c r="BK213">
        <v>-363.19499999999999</v>
      </c>
      <c r="BL213">
        <v>447.666</v>
      </c>
      <c r="BM213">
        <v>800.18299999999999</v>
      </c>
      <c r="BN213">
        <v>24.008400000000002</v>
      </c>
      <c r="BO213">
        <v>800.024</v>
      </c>
      <c r="BP213">
        <v>0.19903999999999999</v>
      </c>
      <c r="BQ213">
        <v>2.3884599999999998</v>
      </c>
      <c r="BR213">
        <v>1.96385E-2</v>
      </c>
      <c r="BS213">
        <v>20.285699999999999</v>
      </c>
      <c r="BT213">
        <v>-39.601100000000002</v>
      </c>
      <c r="BU213">
        <v>1800</v>
      </c>
      <c r="BV213">
        <v>0.91001399999999999</v>
      </c>
      <c r="BW213">
        <v>3.4004899999999998E-2</v>
      </c>
      <c r="BX213">
        <v>2.1992600000000001E-2</v>
      </c>
      <c r="BY213">
        <v>3.3988499999999998E-2</v>
      </c>
      <c r="BZ213">
        <v>25.583300000000001</v>
      </c>
      <c r="CA213">
        <v>33528.5</v>
      </c>
      <c r="CB213">
        <v>1690384821</v>
      </c>
      <c r="CC213" t="s">
        <v>332</v>
      </c>
      <c r="CD213">
        <v>1690384820</v>
      </c>
      <c r="CE213">
        <v>1690384821</v>
      </c>
      <c r="CF213">
        <v>5</v>
      </c>
      <c r="CG213">
        <v>-2.5000000000000001E-2</v>
      </c>
      <c r="CH213">
        <v>0.104</v>
      </c>
      <c r="CI213">
        <v>-0.28799999999999998</v>
      </c>
      <c r="CJ213">
        <v>0.28000000000000003</v>
      </c>
      <c r="CK213">
        <v>800</v>
      </c>
      <c r="CL213">
        <v>24</v>
      </c>
      <c r="CM213">
        <v>0.08</v>
      </c>
      <c r="CN213">
        <v>0.11</v>
      </c>
      <c r="CO213">
        <v>-362.72087499999998</v>
      </c>
      <c r="CP213">
        <v>-2.5982251407112051</v>
      </c>
      <c r="CQ213">
        <v>0.25249477098545497</v>
      </c>
      <c r="CR213">
        <v>-1</v>
      </c>
      <c r="CS213">
        <v>23.989862500000001</v>
      </c>
      <c r="CT213">
        <v>0.1240491557222371</v>
      </c>
      <c r="CU213">
        <v>1.1996472137674409E-2</v>
      </c>
      <c r="CV213">
        <v>-1</v>
      </c>
      <c r="CW213">
        <v>0</v>
      </c>
      <c r="CX213">
        <v>0</v>
      </c>
      <c r="CY213" t="s">
        <v>333</v>
      </c>
      <c r="CZ213">
        <v>2.3648699999999998</v>
      </c>
      <c r="DA213">
        <v>2.7137099999999998</v>
      </c>
      <c r="DB213">
        <v>9.5332100000000003E-2</v>
      </c>
      <c r="DC213">
        <v>0.145482</v>
      </c>
      <c r="DD213">
        <v>0.11390599999999999</v>
      </c>
      <c r="DE213">
        <v>1.6662599999999999E-3</v>
      </c>
      <c r="DF213">
        <v>33057.5</v>
      </c>
      <c r="DG213">
        <v>27570.1</v>
      </c>
      <c r="DH213">
        <v>31194.1</v>
      </c>
      <c r="DI213">
        <v>28113.1</v>
      </c>
      <c r="DJ213">
        <v>37524</v>
      </c>
      <c r="DK213">
        <v>39918</v>
      </c>
      <c r="DL213">
        <v>44396.4</v>
      </c>
      <c r="DM213">
        <v>42610.3</v>
      </c>
      <c r="DN213">
        <v>1.4761500000000001</v>
      </c>
      <c r="DO213">
        <v>2.0320200000000002</v>
      </c>
      <c r="DP213">
        <v>0.103489</v>
      </c>
      <c r="DQ213">
        <v>0.16788</v>
      </c>
      <c r="DR213">
        <v>25.307600000000001</v>
      </c>
      <c r="DS213">
        <v>25.084700000000002</v>
      </c>
      <c r="DT213">
        <v>26.7</v>
      </c>
      <c r="DU213">
        <v>29</v>
      </c>
      <c r="DV213">
        <v>10.882999999999999</v>
      </c>
      <c r="DW213">
        <v>61.152200000000001</v>
      </c>
      <c r="DX213">
        <v>36.9071</v>
      </c>
      <c r="DY213">
        <v>1</v>
      </c>
      <c r="DZ213">
        <v>-0.118171</v>
      </c>
      <c r="EA213">
        <v>-0.214311</v>
      </c>
      <c r="EB213">
        <v>20.190200000000001</v>
      </c>
      <c r="EC213">
        <v>5.2403500000000003</v>
      </c>
      <c r="ED213">
        <v>12.039899999999999</v>
      </c>
      <c r="EE213">
        <v>5.0169499999999996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1.8689100000000001</v>
      </c>
      <c r="EL213">
        <v>1.8646199999999999</v>
      </c>
      <c r="EM213">
        <v>1.86921</v>
      </c>
      <c r="EN213">
        <v>1.86724</v>
      </c>
      <c r="EO213">
        <v>1.8633999999999999</v>
      </c>
      <c r="EP213">
        <v>1.8644499999999999</v>
      </c>
      <c r="EQ213">
        <v>1.8701399999999999</v>
      </c>
      <c r="ER213">
        <v>1.8694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-3.2000000000000001E-2</v>
      </c>
      <c r="FG213">
        <v>0.2797</v>
      </c>
      <c r="FH213">
        <v>0.26269369235785539</v>
      </c>
      <c r="FI213">
        <v>-6.1462078757559423E-4</v>
      </c>
      <c r="FJ213">
        <v>-1.8861989874597051E-7</v>
      </c>
      <c r="FK213">
        <v>1.1980462299894961E-10</v>
      </c>
      <c r="FL213">
        <v>0.27968571428570849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42.4</v>
      </c>
      <c r="FU213">
        <v>42.4</v>
      </c>
      <c r="FV213">
        <v>1.7651399999999999</v>
      </c>
      <c r="FW213">
        <v>2.5793499999999998</v>
      </c>
      <c r="FX213">
        <v>1.5490699999999999</v>
      </c>
      <c r="FY213">
        <v>2.3327599999999999</v>
      </c>
      <c r="FZ213">
        <v>1.50146</v>
      </c>
      <c r="GA213">
        <v>2.3706100000000001</v>
      </c>
      <c r="GB213">
        <v>33.512999999999998</v>
      </c>
      <c r="GC213">
        <v>23.982399999999998</v>
      </c>
      <c r="GD213">
        <v>19</v>
      </c>
      <c r="GE213">
        <v>281.53500000000003</v>
      </c>
      <c r="GF213">
        <v>576.12300000000005</v>
      </c>
      <c r="GG213">
        <v>25.0062</v>
      </c>
      <c r="GH213">
        <v>25.9254</v>
      </c>
      <c r="GI213">
        <v>30.0002</v>
      </c>
      <c r="GJ213">
        <v>26.051400000000001</v>
      </c>
      <c r="GK213">
        <v>26.0307</v>
      </c>
      <c r="GL213">
        <v>35.298499999999997</v>
      </c>
      <c r="GM213">
        <v>100</v>
      </c>
      <c r="GN213">
        <v>17.400500000000001</v>
      </c>
      <c r="GO213">
        <v>25.007899999999999</v>
      </c>
      <c r="GP213">
        <v>800</v>
      </c>
      <c r="GQ213">
        <v>0</v>
      </c>
      <c r="GR213">
        <v>99.813400000000001</v>
      </c>
      <c r="GS213">
        <v>99.679699999999997</v>
      </c>
    </row>
    <row r="214" spans="1:201" x14ac:dyDescent="0.25">
      <c r="A214">
        <v>198</v>
      </c>
      <c r="B214">
        <v>1690387376</v>
      </c>
      <c r="C214">
        <v>2041.400000095367</v>
      </c>
      <c r="D214" t="s">
        <v>729</v>
      </c>
      <c r="E214" t="s">
        <v>730</v>
      </c>
      <c r="F214" t="s">
        <v>330</v>
      </c>
      <c r="H214">
        <v>1690387376</v>
      </c>
      <c r="I214">
        <f t="shared" si="90"/>
        <v>2.3235528271252281E-3</v>
      </c>
      <c r="J214">
        <f t="shared" si="91"/>
        <v>2.3235528271252281</v>
      </c>
      <c r="K214">
        <f t="shared" si="92"/>
        <v>33.297115647576732</v>
      </c>
      <c r="L214">
        <f t="shared" si="93"/>
        <v>436.471</v>
      </c>
      <c r="M214">
        <f t="shared" si="94"/>
        <v>106.59856563240369</v>
      </c>
      <c r="N214">
        <f t="shared" si="95"/>
        <v>10.528265036487927</v>
      </c>
      <c r="O214">
        <f t="shared" si="96"/>
        <v>43.1082945767523</v>
      </c>
      <c r="P214">
        <f t="shared" si="97"/>
        <v>0.17072924021480868</v>
      </c>
      <c r="Q214">
        <f t="shared" si="98"/>
        <v>2.1611927426957598</v>
      </c>
      <c r="R214">
        <f t="shared" si="99"/>
        <v>0.16357468879228398</v>
      </c>
      <c r="S214">
        <f t="shared" si="100"/>
        <v>0.10285200436616093</v>
      </c>
      <c r="T214">
        <f t="shared" si="101"/>
        <v>276.11589879869348</v>
      </c>
      <c r="U214">
        <f t="shared" si="102"/>
        <v>27.804018705310117</v>
      </c>
      <c r="V214">
        <f t="shared" si="103"/>
        <v>27.804018705310117</v>
      </c>
      <c r="W214">
        <f t="shared" si="104"/>
        <v>3.7516989757269896</v>
      </c>
      <c r="X214">
        <f t="shared" si="105"/>
        <v>69.04811984163797</v>
      </c>
      <c r="Y214">
        <f t="shared" si="106"/>
        <v>2.3923878303557697</v>
      </c>
      <c r="Z214">
        <f t="shared" si="107"/>
        <v>3.464812417546947</v>
      </c>
      <c r="AA214">
        <f t="shared" si="108"/>
        <v>1.3593111453712199</v>
      </c>
      <c r="AB214">
        <f t="shared" si="109"/>
        <v>-102.46867967622256</v>
      </c>
      <c r="AC214">
        <f t="shared" si="110"/>
        <v>-157.96051175128767</v>
      </c>
      <c r="AD214">
        <f t="shared" si="111"/>
        <v>-15.793558990576956</v>
      </c>
      <c r="AE214">
        <f t="shared" si="112"/>
        <v>-0.10685161939372279</v>
      </c>
      <c r="AF214">
        <v>0</v>
      </c>
      <c r="AG214">
        <v>0</v>
      </c>
      <c r="AH214">
        <f t="shared" si="113"/>
        <v>1</v>
      </c>
      <c r="AI214">
        <f t="shared" si="114"/>
        <v>0</v>
      </c>
      <c r="AJ214">
        <f t="shared" si="115"/>
        <v>52402.499204573731</v>
      </c>
      <c r="AK214">
        <f t="shared" si="116"/>
        <v>1800.01</v>
      </c>
      <c r="AL214">
        <f t="shared" si="117"/>
        <v>1499.1212644052</v>
      </c>
      <c r="AM214">
        <f t="shared" si="118"/>
        <v>0.83284051999999997</v>
      </c>
      <c r="AN214">
        <f t="shared" si="119"/>
        <v>0.15339686934999999</v>
      </c>
      <c r="AO214">
        <v>31.8</v>
      </c>
      <c r="AP214">
        <v>0.5</v>
      </c>
      <c r="AQ214" t="s">
        <v>331</v>
      </c>
      <c r="AR214">
        <v>2</v>
      </c>
      <c r="AS214">
        <v>1690387376</v>
      </c>
      <c r="AT214">
        <v>436.471</v>
      </c>
      <c r="AU214">
        <v>800.053</v>
      </c>
      <c r="AV214">
        <v>24.222899999999999</v>
      </c>
      <c r="AW214">
        <v>0.19761000000000001</v>
      </c>
      <c r="AX214">
        <v>436.50200000000001</v>
      </c>
      <c r="AY214">
        <v>23.943200000000001</v>
      </c>
      <c r="AZ214">
        <v>300.09699999999998</v>
      </c>
      <c r="BA214">
        <v>98.665599999999998</v>
      </c>
      <c r="BB214">
        <v>9.9941299999999997E-2</v>
      </c>
      <c r="BC214">
        <v>26.4483</v>
      </c>
      <c r="BD214">
        <v>27.0273</v>
      </c>
      <c r="BE214">
        <v>27.8172</v>
      </c>
      <c r="BF214">
        <v>0</v>
      </c>
      <c r="BG214">
        <v>0</v>
      </c>
      <c r="BH214">
        <v>10026.9</v>
      </c>
      <c r="BI214">
        <v>1079.02</v>
      </c>
      <c r="BJ214">
        <v>1.23766</v>
      </c>
      <c r="BK214">
        <v>-363.58199999999999</v>
      </c>
      <c r="BL214">
        <v>447.30599999999998</v>
      </c>
      <c r="BM214">
        <v>800.21100000000001</v>
      </c>
      <c r="BN214">
        <v>24.025300000000001</v>
      </c>
      <c r="BO214">
        <v>800.053</v>
      </c>
      <c r="BP214">
        <v>0.19761000000000001</v>
      </c>
      <c r="BQ214">
        <v>2.3899699999999999</v>
      </c>
      <c r="BR214">
        <v>1.9497299999999999E-2</v>
      </c>
      <c r="BS214">
        <v>20.2959</v>
      </c>
      <c r="BT214">
        <v>-39.670499999999997</v>
      </c>
      <c r="BU214">
        <v>1800.01</v>
      </c>
      <c r="BV214">
        <v>0.91001500000000002</v>
      </c>
      <c r="BW214">
        <v>3.4004600000000003E-2</v>
      </c>
      <c r="BX214">
        <v>2.1992500000000002E-2</v>
      </c>
      <c r="BY214">
        <v>3.3988299999999999E-2</v>
      </c>
      <c r="BZ214">
        <v>25.083300000000001</v>
      </c>
      <c r="CA214">
        <v>33528.699999999997</v>
      </c>
      <c r="CB214">
        <v>1690384821</v>
      </c>
      <c r="CC214" t="s">
        <v>332</v>
      </c>
      <c r="CD214">
        <v>1690384820</v>
      </c>
      <c r="CE214">
        <v>1690384821</v>
      </c>
      <c r="CF214">
        <v>5</v>
      </c>
      <c r="CG214">
        <v>-2.5000000000000001E-2</v>
      </c>
      <c r="CH214">
        <v>0.104</v>
      </c>
      <c r="CI214">
        <v>-0.28799999999999998</v>
      </c>
      <c r="CJ214">
        <v>0.28000000000000003</v>
      </c>
      <c r="CK214">
        <v>800</v>
      </c>
      <c r="CL214">
        <v>24</v>
      </c>
      <c r="CM214">
        <v>0.08</v>
      </c>
      <c r="CN214">
        <v>0.11</v>
      </c>
      <c r="CO214">
        <v>-363.09035</v>
      </c>
      <c r="CP214">
        <v>-2.35571482176268</v>
      </c>
      <c r="CQ214">
        <v>0.23058247439907531</v>
      </c>
      <c r="CR214">
        <v>-1</v>
      </c>
      <c r="CS214">
        <v>24.006205000000001</v>
      </c>
      <c r="CT214">
        <v>9.3491932457722679E-2</v>
      </c>
      <c r="CU214">
        <v>9.0133220845590133E-3</v>
      </c>
      <c r="CV214">
        <v>-1</v>
      </c>
      <c r="CW214">
        <v>0</v>
      </c>
      <c r="CX214">
        <v>0</v>
      </c>
      <c r="CY214" t="s">
        <v>333</v>
      </c>
      <c r="CZ214">
        <v>2.3647300000000002</v>
      </c>
      <c r="DA214">
        <v>2.7137600000000002</v>
      </c>
      <c r="DB214">
        <v>9.5273499999999997E-2</v>
      </c>
      <c r="DC214">
        <v>0.145484</v>
      </c>
      <c r="DD214">
        <v>0.113958</v>
      </c>
      <c r="DE214">
        <v>1.65442E-3</v>
      </c>
      <c r="DF214">
        <v>33059.5</v>
      </c>
      <c r="DG214">
        <v>27569.7</v>
      </c>
      <c r="DH214">
        <v>31194</v>
      </c>
      <c r="DI214">
        <v>28112.799999999999</v>
      </c>
      <c r="DJ214">
        <v>37521.9</v>
      </c>
      <c r="DK214">
        <v>39918.199999999997</v>
      </c>
      <c r="DL214">
        <v>44396.6</v>
      </c>
      <c r="DM214">
        <v>42610</v>
      </c>
      <c r="DN214">
        <v>1.4760200000000001</v>
      </c>
      <c r="DO214">
        <v>2.0318800000000001</v>
      </c>
      <c r="DP214">
        <v>0.105016</v>
      </c>
      <c r="DQ214">
        <v>0.16693</v>
      </c>
      <c r="DR214">
        <v>25.307600000000001</v>
      </c>
      <c r="DS214">
        <v>25.084700000000002</v>
      </c>
      <c r="DT214">
        <v>26.4</v>
      </c>
      <c r="DU214">
        <v>29</v>
      </c>
      <c r="DV214">
        <v>10.76</v>
      </c>
      <c r="DW214">
        <v>60.932200000000002</v>
      </c>
      <c r="DX214">
        <v>36.847000000000001</v>
      </c>
      <c r="DY214">
        <v>1</v>
      </c>
      <c r="DZ214">
        <v>-0.118643</v>
      </c>
      <c r="EA214">
        <v>-0.14817</v>
      </c>
      <c r="EB214">
        <v>20.1904</v>
      </c>
      <c r="EC214">
        <v>5.2401999999999997</v>
      </c>
      <c r="ED214">
        <v>12.039899999999999</v>
      </c>
      <c r="EE214">
        <v>5.0167999999999999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1.8689100000000001</v>
      </c>
      <c r="EL214">
        <v>1.8646199999999999</v>
      </c>
      <c r="EM214">
        <v>1.86921</v>
      </c>
      <c r="EN214">
        <v>1.8672299999999999</v>
      </c>
      <c r="EO214">
        <v>1.8633999999999999</v>
      </c>
      <c r="EP214">
        <v>1.86446</v>
      </c>
      <c r="EQ214">
        <v>1.87016</v>
      </c>
      <c r="ER214">
        <v>1.8694200000000001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-3.1E-2</v>
      </c>
      <c r="FG214">
        <v>0.2797</v>
      </c>
      <c r="FH214">
        <v>0.26269369235785539</v>
      </c>
      <c r="FI214">
        <v>-6.1462078757559423E-4</v>
      </c>
      <c r="FJ214">
        <v>-1.8861989874597051E-7</v>
      </c>
      <c r="FK214">
        <v>1.1980462299894961E-10</v>
      </c>
      <c r="FL214">
        <v>0.27968571428570849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42.6</v>
      </c>
      <c r="FU214">
        <v>42.6</v>
      </c>
      <c r="FV214">
        <v>1.7651399999999999</v>
      </c>
      <c r="FW214">
        <v>2.5842299999999998</v>
      </c>
      <c r="FX214">
        <v>1.5490699999999999</v>
      </c>
      <c r="FY214">
        <v>2.3327599999999999</v>
      </c>
      <c r="FZ214">
        <v>1.50146</v>
      </c>
      <c r="GA214">
        <v>2.3852500000000001</v>
      </c>
      <c r="GB214">
        <v>33.512999999999998</v>
      </c>
      <c r="GC214">
        <v>23.982399999999998</v>
      </c>
      <c r="GD214">
        <v>19</v>
      </c>
      <c r="GE214">
        <v>281.47199999999998</v>
      </c>
      <c r="GF214">
        <v>576</v>
      </c>
      <c r="GG214">
        <v>25.002700000000001</v>
      </c>
      <c r="GH214">
        <v>25.9254</v>
      </c>
      <c r="GI214">
        <v>30.0001</v>
      </c>
      <c r="GJ214">
        <v>26.049199999999999</v>
      </c>
      <c r="GK214">
        <v>26.0307</v>
      </c>
      <c r="GL214">
        <v>35.297400000000003</v>
      </c>
      <c r="GM214">
        <v>100</v>
      </c>
      <c r="GN214">
        <v>16.626100000000001</v>
      </c>
      <c r="GO214">
        <v>24.994800000000001</v>
      </c>
      <c r="GP214">
        <v>800</v>
      </c>
      <c r="GQ214">
        <v>0</v>
      </c>
      <c r="GR214">
        <v>99.813500000000005</v>
      </c>
      <c r="GS214">
        <v>99.678799999999995</v>
      </c>
    </row>
    <row r="215" spans="1:201" x14ac:dyDescent="0.25">
      <c r="A215">
        <v>199</v>
      </c>
      <c r="B215">
        <v>1690387386</v>
      </c>
      <c r="C215">
        <v>2051.400000095367</v>
      </c>
      <c r="D215" t="s">
        <v>731</v>
      </c>
      <c r="E215" t="s">
        <v>732</v>
      </c>
      <c r="F215" t="s">
        <v>330</v>
      </c>
      <c r="H215">
        <v>1690387386</v>
      </c>
      <c r="I215">
        <f t="shared" si="90"/>
        <v>2.3256378758897342E-3</v>
      </c>
      <c r="J215">
        <f t="shared" si="91"/>
        <v>2.325637875889734</v>
      </c>
      <c r="K215">
        <f t="shared" si="92"/>
        <v>33.32967699717797</v>
      </c>
      <c r="L215">
        <f t="shared" si="93"/>
        <v>436.25700000000001</v>
      </c>
      <c r="M215">
        <f t="shared" si="94"/>
        <v>106.53076535237442</v>
      </c>
      <c r="N215">
        <f t="shared" si="95"/>
        <v>10.521413244784666</v>
      </c>
      <c r="O215">
        <f t="shared" si="96"/>
        <v>43.086522121073997</v>
      </c>
      <c r="P215">
        <f t="shared" si="97"/>
        <v>0.17099111610873743</v>
      </c>
      <c r="Q215">
        <f t="shared" si="98"/>
        <v>2.1571329626550266</v>
      </c>
      <c r="R215">
        <f t="shared" si="99"/>
        <v>0.16380220055657221</v>
      </c>
      <c r="S215">
        <f t="shared" si="100"/>
        <v>0.10299708461569042</v>
      </c>
      <c r="T215">
        <f t="shared" si="101"/>
        <v>276.11423843399996</v>
      </c>
      <c r="U215">
        <f t="shared" si="102"/>
        <v>27.805307582070789</v>
      </c>
      <c r="V215">
        <f t="shared" si="103"/>
        <v>27.805307582070789</v>
      </c>
      <c r="W215">
        <f t="shared" si="104"/>
        <v>3.7519812879762555</v>
      </c>
      <c r="X215">
        <f t="shared" si="105"/>
        <v>69.077681809344028</v>
      </c>
      <c r="Y215">
        <f t="shared" si="106"/>
        <v>2.3933697519224002</v>
      </c>
      <c r="Z215">
        <f t="shared" si="107"/>
        <v>3.4647511167617862</v>
      </c>
      <c r="AA215">
        <f t="shared" si="108"/>
        <v>1.3586115360538553</v>
      </c>
      <c r="AB215">
        <f t="shared" si="109"/>
        <v>-102.56063032673728</v>
      </c>
      <c r="AC215">
        <f t="shared" si="110"/>
        <v>-157.84856341284481</v>
      </c>
      <c r="AD215">
        <f t="shared" si="111"/>
        <v>-15.812147081039056</v>
      </c>
      <c r="AE215">
        <f t="shared" si="112"/>
        <v>-0.10710238662116467</v>
      </c>
      <c r="AF215">
        <v>0</v>
      </c>
      <c r="AG215">
        <v>0</v>
      </c>
      <c r="AH215">
        <f t="shared" si="113"/>
        <v>1</v>
      </c>
      <c r="AI215">
        <f t="shared" si="114"/>
        <v>0</v>
      </c>
      <c r="AJ215">
        <f t="shared" si="115"/>
        <v>52232.410173526252</v>
      </c>
      <c r="AK215">
        <f t="shared" si="116"/>
        <v>1800</v>
      </c>
      <c r="AL215">
        <f t="shared" si="117"/>
        <v>1499.1123834</v>
      </c>
      <c r="AM215">
        <f t="shared" si="118"/>
        <v>0.832840213</v>
      </c>
      <c r="AN215">
        <f t="shared" si="119"/>
        <v>0.15339679912999998</v>
      </c>
      <c r="AO215">
        <v>31.8</v>
      </c>
      <c r="AP215">
        <v>0.5</v>
      </c>
      <c r="AQ215" t="s">
        <v>331</v>
      </c>
      <c r="AR215">
        <v>2</v>
      </c>
      <c r="AS215">
        <v>1690387386</v>
      </c>
      <c r="AT215">
        <v>436.25700000000001</v>
      </c>
      <c r="AU215">
        <v>800.04899999999998</v>
      </c>
      <c r="AV215">
        <v>24.2332</v>
      </c>
      <c r="AW215">
        <v>0.19581599999999999</v>
      </c>
      <c r="AX215">
        <v>436.28800000000001</v>
      </c>
      <c r="AY215">
        <v>23.953499999999998</v>
      </c>
      <c r="AZ215">
        <v>300.21199999999999</v>
      </c>
      <c r="BA215">
        <v>98.664000000000001</v>
      </c>
      <c r="BB215">
        <v>0.100082</v>
      </c>
      <c r="BC215">
        <v>26.448</v>
      </c>
      <c r="BD215">
        <v>27.023</v>
      </c>
      <c r="BE215">
        <v>27.843</v>
      </c>
      <c r="BF215">
        <v>0</v>
      </c>
      <c r="BG215">
        <v>0</v>
      </c>
      <c r="BH215">
        <v>9993.1200000000008</v>
      </c>
      <c r="BI215">
        <v>1079.08</v>
      </c>
      <c r="BJ215">
        <v>1.4577199999999999</v>
      </c>
      <c r="BK215">
        <v>-363.79199999999997</v>
      </c>
      <c r="BL215">
        <v>447.09100000000001</v>
      </c>
      <c r="BM215">
        <v>800.20600000000002</v>
      </c>
      <c r="BN215">
        <v>24.037400000000002</v>
      </c>
      <c r="BO215">
        <v>800.04899999999998</v>
      </c>
      <c r="BP215">
        <v>0.19581599999999999</v>
      </c>
      <c r="BQ215">
        <v>2.3909400000000001</v>
      </c>
      <c r="BR215">
        <v>1.932E-2</v>
      </c>
      <c r="BS215">
        <v>20.302600000000002</v>
      </c>
      <c r="BT215">
        <v>-39.758200000000002</v>
      </c>
      <c r="BU215">
        <v>1800</v>
      </c>
      <c r="BV215">
        <v>0.91001500000000002</v>
      </c>
      <c r="BW215">
        <v>3.40045E-2</v>
      </c>
      <c r="BX215">
        <v>2.1992399999999999E-2</v>
      </c>
      <c r="BY215">
        <v>3.39881E-2</v>
      </c>
      <c r="BZ215">
        <v>25.083300000000001</v>
      </c>
      <c r="CA215">
        <v>33528.400000000001</v>
      </c>
      <c r="CB215">
        <v>1690384821</v>
      </c>
      <c r="CC215" t="s">
        <v>332</v>
      </c>
      <c r="CD215">
        <v>1690384820</v>
      </c>
      <c r="CE215">
        <v>1690384821</v>
      </c>
      <c r="CF215">
        <v>5</v>
      </c>
      <c r="CG215">
        <v>-2.5000000000000001E-2</v>
      </c>
      <c r="CH215">
        <v>0.104</v>
      </c>
      <c r="CI215">
        <v>-0.28799999999999998</v>
      </c>
      <c r="CJ215">
        <v>0.28000000000000003</v>
      </c>
      <c r="CK215">
        <v>800</v>
      </c>
      <c r="CL215">
        <v>24</v>
      </c>
      <c r="CM215">
        <v>0.08</v>
      </c>
      <c r="CN215">
        <v>0.11</v>
      </c>
      <c r="CO215">
        <v>-363.48814634146339</v>
      </c>
      <c r="CP215">
        <v>-2.0231289198615219</v>
      </c>
      <c r="CQ215">
        <v>0.21012987400660579</v>
      </c>
      <c r="CR215">
        <v>-1</v>
      </c>
      <c r="CS215">
        <v>24.0234243902439</v>
      </c>
      <c r="CT215">
        <v>0.10652404181187609</v>
      </c>
      <c r="CU215">
        <v>1.0577628958528059E-2</v>
      </c>
      <c r="CV215">
        <v>-1</v>
      </c>
      <c r="CW215">
        <v>0</v>
      </c>
      <c r="CX215">
        <v>0</v>
      </c>
      <c r="CY215" t="s">
        <v>333</v>
      </c>
      <c r="CZ215">
        <v>2.3651200000000001</v>
      </c>
      <c r="DA215">
        <v>2.71387</v>
      </c>
      <c r="DB215">
        <v>9.5237000000000002E-2</v>
      </c>
      <c r="DC215">
        <v>0.145482</v>
      </c>
      <c r="DD215">
        <v>0.11398999999999999</v>
      </c>
      <c r="DE215">
        <v>1.6395699999999999E-3</v>
      </c>
      <c r="DF215">
        <v>33061</v>
      </c>
      <c r="DG215">
        <v>27570</v>
      </c>
      <c r="DH215">
        <v>31194.1</v>
      </c>
      <c r="DI215">
        <v>28113</v>
      </c>
      <c r="DJ215">
        <v>37520.400000000001</v>
      </c>
      <c r="DK215">
        <v>39919.1</v>
      </c>
      <c r="DL215">
        <v>44396.4</v>
      </c>
      <c r="DM215">
        <v>42610.400000000001</v>
      </c>
      <c r="DN215">
        <v>1.4764200000000001</v>
      </c>
      <c r="DO215">
        <v>2.0320499999999999</v>
      </c>
      <c r="DP215">
        <v>0.104755</v>
      </c>
      <c r="DQ215">
        <v>0.168383</v>
      </c>
      <c r="DR215">
        <v>25.307600000000001</v>
      </c>
      <c r="DS215">
        <v>25.0869</v>
      </c>
      <c r="DT215">
        <v>26.1</v>
      </c>
      <c r="DU215">
        <v>29.1</v>
      </c>
      <c r="DV215">
        <v>10.6999</v>
      </c>
      <c r="DW215">
        <v>61.252200000000002</v>
      </c>
      <c r="DX215">
        <v>36.786900000000003</v>
      </c>
      <c r="DY215">
        <v>1</v>
      </c>
      <c r="DZ215">
        <v>-0.11883100000000001</v>
      </c>
      <c r="EA215">
        <v>-0.114728</v>
      </c>
      <c r="EB215">
        <v>20.1904</v>
      </c>
      <c r="EC215">
        <v>5.2409499999999998</v>
      </c>
      <c r="ED215">
        <v>12.039899999999999</v>
      </c>
      <c r="EE215">
        <v>5.0171999999999999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</v>
      </c>
      <c r="EL215">
        <v>1.8646199999999999</v>
      </c>
      <c r="EM215">
        <v>1.8692</v>
      </c>
      <c r="EN215">
        <v>1.8672200000000001</v>
      </c>
      <c r="EO215">
        <v>1.8633999999999999</v>
      </c>
      <c r="EP215">
        <v>1.86446</v>
      </c>
      <c r="EQ215">
        <v>1.87015</v>
      </c>
      <c r="ER215">
        <v>1.8693900000000001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-3.1E-2</v>
      </c>
      <c r="FG215">
        <v>0.2797</v>
      </c>
      <c r="FH215">
        <v>0.26269369235785539</v>
      </c>
      <c r="FI215">
        <v>-6.1462078757559423E-4</v>
      </c>
      <c r="FJ215">
        <v>-1.8861989874597051E-7</v>
      </c>
      <c r="FK215">
        <v>1.1980462299894961E-10</v>
      </c>
      <c r="FL215">
        <v>0.27968571428570849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42.8</v>
      </c>
      <c r="FU215">
        <v>42.8</v>
      </c>
      <c r="FV215">
        <v>1.7651399999999999</v>
      </c>
      <c r="FW215">
        <v>2.5769000000000002</v>
      </c>
      <c r="FX215">
        <v>1.5490699999999999</v>
      </c>
      <c r="FY215">
        <v>2.3327599999999999</v>
      </c>
      <c r="FZ215">
        <v>1.50146</v>
      </c>
      <c r="GA215">
        <v>2.3803700000000001</v>
      </c>
      <c r="GB215">
        <v>33.512999999999998</v>
      </c>
      <c r="GC215">
        <v>23.982399999999998</v>
      </c>
      <c r="GD215">
        <v>19</v>
      </c>
      <c r="GE215">
        <v>281.64100000000002</v>
      </c>
      <c r="GF215">
        <v>576.12400000000002</v>
      </c>
      <c r="GG215">
        <v>24.961400000000001</v>
      </c>
      <c r="GH215">
        <v>25.9254</v>
      </c>
      <c r="GI215">
        <v>29.9999</v>
      </c>
      <c r="GJ215">
        <v>26.049199999999999</v>
      </c>
      <c r="GK215">
        <v>26.0289</v>
      </c>
      <c r="GL215">
        <v>35.295000000000002</v>
      </c>
      <c r="GM215">
        <v>100</v>
      </c>
      <c r="GN215">
        <v>16.246400000000001</v>
      </c>
      <c r="GO215">
        <v>24.9618</v>
      </c>
      <c r="GP215">
        <v>800</v>
      </c>
      <c r="GQ215">
        <v>0</v>
      </c>
      <c r="GR215">
        <v>99.813400000000001</v>
      </c>
      <c r="GS215">
        <v>99.6798</v>
      </c>
    </row>
    <row r="216" spans="1:201" x14ac:dyDescent="0.25">
      <c r="A216">
        <v>200</v>
      </c>
      <c r="B216">
        <v>1690387396</v>
      </c>
      <c r="C216">
        <v>2061.400000095367</v>
      </c>
      <c r="D216" t="s">
        <v>733</v>
      </c>
      <c r="E216" t="s">
        <v>734</v>
      </c>
      <c r="F216" t="s">
        <v>330</v>
      </c>
      <c r="H216">
        <v>1690387396</v>
      </c>
      <c r="I216">
        <f t="shared" si="90"/>
        <v>2.3275666679209248E-3</v>
      </c>
      <c r="J216">
        <f t="shared" si="91"/>
        <v>2.3275666679209248</v>
      </c>
      <c r="K216">
        <f t="shared" si="92"/>
        <v>33.382457465954808</v>
      </c>
      <c r="L216">
        <f t="shared" si="93"/>
        <v>435.673</v>
      </c>
      <c r="M216">
        <f t="shared" si="94"/>
        <v>106.46165319011608</v>
      </c>
      <c r="N216">
        <f t="shared" si="95"/>
        <v>10.514538792548679</v>
      </c>
      <c r="O216">
        <f t="shared" si="96"/>
        <v>43.028644794625002</v>
      </c>
      <c r="P216">
        <f t="shared" si="97"/>
        <v>0.17153394936345689</v>
      </c>
      <c r="Q216">
        <f t="shared" si="98"/>
        <v>2.1603441576831437</v>
      </c>
      <c r="R216">
        <f t="shared" si="99"/>
        <v>0.16431062052072548</v>
      </c>
      <c r="S216">
        <f t="shared" si="100"/>
        <v>0.1033177776820137</v>
      </c>
      <c r="T216">
        <f t="shared" si="101"/>
        <v>276.11413014599998</v>
      </c>
      <c r="U216">
        <f t="shared" si="102"/>
        <v>27.80090952418578</v>
      </c>
      <c r="V216">
        <f t="shared" si="103"/>
        <v>27.80090952418578</v>
      </c>
      <c r="W216">
        <f t="shared" si="104"/>
        <v>3.7510180249774914</v>
      </c>
      <c r="X216">
        <f t="shared" si="105"/>
        <v>69.146966321088229</v>
      </c>
      <c r="Y216">
        <f t="shared" si="106"/>
        <v>2.3955018480125001</v>
      </c>
      <c r="Z216">
        <f t="shared" si="107"/>
        <v>3.464362900447199</v>
      </c>
      <c r="AA216">
        <f t="shared" si="108"/>
        <v>1.3555161769649913</v>
      </c>
      <c r="AB216">
        <f t="shared" si="109"/>
        <v>-102.64569005531278</v>
      </c>
      <c r="AC216">
        <f t="shared" si="110"/>
        <v>-157.79259815285363</v>
      </c>
      <c r="AD216">
        <f t="shared" si="111"/>
        <v>-15.782548508795621</v>
      </c>
      <c r="AE216">
        <f t="shared" si="112"/>
        <v>-0.10670657096207492</v>
      </c>
      <c r="AF216">
        <v>0</v>
      </c>
      <c r="AG216">
        <v>0</v>
      </c>
      <c r="AH216">
        <f t="shared" si="113"/>
        <v>1</v>
      </c>
      <c r="AI216">
        <f t="shared" si="114"/>
        <v>0</v>
      </c>
      <c r="AJ216">
        <f t="shared" si="115"/>
        <v>52367.25543197104</v>
      </c>
      <c r="AK216">
        <f t="shared" si="116"/>
        <v>1800</v>
      </c>
      <c r="AL216">
        <f t="shared" si="117"/>
        <v>1499.1122556</v>
      </c>
      <c r="AM216">
        <f t="shared" si="118"/>
        <v>0.83284014200000001</v>
      </c>
      <c r="AN216">
        <f t="shared" si="119"/>
        <v>0.15339673897</v>
      </c>
      <c r="AO216">
        <v>31.8</v>
      </c>
      <c r="AP216">
        <v>0.5</v>
      </c>
      <c r="AQ216" t="s">
        <v>331</v>
      </c>
      <c r="AR216">
        <v>2</v>
      </c>
      <c r="AS216">
        <v>1690387396</v>
      </c>
      <c r="AT216">
        <v>435.673</v>
      </c>
      <c r="AU216">
        <v>800.072</v>
      </c>
      <c r="AV216">
        <v>24.254899999999999</v>
      </c>
      <c r="AW216">
        <v>0.19458900000000001</v>
      </c>
      <c r="AX216">
        <v>435.70400000000001</v>
      </c>
      <c r="AY216">
        <v>23.975200000000001</v>
      </c>
      <c r="AZ216">
        <v>300.16800000000001</v>
      </c>
      <c r="BA216">
        <v>98.663600000000002</v>
      </c>
      <c r="BB216">
        <v>0.100025</v>
      </c>
      <c r="BC216">
        <v>26.446100000000001</v>
      </c>
      <c r="BD216">
        <v>27.003499999999999</v>
      </c>
      <c r="BE216">
        <v>27.816800000000001</v>
      </c>
      <c r="BF216">
        <v>0</v>
      </c>
      <c r="BG216">
        <v>0</v>
      </c>
      <c r="BH216">
        <v>10020</v>
      </c>
      <c r="BI216">
        <v>1079.05</v>
      </c>
      <c r="BJ216">
        <v>1.4577199999999999</v>
      </c>
      <c r="BK216">
        <v>-364.39800000000002</v>
      </c>
      <c r="BL216">
        <v>446.50299999999999</v>
      </c>
      <c r="BM216">
        <v>800.22699999999998</v>
      </c>
      <c r="BN216">
        <v>24.060300000000002</v>
      </c>
      <c r="BO216">
        <v>800.072</v>
      </c>
      <c r="BP216">
        <v>0.19458900000000001</v>
      </c>
      <c r="BQ216">
        <v>2.3930799999999999</v>
      </c>
      <c r="BR216">
        <v>1.9198799999999999E-2</v>
      </c>
      <c r="BS216">
        <v>20.317</v>
      </c>
      <c r="BT216">
        <v>-39.8185</v>
      </c>
      <c r="BU216">
        <v>1800</v>
      </c>
      <c r="BV216">
        <v>0.91001600000000005</v>
      </c>
      <c r="BW216">
        <v>3.4004E-2</v>
      </c>
      <c r="BX216">
        <v>2.1992100000000001E-2</v>
      </c>
      <c r="BY216">
        <v>3.3987700000000003E-2</v>
      </c>
      <c r="BZ216">
        <v>25.083300000000001</v>
      </c>
      <c r="CA216">
        <v>33528.5</v>
      </c>
      <c r="CB216">
        <v>1690384821</v>
      </c>
      <c r="CC216" t="s">
        <v>332</v>
      </c>
      <c r="CD216">
        <v>1690384820</v>
      </c>
      <c r="CE216">
        <v>1690384821</v>
      </c>
      <c r="CF216">
        <v>5</v>
      </c>
      <c r="CG216">
        <v>-2.5000000000000001E-2</v>
      </c>
      <c r="CH216">
        <v>0.104</v>
      </c>
      <c r="CI216">
        <v>-0.28799999999999998</v>
      </c>
      <c r="CJ216">
        <v>0.28000000000000003</v>
      </c>
      <c r="CK216">
        <v>800</v>
      </c>
      <c r="CL216">
        <v>24</v>
      </c>
      <c r="CM216">
        <v>0.08</v>
      </c>
      <c r="CN216">
        <v>0.11</v>
      </c>
      <c r="CO216">
        <v>-363.84785365853662</v>
      </c>
      <c r="CP216">
        <v>-2.220355400696969</v>
      </c>
      <c r="CQ216">
        <v>0.23789519735723469</v>
      </c>
      <c r="CR216">
        <v>-1</v>
      </c>
      <c r="CS216">
        <v>24.038258536585371</v>
      </c>
      <c r="CT216">
        <v>7.8742160278736678E-2</v>
      </c>
      <c r="CU216">
        <v>8.0917897447382054E-3</v>
      </c>
      <c r="CV216">
        <v>-1</v>
      </c>
      <c r="CW216">
        <v>0</v>
      </c>
      <c r="CX216">
        <v>0</v>
      </c>
      <c r="CY216" t="s">
        <v>333</v>
      </c>
      <c r="CZ216">
        <v>2.3649800000000001</v>
      </c>
      <c r="DA216">
        <v>2.7138300000000002</v>
      </c>
      <c r="DB216">
        <v>9.5141000000000003E-2</v>
      </c>
      <c r="DC216">
        <v>0.145484</v>
      </c>
      <c r="DD216">
        <v>0.114062</v>
      </c>
      <c r="DE216">
        <v>1.62941E-3</v>
      </c>
      <c r="DF216">
        <v>33064.400000000001</v>
      </c>
      <c r="DG216">
        <v>27569.7</v>
      </c>
      <c r="DH216">
        <v>31194</v>
      </c>
      <c r="DI216">
        <v>28112.799999999999</v>
      </c>
      <c r="DJ216">
        <v>37517.1</v>
      </c>
      <c r="DK216">
        <v>39919.4</v>
      </c>
      <c r="DL216">
        <v>44396.1</v>
      </c>
      <c r="DM216">
        <v>42610.2</v>
      </c>
      <c r="DN216">
        <v>1.47627</v>
      </c>
      <c r="DO216">
        <v>2.0317699999999999</v>
      </c>
      <c r="DP216">
        <v>0.103433</v>
      </c>
      <c r="DQ216">
        <v>0.16665099999999999</v>
      </c>
      <c r="DR216">
        <v>25.309699999999999</v>
      </c>
      <c r="DS216">
        <v>25.088899999999999</v>
      </c>
      <c r="DT216">
        <v>25.8</v>
      </c>
      <c r="DU216">
        <v>29.1</v>
      </c>
      <c r="DV216">
        <v>10.578200000000001</v>
      </c>
      <c r="DW216">
        <v>61.092199999999998</v>
      </c>
      <c r="DX216">
        <v>36.794899999999998</v>
      </c>
      <c r="DY216">
        <v>1</v>
      </c>
      <c r="DZ216">
        <v>-0.118864</v>
      </c>
      <c r="EA216">
        <v>-5.4338200000000003E-2</v>
      </c>
      <c r="EB216">
        <v>20.190300000000001</v>
      </c>
      <c r="EC216">
        <v>5.2403500000000003</v>
      </c>
      <c r="ED216">
        <v>12.039899999999999</v>
      </c>
      <c r="EE216">
        <v>5.0167000000000002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</v>
      </c>
      <c r="EL216">
        <v>1.8646199999999999</v>
      </c>
      <c r="EM216">
        <v>1.8692</v>
      </c>
      <c r="EN216">
        <v>1.86724</v>
      </c>
      <c r="EO216">
        <v>1.8633999999999999</v>
      </c>
      <c r="EP216">
        <v>1.8644499999999999</v>
      </c>
      <c r="EQ216">
        <v>1.8701399999999999</v>
      </c>
      <c r="ER216">
        <v>1.8693900000000001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-3.1E-2</v>
      </c>
      <c r="FG216">
        <v>0.2797</v>
      </c>
      <c r="FH216">
        <v>0.26269369235785539</v>
      </c>
      <c r="FI216">
        <v>-6.1462078757559423E-4</v>
      </c>
      <c r="FJ216">
        <v>-1.8861989874597051E-7</v>
      </c>
      <c r="FK216">
        <v>1.1980462299894961E-10</v>
      </c>
      <c r="FL216">
        <v>0.27968571428570849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42.9</v>
      </c>
      <c r="FU216">
        <v>42.9</v>
      </c>
      <c r="FV216">
        <v>1.7651399999999999</v>
      </c>
      <c r="FW216">
        <v>2.5842299999999998</v>
      </c>
      <c r="FX216">
        <v>1.5490699999999999</v>
      </c>
      <c r="FY216">
        <v>2.3327599999999999</v>
      </c>
      <c r="FZ216">
        <v>1.50146</v>
      </c>
      <c r="GA216">
        <v>2.3120099999999999</v>
      </c>
      <c r="GB216">
        <v>33.512999999999998</v>
      </c>
      <c r="GC216">
        <v>23.991199999999999</v>
      </c>
      <c r="GD216">
        <v>19</v>
      </c>
      <c r="GE216">
        <v>281.57799999999997</v>
      </c>
      <c r="GF216">
        <v>575.89499999999998</v>
      </c>
      <c r="GG216">
        <v>24.930900000000001</v>
      </c>
      <c r="GH216">
        <v>25.9254</v>
      </c>
      <c r="GI216">
        <v>29.9999</v>
      </c>
      <c r="GJ216">
        <v>26.049199999999999</v>
      </c>
      <c r="GK216">
        <v>26.028500000000001</v>
      </c>
      <c r="GL216">
        <v>35.294499999999999</v>
      </c>
      <c r="GM216">
        <v>100</v>
      </c>
      <c r="GN216">
        <v>15.4917</v>
      </c>
      <c r="GO216">
        <v>24.924800000000001</v>
      </c>
      <c r="GP216">
        <v>800</v>
      </c>
      <c r="GQ216">
        <v>0</v>
      </c>
      <c r="GR216">
        <v>99.812799999999996</v>
      </c>
      <c r="GS216">
        <v>99.679299999999998</v>
      </c>
    </row>
    <row r="217" spans="1:201" x14ac:dyDescent="0.25">
      <c r="A217">
        <v>201</v>
      </c>
      <c r="B217">
        <v>1690387406</v>
      </c>
      <c r="C217">
        <v>2071.400000095367</v>
      </c>
      <c r="D217" t="s">
        <v>735</v>
      </c>
      <c r="E217" t="s">
        <v>736</v>
      </c>
      <c r="F217" t="s">
        <v>330</v>
      </c>
      <c r="H217">
        <v>1690387406</v>
      </c>
      <c r="I217">
        <f t="shared" si="90"/>
        <v>2.327519761776772E-3</v>
      </c>
      <c r="J217">
        <f t="shared" si="91"/>
        <v>2.327519761776772</v>
      </c>
      <c r="K217">
        <f t="shared" si="92"/>
        <v>33.392945907534504</v>
      </c>
      <c r="L217">
        <f t="shared" si="93"/>
        <v>435.47300000000001</v>
      </c>
      <c r="M217">
        <f t="shared" si="94"/>
        <v>106.71840257345563</v>
      </c>
      <c r="N217">
        <f t="shared" si="95"/>
        <v>10.540150922472346</v>
      </c>
      <c r="O217">
        <f t="shared" si="96"/>
        <v>43.009931108202998</v>
      </c>
      <c r="P217">
        <f t="shared" si="97"/>
        <v>0.17183213450418441</v>
      </c>
      <c r="Q217">
        <f t="shared" si="98"/>
        <v>2.161794609910674</v>
      </c>
      <c r="R217">
        <f t="shared" si="99"/>
        <v>0.16458888356132065</v>
      </c>
      <c r="S217">
        <f t="shared" si="100"/>
        <v>0.10349338617907623</v>
      </c>
      <c r="T217">
        <f t="shared" si="101"/>
        <v>276.11411140799993</v>
      </c>
      <c r="U217">
        <f t="shared" si="102"/>
        <v>27.792807553913423</v>
      </c>
      <c r="V217">
        <f t="shared" si="103"/>
        <v>27.792807553913423</v>
      </c>
      <c r="W217">
        <f t="shared" si="104"/>
        <v>3.749244095665071</v>
      </c>
      <c r="X217">
        <f t="shared" si="105"/>
        <v>69.191248901488123</v>
      </c>
      <c r="Y217">
        <f t="shared" si="106"/>
        <v>2.3960041672534</v>
      </c>
      <c r="Z217">
        <f t="shared" si="107"/>
        <v>3.4628716857889641</v>
      </c>
      <c r="AA217">
        <f t="shared" si="108"/>
        <v>1.353239928411671</v>
      </c>
      <c r="AB217">
        <f t="shared" si="109"/>
        <v>-102.64362149435564</v>
      </c>
      <c r="AC217">
        <f t="shared" si="110"/>
        <v>-157.80507293033131</v>
      </c>
      <c r="AD217">
        <f t="shared" si="111"/>
        <v>-15.771991884455518</v>
      </c>
      <c r="AE217">
        <f t="shared" si="112"/>
        <v>-0.10657490114255097</v>
      </c>
      <c r="AF217">
        <v>0</v>
      </c>
      <c r="AG217">
        <v>0</v>
      </c>
      <c r="AH217">
        <f t="shared" si="113"/>
        <v>1</v>
      </c>
      <c r="AI217">
        <f t="shared" si="114"/>
        <v>0</v>
      </c>
      <c r="AJ217">
        <f t="shared" si="115"/>
        <v>52429.419264606498</v>
      </c>
      <c r="AK217">
        <f t="shared" si="116"/>
        <v>1800</v>
      </c>
      <c r="AL217">
        <f t="shared" si="117"/>
        <v>1499.1118397999999</v>
      </c>
      <c r="AM217">
        <f t="shared" si="118"/>
        <v>0.83283991099999999</v>
      </c>
      <c r="AN217">
        <f t="shared" si="119"/>
        <v>0.15339672855999997</v>
      </c>
      <c r="AO217">
        <v>31.8</v>
      </c>
      <c r="AP217">
        <v>0.5</v>
      </c>
      <c r="AQ217" t="s">
        <v>331</v>
      </c>
      <c r="AR217">
        <v>2</v>
      </c>
      <c r="AS217">
        <v>1690387406</v>
      </c>
      <c r="AT217">
        <v>435.47300000000001</v>
      </c>
      <c r="AU217">
        <v>800.08</v>
      </c>
      <c r="AV217">
        <v>24.259399999999999</v>
      </c>
      <c r="AW217">
        <v>0.19295000000000001</v>
      </c>
      <c r="AX217">
        <v>435.50400000000002</v>
      </c>
      <c r="AY217">
        <v>23.979700000000001</v>
      </c>
      <c r="AZ217">
        <v>300.084</v>
      </c>
      <c r="BA217">
        <v>98.665999999999997</v>
      </c>
      <c r="BB217">
        <v>0.100011</v>
      </c>
      <c r="BC217">
        <v>26.438800000000001</v>
      </c>
      <c r="BD217">
        <v>26.9924</v>
      </c>
      <c r="BE217">
        <v>27.8429</v>
      </c>
      <c r="BF217">
        <v>0</v>
      </c>
      <c r="BG217">
        <v>0</v>
      </c>
      <c r="BH217">
        <v>10031.9</v>
      </c>
      <c r="BI217">
        <v>1079.2</v>
      </c>
      <c r="BJ217">
        <v>1.4619200000000001</v>
      </c>
      <c r="BK217">
        <v>-364.60700000000003</v>
      </c>
      <c r="BL217">
        <v>446.3</v>
      </c>
      <c r="BM217">
        <v>800.23400000000004</v>
      </c>
      <c r="BN217">
        <v>24.066500000000001</v>
      </c>
      <c r="BO217">
        <v>800.08</v>
      </c>
      <c r="BP217">
        <v>0.19295000000000001</v>
      </c>
      <c r="BQ217">
        <v>2.39358</v>
      </c>
      <c r="BR217">
        <v>1.9037599999999998E-2</v>
      </c>
      <c r="BS217">
        <v>20.320399999999999</v>
      </c>
      <c r="BT217">
        <v>-39.8994</v>
      </c>
      <c r="BU217">
        <v>1800</v>
      </c>
      <c r="BV217">
        <v>0.91001500000000002</v>
      </c>
      <c r="BW217">
        <v>3.4004300000000001E-2</v>
      </c>
      <c r="BX217">
        <v>2.1992299999999999E-2</v>
      </c>
      <c r="BY217">
        <v>3.3987999999999997E-2</v>
      </c>
      <c r="BZ217">
        <v>25.125</v>
      </c>
      <c r="CA217">
        <v>33528.5</v>
      </c>
      <c r="CB217">
        <v>1690384821</v>
      </c>
      <c r="CC217" t="s">
        <v>332</v>
      </c>
      <c r="CD217">
        <v>1690384820</v>
      </c>
      <c r="CE217">
        <v>1690384821</v>
      </c>
      <c r="CF217">
        <v>5</v>
      </c>
      <c r="CG217">
        <v>-2.5000000000000001E-2</v>
      </c>
      <c r="CH217">
        <v>0.104</v>
      </c>
      <c r="CI217">
        <v>-0.28799999999999998</v>
      </c>
      <c r="CJ217">
        <v>0.28000000000000003</v>
      </c>
      <c r="CK217">
        <v>800</v>
      </c>
      <c r="CL217">
        <v>24</v>
      </c>
      <c r="CM217">
        <v>0.08</v>
      </c>
      <c r="CN217">
        <v>0.11</v>
      </c>
      <c r="CO217">
        <v>-364.16297500000002</v>
      </c>
      <c r="CP217">
        <v>-1.952206378986008</v>
      </c>
      <c r="CQ217">
        <v>0.221147969411884</v>
      </c>
      <c r="CR217">
        <v>-1</v>
      </c>
      <c r="CS217">
        <v>24.051169999999999</v>
      </c>
      <c r="CT217">
        <v>8.3074671669756531E-2</v>
      </c>
      <c r="CU217">
        <v>8.8717867422517804E-3</v>
      </c>
      <c r="CV217">
        <v>-1</v>
      </c>
      <c r="CW217">
        <v>0</v>
      </c>
      <c r="CX217">
        <v>0</v>
      </c>
      <c r="CY217" t="s">
        <v>333</v>
      </c>
      <c r="CZ217">
        <v>2.36469</v>
      </c>
      <c r="DA217">
        <v>2.7138300000000002</v>
      </c>
      <c r="DB217">
        <v>9.5110399999999998E-2</v>
      </c>
      <c r="DC217">
        <v>0.14548900000000001</v>
      </c>
      <c r="DD217">
        <v>0.11408</v>
      </c>
      <c r="DE217">
        <v>1.61589E-3</v>
      </c>
      <c r="DF217">
        <v>33065.300000000003</v>
      </c>
      <c r="DG217">
        <v>27569.7</v>
      </c>
      <c r="DH217">
        <v>31193.8</v>
      </c>
      <c r="DI217">
        <v>28113</v>
      </c>
      <c r="DJ217">
        <v>37516.300000000003</v>
      </c>
      <c r="DK217">
        <v>39919.9</v>
      </c>
      <c r="DL217">
        <v>44396.1</v>
      </c>
      <c r="DM217">
        <v>42610.1</v>
      </c>
      <c r="DN217">
        <v>1.4759500000000001</v>
      </c>
      <c r="DO217">
        <v>2.0320200000000002</v>
      </c>
      <c r="DP217">
        <v>0.102576</v>
      </c>
      <c r="DQ217">
        <v>0.16812199999999999</v>
      </c>
      <c r="DR217">
        <v>25.3125</v>
      </c>
      <c r="DS217">
        <v>25.091100000000001</v>
      </c>
      <c r="DT217">
        <v>25.6</v>
      </c>
      <c r="DU217">
        <v>29.1</v>
      </c>
      <c r="DV217">
        <v>10.4953</v>
      </c>
      <c r="DW217">
        <v>60.872199999999999</v>
      </c>
      <c r="DX217">
        <v>37.019199999999998</v>
      </c>
      <c r="DY217">
        <v>1</v>
      </c>
      <c r="DZ217">
        <v>-0.11904000000000001</v>
      </c>
      <c r="EA217">
        <v>-8.0686300000000002E-2</v>
      </c>
      <c r="EB217">
        <v>20.190300000000001</v>
      </c>
      <c r="EC217">
        <v>5.2403500000000003</v>
      </c>
      <c r="ED217">
        <v>12.039899999999999</v>
      </c>
      <c r="EE217">
        <v>5.0167000000000002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</v>
      </c>
      <c r="EL217">
        <v>1.8646199999999999</v>
      </c>
      <c r="EM217">
        <v>1.8692</v>
      </c>
      <c r="EN217">
        <v>1.8672299999999999</v>
      </c>
      <c r="EO217">
        <v>1.8633999999999999</v>
      </c>
      <c r="EP217">
        <v>1.8644499999999999</v>
      </c>
      <c r="EQ217">
        <v>1.8701700000000001</v>
      </c>
      <c r="ER217">
        <v>1.8694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-3.1E-2</v>
      </c>
      <c r="FG217">
        <v>0.2797</v>
      </c>
      <c r="FH217">
        <v>0.26269369235785539</v>
      </c>
      <c r="FI217">
        <v>-6.1462078757559423E-4</v>
      </c>
      <c r="FJ217">
        <v>-1.8861989874597051E-7</v>
      </c>
      <c r="FK217">
        <v>1.1980462299894961E-10</v>
      </c>
      <c r="FL217">
        <v>0.27968571428570849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43.1</v>
      </c>
      <c r="FU217">
        <v>43.1</v>
      </c>
      <c r="FV217">
        <v>1.7651399999999999</v>
      </c>
      <c r="FW217">
        <v>2.5830099999999998</v>
      </c>
      <c r="FX217">
        <v>1.5490699999999999</v>
      </c>
      <c r="FY217">
        <v>2.3327599999999999</v>
      </c>
      <c r="FZ217">
        <v>1.50146</v>
      </c>
      <c r="GA217">
        <v>2.3168899999999999</v>
      </c>
      <c r="GB217">
        <v>33.512999999999998</v>
      </c>
      <c r="GC217">
        <v>23.991199999999999</v>
      </c>
      <c r="GD217">
        <v>19</v>
      </c>
      <c r="GE217">
        <v>281.44</v>
      </c>
      <c r="GF217">
        <v>576.09900000000005</v>
      </c>
      <c r="GG217">
        <v>24.904900000000001</v>
      </c>
      <c r="GH217">
        <v>25.924800000000001</v>
      </c>
      <c r="GI217">
        <v>30</v>
      </c>
      <c r="GJ217">
        <v>26.049199999999999</v>
      </c>
      <c r="GK217">
        <v>26.028500000000001</v>
      </c>
      <c r="GL217">
        <v>35.291600000000003</v>
      </c>
      <c r="GM217">
        <v>100</v>
      </c>
      <c r="GN217">
        <v>15.1158</v>
      </c>
      <c r="GO217">
        <v>24.904499999999999</v>
      </c>
      <c r="GP217">
        <v>800</v>
      </c>
      <c r="GQ217">
        <v>0</v>
      </c>
      <c r="GR217">
        <v>99.8125</v>
      </c>
      <c r="GS217">
        <v>99.679400000000001</v>
      </c>
    </row>
    <row r="218" spans="1:201" x14ac:dyDescent="0.25">
      <c r="A218">
        <v>202</v>
      </c>
      <c r="B218">
        <v>1690387416</v>
      </c>
      <c r="C218">
        <v>2081.400000095367</v>
      </c>
      <c r="D218" t="s">
        <v>737</v>
      </c>
      <c r="E218" t="s">
        <v>738</v>
      </c>
      <c r="F218" t="s">
        <v>330</v>
      </c>
      <c r="H218">
        <v>1690387416</v>
      </c>
      <c r="I218">
        <f t="shared" si="90"/>
        <v>2.3300477975607566E-3</v>
      </c>
      <c r="J218">
        <f t="shared" si="91"/>
        <v>2.3300477975607565</v>
      </c>
      <c r="K218">
        <f t="shared" si="92"/>
        <v>33.438619092775625</v>
      </c>
      <c r="L218">
        <f t="shared" si="93"/>
        <v>435.07900000000001</v>
      </c>
      <c r="M218">
        <f t="shared" si="94"/>
        <v>106.41088898543872</v>
      </c>
      <c r="N218">
        <f t="shared" si="95"/>
        <v>10.50987426980126</v>
      </c>
      <c r="O218">
        <f t="shared" si="96"/>
        <v>42.971406695573997</v>
      </c>
      <c r="P218">
        <f t="shared" si="97"/>
        <v>0.17212379914898709</v>
      </c>
      <c r="Q218">
        <f t="shared" si="98"/>
        <v>2.1597865621049239</v>
      </c>
      <c r="R218">
        <f t="shared" si="99"/>
        <v>0.16485004752402202</v>
      </c>
      <c r="S218">
        <f t="shared" si="100"/>
        <v>0.1036591826606573</v>
      </c>
      <c r="T218">
        <f t="shared" si="101"/>
        <v>276.114177864</v>
      </c>
      <c r="U218">
        <f t="shared" si="102"/>
        <v>27.7964780705944</v>
      </c>
      <c r="V218">
        <f t="shared" si="103"/>
        <v>27.7964780705944</v>
      </c>
      <c r="W218">
        <f t="shared" si="104"/>
        <v>3.75004766590189</v>
      </c>
      <c r="X218">
        <f t="shared" si="105"/>
        <v>69.220206075637819</v>
      </c>
      <c r="Y218">
        <f t="shared" si="106"/>
        <v>2.3974876296251999</v>
      </c>
      <c r="Z218">
        <f t="shared" si="107"/>
        <v>3.4635661543761285</v>
      </c>
      <c r="AA218">
        <f t="shared" si="108"/>
        <v>1.3525600362766901</v>
      </c>
      <c r="AB218">
        <f t="shared" si="109"/>
        <v>-102.75510787242936</v>
      </c>
      <c r="AC218">
        <f t="shared" si="110"/>
        <v>-157.68998948516753</v>
      </c>
      <c r="AD218">
        <f t="shared" si="111"/>
        <v>-15.775700478646451</v>
      </c>
      <c r="AE218">
        <f t="shared" si="112"/>
        <v>-0.10661997224335096</v>
      </c>
      <c r="AF218">
        <v>0</v>
      </c>
      <c r="AG218">
        <v>0</v>
      </c>
      <c r="AH218">
        <f t="shared" si="113"/>
        <v>1</v>
      </c>
      <c r="AI218">
        <f t="shared" si="114"/>
        <v>0</v>
      </c>
      <c r="AJ218">
        <f t="shared" si="115"/>
        <v>52344.635295508975</v>
      </c>
      <c r="AK218">
        <f t="shared" si="116"/>
        <v>1800</v>
      </c>
      <c r="AL218">
        <f t="shared" si="117"/>
        <v>1499.1127973999996</v>
      </c>
      <c r="AM218">
        <f t="shared" si="118"/>
        <v>0.83284044299999982</v>
      </c>
      <c r="AN218">
        <f t="shared" si="119"/>
        <v>0.15339676548</v>
      </c>
      <c r="AO218">
        <v>31.8</v>
      </c>
      <c r="AP218">
        <v>0.5</v>
      </c>
      <c r="AQ218" t="s">
        <v>331</v>
      </c>
      <c r="AR218">
        <v>2</v>
      </c>
      <c r="AS218">
        <v>1690387416</v>
      </c>
      <c r="AT218">
        <v>435.07900000000001</v>
      </c>
      <c r="AU218">
        <v>800.02599999999995</v>
      </c>
      <c r="AV218">
        <v>24.2742</v>
      </c>
      <c r="AW218">
        <v>0.191606</v>
      </c>
      <c r="AX218">
        <v>435.10899999999998</v>
      </c>
      <c r="AY218">
        <v>23.994499999999999</v>
      </c>
      <c r="AZ218">
        <v>300.20400000000001</v>
      </c>
      <c r="BA218">
        <v>98.666899999999998</v>
      </c>
      <c r="BB218">
        <v>0.100006</v>
      </c>
      <c r="BC218">
        <v>26.4422</v>
      </c>
      <c r="BD218">
        <v>26.995699999999999</v>
      </c>
      <c r="BE218">
        <v>27.822600000000001</v>
      </c>
      <c r="BF218">
        <v>0</v>
      </c>
      <c r="BG218">
        <v>0</v>
      </c>
      <c r="BH218">
        <v>10015</v>
      </c>
      <c r="BI218">
        <v>1079.19</v>
      </c>
      <c r="BJ218">
        <v>1.5137799999999999</v>
      </c>
      <c r="BK218">
        <v>-364.947</v>
      </c>
      <c r="BL218">
        <v>445.90199999999999</v>
      </c>
      <c r="BM218">
        <v>800.17899999999997</v>
      </c>
      <c r="BN218">
        <v>24.082599999999999</v>
      </c>
      <c r="BO218">
        <v>800.02599999999995</v>
      </c>
      <c r="BP218">
        <v>0.191606</v>
      </c>
      <c r="BQ218">
        <v>2.39506</v>
      </c>
      <c r="BR218">
        <v>1.89052E-2</v>
      </c>
      <c r="BS218">
        <v>20.330400000000001</v>
      </c>
      <c r="BT218">
        <v>-39.966299999999997</v>
      </c>
      <c r="BU218">
        <v>1800</v>
      </c>
      <c r="BV218">
        <v>0.91001699999999996</v>
      </c>
      <c r="BW218">
        <v>3.4003800000000001E-2</v>
      </c>
      <c r="BX218">
        <v>2.1991900000000002E-2</v>
      </c>
      <c r="BY218">
        <v>3.3987400000000001E-2</v>
      </c>
      <c r="BZ218">
        <v>25</v>
      </c>
      <c r="CA218">
        <v>33528.6</v>
      </c>
      <c r="CB218">
        <v>1690384821</v>
      </c>
      <c r="CC218" t="s">
        <v>332</v>
      </c>
      <c r="CD218">
        <v>1690384820</v>
      </c>
      <c r="CE218">
        <v>1690384821</v>
      </c>
      <c r="CF218">
        <v>5</v>
      </c>
      <c r="CG218">
        <v>-2.5000000000000001E-2</v>
      </c>
      <c r="CH218">
        <v>0.104</v>
      </c>
      <c r="CI218">
        <v>-0.28799999999999998</v>
      </c>
      <c r="CJ218">
        <v>0.28000000000000003</v>
      </c>
      <c r="CK218">
        <v>800</v>
      </c>
      <c r="CL218">
        <v>24</v>
      </c>
      <c r="CM218">
        <v>0.08</v>
      </c>
      <c r="CN218">
        <v>0.11</v>
      </c>
      <c r="CO218">
        <v>-364.50080000000003</v>
      </c>
      <c r="CP218">
        <v>-1.733515947466779</v>
      </c>
      <c r="CQ218">
        <v>0.19348762234313571</v>
      </c>
      <c r="CR218">
        <v>-1</v>
      </c>
      <c r="CS218">
        <v>24.065742499999999</v>
      </c>
      <c r="CT218">
        <v>7.0058161350800854E-2</v>
      </c>
      <c r="CU218">
        <v>7.5269146235362851E-3</v>
      </c>
      <c r="CV218">
        <v>-1</v>
      </c>
      <c r="CW218">
        <v>0</v>
      </c>
      <c r="CX218">
        <v>0</v>
      </c>
      <c r="CY218" t="s">
        <v>333</v>
      </c>
      <c r="CZ218">
        <v>2.3651</v>
      </c>
      <c r="DA218">
        <v>2.7138100000000001</v>
      </c>
      <c r="DB218">
        <v>9.5047000000000006E-2</v>
      </c>
      <c r="DC218">
        <v>0.145484</v>
      </c>
      <c r="DD218">
        <v>0.114131</v>
      </c>
      <c r="DE218">
        <v>1.60479E-3</v>
      </c>
      <c r="DF218">
        <v>33067.9</v>
      </c>
      <c r="DG218">
        <v>27570</v>
      </c>
      <c r="DH218">
        <v>31194.1</v>
      </c>
      <c r="DI218">
        <v>28113.1</v>
      </c>
      <c r="DJ218">
        <v>37514.400000000001</v>
      </c>
      <c r="DK218">
        <v>39920.6</v>
      </c>
      <c r="DL218">
        <v>44396.4</v>
      </c>
      <c r="DM218">
        <v>42610.400000000001</v>
      </c>
      <c r="DN218">
        <v>1.4763500000000001</v>
      </c>
      <c r="DO218">
        <v>2.0321199999999999</v>
      </c>
      <c r="DP218">
        <v>0.10252</v>
      </c>
      <c r="DQ218">
        <v>0.16687399999999999</v>
      </c>
      <c r="DR218">
        <v>25.316800000000001</v>
      </c>
      <c r="DS218">
        <v>25.091100000000001</v>
      </c>
      <c r="DT218">
        <v>25.4</v>
      </c>
      <c r="DU218">
        <v>29.1</v>
      </c>
      <c r="DV218">
        <v>10.4129</v>
      </c>
      <c r="DW218">
        <v>60.382199999999997</v>
      </c>
      <c r="DX218">
        <v>37.107399999999998</v>
      </c>
      <c r="DY218">
        <v>1</v>
      </c>
      <c r="DZ218">
        <v>-0.119088</v>
      </c>
      <c r="EA218">
        <v>-0.27654699999999999</v>
      </c>
      <c r="EB218">
        <v>20.190000000000001</v>
      </c>
      <c r="EC218">
        <v>5.2401999999999997</v>
      </c>
      <c r="ED218">
        <v>12.039899999999999</v>
      </c>
      <c r="EE218">
        <v>5.0164999999999997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</v>
      </c>
      <c r="EL218">
        <v>1.8646199999999999</v>
      </c>
      <c r="EM218">
        <v>1.8692</v>
      </c>
      <c r="EN218">
        <v>1.86724</v>
      </c>
      <c r="EO218">
        <v>1.86338</v>
      </c>
      <c r="EP218">
        <v>1.8644499999999999</v>
      </c>
      <c r="EQ218">
        <v>1.87016</v>
      </c>
      <c r="ER218">
        <v>1.8694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-0.03</v>
      </c>
      <c r="FG218">
        <v>0.2797</v>
      </c>
      <c r="FH218">
        <v>0.26269369235785539</v>
      </c>
      <c r="FI218">
        <v>-6.1462078757559423E-4</v>
      </c>
      <c r="FJ218">
        <v>-1.8861989874597051E-7</v>
      </c>
      <c r="FK218">
        <v>1.1980462299894961E-10</v>
      </c>
      <c r="FL218">
        <v>0.27968571428570849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43.3</v>
      </c>
      <c r="FU218">
        <v>43.2</v>
      </c>
      <c r="FV218">
        <v>1.7651399999999999</v>
      </c>
      <c r="FW218">
        <v>2.5830099999999998</v>
      </c>
      <c r="FX218">
        <v>1.5490699999999999</v>
      </c>
      <c r="FY218">
        <v>2.3327599999999999</v>
      </c>
      <c r="FZ218">
        <v>1.50146</v>
      </c>
      <c r="GA218">
        <v>2.34863</v>
      </c>
      <c r="GB218">
        <v>33.512999999999998</v>
      </c>
      <c r="GC218">
        <v>23.982399999999998</v>
      </c>
      <c r="GD218">
        <v>19</v>
      </c>
      <c r="GE218">
        <v>281.60000000000002</v>
      </c>
      <c r="GF218">
        <v>576.16700000000003</v>
      </c>
      <c r="GG218">
        <v>24.958600000000001</v>
      </c>
      <c r="GH218">
        <v>25.923200000000001</v>
      </c>
      <c r="GI218">
        <v>30.0001</v>
      </c>
      <c r="GJ218">
        <v>26.047000000000001</v>
      </c>
      <c r="GK218">
        <v>26.0273</v>
      </c>
      <c r="GL218">
        <v>35.293700000000001</v>
      </c>
      <c r="GM218">
        <v>100</v>
      </c>
      <c r="GN218">
        <v>14.3317</v>
      </c>
      <c r="GO218">
        <v>24.965499999999999</v>
      </c>
      <c r="GP218">
        <v>800</v>
      </c>
      <c r="GQ218">
        <v>0</v>
      </c>
      <c r="GR218">
        <v>99.813400000000001</v>
      </c>
      <c r="GS218">
        <v>99.679900000000004</v>
      </c>
    </row>
    <row r="219" spans="1:201" x14ac:dyDescent="0.25">
      <c r="A219">
        <v>203</v>
      </c>
      <c r="B219">
        <v>1690387426</v>
      </c>
      <c r="C219">
        <v>2091.400000095367</v>
      </c>
      <c r="D219" t="s">
        <v>739</v>
      </c>
      <c r="E219" t="s">
        <v>740</v>
      </c>
      <c r="F219" t="s">
        <v>330</v>
      </c>
      <c r="H219">
        <v>1690387426</v>
      </c>
      <c r="I219">
        <f t="shared" si="90"/>
        <v>2.3316695370064816E-3</v>
      </c>
      <c r="J219">
        <f t="shared" si="91"/>
        <v>2.3316695370064817</v>
      </c>
      <c r="K219">
        <f t="shared" si="92"/>
        <v>33.457506817665454</v>
      </c>
      <c r="L219">
        <f t="shared" si="93"/>
        <v>434.779</v>
      </c>
      <c r="M219">
        <f t="shared" si="94"/>
        <v>106.4501462831748</v>
      </c>
      <c r="N219">
        <f t="shared" si="95"/>
        <v>10.513885814626022</v>
      </c>
      <c r="O219">
        <f t="shared" si="96"/>
        <v>42.9423248366151</v>
      </c>
      <c r="P219">
        <f t="shared" si="97"/>
        <v>0.172411977950646</v>
      </c>
      <c r="Q219">
        <f t="shared" si="98"/>
        <v>2.158534451359658</v>
      </c>
      <c r="R219">
        <f t="shared" si="99"/>
        <v>0.16511036444710139</v>
      </c>
      <c r="S219">
        <f t="shared" si="100"/>
        <v>0.10382423045746113</v>
      </c>
      <c r="T219">
        <f t="shared" si="101"/>
        <v>276.11399350800002</v>
      </c>
      <c r="U219">
        <f t="shared" si="102"/>
        <v>27.800227753967601</v>
      </c>
      <c r="V219">
        <f t="shared" si="103"/>
        <v>27.800227753967601</v>
      </c>
      <c r="W219">
        <f t="shared" si="104"/>
        <v>3.7508687229275579</v>
      </c>
      <c r="X219">
        <f t="shared" si="105"/>
        <v>69.263700150781091</v>
      </c>
      <c r="Y219">
        <f t="shared" si="106"/>
        <v>2.3995034771186696</v>
      </c>
      <c r="Z219">
        <f t="shared" si="107"/>
        <v>3.4643016066065742</v>
      </c>
      <c r="AA219">
        <f t="shared" si="108"/>
        <v>1.3513652458088883</v>
      </c>
      <c r="AB219">
        <f t="shared" si="109"/>
        <v>-102.82662658198583</v>
      </c>
      <c r="AC219">
        <f t="shared" si="110"/>
        <v>-157.61598936684877</v>
      </c>
      <c r="AD219">
        <f t="shared" si="111"/>
        <v>-15.778023697215652</v>
      </c>
      <c r="AE219">
        <f t="shared" si="112"/>
        <v>-0.10664613805022327</v>
      </c>
      <c r="AF219">
        <v>0</v>
      </c>
      <c r="AG219">
        <v>0</v>
      </c>
      <c r="AH219">
        <f t="shared" si="113"/>
        <v>1</v>
      </c>
      <c r="AI219">
        <f t="shared" si="114"/>
        <v>0</v>
      </c>
      <c r="AJ219">
        <f t="shared" si="115"/>
        <v>52291.569604724595</v>
      </c>
      <c r="AK219">
        <f t="shared" si="116"/>
        <v>1800</v>
      </c>
      <c r="AL219">
        <f t="shared" si="117"/>
        <v>1499.1119927999998</v>
      </c>
      <c r="AM219">
        <f t="shared" si="118"/>
        <v>0.83283999599999992</v>
      </c>
      <c r="AN219">
        <f t="shared" si="119"/>
        <v>0.15339666306000002</v>
      </c>
      <c r="AO219">
        <v>31.8</v>
      </c>
      <c r="AP219">
        <v>0.5</v>
      </c>
      <c r="AQ219" t="s">
        <v>331</v>
      </c>
      <c r="AR219">
        <v>2</v>
      </c>
      <c r="AS219">
        <v>1690387426</v>
      </c>
      <c r="AT219">
        <v>434.779</v>
      </c>
      <c r="AU219">
        <v>800.00400000000002</v>
      </c>
      <c r="AV219">
        <v>24.2943</v>
      </c>
      <c r="AW219">
        <v>0.190302</v>
      </c>
      <c r="AX219">
        <v>434.80900000000003</v>
      </c>
      <c r="AY219">
        <v>24.014600000000002</v>
      </c>
      <c r="AZ219">
        <v>300.14</v>
      </c>
      <c r="BA219">
        <v>98.668199999999999</v>
      </c>
      <c r="BB219">
        <v>9.9966899999999997E-2</v>
      </c>
      <c r="BC219">
        <v>26.445799999999998</v>
      </c>
      <c r="BD219">
        <v>26.997399999999999</v>
      </c>
      <c r="BE219">
        <v>27.811499999999999</v>
      </c>
      <c r="BF219">
        <v>0</v>
      </c>
      <c r="BG219">
        <v>0</v>
      </c>
      <c r="BH219">
        <v>10004.4</v>
      </c>
      <c r="BI219">
        <v>1079.23</v>
      </c>
      <c r="BJ219">
        <v>1.5137799999999999</v>
      </c>
      <c r="BK219">
        <v>-365.22500000000002</v>
      </c>
      <c r="BL219">
        <v>445.60399999999998</v>
      </c>
      <c r="BM219">
        <v>800.15599999999995</v>
      </c>
      <c r="BN219">
        <v>24.103999999999999</v>
      </c>
      <c r="BO219">
        <v>800.00400000000002</v>
      </c>
      <c r="BP219">
        <v>0.190302</v>
      </c>
      <c r="BQ219">
        <v>2.3970699999999998</v>
      </c>
      <c r="BR219">
        <v>1.87768E-2</v>
      </c>
      <c r="BS219">
        <v>20.344000000000001</v>
      </c>
      <c r="BT219">
        <v>-40.031599999999997</v>
      </c>
      <c r="BU219">
        <v>1800</v>
      </c>
      <c r="BV219">
        <v>0.91001699999999996</v>
      </c>
      <c r="BW219">
        <v>3.4003499999999999E-2</v>
      </c>
      <c r="BX219">
        <v>2.1991799999999999E-2</v>
      </c>
      <c r="BY219">
        <v>3.3987200000000002E-2</v>
      </c>
      <c r="BZ219">
        <v>25</v>
      </c>
      <c r="CA219">
        <v>33528.5</v>
      </c>
      <c r="CB219">
        <v>1690384821</v>
      </c>
      <c r="CC219" t="s">
        <v>332</v>
      </c>
      <c r="CD219">
        <v>1690384820</v>
      </c>
      <c r="CE219">
        <v>1690384821</v>
      </c>
      <c r="CF219">
        <v>5</v>
      </c>
      <c r="CG219">
        <v>-2.5000000000000001E-2</v>
      </c>
      <c r="CH219">
        <v>0.104</v>
      </c>
      <c r="CI219">
        <v>-0.28799999999999998</v>
      </c>
      <c r="CJ219">
        <v>0.28000000000000003</v>
      </c>
      <c r="CK219">
        <v>800</v>
      </c>
      <c r="CL219">
        <v>24</v>
      </c>
      <c r="CM219">
        <v>0.08</v>
      </c>
      <c r="CN219">
        <v>0.11</v>
      </c>
      <c r="CO219">
        <v>-364.87585000000001</v>
      </c>
      <c r="CP219">
        <v>-2.2944765478417288</v>
      </c>
      <c r="CQ219">
        <v>0.22724277216228519</v>
      </c>
      <c r="CR219">
        <v>-1</v>
      </c>
      <c r="CS219">
        <v>24.0819425</v>
      </c>
      <c r="CT219">
        <v>0.1153924953095658</v>
      </c>
      <c r="CU219">
        <v>1.1224947382950099E-2</v>
      </c>
      <c r="CV219">
        <v>-1</v>
      </c>
      <c r="CW219">
        <v>0</v>
      </c>
      <c r="CX219">
        <v>0</v>
      </c>
      <c r="CY219" t="s">
        <v>333</v>
      </c>
      <c r="CZ219">
        <v>2.3648799999999999</v>
      </c>
      <c r="DA219">
        <v>2.7137600000000002</v>
      </c>
      <c r="DB219">
        <v>9.4999200000000006E-2</v>
      </c>
      <c r="DC219">
        <v>0.145483</v>
      </c>
      <c r="DD219">
        <v>0.11419899999999999</v>
      </c>
      <c r="DE219">
        <v>1.59402E-3</v>
      </c>
      <c r="DF219">
        <v>33069.9</v>
      </c>
      <c r="DG219">
        <v>27569.8</v>
      </c>
      <c r="DH219">
        <v>31194.2</v>
      </c>
      <c r="DI219">
        <v>28112.9</v>
      </c>
      <c r="DJ219">
        <v>37511.5</v>
      </c>
      <c r="DK219">
        <v>39920.5</v>
      </c>
      <c r="DL219">
        <v>44396.5</v>
      </c>
      <c r="DM219">
        <v>42609.8</v>
      </c>
      <c r="DN219">
        <v>1.4760200000000001</v>
      </c>
      <c r="DO219">
        <v>2.0319799999999999</v>
      </c>
      <c r="DP219">
        <v>0.10253900000000001</v>
      </c>
      <c r="DQ219">
        <v>0.166241</v>
      </c>
      <c r="DR219">
        <v>25.318200000000001</v>
      </c>
      <c r="DS219">
        <v>25.090399999999999</v>
      </c>
      <c r="DT219">
        <v>25.2</v>
      </c>
      <c r="DU219">
        <v>29.1</v>
      </c>
      <c r="DV219">
        <v>10.331</v>
      </c>
      <c r="DW219">
        <v>61.182200000000002</v>
      </c>
      <c r="DX219">
        <v>36.971200000000003</v>
      </c>
      <c r="DY219">
        <v>1</v>
      </c>
      <c r="DZ219">
        <v>-0.11874</v>
      </c>
      <c r="EA219">
        <v>-0.21752199999999999</v>
      </c>
      <c r="EB219">
        <v>20.190300000000001</v>
      </c>
      <c r="EC219">
        <v>5.2400500000000001</v>
      </c>
      <c r="ED219">
        <v>12.039899999999999</v>
      </c>
      <c r="EE219">
        <v>5.0165499999999996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</v>
      </c>
      <c r="EL219">
        <v>1.8646100000000001</v>
      </c>
      <c r="EM219">
        <v>1.8692</v>
      </c>
      <c r="EN219">
        <v>1.8672299999999999</v>
      </c>
      <c r="EO219">
        <v>1.86337</v>
      </c>
      <c r="EP219">
        <v>1.86446</v>
      </c>
      <c r="EQ219">
        <v>1.8701300000000001</v>
      </c>
      <c r="ER219">
        <v>1.86937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-0.03</v>
      </c>
      <c r="FG219">
        <v>0.2797</v>
      </c>
      <c r="FH219">
        <v>0.26269369235785539</v>
      </c>
      <c r="FI219">
        <v>-6.1462078757559423E-4</v>
      </c>
      <c r="FJ219">
        <v>-1.8861989874597051E-7</v>
      </c>
      <c r="FK219">
        <v>1.1980462299894961E-10</v>
      </c>
      <c r="FL219">
        <v>0.27968571428570849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43.4</v>
      </c>
      <c r="FU219">
        <v>43.4</v>
      </c>
      <c r="FV219">
        <v>1.7651399999999999</v>
      </c>
      <c r="FW219">
        <v>2.5793499999999998</v>
      </c>
      <c r="FX219">
        <v>1.5490699999999999</v>
      </c>
      <c r="FY219">
        <v>2.3327599999999999</v>
      </c>
      <c r="FZ219">
        <v>1.50146</v>
      </c>
      <c r="GA219">
        <v>2.3278799999999999</v>
      </c>
      <c r="GB219">
        <v>33.512999999999998</v>
      </c>
      <c r="GC219">
        <v>23.991199999999999</v>
      </c>
      <c r="GD219">
        <v>19</v>
      </c>
      <c r="GE219">
        <v>281.46199999999999</v>
      </c>
      <c r="GF219">
        <v>576.03300000000002</v>
      </c>
      <c r="GG219">
        <v>24.981200000000001</v>
      </c>
      <c r="GH219">
        <v>25.923200000000001</v>
      </c>
      <c r="GI219">
        <v>30.0001</v>
      </c>
      <c r="GJ219">
        <v>26.047000000000001</v>
      </c>
      <c r="GK219">
        <v>26.026299999999999</v>
      </c>
      <c r="GL219">
        <v>35.2913</v>
      </c>
      <c r="GM219">
        <v>100</v>
      </c>
      <c r="GN219">
        <v>13.936500000000001</v>
      </c>
      <c r="GO219">
        <v>24.978100000000001</v>
      </c>
      <c r="GP219">
        <v>800</v>
      </c>
      <c r="GQ219">
        <v>0</v>
      </c>
      <c r="GR219">
        <v>99.813699999999997</v>
      </c>
      <c r="GS219">
        <v>99.678799999999995</v>
      </c>
    </row>
    <row r="220" spans="1:201" x14ac:dyDescent="0.25">
      <c r="A220">
        <v>204</v>
      </c>
      <c r="B220">
        <v>1690387436</v>
      </c>
      <c r="C220">
        <v>2101.400000095367</v>
      </c>
      <c r="D220" t="s">
        <v>741</v>
      </c>
      <c r="E220" t="s">
        <v>742</v>
      </c>
      <c r="F220" t="s">
        <v>330</v>
      </c>
      <c r="H220">
        <v>1690387436</v>
      </c>
      <c r="I220">
        <f t="shared" si="90"/>
        <v>2.3339543797061828E-3</v>
      </c>
      <c r="J220">
        <f t="shared" si="91"/>
        <v>2.3339543797061828</v>
      </c>
      <c r="K220">
        <f t="shared" si="92"/>
        <v>33.503918729107532</v>
      </c>
      <c r="L220">
        <f t="shared" si="93"/>
        <v>434.44200000000001</v>
      </c>
      <c r="M220">
        <f t="shared" si="94"/>
        <v>106.58872618302378</v>
      </c>
      <c r="N220">
        <f t="shared" si="95"/>
        <v>10.527426463192684</v>
      </c>
      <c r="O220">
        <f t="shared" si="96"/>
        <v>42.908442302510402</v>
      </c>
      <c r="P220">
        <f t="shared" si="97"/>
        <v>0.17290903629502441</v>
      </c>
      <c r="Q220">
        <f t="shared" si="98"/>
        <v>2.1613506143084016</v>
      </c>
      <c r="R220">
        <f t="shared" si="99"/>
        <v>0.16557535645994095</v>
      </c>
      <c r="S220">
        <f t="shared" si="100"/>
        <v>0.10411757933101734</v>
      </c>
      <c r="T220">
        <f t="shared" si="101"/>
        <v>276.11264278035139</v>
      </c>
      <c r="U220">
        <f t="shared" si="102"/>
        <v>27.79592754501785</v>
      </c>
      <c r="V220">
        <f t="shared" si="103"/>
        <v>27.79592754501785</v>
      </c>
      <c r="W220">
        <f t="shared" si="104"/>
        <v>3.7499271321556451</v>
      </c>
      <c r="X220">
        <f t="shared" si="105"/>
        <v>69.316403147734718</v>
      </c>
      <c r="Y220">
        <f t="shared" si="106"/>
        <v>2.4010602007884798</v>
      </c>
      <c r="Z220">
        <f t="shared" si="107"/>
        <v>3.4639134342719387</v>
      </c>
      <c r="AA220">
        <f t="shared" si="108"/>
        <v>1.3488669313671653</v>
      </c>
      <c r="AB220">
        <f t="shared" si="109"/>
        <v>-102.92738814504266</v>
      </c>
      <c r="AC220">
        <f t="shared" si="110"/>
        <v>-157.54194641953669</v>
      </c>
      <c r="AD220">
        <f t="shared" si="111"/>
        <v>-15.749574795204774</v>
      </c>
      <c r="AE220">
        <f t="shared" si="112"/>
        <v>-0.10626657943268469</v>
      </c>
      <c r="AF220">
        <v>0</v>
      </c>
      <c r="AG220">
        <v>0</v>
      </c>
      <c r="AH220">
        <f t="shared" si="113"/>
        <v>1</v>
      </c>
      <c r="AI220">
        <f t="shared" si="114"/>
        <v>0</v>
      </c>
      <c r="AJ220">
        <f t="shared" si="115"/>
        <v>52409.9176460546</v>
      </c>
      <c r="AK220">
        <f t="shared" si="116"/>
        <v>1799.99</v>
      </c>
      <c r="AL220">
        <f t="shared" si="117"/>
        <v>1499.1054553900899</v>
      </c>
      <c r="AM220">
        <f t="shared" si="118"/>
        <v>0.83284099099999997</v>
      </c>
      <c r="AN220">
        <f t="shared" si="119"/>
        <v>0.15339676486000001</v>
      </c>
      <c r="AO220">
        <v>31.8</v>
      </c>
      <c r="AP220">
        <v>0.5</v>
      </c>
      <c r="AQ220" t="s">
        <v>331</v>
      </c>
      <c r="AR220">
        <v>2</v>
      </c>
      <c r="AS220">
        <v>1690387436</v>
      </c>
      <c r="AT220">
        <v>434.44200000000001</v>
      </c>
      <c r="AU220">
        <v>800.072</v>
      </c>
      <c r="AV220">
        <v>24.310400000000001</v>
      </c>
      <c r="AW220">
        <v>0.18904699999999999</v>
      </c>
      <c r="AX220">
        <v>434.47300000000001</v>
      </c>
      <c r="AY220">
        <v>24.0307</v>
      </c>
      <c r="AZ220">
        <v>300.21300000000002</v>
      </c>
      <c r="BA220">
        <v>98.666799999999995</v>
      </c>
      <c r="BB220">
        <v>9.9991200000000002E-2</v>
      </c>
      <c r="BC220">
        <v>26.443899999999999</v>
      </c>
      <c r="BD220">
        <v>27.0136</v>
      </c>
      <c r="BE220">
        <v>27.815999999999999</v>
      </c>
      <c r="BF220">
        <v>0</v>
      </c>
      <c r="BG220">
        <v>0</v>
      </c>
      <c r="BH220">
        <v>10028.1</v>
      </c>
      <c r="BI220">
        <v>1079.32</v>
      </c>
      <c r="BJ220">
        <v>1.5137799999999999</v>
      </c>
      <c r="BK220">
        <v>-365.62900000000002</v>
      </c>
      <c r="BL220">
        <v>445.267</v>
      </c>
      <c r="BM220">
        <v>800.22299999999996</v>
      </c>
      <c r="BN220">
        <v>24.121400000000001</v>
      </c>
      <c r="BO220">
        <v>800.072</v>
      </c>
      <c r="BP220">
        <v>0.18904699999999999</v>
      </c>
      <c r="BQ220">
        <v>2.3986299999999998</v>
      </c>
      <c r="BR220">
        <v>1.8652599999999998E-2</v>
      </c>
      <c r="BS220">
        <v>20.354500000000002</v>
      </c>
      <c r="BT220">
        <v>-40.095100000000002</v>
      </c>
      <c r="BU220">
        <v>1799.99</v>
      </c>
      <c r="BV220">
        <v>0.91002000000000005</v>
      </c>
      <c r="BW220">
        <v>3.40028E-2</v>
      </c>
      <c r="BX220">
        <v>2.1991299999999998E-2</v>
      </c>
      <c r="BY220">
        <v>3.39864E-2</v>
      </c>
      <c r="BZ220">
        <v>25</v>
      </c>
      <c r="CA220">
        <v>33528.400000000001</v>
      </c>
      <c r="CB220">
        <v>1690384821</v>
      </c>
      <c r="CC220" t="s">
        <v>332</v>
      </c>
      <c r="CD220">
        <v>1690384820</v>
      </c>
      <c r="CE220">
        <v>1690384821</v>
      </c>
      <c r="CF220">
        <v>5</v>
      </c>
      <c r="CG220">
        <v>-2.5000000000000001E-2</v>
      </c>
      <c r="CH220">
        <v>0.104</v>
      </c>
      <c r="CI220">
        <v>-0.28799999999999998</v>
      </c>
      <c r="CJ220">
        <v>0.28000000000000003</v>
      </c>
      <c r="CK220">
        <v>800</v>
      </c>
      <c r="CL220">
        <v>24</v>
      </c>
      <c r="CM220">
        <v>0.08</v>
      </c>
      <c r="CN220">
        <v>0.11</v>
      </c>
      <c r="CO220">
        <v>-365.24824999999998</v>
      </c>
      <c r="CP220">
        <v>-2.042814258911418</v>
      </c>
      <c r="CQ220">
        <v>0.19949971804491401</v>
      </c>
      <c r="CR220">
        <v>-1</v>
      </c>
      <c r="CS220">
        <v>24.101622500000001</v>
      </c>
      <c r="CT220">
        <v>0.1232228893058132</v>
      </c>
      <c r="CU220">
        <v>1.194050852141563E-2</v>
      </c>
      <c r="CV220">
        <v>-1</v>
      </c>
      <c r="CW220">
        <v>0</v>
      </c>
      <c r="CX220">
        <v>0</v>
      </c>
      <c r="CY220" t="s">
        <v>333</v>
      </c>
      <c r="CZ220">
        <v>2.36511</v>
      </c>
      <c r="DA220">
        <v>2.7138100000000001</v>
      </c>
      <c r="DB220">
        <v>9.4942700000000005E-2</v>
      </c>
      <c r="DC220">
        <v>0.14549000000000001</v>
      </c>
      <c r="DD220">
        <v>0.11425100000000001</v>
      </c>
      <c r="DE220">
        <v>1.5835999999999999E-3</v>
      </c>
      <c r="DF220">
        <v>33071.5</v>
      </c>
      <c r="DG220">
        <v>27569.7</v>
      </c>
      <c r="DH220">
        <v>31193.8</v>
      </c>
      <c r="DI220">
        <v>28112.9</v>
      </c>
      <c r="DJ220">
        <v>37509.1</v>
      </c>
      <c r="DK220">
        <v>39921</v>
      </c>
      <c r="DL220">
        <v>44396.2</v>
      </c>
      <c r="DM220">
        <v>42610</v>
      </c>
      <c r="DN220">
        <v>1.47655</v>
      </c>
      <c r="DO220">
        <v>2.0318299999999998</v>
      </c>
      <c r="DP220">
        <v>0.103395</v>
      </c>
      <c r="DQ220">
        <v>0.16661400000000001</v>
      </c>
      <c r="DR220">
        <v>25.320399999999999</v>
      </c>
      <c r="DS220">
        <v>25.088799999999999</v>
      </c>
      <c r="DT220">
        <v>25</v>
      </c>
      <c r="DU220">
        <v>29.1</v>
      </c>
      <c r="DV220">
        <v>10.249599999999999</v>
      </c>
      <c r="DW220">
        <v>60.872199999999999</v>
      </c>
      <c r="DX220">
        <v>37.127400000000002</v>
      </c>
      <c r="DY220">
        <v>1</v>
      </c>
      <c r="DZ220">
        <v>-0.11879099999999999</v>
      </c>
      <c r="EA220">
        <v>-0.182508</v>
      </c>
      <c r="EB220">
        <v>20.190300000000001</v>
      </c>
      <c r="EC220">
        <v>5.2409499999999998</v>
      </c>
      <c r="ED220">
        <v>12.039899999999999</v>
      </c>
      <c r="EE220">
        <v>5.0166000000000004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</v>
      </c>
      <c r="EL220">
        <v>1.8646100000000001</v>
      </c>
      <c r="EM220">
        <v>1.8692</v>
      </c>
      <c r="EN220">
        <v>1.8672200000000001</v>
      </c>
      <c r="EO220">
        <v>1.86338</v>
      </c>
      <c r="EP220">
        <v>1.86446</v>
      </c>
      <c r="EQ220">
        <v>1.8701300000000001</v>
      </c>
      <c r="ER220">
        <v>1.86938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-3.1E-2</v>
      </c>
      <c r="FG220">
        <v>0.2797</v>
      </c>
      <c r="FH220">
        <v>0.26269369235785539</v>
      </c>
      <c r="FI220">
        <v>-6.1462078757559423E-4</v>
      </c>
      <c r="FJ220">
        <v>-1.8861989874597051E-7</v>
      </c>
      <c r="FK220">
        <v>1.1980462299894961E-10</v>
      </c>
      <c r="FL220">
        <v>0.27968571428570849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43.6</v>
      </c>
      <c r="FU220">
        <v>43.6</v>
      </c>
      <c r="FV220">
        <v>1.7651399999999999</v>
      </c>
      <c r="FW220">
        <v>2.5842299999999998</v>
      </c>
      <c r="FX220">
        <v>1.5490699999999999</v>
      </c>
      <c r="FY220">
        <v>2.3327599999999999</v>
      </c>
      <c r="FZ220">
        <v>1.50146</v>
      </c>
      <c r="GA220">
        <v>2.36816</v>
      </c>
      <c r="GB220">
        <v>33.512999999999998</v>
      </c>
      <c r="GC220">
        <v>23.991199999999999</v>
      </c>
      <c r="GD220">
        <v>19</v>
      </c>
      <c r="GE220">
        <v>281.68400000000003</v>
      </c>
      <c r="GF220">
        <v>575.91099999999994</v>
      </c>
      <c r="GG220">
        <v>24.981999999999999</v>
      </c>
      <c r="GH220">
        <v>25.923200000000001</v>
      </c>
      <c r="GI220">
        <v>30.0001</v>
      </c>
      <c r="GJ220">
        <v>26.047000000000001</v>
      </c>
      <c r="GK220">
        <v>26.026299999999999</v>
      </c>
      <c r="GL220">
        <v>35.286799999999999</v>
      </c>
      <c r="GM220">
        <v>100</v>
      </c>
      <c r="GN220">
        <v>13.164899999999999</v>
      </c>
      <c r="GO220">
        <v>24.979299999999999</v>
      </c>
      <c r="GP220">
        <v>800</v>
      </c>
      <c r="GQ220">
        <v>0</v>
      </c>
      <c r="GR220">
        <v>99.812799999999996</v>
      </c>
      <c r="GS220">
        <v>99.679100000000005</v>
      </c>
    </row>
    <row r="221" spans="1:201" x14ac:dyDescent="0.25">
      <c r="A221">
        <v>205</v>
      </c>
      <c r="B221">
        <v>1690387446</v>
      </c>
      <c r="C221">
        <v>2111.400000095367</v>
      </c>
      <c r="D221" t="s">
        <v>743</v>
      </c>
      <c r="E221" t="s">
        <v>744</v>
      </c>
      <c r="F221" t="s">
        <v>330</v>
      </c>
      <c r="H221">
        <v>1690387446</v>
      </c>
      <c r="I221">
        <f t="shared" si="90"/>
        <v>2.3345990288442301E-3</v>
      </c>
      <c r="J221">
        <f t="shared" si="91"/>
        <v>2.33459902884423</v>
      </c>
      <c r="K221">
        <f t="shared" si="92"/>
        <v>33.517644925771052</v>
      </c>
      <c r="L221">
        <f t="shared" si="93"/>
        <v>434.17500000000001</v>
      </c>
      <c r="M221">
        <f t="shared" si="94"/>
        <v>105.9442991763582</v>
      </c>
      <c r="N221">
        <f t="shared" si="95"/>
        <v>10.463787343119543</v>
      </c>
      <c r="O221">
        <f t="shared" si="96"/>
        <v>42.882107909707507</v>
      </c>
      <c r="P221">
        <f t="shared" si="97"/>
        <v>0.17279781156212828</v>
      </c>
      <c r="Q221">
        <f t="shared" si="98"/>
        <v>2.1522190701718427</v>
      </c>
      <c r="R221">
        <f t="shared" si="99"/>
        <v>0.16544369404190573</v>
      </c>
      <c r="S221">
        <f t="shared" si="100"/>
        <v>0.10403696496318118</v>
      </c>
      <c r="T221">
        <f t="shared" si="101"/>
        <v>276.11397041400005</v>
      </c>
      <c r="U221">
        <f t="shared" si="102"/>
        <v>27.806724297917253</v>
      </c>
      <c r="V221">
        <f t="shared" si="103"/>
        <v>27.806724297917253</v>
      </c>
      <c r="W221">
        <f t="shared" si="104"/>
        <v>3.7522916231548002</v>
      </c>
      <c r="X221">
        <f t="shared" si="105"/>
        <v>69.319833782600469</v>
      </c>
      <c r="Y221">
        <f t="shared" si="106"/>
        <v>2.40200052088051</v>
      </c>
      <c r="Z221">
        <f t="shared" si="107"/>
        <v>3.4650985003997814</v>
      </c>
      <c r="AA221">
        <f t="shared" si="108"/>
        <v>1.3502911022742903</v>
      </c>
      <c r="AB221">
        <f t="shared" si="109"/>
        <v>-102.95581717203055</v>
      </c>
      <c r="AC221">
        <f t="shared" si="110"/>
        <v>-157.45611892946519</v>
      </c>
      <c r="AD221">
        <f t="shared" si="111"/>
        <v>-15.809093143291552</v>
      </c>
      <c r="AE221">
        <f t="shared" si="112"/>
        <v>-0.10705883078722422</v>
      </c>
      <c r="AF221">
        <v>0</v>
      </c>
      <c r="AG221">
        <v>0</v>
      </c>
      <c r="AH221">
        <f t="shared" si="113"/>
        <v>1</v>
      </c>
      <c r="AI221">
        <f t="shared" si="114"/>
        <v>0</v>
      </c>
      <c r="AJ221">
        <f t="shared" si="115"/>
        <v>52026.739253017775</v>
      </c>
      <c r="AK221">
        <f t="shared" si="116"/>
        <v>1800</v>
      </c>
      <c r="AL221">
        <f t="shared" si="117"/>
        <v>1499.1132383999998</v>
      </c>
      <c r="AM221">
        <f t="shared" si="118"/>
        <v>0.83284068799999988</v>
      </c>
      <c r="AN221">
        <f t="shared" si="119"/>
        <v>0.15339665023000001</v>
      </c>
      <c r="AO221">
        <v>31.8</v>
      </c>
      <c r="AP221">
        <v>0.5</v>
      </c>
      <c r="AQ221" t="s">
        <v>331</v>
      </c>
      <c r="AR221">
        <v>2</v>
      </c>
      <c r="AS221">
        <v>1690387446</v>
      </c>
      <c r="AT221">
        <v>434.17500000000001</v>
      </c>
      <c r="AU221">
        <v>800.01499999999999</v>
      </c>
      <c r="AV221">
        <v>24.319900000000001</v>
      </c>
      <c r="AW221">
        <v>0.18761800000000001</v>
      </c>
      <c r="AX221">
        <v>434.20499999999998</v>
      </c>
      <c r="AY221">
        <v>24.040199999999999</v>
      </c>
      <c r="AZ221">
        <v>300.15699999999998</v>
      </c>
      <c r="BA221">
        <v>98.666899999999998</v>
      </c>
      <c r="BB221">
        <v>9.9974900000000005E-2</v>
      </c>
      <c r="BC221">
        <v>26.4497</v>
      </c>
      <c r="BD221">
        <v>26.980399999999999</v>
      </c>
      <c r="BE221">
        <v>27.834800000000001</v>
      </c>
      <c r="BF221">
        <v>0</v>
      </c>
      <c r="BG221">
        <v>0</v>
      </c>
      <c r="BH221">
        <v>9951.8799999999992</v>
      </c>
      <c r="BI221">
        <v>1079.32</v>
      </c>
      <c r="BJ221">
        <v>1.5137799999999999</v>
      </c>
      <c r="BK221">
        <v>-365.84</v>
      </c>
      <c r="BL221">
        <v>444.99700000000001</v>
      </c>
      <c r="BM221">
        <v>800.16499999999996</v>
      </c>
      <c r="BN221">
        <v>24.132300000000001</v>
      </c>
      <c r="BO221">
        <v>800.01499999999999</v>
      </c>
      <c r="BP221">
        <v>0.18761800000000001</v>
      </c>
      <c r="BQ221">
        <v>2.3995700000000002</v>
      </c>
      <c r="BR221">
        <v>1.85116E-2</v>
      </c>
      <c r="BS221">
        <v>20.360800000000001</v>
      </c>
      <c r="BT221">
        <v>-40.1676</v>
      </c>
      <c r="BU221">
        <v>1800</v>
      </c>
      <c r="BV221">
        <v>0.91002099999999997</v>
      </c>
      <c r="BW221">
        <v>3.4002200000000003E-2</v>
      </c>
      <c r="BX221">
        <v>2.1990900000000001E-2</v>
      </c>
      <c r="BY221">
        <v>3.3985899999999999E-2</v>
      </c>
      <c r="BZ221">
        <v>25</v>
      </c>
      <c r="CA221">
        <v>33528.6</v>
      </c>
      <c r="CB221">
        <v>1690384821</v>
      </c>
      <c r="CC221" t="s">
        <v>332</v>
      </c>
      <c r="CD221">
        <v>1690384820</v>
      </c>
      <c r="CE221">
        <v>1690384821</v>
      </c>
      <c r="CF221">
        <v>5</v>
      </c>
      <c r="CG221">
        <v>-2.5000000000000001E-2</v>
      </c>
      <c r="CH221">
        <v>0.104</v>
      </c>
      <c r="CI221">
        <v>-0.28799999999999998</v>
      </c>
      <c r="CJ221">
        <v>0.28000000000000003</v>
      </c>
      <c r="CK221">
        <v>800</v>
      </c>
      <c r="CL221">
        <v>24</v>
      </c>
      <c r="CM221">
        <v>0.08</v>
      </c>
      <c r="CN221">
        <v>0.11</v>
      </c>
      <c r="CO221">
        <v>-365.54112195121951</v>
      </c>
      <c r="CP221">
        <v>-1.5179581881541591</v>
      </c>
      <c r="CQ221">
        <v>0.15730228707219829</v>
      </c>
      <c r="CR221">
        <v>-1</v>
      </c>
      <c r="CS221">
        <v>24.118751219512191</v>
      </c>
      <c r="CT221">
        <v>7.8248780487796793E-2</v>
      </c>
      <c r="CU221">
        <v>7.9218168016951303E-3</v>
      </c>
      <c r="CV221">
        <v>-1</v>
      </c>
      <c r="CW221">
        <v>0</v>
      </c>
      <c r="CX221">
        <v>0</v>
      </c>
      <c r="CY221" t="s">
        <v>333</v>
      </c>
      <c r="CZ221">
        <v>2.3649300000000002</v>
      </c>
      <c r="DA221">
        <v>2.7137199999999999</v>
      </c>
      <c r="DB221">
        <v>9.4899300000000006E-2</v>
      </c>
      <c r="DC221">
        <v>0.145484</v>
      </c>
      <c r="DD221">
        <v>0.114283</v>
      </c>
      <c r="DE221">
        <v>1.57179E-3</v>
      </c>
      <c r="DF221">
        <v>33072.9</v>
      </c>
      <c r="DG221">
        <v>27569.8</v>
      </c>
      <c r="DH221">
        <v>31193.7</v>
      </c>
      <c r="DI221">
        <v>28112.799999999999</v>
      </c>
      <c r="DJ221">
        <v>37507.4</v>
      </c>
      <c r="DK221">
        <v>39921.599999999999</v>
      </c>
      <c r="DL221">
        <v>44395.8</v>
      </c>
      <c r="DM221">
        <v>42610.1</v>
      </c>
      <c r="DN221">
        <v>1.47637</v>
      </c>
      <c r="DO221">
        <v>2.0318800000000001</v>
      </c>
      <c r="DP221">
        <v>0.101365</v>
      </c>
      <c r="DQ221">
        <v>0.16795499999999999</v>
      </c>
      <c r="DR221">
        <v>25.320399999999999</v>
      </c>
      <c r="DS221">
        <v>25.085599999999999</v>
      </c>
      <c r="DT221">
        <v>24.8</v>
      </c>
      <c r="DU221">
        <v>29.1</v>
      </c>
      <c r="DV221">
        <v>10.1661</v>
      </c>
      <c r="DW221">
        <v>61.342199999999998</v>
      </c>
      <c r="DX221">
        <v>37.303699999999999</v>
      </c>
      <c r="DY221">
        <v>1</v>
      </c>
      <c r="DZ221">
        <v>-0.11898599999999999</v>
      </c>
      <c r="EA221">
        <v>-0.171315</v>
      </c>
      <c r="EB221">
        <v>20.190100000000001</v>
      </c>
      <c r="EC221">
        <v>5.2404999999999999</v>
      </c>
      <c r="ED221">
        <v>12.039899999999999</v>
      </c>
      <c r="EE221">
        <v>5.0164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</v>
      </c>
      <c r="EL221">
        <v>1.8646199999999999</v>
      </c>
      <c r="EM221">
        <v>1.8692</v>
      </c>
      <c r="EN221">
        <v>1.8672200000000001</v>
      </c>
      <c r="EO221">
        <v>1.8633900000000001</v>
      </c>
      <c r="EP221">
        <v>1.8644499999999999</v>
      </c>
      <c r="EQ221">
        <v>1.8701300000000001</v>
      </c>
      <c r="ER221">
        <v>1.86937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-0.03</v>
      </c>
      <c r="FG221">
        <v>0.2797</v>
      </c>
      <c r="FH221">
        <v>0.26269369235785539</v>
      </c>
      <c r="FI221">
        <v>-6.1462078757559423E-4</v>
      </c>
      <c r="FJ221">
        <v>-1.8861989874597051E-7</v>
      </c>
      <c r="FK221">
        <v>1.1980462299894961E-10</v>
      </c>
      <c r="FL221">
        <v>0.27968571428570849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43.8</v>
      </c>
      <c r="FU221">
        <v>43.8</v>
      </c>
      <c r="FV221">
        <v>1.7651399999999999</v>
      </c>
      <c r="FW221">
        <v>2.5805699999999998</v>
      </c>
      <c r="FX221">
        <v>1.5490699999999999</v>
      </c>
      <c r="FY221">
        <v>2.3327599999999999</v>
      </c>
      <c r="FZ221">
        <v>1.50146</v>
      </c>
      <c r="GA221">
        <v>2.3645</v>
      </c>
      <c r="GB221">
        <v>33.490600000000001</v>
      </c>
      <c r="GC221">
        <v>23.982399999999998</v>
      </c>
      <c r="GD221">
        <v>19</v>
      </c>
      <c r="GE221">
        <v>281.601</v>
      </c>
      <c r="GF221">
        <v>575.92700000000002</v>
      </c>
      <c r="GG221">
        <v>24.968800000000002</v>
      </c>
      <c r="GH221">
        <v>25.922899999999998</v>
      </c>
      <c r="GI221">
        <v>30</v>
      </c>
      <c r="GJ221">
        <v>26.044799999999999</v>
      </c>
      <c r="GK221">
        <v>26.024100000000001</v>
      </c>
      <c r="GL221">
        <v>35.288699999999999</v>
      </c>
      <c r="GM221">
        <v>100</v>
      </c>
      <c r="GN221">
        <v>12.788399999999999</v>
      </c>
      <c r="GO221">
        <v>24.970700000000001</v>
      </c>
      <c r="GP221">
        <v>800</v>
      </c>
      <c r="GQ221">
        <v>0</v>
      </c>
      <c r="GR221">
        <v>99.812100000000001</v>
      </c>
      <c r="GS221">
        <v>99.679100000000005</v>
      </c>
    </row>
    <row r="222" spans="1:201" x14ac:dyDescent="0.25">
      <c r="A222">
        <v>206</v>
      </c>
      <c r="B222">
        <v>1690387456</v>
      </c>
      <c r="C222">
        <v>2121.400000095367</v>
      </c>
      <c r="D222" t="s">
        <v>745</v>
      </c>
      <c r="E222" t="s">
        <v>746</v>
      </c>
      <c r="F222" t="s">
        <v>330</v>
      </c>
      <c r="H222">
        <v>1690387456</v>
      </c>
      <c r="I222">
        <f t="shared" si="90"/>
        <v>2.3364444880240491E-3</v>
      </c>
      <c r="J222">
        <f t="shared" si="91"/>
        <v>2.3364444880240494</v>
      </c>
      <c r="K222">
        <f t="shared" si="92"/>
        <v>33.565035357441118</v>
      </c>
      <c r="L222">
        <f t="shared" si="93"/>
        <v>433.75099999999998</v>
      </c>
      <c r="M222">
        <f t="shared" si="94"/>
        <v>106.04483514774847</v>
      </c>
      <c r="N222">
        <f t="shared" si="95"/>
        <v>10.473796723149309</v>
      </c>
      <c r="O222">
        <f t="shared" si="96"/>
        <v>42.840556978876997</v>
      </c>
      <c r="P222">
        <f t="shared" si="97"/>
        <v>0.17333441888896725</v>
      </c>
      <c r="Q222">
        <f t="shared" si="98"/>
        <v>2.1523766303436753</v>
      </c>
      <c r="R222">
        <f t="shared" si="99"/>
        <v>0.16593612345131006</v>
      </c>
      <c r="S222">
        <f t="shared" si="100"/>
        <v>0.10434846983944626</v>
      </c>
      <c r="T222">
        <f t="shared" si="101"/>
        <v>276.11410420800001</v>
      </c>
      <c r="U222">
        <f t="shared" si="102"/>
        <v>27.800404152972401</v>
      </c>
      <c r="V222">
        <f t="shared" si="103"/>
        <v>27.800404152972401</v>
      </c>
      <c r="W222">
        <f t="shared" si="104"/>
        <v>3.7509073523562244</v>
      </c>
      <c r="X222">
        <f t="shared" si="105"/>
        <v>69.387454538325386</v>
      </c>
      <c r="Y222">
        <f t="shared" si="106"/>
        <v>2.4035497100957994</v>
      </c>
      <c r="Z222">
        <f t="shared" si="107"/>
        <v>3.4639542927291354</v>
      </c>
      <c r="AA222">
        <f t="shared" si="108"/>
        <v>1.347357642260425</v>
      </c>
      <c r="AB222">
        <f t="shared" si="109"/>
        <v>-103.03720192186057</v>
      </c>
      <c r="AC222">
        <f t="shared" si="110"/>
        <v>-157.38408116687748</v>
      </c>
      <c r="AD222">
        <f t="shared" si="111"/>
        <v>-15.799762187138549</v>
      </c>
      <c r="AE222">
        <f t="shared" si="112"/>
        <v>-0.1069410678765621</v>
      </c>
      <c r="AF222">
        <v>0</v>
      </c>
      <c r="AG222">
        <v>0</v>
      </c>
      <c r="AH222">
        <f t="shared" si="113"/>
        <v>1</v>
      </c>
      <c r="AI222">
        <f t="shared" si="114"/>
        <v>0</v>
      </c>
      <c r="AJ222">
        <f t="shared" si="115"/>
        <v>52034.306468848634</v>
      </c>
      <c r="AK222">
        <f t="shared" si="116"/>
        <v>1800</v>
      </c>
      <c r="AL222">
        <f t="shared" si="117"/>
        <v>1499.1132888</v>
      </c>
      <c r="AM222">
        <f t="shared" si="118"/>
        <v>0.83284071599999998</v>
      </c>
      <c r="AN222">
        <f t="shared" si="119"/>
        <v>0.15339672456</v>
      </c>
      <c r="AO222">
        <v>31.8</v>
      </c>
      <c r="AP222">
        <v>0.5</v>
      </c>
      <c r="AQ222" t="s">
        <v>331</v>
      </c>
      <c r="AR222">
        <v>2</v>
      </c>
      <c r="AS222">
        <v>1690387456</v>
      </c>
      <c r="AT222">
        <v>433.75099999999998</v>
      </c>
      <c r="AU222">
        <v>800.06299999999999</v>
      </c>
      <c r="AV222">
        <v>24.3354</v>
      </c>
      <c r="AW222">
        <v>0.186276</v>
      </c>
      <c r="AX222">
        <v>433.78</v>
      </c>
      <c r="AY222">
        <v>24.055700000000002</v>
      </c>
      <c r="AZ222">
        <v>300.18</v>
      </c>
      <c r="BA222">
        <v>98.667599999999993</v>
      </c>
      <c r="BB222">
        <v>0.100027</v>
      </c>
      <c r="BC222">
        <v>26.444099999999999</v>
      </c>
      <c r="BD222">
        <v>27.011399999999998</v>
      </c>
      <c r="BE222">
        <v>27.835100000000001</v>
      </c>
      <c r="BF222">
        <v>0</v>
      </c>
      <c r="BG222">
        <v>0</v>
      </c>
      <c r="BH222">
        <v>9953.1200000000008</v>
      </c>
      <c r="BI222">
        <v>1079.23</v>
      </c>
      <c r="BJ222">
        <v>1.5137799999999999</v>
      </c>
      <c r="BK222">
        <v>-366.31299999999999</v>
      </c>
      <c r="BL222">
        <v>444.57</v>
      </c>
      <c r="BM222">
        <v>800.21199999999999</v>
      </c>
      <c r="BN222">
        <v>24.149100000000001</v>
      </c>
      <c r="BO222">
        <v>800.06299999999999</v>
      </c>
      <c r="BP222">
        <v>0.186276</v>
      </c>
      <c r="BQ222">
        <v>2.4011200000000001</v>
      </c>
      <c r="BR222">
        <v>1.8379400000000001E-2</v>
      </c>
      <c r="BS222">
        <v>20.371300000000002</v>
      </c>
      <c r="BT222">
        <v>-40.236199999999997</v>
      </c>
      <c r="BU222">
        <v>1800</v>
      </c>
      <c r="BV222">
        <v>0.91001799999999999</v>
      </c>
      <c r="BW222">
        <v>3.4001999999999998E-2</v>
      </c>
      <c r="BX222">
        <v>2.1990800000000001E-2</v>
      </c>
      <c r="BY222">
        <v>3.3989600000000002E-2</v>
      </c>
      <c r="BZ222">
        <v>25</v>
      </c>
      <c r="CA222">
        <v>33528.6</v>
      </c>
      <c r="CB222">
        <v>1690384821</v>
      </c>
      <c r="CC222" t="s">
        <v>332</v>
      </c>
      <c r="CD222">
        <v>1690384820</v>
      </c>
      <c r="CE222">
        <v>1690384821</v>
      </c>
      <c r="CF222">
        <v>5</v>
      </c>
      <c r="CG222">
        <v>-2.5000000000000001E-2</v>
      </c>
      <c r="CH222">
        <v>0.104</v>
      </c>
      <c r="CI222">
        <v>-0.28799999999999998</v>
      </c>
      <c r="CJ222">
        <v>0.28000000000000003</v>
      </c>
      <c r="CK222">
        <v>800</v>
      </c>
      <c r="CL222">
        <v>24</v>
      </c>
      <c r="CM222">
        <v>0.08</v>
      </c>
      <c r="CN222">
        <v>0.11</v>
      </c>
      <c r="CO222">
        <v>-365.86599999999999</v>
      </c>
      <c r="CP222">
        <v>-2.209418386490912</v>
      </c>
      <c r="CQ222">
        <v>0.2175422947382866</v>
      </c>
      <c r="CR222">
        <v>-1</v>
      </c>
      <c r="CS222">
        <v>24.134595000000001</v>
      </c>
      <c r="CT222">
        <v>9.4066041275817261E-2</v>
      </c>
      <c r="CU222">
        <v>9.3798174289266619E-3</v>
      </c>
      <c r="CV222">
        <v>-1</v>
      </c>
      <c r="CW222">
        <v>0</v>
      </c>
      <c r="CX222">
        <v>0</v>
      </c>
      <c r="CY222" t="s">
        <v>333</v>
      </c>
      <c r="CZ222">
        <v>2.3650199999999999</v>
      </c>
      <c r="DA222">
        <v>2.7137799999999999</v>
      </c>
      <c r="DB222">
        <v>9.4830300000000006E-2</v>
      </c>
      <c r="DC222">
        <v>0.14549000000000001</v>
      </c>
      <c r="DD222">
        <v>0.11433599999999999</v>
      </c>
      <c r="DE222">
        <v>1.5606800000000001E-3</v>
      </c>
      <c r="DF222">
        <v>33075.599999999999</v>
      </c>
      <c r="DG222">
        <v>27569.7</v>
      </c>
      <c r="DH222">
        <v>31193.8</v>
      </c>
      <c r="DI222">
        <v>28113</v>
      </c>
      <c r="DJ222">
        <v>37505.199999999997</v>
      </c>
      <c r="DK222">
        <v>39922.199999999997</v>
      </c>
      <c r="DL222">
        <v>44396</v>
      </c>
      <c r="DM222">
        <v>42610.3</v>
      </c>
      <c r="DN222">
        <v>1.4763999999999999</v>
      </c>
      <c r="DO222">
        <v>2.032</v>
      </c>
      <c r="DP222">
        <v>0.103265</v>
      </c>
      <c r="DQ222">
        <v>0.168104</v>
      </c>
      <c r="DR222">
        <v>25.320399999999999</v>
      </c>
      <c r="DS222">
        <v>25.083500000000001</v>
      </c>
      <c r="DT222">
        <v>24.6</v>
      </c>
      <c r="DU222">
        <v>29.1</v>
      </c>
      <c r="DV222">
        <v>10.0854</v>
      </c>
      <c r="DW222">
        <v>61.302199999999999</v>
      </c>
      <c r="DX222">
        <v>37.263599999999997</v>
      </c>
      <c r="DY222">
        <v>1</v>
      </c>
      <c r="DZ222">
        <v>-0.11922000000000001</v>
      </c>
      <c r="EA222">
        <v>-0.220362</v>
      </c>
      <c r="EB222">
        <v>20.190000000000001</v>
      </c>
      <c r="EC222">
        <v>5.2401999999999997</v>
      </c>
      <c r="ED222">
        <v>12.039899999999999</v>
      </c>
      <c r="EE222">
        <v>5.0157499999999997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</v>
      </c>
      <c r="EL222">
        <v>1.8646199999999999</v>
      </c>
      <c r="EM222">
        <v>1.8692</v>
      </c>
      <c r="EN222">
        <v>1.8672200000000001</v>
      </c>
      <c r="EO222">
        <v>1.8633999999999999</v>
      </c>
      <c r="EP222">
        <v>1.8644700000000001</v>
      </c>
      <c r="EQ222">
        <v>1.8701300000000001</v>
      </c>
      <c r="ER222">
        <v>1.8694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-2.9000000000000001E-2</v>
      </c>
      <c r="FG222">
        <v>0.2797</v>
      </c>
      <c r="FH222">
        <v>0.26269369235785539</v>
      </c>
      <c r="FI222">
        <v>-6.1462078757559423E-4</v>
      </c>
      <c r="FJ222">
        <v>-1.8861989874597051E-7</v>
      </c>
      <c r="FK222">
        <v>1.1980462299894961E-10</v>
      </c>
      <c r="FL222">
        <v>0.27968571428570849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43.9</v>
      </c>
      <c r="FU222">
        <v>43.9</v>
      </c>
      <c r="FV222">
        <v>1.7651399999999999</v>
      </c>
      <c r="FW222">
        <v>2.5866699999999998</v>
      </c>
      <c r="FX222">
        <v>1.5490699999999999</v>
      </c>
      <c r="FY222">
        <v>2.3327599999999999</v>
      </c>
      <c r="FZ222">
        <v>1.50146</v>
      </c>
      <c r="GA222">
        <v>2.36938</v>
      </c>
      <c r="GB222">
        <v>33.512999999999998</v>
      </c>
      <c r="GC222">
        <v>23.973700000000001</v>
      </c>
      <c r="GD222">
        <v>19</v>
      </c>
      <c r="GE222">
        <v>281.61200000000002</v>
      </c>
      <c r="GF222">
        <v>576.029</v>
      </c>
      <c r="GG222">
        <v>24.979800000000001</v>
      </c>
      <c r="GH222">
        <v>25.920999999999999</v>
      </c>
      <c r="GI222">
        <v>30</v>
      </c>
      <c r="GJ222">
        <v>26.044799999999999</v>
      </c>
      <c r="GK222">
        <v>26.024100000000001</v>
      </c>
      <c r="GL222">
        <v>35.285699999999999</v>
      </c>
      <c r="GM222">
        <v>100</v>
      </c>
      <c r="GN222">
        <v>12.407400000000001</v>
      </c>
      <c r="GO222">
        <v>24.984400000000001</v>
      </c>
      <c r="GP222">
        <v>800</v>
      </c>
      <c r="GQ222">
        <v>0</v>
      </c>
      <c r="GR222">
        <v>99.8125</v>
      </c>
      <c r="GS222">
        <v>99.679599999999994</v>
      </c>
    </row>
    <row r="223" spans="1:201" x14ac:dyDescent="0.25">
      <c r="A223">
        <v>207</v>
      </c>
      <c r="B223">
        <v>1690387466</v>
      </c>
      <c r="C223">
        <v>2131.400000095367</v>
      </c>
      <c r="D223" t="s">
        <v>747</v>
      </c>
      <c r="E223" t="s">
        <v>748</v>
      </c>
      <c r="F223" t="s">
        <v>330</v>
      </c>
      <c r="H223">
        <v>1690387466</v>
      </c>
      <c r="I223">
        <f t="shared" si="90"/>
        <v>2.3372346230192344E-3</v>
      </c>
      <c r="J223">
        <f t="shared" si="91"/>
        <v>2.3372346230192345</v>
      </c>
      <c r="K223">
        <f t="shared" si="92"/>
        <v>33.548588258027898</v>
      </c>
      <c r="L223">
        <f t="shared" si="93"/>
        <v>433.66399999999999</v>
      </c>
      <c r="M223">
        <f t="shared" si="94"/>
        <v>106.53722645716041</v>
      </c>
      <c r="N223">
        <f t="shared" si="95"/>
        <v>10.522331328391244</v>
      </c>
      <c r="O223">
        <f t="shared" si="96"/>
        <v>42.831566438707199</v>
      </c>
      <c r="P223">
        <f t="shared" si="97"/>
        <v>0.17355283058071566</v>
      </c>
      <c r="Q223">
        <f t="shared" si="98"/>
        <v>2.1579908220695714</v>
      </c>
      <c r="R223">
        <f t="shared" si="99"/>
        <v>0.16615471809389132</v>
      </c>
      <c r="S223">
        <f t="shared" si="100"/>
        <v>0.10448510952738746</v>
      </c>
      <c r="T223">
        <f t="shared" si="101"/>
        <v>276.11398458000002</v>
      </c>
      <c r="U223">
        <f t="shared" si="102"/>
        <v>27.799518253161743</v>
      </c>
      <c r="V223">
        <f t="shared" si="103"/>
        <v>27.799518253161743</v>
      </c>
      <c r="W223">
        <f t="shared" si="104"/>
        <v>3.7507133536137593</v>
      </c>
      <c r="X223">
        <f t="shared" si="105"/>
        <v>69.409811156974328</v>
      </c>
      <c r="Y223">
        <f t="shared" si="106"/>
        <v>2.40469283684256</v>
      </c>
      <c r="Z223">
        <f t="shared" si="107"/>
        <v>3.4644854909692908</v>
      </c>
      <c r="AA223">
        <f t="shared" si="108"/>
        <v>1.3460205167711994</v>
      </c>
      <c r="AB223">
        <f t="shared" si="109"/>
        <v>-103.07204687514823</v>
      </c>
      <c r="AC223">
        <f t="shared" si="110"/>
        <v>-157.3890417046324</v>
      </c>
      <c r="AD223">
        <f t="shared" si="111"/>
        <v>-15.75928908587937</v>
      </c>
      <c r="AE223">
        <f t="shared" si="112"/>
        <v>-0.10639308565995975</v>
      </c>
      <c r="AF223">
        <v>0</v>
      </c>
      <c r="AG223">
        <v>0</v>
      </c>
      <c r="AH223">
        <f t="shared" si="113"/>
        <v>1</v>
      </c>
      <c r="AI223">
        <f t="shared" si="114"/>
        <v>0</v>
      </c>
      <c r="AJ223">
        <f t="shared" si="115"/>
        <v>52268.613703958697</v>
      </c>
      <c r="AK223">
        <f t="shared" si="116"/>
        <v>1800</v>
      </c>
      <c r="AL223">
        <f t="shared" si="117"/>
        <v>1499.112243</v>
      </c>
      <c r="AM223">
        <f t="shared" si="118"/>
        <v>0.83284013499999998</v>
      </c>
      <c r="AN223">
        <f t="shared" si="119"/>
        <v>0.1533966581</v>
      </c>
      <c r="AO223">
        <v>31.8</v>
      </c>
      <c r="AP223">
        <v>0.5</v>
      </c>
      <c r="AQ223" t="s">
        <v>331</v>
      </c>
      <c r="AR223">
        <v>2</v>
      </c>
      <c r="AS223">
        <v>1690387466</v>
      </c>
      <c r="AT223">
        <v>433.66399999999999</v>
      </c>
      <c r="AU223">
        <v>799.87400000000002</v>
      </c>
      <c r="AV223">
        <v>24.347200000000001</v>
      </c>
      <c r="AW223">
        <v>0.185533</v>
      </c>
      <c r="AX223">
        <v>433.69299999999998</v>
      </c>
      <c r="AY223">
        <v>24.067499999999999</v>
      </c>
      <c r="AZ223">
        <v>300.12200000000001</v>
      </c>
      <c r="BA223">
        <v>98.666799999999995</v>
      </c>
      <c r="BB223">
        <v>9.9909800000000007E-2</v>
      </c>
      <c r="BC223">
        <v>26.4467</v>
      </c>
      <c r="BD223">
        <v>27.0139</v>
      </c>
      <c r="BE223">
        <v>27.819600000000001</v>
      </c>
      <c r="BF223">
        <v>0</v>
      </c>
      <c r="BG223">
        <v>0</v>
      </c>
      <c r="BH223">
        <v>10000</v>
      </c>
      <c r="BI223">
        <v>1079.24</v>
      </c>
      <c r="BJ223">
        <v>1.5278</v>
      </c>
      <c r="BK223">
        <v>-366.21</v>
      </c>
      <c r="BL223">
        <v>444.48599999999999</v>
      </c>
      <c r="BM223">
        <v>800.02200000000005</v>
      </c>
      <c r="BN223">
        <v>24.1616</v>
      </c>
      <c r="BO223">
        <v>799.87400000000002</v>
      </c>
      <c r="BP223">
        <v>0.185533</v>
      </c>
      <c r="BQ223">
        <v>2.4022600000000001</v>
      </c>
      <c r="BR223">
        <v>1.83059E-2</v>
      </c>
      <c r="BS223">
        <v>20.379000000000001</v>
      </c>
      <c r="BT223">
        <v>-40.2744</v>
      </c>
      <c r="BU223">
        <v>1800</v>
      </c>
      <c r="BV223">
        <v>0.91001500000000002</v>
      </c>
      <c r="BW223">
        <v>3.4001499999999997E-2</v>
      </c>
      <c r="BX223">
        <v>2.19905E-2</v>
      </c>
      <c r="BY223">
        <v>3.3993000000000002E-2</v>
      </c>
      <c r="BZ223">
        <v>25.041699999999999</v>
      </c>
      <c r="CA223">
        <v>33528.6</v>
      </c>
      <c r="CB223">
        <v>1690384821</v>
      </c>
      <c r="CC223" t="s">
        <v>332</v>
      </c>
      <c r="CD223">
        <v>1690384820</v>
      </c>
      <c r="CE223">
        <v>1690384821</v>
      </c>
      <c r="CF223">
        <v>5</v>
      </c>
      <c r="CG223">
        <v>-2.5000000000000001E-2</v>
      </c>
      <c r="CH223">
        <v>0.104</v>
      </c>
      <c r="CI223">
        <v>-0.28799999999999998</v>
      </c>
      <c r="CJ223">
        <v>0.28000000000000003</v>
      </c>
      <c r="CK223">
        <v>800</v>
      </c>
      <c r="CL223">
        <v>24</v>
      </c>
      <c r="CM223">
        <v>0.08</v>
      </c>
      <c r="CN223">
        <v>0.11</v>
      </c>
      <c r="CO223">
        <v>-366.200425</v>
      </c>
      <c r="CP223">
        <v>-1.675328330205345</v>
      </c>
      <c r="CQ223">
        <v>0.17628512238699989</v>
      </c>
      <c r="CR223">
        <v>-1</v>
      </c>
      <c r="CS223">
        <v>24.150234999999999</v>
      </c>
      <c r="CT223">
        <v>9.0308442776717832E-2</v>
      </c>
      <c r="CU223">
        <v>8.8783036104875621E-3</v>
      </c>
      <c r="CV223">
        <v>-1</v>
      </c>
      <c r="CW223">
        <v>0</v>
      </c>
      <c r="CX223">
        <v>0</v>
      </c>
      <c r="CY223" t="s">
        <v>333</v>
      </c>
      <c r="CZ223">
        <v>2.36483</v>
      </c>
      <c r="DA223">
        <v>2.7136999999999998</v>
      </c>
      <c r="DB223">
        <v>9.4815999999999998E-2</v>
      </c>
      <c r="DC223">
        <v>0.14546700000000001</v>
      </c>
      <c r="DD223">
        <v>0.114375</v>
      </c>
      <c r="DE223">
        <v>1.5545299999999999E-3</v>
      </c>
      <c r="DF223">
        <v>33076.400000000001</v>
      </c>
      <c r="DG223">
        <v>27570.5</v>
      </c>
      <c r="DH223">
        <v>31194.1</v>
      </c>
      <c r="DI223">
        <v>28113.1</v>
      </c>
      <c r="DJ223">
        <v>37503.9</v>
      </c>
      <c r="DK223">
        <v>39922.699999999997</v>
      </c>
      <c r="DL223">
        <v>44396.4</v>
      </c>
      <c r="DM223">
        <v>42610.5</v>
      </c>
      <c r="DN223">
        <v>1.4760500000000001</v>
      </c>
      <c r="DO223">
        <v>2.0319799999999999</v>
      </c>
      <c r="DP223">
        <v>0.10334</v>
      </c>
      <c r="DQ223">
        <v>0.16721</v>
      </c>
      <c r="DR223">
        <v>25.3216</v>
      </c>
      <c r="DS223">
        <v>25.082599999999999</v>
      </c>
      <c r="DT223">
        <v>24.4</v>
      </c>
      <c r="DU223">
        <v>29.1</v>
      </c>
      <c r="DV223">
        <v>10.0038</v>
      </c>
      <c r="DW223">
        <v>61.142200000000003</v>
      </c>
      <c r="DX223">
        <v>37.411900000000003</v>
      </c>
      <c r="DY223">
        <v>1</v>
      </c>
      <c r="DZ223">
        <v>-0.11906799999999999</v>
      </c>
      <c r="EA223">
        <v>-0.16513900000000001</v>
      </c>
      <c r="EB223">
        <v>20.190200000000001</v>
      </c>
      <c r="EC223">
        <v>5.2409499999999998</v>
      </c>
      <c r="ED223">
        <v>12.039899999999999</v>
      </c>
      <c r="EE223">
        <v>5.0156000000000001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</v>
      </c>
      <c r="EL223">
        <v>1.8646100000000001</v>
      </c>
      <c r="EM223">
        <v>1.8692</v>
      </c>
      <c r="EN223">
        <v>1.8672299999999999</v>
      </c>
      <c r="EO223">
        <v>1.8633999999999999</v>
      </c>
      <c r="EP223">
        <v>1.8644700000000001</v>
      </c>
      <c r="EQ223">
        <v>1.8701300000000001</v>
      </c>
      <c r="ER223">
        <v>1.8693599999999999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-2.9000000000000001E-2</v>
      </c>
      <c r="FG223">
        <v>0.2797</v>
      </c>
      <c r="FH223">
        <v>0.26269369235785539</v>
      </c>
      <c r="FI223">
        <v>-6.1462078757559423E-4</v>
      </c>
      <c r="FJ223">
        <v>-1.8861989874597051E-7</v>
      </c>
      <c r="FK223">
        <v>1.1980462299894961E-10</v>
      </c>
      <c r="FL223">
        <v>0.27968571428570849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44.1</v>
      </c>
      <c r="FU223">
        <v>44.1</v>
      </c>
      <c r="FV223">
        <v>1.7651399999999999</v>
      </c>
      <c r="FW223">
        <v>2.5793499999999998</v>
      </c>
      <c r="FX223">
        <v>1.5490699999999999</v>
      </c>
      <c r="FY223">
        <v>2.3327599999999999</v>
      </c>
      <c r="FZ223">
        <v>1.50146</v>
      </c>
      <c r="GA223">
        <v>2.3706100000000001</v>
      </c>
      <c r="GB223">
        <v>33.512999999999998</v>
      </c>
      <c r="GC223">
        <v>23.991199999999999</v>
      </c>
      <c r="GD223">
        <v>19</v>
      </c>
      <c r="GE223">
        <v>281.45299999999997</v>
      </c>
      <c r="GF223">
        <v>575.98900000000003</v>
      </c>
      <c r="GG223">
        <v>24.9834</v>
      </c>
      <c r="GH223">
        <v>25.920999999999999</v>
      </c>
      <c r="GI223">
        <v>30.0002</v>
      </c>
      <c r="GJ223">
        <v>26.0426</v>
      </c>
      <c r="GK223">
        <v>26.022300000000001</v>
      </c>
      <c r="GL223">
        <v>35.290500000000002</v>
      </c>
      <c r="GM223">
        <v>100</v>
      </c>
      <c r="GN223">
        <v>11.634399999999999</v>
      </c>
      <c r="GO223">
        <v>24.978200000000001</v>
      </c>
      <c r="GP223">
        <v>800</v>
      </c>
      <c r="GQ223">
        <v>0</v>
      </c>
      <c r="GR223">
        <v>99.813400000000001</v>
      </c>
      <c r="GS223">
        <v>99.680099999999996</v>
      </c>
    </row>
    <row r="224" spans="1:201" x14ac:dyDescent="0.25">
      <c r="A224">
        <v>208</v>
      </c>
      <c r="B224">
        <v>1690387476</v>
      </c>
      <c r="C224">
        <v>2141.400000095367</v>
      </c>
      <c r="D224" t="s">
        <v>749</v>
      </c>
      <c r="E224" t="s">
        <v>750</v>
      </c>
      <c r="F224" t="s">
        <v>330</v>
      </c>
      <c r="H224">
        <v>1690387476</v>
      </c>
      <c r="I224">
        <f t="shared" si="90"/>
        <v>2.3387314456442604E-3</v>
      </c>
      <c r="J224">
        <f t="shared" si="91"/>
        <v>2.3387314456442603</v>
      </c>
      <c r="K224">
        <f t="shared" si="92"/>
        <v>33.600192292370863</v>
      </c>
      <c r="L224">
        <f t="shared" si="93"/>
        <v>433.25599999999997</v>
      </c>
      <c r="M224">
        <f t="shared" si="94"/>
        <v>106.13980888436483</v>
      </c>
      <c r="N224">
        <f t="shared" si="95"/>
        <v>10.483178847505002</v>
      </c>
      <c r="O224">
        <f t="shared" si="96"/>
        <v>42.791674325538402</v>
      </c>
      <c r="P224">
        <f t="shared" si="97"/>
        <v>0.17381978164116116</v>
      </c>
      <c r="Q224">
        <f t="shared" si="98"/>
        <v>2.1606209511400154</v>
      </c>
      <c r="R224">
        <f t="shared" si="99"/>
        <v>0.16640803458461184</v>
      </c>
      <c r="S224">
        <f t="shared" si="100"/>
        <v>0.10464460088499122</v>
      </c>
      <c r="T224">
        <f t="shared" si="101"/>
        <v>276.114455244</v>
      </c>
      <c r="U224">
        <f t="shared" si="102"/>
        <v>27.799406130672459</v>
      </c>
      <c r="V224">
        <f t="shared" si="103"/>
        <v>27.799406130672459</v>
      </c>
      <c r="W224">
        <f t="shared" si="104"/>
        <v>3.7506888010980846</v>
      </c>
      <c r="X224">
        <f t="shared" si="105"/>
        <v>69.435471604069349</v>
      </c>
      <c r="Y224">
        <f t="shared" si="106"/>
        <v>2.4058514074669297</v>
      </c>
      <c r="Z224">
        <f t="shared" si="107"/>
        <v>3.464873719279141</v>
      </c>
      <c r="AA224">
        <f t="shared" si="108"/>
        <v>1.3448373936311548</v>
      </c>
      <c r="AB224">
        <f t="shared" si="109"/>
        <v>-103.13805675291188</v>
      </c>
      <c r="AC224">
        <f t="shared" si="110"/>
        <v>-157.34648640803829</v>
      </c>
      <c r="AD224">
        <f t="shared" si="111"/>
        <v>-15.735989784535757</v>
      </c>
      <c r="AE224">
        <f t="shared" si="112"/>
        <v>-0.10607770148595819</v>
      </c>
      <c r="AF224">
        <v>0</v>
      </c>
      <c r="AG224">
        <v>0</v>
      </c>
      <c r="AH224">
        <f t="shared" si="113"/>
        <v>1</v>
      </c>
      <c r="AI224">
        <f t="shared" si="114"/>
        <v>0</v>
      </c>
      <c r="AJ224">
        <f t="shared" si="115"/>
        <v>52378.513687931743</v>
      </c>
      <c r="AK224">
        <f t="shared" si="116"/>
        <v>1800</v>
      </c>
      <c r="AL224">
        <f t="shared" si="117"/>
        <v>1499.1118973999999</v>
      </c>
      <c r="AM224">
        <f t="shared" si="118"/>
        <v>0.83283994299999997</v>
      </c>
      <c r="AN224">
        <f t="shared" si="119"/>
        <v>0.15339691958000001</v>
      </c>
      <c r="AO224">
        <v>31.8</v>
      </c>
      <c r="AP224">
        <v>0.5</v>
      </c>
      <c r="AQ224" t="s">
        <v>331</v>
      </c>
      <c r="AR224">
        <v>2</v>
      </c>
      <c r="AS224">
        <v>1690387476</v>
      </c>
      <c r="AT224">
        <v>433.25599999999997</v>
      </c>
      <c r="AU224">
        <v>799.97900000000004</v>
      </c>
      <c r="AV224">
        <v>24.358699999999999</v>
      </c>
      <c r="AW224">
        <v>0.18385799999999999</v>
      </c>
      <c r="AX224">
        <v>433.28500000000003</v>
      </c>
      <c r="AY224">
        <v>24.079000000000001</v>
      </c>
      <c r="AZ224">
        <v>300.14699999999999</v>
      </c>
      <c r="BA224">
        <v>98.667699999999996</v>
      </c>
      <c r="BB224">
        <v>9.9943900000000002E-2</v>
      </c>
      <c r="BC224">
        <v>26.448599999999999</v>
      </c>
      <c r="BD224">
        <v>26.998100000000001</v>
      </c>
      <c r="BE224">
        <v>27.826599999999999</v>
      </c>
      <c r="BF224">
        <v>0</v>
      </c>
      <c r="BG224">
        <v>0</v>
      </c>
      <c r="BH224">
        <v>10021.9</v>
      </c>
      <c r="BI224">
        <v>1079.22</v>
      </c>
      <c r="BJ224">
        <v>1.5460199999999999</v>
      </c>
      <c r="BK224">
        <v>-366.72399999999999</v>
      </c>
      <c r="BL224">
        <v>444.07299999999998</v>
      </c>
      <c r="BM224">
        <v>800.12699999999995</v>
      </c>
      <c r="BN224">
        <v>24.174900000000001</v>
      </c>
      <c r="BO224">
        <v>799.97900000000004</v>
      </c>
      <c r="BP224">
        <v>0.18385799999999999</v>
      </c>
      <c r="BQ224">
        <v>2.4034200000000001</v>
      </c>
      <c r="BR224">
        <v>1.8140799999999999E-2</v>
      </c>
      <c r="BS224">
        <v>20.386800000000001</v>
      </c>
      <c r="BT224">
        <v>-40.360900000000001</v>
      </c>
      <c r="BU224">
        <v>1800</v>
      </c>
      <c r="BV224">
        <v>0.91000700000000001</v>
      </c>
      <c r="BW224">
        <v>3.4001200000000002E-2</v>
      </c>
      <c r="BX224">
        <v>2.1992899999999999E-2</v>
      </c>
      <c r="BY224">
        <v>3.39992E-2</v>
      </c>
      <c r="BZ224">
        <v>25.041699999999999</v>
      </c>
      <c r="CA224">
        <v>33528.5</v>
      </c>
      <c r="CB224">
        <v>1690384821</v>
      </c>
      <c r="CC224" t="s">
        <v>332</v>
      </c>
      <c r="CD224">
        <v>1690384820</v>
      </c>
      <c r="CE224">
        <v>1690384821</v>
      </c>
      <c r="CF224">
        <v>5</v>
      </c>
      <c r="CG224">
        <v>-2.5000000000000001E-2</v>
      </c>
      <c r="CH224">
        <v>0.104</v>
      </c>
      <c r="CI224">
        <v>-0.28799999999999998</v>
      </c>
      <c r="CJ224">
        <v>0.28000000000000003</v>
      </c>
      <c r="CK224">
        <v>800</v>
      </c>
      <c r="CL224">
        <v>24</v>
      </c>
      <c r="CM224">
        <v>0.08</v>
      </c>
      <c r="CN224">
        <v>0.11</v>
      </c>
      <c r="CO224">
        <v>-366.42942499999998</v>
      </c>
      <c r="CP224">
        <v>-1.3626979362098079</v>
      </c>
      <c r="CQ224">
        <v>0.1703946723785722</v>
      </c>
      <c r="CR224">
        <v>-1</v>
      </c>
      <c r="CS224">
        <v>24.160407500000002</v>
      </c>
      <c r="CT224">
        <v>6.0629268292619901E-2</v>
      </c>
      <c r="CU224">
        <v>6.2005801139893872E-3</v>
      </c>
      <c r="CV224">
        <v>-1</v>
      </c>
      <c r="CW224">
        <v>0</v>
      </c>
      <c r="CX224">
        <v>0</v>
      </c>
      <c r="CY224" t="s">
        <v>333</v>
      </c>
      <c r="CZ224">
        <v>2.3649200000000001</v>
      </c>
      <c r="DA224">
        <v>2.7137500000000001</v>
      </c>
      <c r="DB224">
        <v>9.4749700000000006E-2</v>
      </c>
      <c r="DC224">
        <v>0.145481</v>
      </c>
      <c r="DD224">
        <v>0.114414</v>
      </c>
      <c r="DE224">
        <v>1.5406700000000001E-3</v>
      </c>
      <c r="DF224">
        <v>33079</v>
      </c>
      <c r="DG224">
        <v>27570.2</v>
      </c>
      <c r="DH224">
        <v>31194.2</v>
      </c>
      <c r="DI224">
        <v>28113.200000000001</v>
      </c>
      <c r="DJ224">
        <v>37502.300000000003</v>
      </c>
      <c r="DK224">
        <v>39923</v>
      </c>
      <c r="DL224">
        <v>44396.6</v>
      </c>
      <c r="DM224">
        <v>42610.3</v>
      </c>
      <c r="DN224">
        <v>1.4764200000000001</v>
      </c>
      <c r="DO224">
        <v>2.0319799999999999</v>
      </c>
      <c r="DP224">
        <v>0.10227799999999999</v>
      </c>
      <c r="DQ224">
        <v>0.167768</v>
      </c>
      <c r="DR224">
        <v>25.3232</v>
      </c>
      <c r="DS224">
        <v>25.080400000000001</v>
      </c>
      <c r="DT224">
        <v>24.2</v>
      </c>
      <c r="DU224">
        <v>29.1</v>
      </c>
      <c r="DV224">
        <v>9.9227900000000009</v>
      </c>
      <c r="DW224">
        <v>61.222200000000001</v>
      </c>
      <c r="DX224">
        <v>37.403799999999997</v>
      </c>
      <c r="DY224">
        <v>1</v>
      </c>
      <c r="DZ224">
        <v>-0.118966</v>
      </c>
      <c r="EA224">
        <v>-0.14552599999999999</v>
      </c>
      <c r="EB224">
        <v>20.1906</v>
      </c>
      <c r="EC224">
        <v>5.2411000000000003</v>
      </c>
      <c r="ED224">
        <v>12.039899999999999</v>
      </c>
      <c r="EE224">
        <v>5.0156999999999998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</v>
      </c>
      <c r="EL224">
        <v>1.8646199999999999</v>
      </c>
      <c r="EM224">
        <v>1.8692</v>
      </c>
      <c r="EN224">
        <v>1.8672299999999999</v>
      </c>
      <c r="EO224">
        <v>1.8633900000000001</v>
      </c>
      <c r="EP224">
        <v>1.86446</v>
      </c>
      <c r="EQ224">
        <v>1.8701399999999999</v>
      </c>
      <c r="ER224">
        <v>1.8694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-2.9000000000000001E-2</v>
      </c>
      <c r="FG224">
        <v>0.2797</v>
      </c>
      <c r="FH224">
        <v>0.26269369235785539</v>
      </c>
      <c r="FI224">
        <v>-6.1462078757559423E-4</v>
      </c>
      <c r="FJ224">
        <v>-1.8861989874597051E-7</v>
      </c>
      <c r="FK224">
        <v>1.1980462299894961E-10</v>
      </c>
      <c r="FL224">
        <v>0.27968571428570849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44.3</v>
      </c>
      <c r="FU224">
        <v>44.2</v>
      </c>
      <c r="FV224">
        <v>1.7651399999999999</v>
      </c>
      <c r="FW224">
        <v>2.5842299999999998</v>
      </c>
      <c r="FX224">
        <v>1.5490699999999999</v>
      </c>
      <c r="FY224">
        <v>2.3327599999999999</v>
      </c>
      <c r="FZ224">
        <v>1.50146</v>
      </c>
      <c r="GA224">
        <v>2.36694</v>
      </c>
      <c r="GB224">
        <v>33.512999999999998</v>
      </c>
      <c r="GC224">
        <v>23.991199999999999</v>
      </c>
      <c r="GD224">
        <v>19</v>
      </c>
      <c r="GE224">
        <v>281.613</v>
      </c>
      <c r="GF224">
        <v>575.98400000000004</v>
      </c>
      <c r="GG224">
        <v>24.965900000000001</v>
      </c>
      <c r="GH224">
        <v>25.919699999999999</v>
      </c>
      <c r="GI224">
        <v>30.0002</v>
      </c>
      <c r="GJ224">
        <v>26.0426</v>
      </c>
      <c r="GK224">
        <v>26.021999999999998</v>
      </c>
      <c r="GL224">
        <v>35.289000000000001</v>
      </c>
      <c r="GM224">
        <v>100</v>
      </c>
      <c r="GN224">
        <v>11.2629</v>
      </c>
      <c r="GO224">
        <v>24.964099999999998</v>
      </c>
      <c r="GP224">
        <v>800</v>
      </c>
      <c r="GQ224">
        <v>0</v>
      </c>
      <c r="GR224">
        <v>99.813800000000001</v>
      </c>
      <c r="GS224">
        <v>99.6798</v>
      </c>
    </row>
    <row r="225" spans="1:201" x14ac:dyDescent="0.25">
      <c r="A225">
        <v>209</v>
      </c>
      <c r="B225">
        <v>1690387486</v>
      </c>
      <c r="C225">
        <v>2151.400000095367</v>
      </c>
      <c r="D225" t="s">
        <v>751</v>
      </c>
      <c r="E225" t="s">
        <v>752</v>
      </c>
      <c r="F225" t="s">
        <v>330</v>
      </c>
      <c r="H225">
        <v>1690387486</v>
      </c>
      <c r="I225">
        <f t="shared" si="90"/>
        <v>2.3412785437287014E-3</v>
      </c>
      <c r="J225">
        <f t="shared" si="91"/>
        <v>2.3412785437287016</v>
      </c>
      <c r="K225">
        <f t="shared" si="92"/>
        <v>33.652930519438343</v>
      </c>
      <c r="L225">
        <f t="shared" si="93"/>
        <v>432.86900000000003</v>
      </c>
      <c r="M225">
        <f t="shared" si="94"/>
        <v>106.21874636392532</v>
      </c>
      <c r="N225">
        <f t="shared" si="95"/>
        <v>10.491168645116854</v>
      </c>
      <c r="O225">
        <f t="shared" si="96"/>
        <v>42.754239112216005</v>
      </c>
      <c r="P225">
        <f t="shared" si="97"/>
        <v>0.174369026947296</v>
      </c>
      <c r="Q225">
        <f t="shared" si="98"/>
        <v>2.1568246863949661</v>
      </c>
      <c r="R225">
        <f t="shared" si="99"/>
        <v>0.16689892438852866</v>
      </c>
      <c r="S225">
        <f t="shared" si="100"/>
        <v>0.10495631772724431</v>
      </c>
      <c r="T225">
        <f t="shared" si="101"/>
        <v>276.11401867200004</v>
      </c>
      <c r="U225">
        <f t="shared" si="102"/>
        <v>27.797390572682314</v>
      </c>
      <c r="V225">
        <f t="shared" si="103"/>
        <v>27.797390572682314</v>
      </c>
      <c r="W225">
        <f t="shared" si="104"/>
        <v>3.750247459333198</v>
      </c>
      <c r="X225">
        <f t="shared" si="105"/>
        <v>69.507859436444846</v>
      </c>
      <c r="Y225">
        <f t="shared" si="106"/>
        <v>2.4078908859096</v>
      </c>
      <c r="Z225">
        <f t="shared" si="107"/>
        <v>3.464199452309817</v>
      </c>
      <c r="AA225">
        <f t="shared" si="108"/>
        <v>1.342356573423598</v>
      </c>
      <c r="AB225">
        <f t="shared" si="109"/>
        <v>-103.25038377843573</v>
      </c>
      <c r="AC225">
        <f t="shared" si="110"/>
        <v>-157.21937800713317</v>
      </c>
      <c r="AD225">
        <f t="shared" si="111"/>
        <v>-15.750534380950258</v>
      </c>
      <c r="AE225">
        <f t="shared" si="112"/>
        <v>-0.1062774945191336</v>
      </c>
      <c r="AF225">
        <v>0</v>
      </c>
      <c r="AG225">
        <v>0</v>
      </c>
      <c r="AH225">
        <f t="shared" si="113"/>
        <v>1</v>
      </c>
      <c r="AI225">
        <f t="shared" si="114"/>
        <v>0</v>
      </c>
      <c r="AJ225">
        <f t="shared" si="115"/>
        <v>52220.094301972596</v>
      </c>
      <c r="AK225">
        <f t="shared" si="116"/>
        <v>1800</v>
      </c>
      <c r="AL225">
        <f t="shared" si="117"/>
        <v>1499.1117012000002</v>
      </c>
      <c r="AM225">
        <f t="shared" si="118"/>
        <v>0.83283983400000006</v>
      </c>
      <c r="AN225">
        <f t="shared" si="119"/>
        <v>0.15339667704000001</v>
      </c>
      <c r="AO225">
        <v>31.8</v>
      </c>
      <c r="AP225">
        <v>0.5</v>
      </c>
      <c r="AQ225" t="s">
        <v>331</v>
      </c>
      <c r="AR225">
        <v>2</v>
      </c>
      <c r="AS225">
        <v>1690387486</v>
      </c>
      <c r="AT225">
        <v>432.86900000000003</v>
      </c>
      <c r="AU225">
        <v>800.08799999999997</v>
      </c>
      <c r="AV225">
        <v>24.378900000000002</v>
      </c>
      <c r="AW225">
        <v>0.182503</v>
      </c>
      <c r="AX225">
        <v>432.89800000000002</v>
      </c>
      <c r="AY225">
        <v>24.0992</v>
      </c>
      <c r="AZ225">
        <v>300.2</v>
      </c>
      <c r="BA225">
        <v>98.669399999999996</v>
      </c>
      <c r="BB225">
        <v>0.100064</v>
      </c>
      <c r="BC225">
        <v>26.4453</v>
      </c>
      <c r="BD225">
        <v>27.013100000000001</v>
      </c>
      <c r="BE225">
        <v>27.827300000000001</v>
      </c>
      <c r="BF225">
        <v>0</v>
      </c>
      <c r="BG225">
        <v>0</v>
      </c>
      <c r="BH225">
        <v>9990</v>
      </c>
      <c r="BI225">
        <v>1079.23</v>
      </c>
      <c r="BJ225">
        <v>1.5460199999999999</v>
      </c>
      <c r="BK225">
        <v>-367.21899999999999</v>
      </c>
      <c r="BL225">
        <v>443.68599999999998</v>
      </c>
      <c r="BM225">
        <v>800.23400000000004</v>
      </c>
      <c r="BN225">
        <v>24.196400000000001</v>
      </c>
      <c r="BO225">
        <v>800.08799999999997</v>
      </c>
      <c r="BP225">
        <v>0.182503</v>
      </c>
      <c r="BQ225">
        <v>2.4054500000000001</v>
      </c>
      <c r="BR225">
        <v>1.80074E-2</v>
      </c>
      <c r="BS225">
        <v>20.400500000000001</v>
      </c>
      <c r="BT225">
        <v>-40.4313</v>
      </c>
      <c r="BU225">
        <v>1800</v>
      </c>
      <c r="BV225">
        <v>0.91001100000000001</v>
      </c>
      <c r="BW225">
        <v>3.4001099999999999E-2</v>
      </c>
      <c r="BX225">
        <v>2.1990200000000001E-2</v>
      </c>
      <c r="BY225">
        <v>3.3997800000000002E-2</v>
      </c>
      <c r="BZ225">
        <v>25.458300000000001</v>
      </c>
      <c r="CA225">
        <v>33528.5</v>
      </c>
      <c r="CB225">
        <v>1690384821</v>
      </c>
      <c r="CC225" t="s">
        <v>332</v>
      </c>
      <c r="CD225">
        <v>1690384820</v>
      </c>
      <c r="CE225">
        <v>1690384821</v>
      </c>
      <c r="CF225">
        <v>5</v>
      </c>
      <c r="CG225">
        <v>-2.5000000000000001E-2</v>
      </c>
      <c r="CH225">
        <v>0.104</v>
      </c>
      <c r="CI225">
        <v>-0.28799999999999998</v>
      </c>
      <c r="CJ225">
        <v>0.28000000000000003</v>
      </c>
      <c r="CK225">
        <v>800</v>
      </c>
      <c r="CL225">
        <v>24</v>
      </c>
      <c r="CM225">
        <v>0.08</v>
      </c>
      <c r="CN225">
        <v>0.11</v>
      </c>
      <c r="CO225">
        <v>-366.70887804878049</v>
      </c>
      <c r="CP225">
        <v>-2.4545435540067531</v>
      </c>
      <c r="CQ225">
        <v>0.25296015256643978</v>
      </c>
      <c r="CR225">
        <v>-1</v>
      </c>
      <c r="CS225">
        <v>24.173170731707319</v>
      </c>
      <c r="CT225">
        <v>9.5981184668980701E-2</v>
      </c>
      <c r="CU225">
        <v>9.6825022945576274E-3</v>
      </c>
      <c r="CV225">
        <v>-1</v>
      </c>
      <c r="CW225">
        <v>0</v>
      </c>
      <c r="CX225">
        <v>0</v>
      </c>
      <c r="CY225" t="s">
        <v>333</v>
      </c>
      <c r="CZ225">
        <v>2.3650899999999999</v>
      </c>
      <c r="DA225">
        <v>2.7138499999999999</v>
      </c>
      <c r="DB225">
        <v>9.4687800000000003E-2</v>
      </c>
      <c r="DC225">
        <v>0.14549699999999999</v>
      </c>
      <c r="DD225">
        <v>0.114483</v>
      </c>
      <c r="DE225">
        <v>1.52947E-3</v>
      </c>
      <c r="DF225">
        <v>33081.300000000003</v>
      </c>
      <c r="DG225">
        <v>27570.1</v>
      </c>
      <c r="DH225">
        <v>31194.2</v>
      </c>
      <c r="DI225">
        <v>28113.599999999999</v>
      </c>
      <c r="DJ225">
        <v>37499.599999999999</v>
      </c>
      <c r="DK225">
        <v>39924.1</v>
      </c>
      <c r="DL225">
        <v>44396.800000000003</v>
      </c>
      <c r="DM225">
        <v>42610.9</v>
      </c>
      <c r="DN225">
        <v>1.4763299999999999</v>
      </c>
      <c r="DO225">
        <v>2.0317500000000002</v>
      </c>
      <c r="DP225">
        <v>0.10309699999999999</v>
      </c>
      <c r="DQ225">
        <v>0.16791700000000001</v>
      </c>
      <c r="DR225">
        <v>25.3248</v>
      </c>
      <c r="DS225">
        <v>25.078700000000001</v>
      </c>
      <c r="DT225">
        <v>24</v>
      </c>
      <c r="DU225">
        <v>29.1</v>
      </c>
      <c r="DV225">
        <v>9.8381100000000004</v>
      </c>
      <c r="DW225">
        <v>61.3322</v>
      </c>
      <c r="DX225">
        <v>37.423900000000003</v>
      </c>
      <c r="DY225">
        <v>1</v>
      </c>
      <c r="DZ225">
        <v>-0.11935</v>
      </c>
      <c r="EA225">
        <v>-0.17988299999999999</v>
      </c>
      <c r="EB225">
        <v>20.190200000000001</v>
      </c>
      <c r="EC225">
        <v>5.2415500000000002</v>
      </c>
      <c r="ED225">
        <v>12.039899999999999</v>
      </c>
      <c r="EE225">
        <v>5.0159500000000001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</v>
      </c>
      <c r="EL225">
        <v>1.8646199999999999</v>
      </c>
      <c r="EM225">
        <v>1.8692</v>
      </c>
      <c r="EN225">
        <v>1.8672299999999999</v>
      </c>
      <c r="EO225">
        <v>1.86337</v>
      </c>
      <c r="EP225">
        <v>1.8644499999999999</v>
      </c>
      <c r="EQ225">
        <v>1.8701399999999999</v>
      </c>
      <c r="ER225">
        <v>1.8693900000000001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-2.9000000000000001E-2</v>
      </c>
      <c r="FG225">
        <v>0.2797</v>
      </c>
      <c r="FH225">
        <v>0.26269369235785539</v>
      </c>
      <c r="FI225">
        <v>-6.1462078757559423E-4</v>
      </c>
      <c r="FJ225">
        <v>-1.8861989874597051E-7</v>
      </c>
      <c r="FK225">
        <v>1.1980462299894961E-10</v>
      </c>
      <c r="FL225">
        <v>0.27968571428570849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44.4</v>
      </c>
      <c r="FU225">
        <v>44.4</v>
      </c>
      <c r="FV225">
        <v>1.7651399999999999</v>
      </c>
      <c r="FW225">
        <v>2.5793499999999998</v>
      </c>
      <c r="FX225">
        <v>1.5490699999999999</v>
      </c>
      <c r="FY225">
        <v>2.3327599999999999</v>
      </c>
      <c r="FZ225">
        <v>1.50146</v>
      </c>
      <c r="GA225">
        <v>2.3864700000000001</v>
      </c>
      <c r="GB225">
        <v>33.512999999999998</v>
      </c>
      <c r="GC225">
        <v>23.991199999999999</v>
      </c>
      <c r="GD225">
        <v>19</v>
      </c>
      <c r="GE225">
        <v>281.57</v>
      </c>
      <c r="GF225">
        <v>575.80100000000004</v>
      </c>
      <c r="GG225">
        <v>24.969000000000001</v>
      </c>
      <c r="GH225">
        <v>25.918900000000001</v>
      </c>
      <c r="GI225">
        <v>30</v>
      </c>
      <c r="GJ225">
        <v>26.0426</v>
      </c>
      <c r="GK225">
        <v>26.021999999999998</v>
      </c>
      <c r="GL225">
        <v>35.2864</v>
      </c>
      <c r="GM225">
        <v>100</v>
      </c>
      <c r="GN225">
        <v>10.4838</v>
      </c>
      <c r="GO225">
        <v>24.969000000000001</v>
      </c>
      <c r="GP225">
        <v>800</v>
      </c>
      <c r="GQ225">
        <v>0</v>
      </c>
      <c r="GR225">
        <v>99.814099999999996</v>
      </c>
      <c r="GS225">
        <v>99.681399999999996</v>
      </c>
    </row>
    <row r="226" spans="1:201" x14ac:dyDescent="0.25">
      <c r="A226">
        <v>210</v>
      </c>
      <c r="B226">
        <v>1690387496</v>
      </c>
      <c r="C226">
        <v>2161.400000095367</v>
      </c>
      <c r="D226" t="s">
        <v>753</v>
      </c>
      <c r="E226" t="s">
        <v>754</v>
      </c>
      <c r="F226" t="s">
        <v>330</v>
      </c>
      <c r="H226">
        <v>1690387496</v>
      </c>
      <c r="I226">
        <f t="shared" si="90"/>
        <v>2.3408827107634215E-3</v>
      </c>
      <c r="J226">
        <f t="shared" si="91"/>
        <v>2.3408827107634216</v>
      </c>
      <c r="K226">
        <f t="shared" si="92"/>
        <v>33.635093368896499</v>
      </c>
      <c r="L226">
        <f t="shared" si="93"/>
        <v>432.87900000000002</v>
      </c>
      <c r="M226">
        <f t="shared" si="94"/>
        <v>106.43875404746107</v>
      </c>
      <c r="N226">
        <f t="shared" si="95"/>
        <v>10.512736984340412</v>
      </c>
      <c r="O226">
        <f t="shared" si="96"/>
        <v>42.754569177079205</v>
      </c>
      <c r="P226">
        <f t="shared" si="97"/>
        <v>0.17439122828842635</v>
      </c>
      <c r="Q226">
        <f t="shared" si="98"/>
        <v>2.157107221574825</v>
      </c>
      <c r="R226">
        <f t="shared" si="99"/>
        <v>0.16692020077409803</v>
      </c>
      <c r="S226">
        <f t="shared" si="100"/>
        <v>0.10496969536319734</v>
      </c>
      <c r="T226">
        <f t="shared" si="101"/>
        <v>276.11546805</v>
      </c>
      <c r="U226">
        <f t="shared" si="102"/>
        <v>27.79647846279029</v>
      </c>
      <c r="V226">
        <f t="shared" si="103"/>
        <v>27.79647846279029</v>
      </c>
      <c r="W226">
        <f t="shared" si="104"/>
        <v>3.7500477517716559</v>
      </c>
      <c r="X226">
        <f t="shared" si="105"/>
        <v>69.517893025879943</v>
      </c>
      <c r="Y226">
        <f t="shared" si="106"/>
        <v>2.4081106461411999</v>
      </c>
      <c r="Z226">
        <f t="shared" si="107"/>
        <v>3.4640155812039852</v>
      </c>
      <c r="AA226">
        <f t="shared" si="108"/>
        <v>1.3419371056304561</v>
      </c>
      <c r="AB226">
        <f t="shared" si="109"/>
        <v>-103.23292754466689</v>
      </c>
      <c r="AC226">
        <f t="shared" si="110"/>
        <v>-157.23856479289145</v>
      </c>
      <c r="AD226">
        <f t="shared" si="111"/>
        <v>-15.75025066250109</v>
      </c>
      <c r="AE226">
        <f t="shared" si="112"/>
        <v>-0.10627495005945775</v>
      </c>
      <c r="AF226">
        <v>0</v>
      </c>
      <c r="AG226">
        <v>0</v>
      </c>
      <c r="AH226">
        <f t="shared" si="113"/>
        <v>1</v>
      </c>
      <c r="AI226">
        <f t="shared" si="114"/>
        <v>0</v>
      </c>
      <c r="AJ226">
        <f t="shared" si="115"/>
        <v>52232.046824382785</v>
      </c>
      <c r="AK226">
        <f t="shared" si="116"/>
        <v>1800</v>
      </c>
      <c r="AL226">
        <f t="shared" si="117"/>
        <v>1499.1120450000001</v>
      </c>
      <c r="AM226">
        <f t="shared" si="118"/>
        <v>0.83284002499999998</v>
      </c>
      <c r="AN226">
        <f t="shared" si="119"/>
        <v>0.15339748224999999</v>
      </c>
      <c r="AO226">
        <v>31.8</v>
      </c>
      <c r="AP226">
        <v>0.5</v>
      </c>
      <c r="AQ226" t="s">
        <v>331</v>
      </c>
      <c r="AR226">
        <v>2</v>
      </c>
      <c r="AS226">
        <v>1690387496</v>
      </c>
      <c r="AT226">
        <v>432.87900000000002</v>
      </c>
      <c r="AU226">
        <v>800.02</v>
      </c>
      <c r="AV226">
        <v>24.381499999999999</v>
      </c>
      <c r="AW226">
        <v>0.181842</v>
      </c>
      <c r="AX226">
        <v>432.90800000000002</v>
      </c>
      <c r="AY226">
        <v>24.101800000000001</v>
      </c>
      <c r="AZ226">
        <v>300.108</v>
      </c>
      <c r="BA226">
        <v>98.668000000000006</v>
      </c>
      <c r="BB226">
        <v>9.99448E-2</v>
      </c>
      <c r="BC226">
        <v>26.444400000000002</v>
      </c>
      <c r="BD226">
        <v>27.026700000000002</v>
      </c>
      <c r="BE226">
        <v>27.811599999999999</v>
      </c>
      <c r="BF226">
        <v>0</v>
      </c>
      <c r="BG226">
        <v>0</v>
      </c>
      <c r="BH226">
        <v>9992.5</v>
      </c>
      <c r="BI226">
        <v>1079.1400000000001</v>
      </c>
      <c r="BJ226">
        <v>1.5600400000000001</v>
      </c>
      <c r="BK226">
        <v>-367.14100000000002</v>
      </c>
      <c r="BL226">
        <v>443.697</v>
      </c>
      <c r="BM226">
        <v>800.16499999999996</v>
      </c>
      <c r="BN226">
        <v>24.1997</v>
      </c>
      <c r="BO226">
        <v>800.02</v>
      </c>
      <c r="BP226">
        <v>0.181842</v>
      </c>
      <c r="BQ226">
        <v>2.4056799999999998</v>
      </c>
      <c r="BR226">
        <v>1.7942E-2</v>
      </c>
      <c r="BS226">
        <v>20.402000000000001</v>
      </c>
      <c r="BT226">
        <v>-40.466000000000001</v>
      </c>
      <c r="BU226">
        <v>1800</v>
      </c>
      <c r="BV226">
        <v>0.90999699999999994</v>
      </c>
      <c r="BW226">
        <v>3.4000099999999998E-2</v>
      </c>
      <c r="BX226">
        <v>2.1999999999999999E-2</v>
      </c>
      <c r="BY226">
        <v>3.40033E-2</v>
      </c>
      <c r="BZ226">
        <v>25.583300000000001</v>
      </c>
      <c r="CA226">
        <v>33528.400000000001</v>
      </c>
      <c r="CB226">
        <v>1690384821</v>
      </c>
      <c r="CC226" t="s">
        <v>332</v>
      </c>
      <c r="CD226">
        <v>1690384820</v>
      </c>
      <c r="CE226">
        <v>1690384821</v>
      </c>
      <c r="CF226">
        <v>5</v>
      </c>
      <c r="CG226">
        <v>-2.5000000000000001E-2</v>
      </c>
      <c r="CH226">
        <v>0.104</v>
      </c>
      <c r="CI226">
        <v>-0.28799999999999998</v>
      </c>
      <c r="CJ226">
        <v>0.28000000000000003</v>
      </c>
      <c r="CK226">
        <v>800</v>
      </c>
      <c r="CL226">
        <v>24</v>
      </c>
      <c r="CM226">
        <v>0.08</v>
      </c>
      <c r="CN226">
        <v>0.11</v>
      </c>
      <c r="CO226">
        <v>-367.03095000000002</v>
      </c>
      <c r="CP226">
        <v>-1.657936210130796</v>
      </c>
      <c r="CQ226">
        <v>0.17439537694560919</v>
      </c>
      <c r="CR226">
        <v>-1</v>
      </c>
      <c r="CS226">
        <v>24.189744999999998</v>
      </c>
      <c r="CT226">
        <v>0.101308818011179</v>
      </c>
      <c r="CU226">
        <v>1.005646433892133E-2</v>
      </c>
      <c r="CV226">
        <v>-1</v>
      </c>
      <c r="CW226">
        <v>0</v>
      </c>
      <c r="CX226">
        <v>0</v>
      </c>
      <c r="CY226" t="s">
        <v>333</v>
      </c>
      <c r="CZ226">
        <v>2.3647900000000002</v>
      </c>
      <c r="DA226">
        <v>2.71373</v>
      </c>
      <c r="DB226">
        <v>9.4688700000000001E-2</v>
      </c>
      <c r="DC226">
        <v>0.14548700000000001</v>
      </c>
      <c r="DD226">
        <v>0.114491</v>
      </c>
      <c r="DE226">
        <v>1.5239800000000001E-3</v>
      </c>
      <c r="DF226">
        <v>33081.5</v>
      </c>
      <c r="DG226">
        <v>27570.3</v>
      </c>
      <c r="DH226">
        <v>31194.5</v>
      </c>
      <c r="DI226">
        <v>28113.5</v>
      </c>
      <c r="DJ226">
        <v>37499.199999999997</v>
      </c>
      <c r="DK226">
        <v>39924.400000000001</v>
      </c>
      <c r="DL226">
        <v>44396.800000000003</v>
      </c>
      <c r="DM226">
        <v>42611</v>
      </c>
      <c r="DN226">
        <v>1.4762299999999999</v>
      </c>
      <c r="DO226">
        <v>2.0324499999999999</v>
      </c>
      <c r="DP226">
        <v>0.10380499999999999</v>
      </c>
      <c r="DQ226">
        <v>0.16696800000000001</v>
      </c>
      <c r="DR226">
        <v>25.326799999999999</v>
      </c>
      <c r="DS226">
        <v>25.078499999999998</v>
      </c>
      <c r="DT226">
        <v>23.8</v>
      </c>
      <c r="DU226">
        <v>29.1</v>
      </c>
      <c r="DV226">
        <v>9.7563499999999994</v>
      </c>
      <c r="DW226">
        <v>61.232199999999999</v>
      </c>
      <c r="DX226">
        <v>37.604199999999999</v>
      </c>
      <c r="DY226">
        <v>1</v>
      </c>
      <c r="DZ226">
        <v>-0.119327</v>
      </c>
      <c r="EA226">
        <v>-7.8869800000000004E-2</v>
      </c>
      <c r="EB226">
        <v>20.190300000000001</v>
      </c>
      <c r="EC226">
        <v>5.2415500000000002</v>
      </c>
      <c r="ED226">
        <v>12.039899999999999</v>
      </c>
      <c r="EE226">
        <v>5.016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</v>
      </c>
      <c r="EL226">
        <v>1.8646</v>
      </c>
      <c r="EM226">
        <v>1.8692</v>
      </c>
      <c r="EN226">
        <v>1.86724</v>
      </c>
      <c r="EO226">
        <v>1.86338</v>
      </c>
      <c r="EP226">
        <v>1.86446</v>
      </c>
      <c r="EQ226">
        <v>1.8701300000000001</v>
      </c>
      <c r="ER226">
        <v>1.86937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-2.9000000000000001E-2</v>
      </c>
      <c r="FG226">
        <v>0.2797</v>
      </c>
      <c r="FH226">
        <v>0.26269369235785539</v>
      </c>
      <c r="FI226">
        <v>-6.1462078757559423E-4</v>
      </c>
      <c r="FJ226">
        <v>-1.8861989874597051E-7</v>
      </c>
      <c r="FK226">
        <v>1.1980462299894961E-10</v>
      </c>
      <c r="FL226">
        <v>0.27968571428570849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44.6</v>
      </c>
      <c r="FU226">
        <v>44.6</v>
      </c>
      <c r="FV226">
        <v>1.7651399999999999</v>
      </c>
      <c r="FW226">
        <v>2.5793499999999998</v>
      </c>
      <c r="FX226">
        <v>1.5490699999999999</v>
      </c>
      <c r="FY226">
        <v>2.3327599999999999</v>
      </c>
      <c r="FZ226">
        <v>1.50146</v>
      </c>
      <c r="GA226">
        <v>2.4377399999999998</v>
      </c>
      <c r="GB226">
        <v>33.490600000000001</v>
      </c>
      <c r="GC226">
        <v>23.991199999999999</v>
      </c>
      <c r="GD226">
        <v>19</v>
      </c>
      <c r="GE226">
        <v>281.51799999999997</v>
      </c>
      <c r="GF226">
        <v>576.34799999999996</v>
      </c>
      <c r="GG226">
        <v>24.9526</v>
      </c>
      <c r="GH226">
        <v>25.918900000000001</v>
      </c>
      <c r="GI226">
        <v>30</v>
      </c>
      <c r="GJ226">
        <v>26.040500000000002</v>
      </c>
      <c r="GK226">
        <v>26.0198</v>
      </c>
      <c r="GL226">
        <v>35.286499999999997</v>
      </c>
      <c r="GM226">
        <v>100</v>
      </c>
      <c r="GN226">
        <v>10.094099999999999</v>
      </c>
      <c r="GO226">
        <v>24.9404</v>
      </c>
      <c r="GP226">
        <v>800</v>
      </c>
      <c r="GQ226">
        <v>0</v>
      </c>
      <c r="GR226">
        <v>99.814400000000006</v>
      </c>
      <c r="GS226">
        <v>99.681399999999996</v>
      </c>
    </row>
    <row r="227" spans="1:201" x14ac:dyDescent="0.25">
      <c r="A227">
        <v>211</v>
      </c>
      <c r="B227">
        <v>1690387506</v>
      </c>
      <c r="C227">
        <v>2171.400000095367</v>
      </c>
      <c r="D227" t="s">
        <v>755</v>
      </c>
      <c r="E227" t="s">
        <v>756</v>
      </c>
      <c r="F227" t="s">
        <v>330</v>
      </c>
      <c r="H227">
        <v>1690387506</v>
      </c>
      <c r="I227">
        <f t="shared" si="90"/>
        <v>2.3422417093498472E-3</v>
      </c>
      <c r="J227">
        <f t="shared" si="91"/>
        <v>2.3422417093498473</v>
      </c>
      <c r="K227">
        <f t="shared" si="92"/>
        <v>33.665578365761213</v>
      </c>
      <c r="L227">
        <f t="shared" si="93"/>
        <v>432.44499999999999</v>
      </c>
      <c r="M227">
        <f t="shared" si="94"/>
        <v>106.28094990064947</v>
      </c>
      <c r="N227">
        <f t="shared" si="95"/>
        <v>10.497118736810616</v>
      </c>
      <c r="O227">
        <f t="shared" si="96"/>
        <v>42.711572641978499</v>
      </c>
      <c r="P227">
        <f t="shared" si="97"/>
        <v>0.17470499594598196</v>
      </c>
      <c r="Q227">
        <f t="shared" si="98"/>
        <v>2.1568040625749352</v>
      </c>
      <c r="R227">
        <f t="shared" si="99"/>
        <v>0.16720667632187725</v>
      </c>
      <c r="S227">
        <f t="shared" si="100"/>
        <v>0.10515104760993006</v>
      </c>
      <c r="T227">
        <f t="shared" si="101"/>
        <v>276.115474818</v>
      </c>
      <c r="U227">
        <f t="shared" si="102"/>
        <v>27.794284917943127</v>
      </c>
      <c r="V227">
        <f t="shared" si="103"/>
        <v>27.794284917943127</v>
      </c>
      <c r="W227">
        <f t="shared" si="104"/>
        <v>3.7495675104719286</v>
      </c>
      <c r="X227">
        <f t="shared" si="105"/>
        <v>69.555981526287141</v>
      </c>
      <c r="Y227">
        <f t="shared" si="106"/>
        <v>2.4091600601178595</v>
      </c>
      <c r="Z227">
        <f t="shared" si="107"/>
        <v>3.4636274368544009</v>
      </c>
      <c r="AA227">
        <f t="shared" si="108"/>
        <v>1.3404074503540691</v>
      </c>
      <c r="AB227">
        <f t="shared" si="109"/>
        <v>-103.29285938232826</v>
      </c>
      <c r="AC227">
        <f t="shared" si="110"/>
        <v>-157.1823338505105</v>
      </c>
      <c r="AD227">
        <f t="shared" si="111"/>
        <v>-15.746508978891214</v>
      </c>
      <c r="AE227">
        <f t="shared" si="112"/>
        <v>-0.10622739372996648</v>
      </c>
      <c r="AF227">
        <v>0</v>
      </c>
      <c r="AG227">
        <v>0</v>
      </c>
      <c r="AH227">
        <f t="shared" si="113"/>
        <v>1</v>
      </c>
      <c r="AI227">
        <f t="shared" si="114"/>
        <v>0</v>
      </c>
      <c r="AJ227">
        <f t="shared" si="115"/>
        <v>52219.682875334467</v>
      </c>
      <c r="AK227">
        <f t="shared" si="116"/>
        <v>1800</v>
      </c>
      <c r="AL227">
        <f t="shared" si="117"/>
        <v>1499.1115517999999</v>
      </c>
      <c r="AM227">
        <f t="shared" si="118"/>
        <v>0.83283975099999996</v>
      </c>
      <c r="AN227">
        <f t="shared" si="119"/>
        <v>0.15339748601</v>
      </c>
      <c r="AO227">
        <v>31.8</v>
      </c>
      <c r="AP227">
        <v>0.5</v>
      </c>
      <c r="AQ227" t="s">
        <v>331</v>
      </c>
      <c r="AR227">
        <v>2</v>
      </c>
      <c r="AS227">
        <v>1690387506</v>
      </c>
      <c r="AT227">
        <v>432.44499999999999</v>
      </c>
      <c r="AU227">
        <v>799.88</v>
      </c>
      <c r="AV227">
        <v>24.392199999999999</v>
      </c>
      <c r="AW227">
        <v>0.180372</v>
      </c>
      <c r="AX227">
        <v>432.47300000000001</v>
      </c>
      <c r="AY227">
        <v>24.112500000000001</v>
      </c>
      <c r="AZ227">
        <v>300.12799999999999</v>
      </c>
      <c r="BA227">
        <v>98.667699999999996</v>
      </c>
      <c r="BB227">
        <v>9.9941299999999997E-2</v>
      </c>
      <c r="BC227">
        <v>26.442499999999999</v>
      </c>
      <c r="BD227">
        <v>27.0108</v>
      </c>
      <c r="BE227">
        <v>27.7989</v>
      </c>
      <c r="BF227">
        <v>0</v>
      </c>
      <c r="BG227">
        <v>0</v>
      </c>
      <c r="BH227">
        <v>9990</v>
      </c>
      <c r="BI227">
        <v>1079.05</v>
      </c>
      <c r="BJ227">
        <v>1.55583</v>
      </c>
      <c r="BK227">
        <v>-367.435</v>
      </c>
      <c r="BL227">
        <v>443.25700000000001</v>
      </c>
      <c r="BM227">
        <v>800.024</v>
      </c>
      <c r="BN227">
        <v>24.2119</v>
      </c>
      <c r="BO227">
        <v>799.88</v>
      </c>
      <c r="BP227">
        <v>0.180372</v>
      </c>
      <c r="BQ227">
        <v>2.40673</v>
      </c>
      <c r="BR227">
        <v>1.7796900000000001E-2</v>
      </c>
      <c r="BS227">
        <v>20.409099999999999</v>
      </c>
      <c r="BT227">
        <v>-40.543399999999998</v>
      </c>
      <c r="BU227">
        <v>1800</v>
      </c>
      <c r="BV227">
        <v>0.90999399999999997</v>
      </c>
      <c r="BW227">
        <v>3.3999700000000001E-2</v>
      </c>
      <c r="BX227">
        <v>2.19998E-2</v>
      </c>
      <c r="BY227">
        <v>3.40069E-2</v>
      </c>
      <c r="BZ227">
        <v>25.666699999999999</v>
      </c>
      <c r="CA227">
        <v>33528.400000000001</v>
      </c>
      <c r="CB227">
        <v>1690384821</v>
      </c>
      <c r="CC227" t="s">
        <v>332</v>
      </c>
      <c r="CD227">
        <v>1690384820</v>
      </c>
      <c r="CE227">
        <v>1690384821</v>
      </c>
      <c r="CF227">
        <v>5</v>
      </c>
      <c r="CG227">
        <v>-2.5000000000000001E-2</v>
      </c>
      <c r="CH227">
        <v>0.104</v>
      </c>
      <c r="CI227">
        <v>-0.28799999999999998</v>
      </c>
      <c r="CJ227">
        <v>0.28000000000000003</v>
      </c>
      <c r="CK227">
        <v>800</v>
      </c>
      <c r="CL227">
        <v>24</v>
      </c>
      <c r="CM227">
        <v>0.08</v>
      </c>
      <c r="CN227">
        <v>0.11</v>
      </c>
      <c r="CO227">
        <v>-367.28985</v>
      </c>
      <c r="CP227">
        <v>-1.319324577861305</v>
      </c>
      <c r="CQ227">
        <v>0.1530624954062921</v>
      </c>
      <c r="CR227">
        <v>-1</v>
      </c>
      <c r="CS227">
        <v>24.201689999999999</v>
      </c>
      <c r="CT227">
        <v>4.0977861163172348E-2</v>
      </c>
      <c r="CU227">
        <v>4.3408985244993191E-3</v>
      </c>
      <c r="CV227">
        <v>-1</v>
      </c>
      <c r="CW227">
        <v>0</v>
      </c>
      <c r="CX227">
        <v>0</v>
      </c>
      <c r="CY227" t="s">
        <v>333</v>
      </c>
      <c r="CZ227">
        <v>2.3648500000000001</v>
      </c>
      <c r="DA227">
        <v>2.7137199999999999</v>
      </c>
      <c r="DB227">
        <v>9.4616900000000004E-2</v>
      </c>
      <c r="DC227">
        <v>0.14546999999999999</v>
      </c>
      <c r="DD227">
        <v>0.114526</v>
      </c>
      <c r="DE227">
        <v>1.5117900000000001E-3</v>
      </c>
      <c r="DF227">
        <v>33083.800000000003</v>
      </c>
      <c r="DG227">
        <v>27571.200000000001</v>
      </c>
      <c r="DH227">
        <v>31194.2</v>
      </c>
      <c r="DI227">
        <v>28113.9</v>
      </c>
      <c r="DJ227">
        <v>37497.5</v>
      </c>
      <c r="DK227">
        <v>39925.5</v>
      </c>
      <c r="DL227">
        <v>44396.6</v>
      </c>
      <c r="DM227">
        <v>42611.6</v>
      </c>
      <c r="DN227">
        <v>1.4764200000000001</v>
      </c>
      <c r="DO227">
        <v>2.0322499999999999</v>
      </c>
      <c r="DP227">
        <v>0.10270600000000001</v>
      </c>
      <c r="DQ227">
        <v>0.166073</v>
      </c>
      <c r="DR227">
        <v>25.328900000000001</v>
      </c>
      <c r="DS227">
        <v>25.080400000000001</v>
      </c>
      <c r="DT227">
        <v>23.7</v>
      </c>
      <c r="DU227">
        <v>29.1</v>
      </c>
      <c r="DV227">
        <v>9.7167600000000007</v>
      </c>
      <c r="DW227">
        <v>61.042200000000001</v>
      </c>
      <c r="DX227">
        <v>37.772399999999998</v>
      </c>
      <c r="DY227">
        <v>1</v>
      </c>
      <c r="DZ227">
        <v>-0.11969299999999999</v>
      </c>
      <c r="EA227">
        <v>-5.0974899999999997E-2</v>
      </c>
      <c r="EB227">
        <v>20.1906</v>
      </c>
      <c r="EC227">
        <v>5.24125</v>
      </c>
      <c r="ED227">
        <v>12.039899999999999</v>
      </c>
      <c r="EE227">
        <v>5.0159500000000001</v>
      </c>
      <c r="EF227">
        <v>3.2879999999999998</v>
      </c>
      <c r="EG227">
        <v>9999</v>
      </c>
      <c r="EH227">
        <v>9999</v>
      </c>
      <c r="EI227">
        <v>9999</v>
      </c>
      <c r="EJ227">
        <v>999.9</v>
      </c>
      <c r="EK227">
        <v>1.8689</v>
      </c>
      <c r="EL227">
        <v>1.8646199999999999</v>
      </c>
      <c r="EM227">
        <v>1.8692</v>
      </c>
      <c r="EN227">
        <v>1.86724</v>
      </c>
      <c r="EO227">
        <v>1.8633599999999999</v>
      </c>
      <c r="EP227">
        <v>1.86446</v>
      </c>
      <c r="EQ227">
        <v>1.8701399999999999</v>
      </c>
      <c r="ER227">
        <v>1.8693599999999999</v>
      </c>
      <c r="ES227">
        <v>0</v>
      </c>
      <c r="ET227">
        <v>0</v>
      </c>
      <c r="EU227">
        <v>0</v>
      </c>
      <c r="EV227">
        <v>0</v>
      </c>
      <c r="EW227" t="s">
        <v>334</v>
      </c>
      <c r="EX227" t="s">
        <v>335</v>
      </c>
      <c r="EY227" t="s">
        <v>336</v>
      </c>
      <c r="EZ227" t="s">
        <v>336</v>
      </c>
      <c r="FA227" t="s">
        <v>336</v>
      </c>
      <c r="FB227" t="s">
        <v>336</v>
      </c>
      <c r="FC227">
        <v>0</v>
      </c>
      <c r="FD227">
        <v>100</v>
      </c>
      <c r="FE227">
        <v>100</v>
      </c>
      <c r="FF227">
        <v>-2.8000000000000001E-2</v>
      </c>
      <c r="FG227">
        <v>0.2797</v>
      </c>
      <c r="FH227">
        <v>0.26269369235785539</v>
      </c>
      <c r="FI227">
        <v>-6.1462078757559423E-4</v>
      </c>
      <c r="FJ227">
        <v>-1.8861989874597051E-7</v>
      </c>
      <c r="FK227">
        <v>1.1980462299894961E-10</v>
      </c>
      <c r="FL227">
        <v>0.27968571428570849</v>
      </c>
      <c r="FM227">
        <v>0</v>
      </c>
      <c r="FN227">
        <v>0</v>
      </c>
      <c r="FO227">
        <v>0</v>
      </c>
      <c r="FP227">
        <v>3</v>
      </c>
      <c r="FQ227">
        <v>2158</v>
      </c>
      <c r="FR227">
        <v>1</v>
      </c>
      <c r="FS227">
        <v>19</v>
      </c>
      <c r="FT227">
        <v>44.8</v>
      </c>
      <c r="FU227">
        <v>44.8</v>
      </c>
      <c r="FV227">
        <v>1.7651399999999999</v>
      </c>
      <c r="FW227">
        <v>2.5793499999999998</v>
      </c>
      <c r="FX227">
        <v>1.5490699999999999</v>
      </c>
      <c r="FY227">
        <v>2.3327599999999999</v>
      </c>
      <c r="FZ227">
        <v>1.50146</v>
      </c>
      <c r="GA227">
        <v>2.3767100000000001</v>
      </c>
      <c r="GB227">
        <v>33.512999999999998</v>
      </c>
      <c r="GC227">
        <v>23.991199999999999</v>
      </c>
      <c r="GD227">
        <v>19</v>
      </c>
      <c r="GE227">
        <v>281.60300000000001</v>
      </c>
      <c r="GF227">
        <v>576.18399999999997</v>
      </c>
      <c r="GG227">
        <v>24.909099999999999</v>
      </c>
      <c r="GH227">
        <v>25.916699999999999</v>
      </c>
      <c r="GI227">
        <v>29.9999</v>
      </c>
      <c r="GJ227">
        <v>26.040500000000002</v>
      </c>
      <c r="GK227">
        <v>26.0198</v>
      </c>
      <c r="GL227">
        <v>35.287100000000002</v>
      </c>
      <c r="GM227">
        <v>100</v>
      </c>
      <c r="GN227">
        <v>9.7170199999999998</v>
      </c>
      <c r="GO227">
        <v>24.904199999999999</v>
      </c>
      <c r="GP227">
        <v>800</v>
      </c>
      <c r="GQ227">
        <v>0</v>
      </c>
      <c r="GR227">
        <v>99.813800000000001</v>
      </c>
      <c r="GS227">
        <v>99.682699999999997</v>
      </c>
    </row>
    <row r="228" spans="1:201" x14ac:dyDescent="0.25">
      <c r="A228">
        <v>212</v>
      </c>
      <c r="B228">
        <v>1690387516</v>
      </c>
      <c r="C228">
        <v>2181.400000095367</v>
      </c>
      <c r="D228" t="s">
        <v>757</v>
      </c>
      <c r="E228" t="s">
        <v>758</v>
      </c>
      <c r="F228" t="s">
        <v>330</v>
      </c>
      <c r="H228">
        <v>1690387516</v>
      </c>
      <c r="I228">
        <f t="shared" si="90"/>
        <v>2.3432421190404118E-3</v>
      </c>
      <c r="J228">
        <f t="shared" si="91"/>
        <v>2.3432421190404118</v>
      </c>
      <c r="K228">
        <f t="shared" si="92"/>
        <v>33.69685354498408</v>
      </c>
      <c r="L228">
        <f t="shared" si="93"/>
        <v>432.20100000000002</v>
      </c>
      <c r="M228">
        <f t="shared" si="94"/>
        <v>106.3610585132537</v>
      </c>
      <c r="N228">
        <f t="shared" si="95"/>
        <v>10.504978939420482</v>
      </c>
      <c r="O228">
        <f t="shared" si="96"/>
        <v>42.687262293753001</v>
      </c>
      <c r="P228">
        <f t="shared" si="97"/>
        <v>0.17505497148292956</v>
      </c>
      <c r="Q228">
        <f t="shared" si="98"/>
        <v>2.1556723960467363</v>
      </c>
      <c r="R228">
        <f t="shared" si="99"/>
        <v>0.16752350669601015</v>
      </c>
      <c r="S228">
        <f t="shared" si="100"/>
        <v>0.10535186091049878</v>
      </c>
      <c r="T228">
        <f t="shared" si="101"/>
        <v>276.11608791599997</v>
      </c>
      <c r="U228">
        <f t="shared" si="102"/>
        <v>27.789296363735172</v>
      </c>
      <c r="V228">
        <f t="shared" si="103"/>
        <v>27.789296363735172</v>
      </c>
      <c r="W228">
        <f t="shared" si="104"/>
        <v>3.7484755466939732</v>
      </c>
      <c r="X228">
        <f t="shared" si="105"/>
        <v>69.603055269497588</v>
      </c>
      <c r="Y228">
        <f t="shared" si="106"/>
        <v>2.4100370537836002</v>
      </c>
      <c r="Z228">
        <f t="shared" si="107"/>
        <v>3.4625449191161581</v>
      </c>
      <c r="AA228">
        <f t="shared" si="108"/>
        <v>1.338438492910373</v>
      </c>
      <c r="AB228">
        <f t="shared" si="109"/>
        <v>-103.33697744968217</v>
      </c>
      <c r="AC228">
        <f t="shared" si="110"/>
        <v>-157.1360560782374</v>
      </c>
      <c r="AD228">
        <f t="shared" si="111"/>
        <v>-15.74932705341018</v>
      </c>
      <c r="AE228">
        <f t="shared" si="112"/>
        <v>-0.10627266532978297</v>
      </c>
      <c r="AF228">
        <v>0</v>
      </c>
      <c r="AG228">
        <v>0</v>
      </c>
      <c r="AH228">
        <f t="shared" si="113"/>
        <v>1</v>
      </c>
      <c r="AI228">
        <f t="shared" si="114"/>
        <v>0</v>
      </c>
      <c r="AJ228">
        <f t="shared" si="115"/>
        <v>52173.24374184569</v>
      </c>
      <c r="AK228">
        <f t="shared" si="116"/>
        <v>1800</v>
      </c>
      <c r="AL228">
        <f t="shared" si="117"/>
        <v>1499.1101495999999</v>
      </c>
      <c r="AM228">
        <f t="shared" si="118"/>
        <v>0.8328389719999999</v>
      </c>
      <c r="AN228">
        <f t="shared" si="119"/>
        <v>0.15339782661999998</v>
      </c>
      <c r="AO228">
        <v>31.8</v>
      </c>
      <c r="AP228">
        <v>0.5</v>
      </c>
      <c r="AQ228" t="s">
        <v>331</v>
      </c>
      <c r="AR228">
        <v>2</v>
      </c>
      <c r="AS228">
        <v>1690387516</v>
      </c>
      <c r="AT228">
        <v>432.20100000000002</v>
      </c>
      <c r="AU228">
        <v>799.96100000000001</v>
      </c>
      <c r="AV228">
        <v>24.401199999999999</v>
      </c>
      <c r="AW228">
        <v>0.17957699999999999</v>
      </c>
      <c r="AX228">
        <v>432.23</v>
      </c>
      <c r="AY228">
        <v>24.121500000000001</v>
      </c>
      <c r="AZ228">
        <v>300.13200000000001</v>
      </c>
      <c r="BA228">
        <v>98.667100000000005</v>
      </c>
      <c r="BB228">
        <v>0.100053</v>
      </c>
      <c r="BC228">
        <v>26.437200000000001</v>
      </c>
      <c r="BD228">
        <v>26.9907</v>
      </c>
      <c r="BE228">
        <v>27.816199999999998</v>
      </c>
      <c r="BF228">
        <v>0</v>
      </c>
      <c r="BG228">
        <v>0</v>
      </c>
      <c r="BH228">
        <v>9980.6200000000008</v>
      </c>
      <c r="BI228">
        <v>1078.95</v>
      </c>
      <c r="BJ228">
        <v>1.38063</v>
      </c>
      <c r="BK228">
        <v>-367.75900000000001</v>
      </c>
      <c r="BL228">
        <v>443.01100000000002</v>
      </c>
      <c r="BM228">
        <v>800.10400000000004</v>
      </c>
      <c r="BN228">
        <v>24.221599999999999</v>
      </c>
      <c r="BO228">
        <v>799.96100000000001</v>
      </c>
      <c r="BP228">
        <v>0.17957699999999999</v>
      </c>
      <c r="BQ228">
        <v>2.4076</v>
      </c>
      <c r="BR228">
        <v>1.7718399999999999E-2</v>
      </c>
      <c r="BS228">
        <v>20.414999999999999</v>
      </c>
      <c r="BT228">
        <v>-40.585500000000003</v>
      </c>
      <c r="BU228">
        <v>1800</v>
      </c>
      <c r="BV228">
        <v>0.90998199999999996</v>
      </c>
      <c r="BW228">
        <v>3.39992E-2</v>
      </c>
      <c r="BX228">
        <v>2.2004599999999999E-2</v>
      </c>
      <c r="BY228">
        <v>3.4014200000000001E-2</v>
      </c>
      <c r="BZ228">
        <v>25.666699999999999</v>
      </c>
      <c r="CA228">
        <v>33528.199999999997</v>
      </c>
      <c r="CB228">
        <v>1690384821</v>
      </c>
      <c r="CC228" t="s">
        <v>332</v>
      </c>
      <c r="CD228">
        <v>1690384820</v>
      </c>
      <c r="CE228">
        <v>1690384821</v>
      </c>
      <c r="CF228">
        <v>5</v>
      </c>
      <c r="CG228">
        <v>-2.5000000000000001E-2</v>
      </c>
      <c r="CH228">
        <v>0.104</v>
      </c>
      <c r="CI228">
        <v>-0.28799999999999998</v>
      </c>
      <c r="CJ228">
        <v>0.28000000000000003</v>
      </c>
      <c r="CK228">
        <v>800</v>
      </c>
      <c r="CL228">
        <v>24</v>
      </c>
      <c r="CM228">
        <v>0.08</v>
      </c>
      <c r="CN228">
        <v>0.11</v>
      </c>
      <c r="CO228">
        <v>-367.54182926829259</v>
      </c>
      <c r="CP228">
        <v>-1.9113240418119</v>
      </c>
      <c r="CQ228">
        <v>0.20345190627703069</v>
      </c>
      <c r="CR228">
        <v>-1</v>
      </c>
      <c r="CS228">
        <v>24.209592682926829</v>
      </c>
      <c r="CT228">
        <v>6.1996515679466867E-2</v>
      </c>
      <c r="CU228">
        <v>6.3027825927648214E-3</v>
      </c>
      <c r="CV228">
        <v>-1</v>
      </c>
      <c r="CW228">
        <v>0</v>
      </c>
      <c r="CX228">
        <v>0</v>
      </c>
      <c r="CY228" t="s">
        <v>333</v>
      </c>
      <c r="CZ228">
        <v>2.3648699999999998</v>
      </c>
      <c r="DA228">
        <v>2.7138300000000002</v>
      </c>
      <c r="DB228">
        <v>9.4576900000000005E-2</v>
      </c>
      <c r="DC228">
        <v>0.145479</v>
      </c>
      <c r="DD228">
        <v>0.11455600000000001</v>
      </c>
      <c r="DE228">
        <v>1.5051999999999999E-3</v>
      </c>
      <c r="DF228">
        <v>33085.699999999997</v>
      </c>
      <c r="DG228">
        <v>27570.9</v>
      </c>
      <c r="DH228">
        <v>31194.6</v>
      </c>
      <c r="DI228">
        <v>28113.8</v>
      </c>
      <c r="DJ228">
        <v>37496.800000000003</v>
      </c>
      <c r="DK228">
        <v>39925.5</v>
      </c>
      <c r="DL228">
        <v>44397.3</v>
      </c>
      <c r="DM228">
        <v>42611.4</v>
      </c>
      <c r="DN228">
        <v>1.4765299999999999</v>
      </c>
      <c r="DO228">
        <v>2.0325299999999999</v>
      </c>
      <c r="DP228">
        <v>0.10134700000000001</v>
      </c>
      <c r="DQ228">
        <v>0.16713500000000001</v>
      </c>
      <c r="DR228">
        <v>25.331099999999999</v>
      </c>
      <c r="DS228">
        <v>25.080400000000001</v>
      </c>
      <c r="DT228">
        <v>23.5</v>
      </c>
      <c r="DU228">
        <v>29.1</v>
      </c>
      <c r="DV228">
        <v>9.6347400000000007</v>
      </c>
      <c r="DW228">
        <v>60.972200000000001</v>
      </c>
      <c r="DX228">
        <v>37.744399999999999</v>
      </c>
      <c r="DY228">
        <v>1</v>
      </c>
      <c r="DZ228">
        <v>-0.119782</v>
      </c>
      <c r="EA228">
        <v>-0.268069</v>
      </c>
      <c r="EB228">
        <v>20.190000000000001</v>
      </c>
      <c r="EC228">
        <v>5.2413999999999996</v>
      </c>
      <c r="ED228">
        <v>12.039899999999999</v>
      </c>
      <c r="EE228">
        <v>5.0160499999999999</v>
      </c>
      <c r="EF228">
        <v>3.2879999999999998</v>
      </c>
      <c r="EG228">
        <v>9999</v>
      </c>
      <c r="EH228">
        <v>9999</v>
      </c>
      <c r="EI228">
        <v>9999</v>
      </c>
      <c r="EJ228">
        <v>999.9</v>
      </c>
      <c r="EK228">
        <v>1.8689</v>
      </c>
      <c r="EL228">
        <v>1.8646</v>
      </c>
      <c r="EM228">
        <v>1.8692</v>
      </c>
      <c r="EN228">
        <v>1.8672200000000001</v>
      </c>
      <c r="EO228">
        <v>1.86338</v>
      </c>
      <c r="EP228">
        <v>1.8644700000000001</v>
      </c>
      <c r="EQ228">
        <v>1.8701399999999999</v>
      </c>
      <c r="ER228">
        <v>1.86937</v>
      </c>
      <c r="ES228">
        <v>0</v>
      </c>
      <c r="ET228">
        <v>0</v>
      </c>
      <c r="EU228">
        <v>0</v>
      </c>
      <c r="EV228">
        <v>0</v>
      </c>
      <c r="EW228" t="s">
        <v>334</v>
      </c>
      <c r="EX228" t="s">
        <v>335</v>
      </c>
      <c r="EY228" t="s">
        <v>336</v>
      </c>
      <c r="EZ228" t="s">
        <v>336</v>
      </c>
      <c r="FA228" t="s">
        <v>336</v>
      </c>
      <c r="FB228" t="s">
        <v>336</v>
      </c>
      <c r="FC228">
        <v>0</v>
      </c>
      <c r="FD228">
        <v>100</v>
      </c>
      <c r="FE228">
        <v>100</v>
      </c>
      <c r="FF228">
        <v>-2.9000000000000001E-2</v>
      </c>
      <c r="FG228">
        <v>0.2797</v>
      </c>
      <c r="FH228">
        <v>0.26269369235785539</v>
      </c>
      <c r="FI228">
        <v>-6.1462078757559423E-4</v>
      </c>
      <c r="FJ228">
        <v>-1.8861989874597051E-7</v>
      </c>
      <c r="FK228">
        <v>1.1980462299894961E-10</v>
      </c>
      <c r="FL228">
        <v>0.27968571428570849</v>
      </c>
      <c r="FM228">
        <v>0</v>
      </c>
      <c r="FN228">
        <v>0</v>
      </c>
      <c r="FO228">
        <v>0</v>
      </c>
      <c r="FP228">
        <v>3</v>
      </c>
      <c r="FQ228">
        <v>2158</v>
      </c>
      <c r="FR228">
        <v>1</v>
      </c>
      <c r="FS228">
        <v>19</v>
      </c>
      <c r="FT228">
        <v>44.9</v>
      </c>
      <c r="FU228">
        <v>44.9</v>
      </c>
      <c r="FV228">
        <v>1.7651399999999999</v>
      </c>
      <c r="FW228">
        <v>2.5793499999999998</v>
      </c>
      <c r="FX228">
        <v>1.5490699999999999</v>
      </c>
      <c r="FY228">
        <v>2.3339799999999999</v>
      </c>
      <c r="FZ228">
        <v>1.50146</v>
      </c>
      <c r="GA228">
        <v>2.3974600000000001</v>
      </c>
      <c r="GB228">
        <v>33.490600000000001</v>
      </c>
      <c r="GC228">
        <v>23.982399999999998</v>
      </c>
      <c r="GD228">
        <v>19</v>
      </c>
      <c r="GE228">
        <v>281.63499999999999</v>
      </c>
      <c r="GF228">
        <v>576.40899999999999</v>
      </c>
      <c r="GG228">
        <v>24.904800000000002</v>
      </c>
      <c r="GH228">
        <v>25.916699999999999</v>
      </c>
      <c r="GI228">
        <v>30.0002</v>
      </c>
      <c r="GJ228">
        <v>26.0383</v>
      </c>
      <c r="GK228">
        <v>26.0198</v>
      </c>
      <c r="GL228">
        <v>35.2866</v>
      </c>
      <c r="GM228">
        <v>100</v>
      </c>
      <c r="GN228">
        <v>8.9552099999999992</v>
      </c>
      <c r="GO228">
        <v>24.931000000000001</v>
      </c>
      <c r="GP228">
        <v>800</v>
      </c>
      <c r="GQ228">
        <v>0</v>
      </c>
      <c r="GR228">
        <v>99.815200000000004</v>
      </c>
      <c r="GS228">
        <v>99.682299999999998</v>
      </c>
    </row>
    <row r="229" spans="1:201" x14ac:dyDescent="0.25">
      <c r="A229">
        <v>213</v>
      </c>
      <c r="B229">
        <v>1690387526</v>
      </c>
      <c r="C229">
        <v>2191.400000095367</v>
      </c>
      <c r="D229" t="s">
        <v>759</v>
      </c>
      <c r="E229" t="s">
        <v>760</v>
      </c>
      <c r="F229" t="s">
        <v>330</v>
      </c>
      <c r="H229">
        <v>1690387526</v>
      </c>
      <c r="I229">
        <f t="shared" si="90"/>
        <v>2.3447138592552009E-3</v>
      </c>
      <c r="J229">
        <f t="shared" si="91"/>
        <v>2.3447138592552008</v>
      </c>
      <c r="K229">
        <f t="shared" si="92"/>
        <v>33.723643541072029</v>
      </c>
      <c r="L229">
        <f t="shared" si="93"/>
        <v>431.86900000000003</v>
      </c>
      <c r="M229">
        <f t="shared" si="94"/>
        <v>106.24893075770197</v>
      </c>
      <c r="N229">
        <f t="shared" si="95"/>
        <v>10.494041992597687</v>
      </c>
      <c r="O229">
        <f t="shared" si="96"/>
        <v>42.655030869312</v>
      </c>
      <c r="P229">
        <f t="shared" si="97"/>
        <v>0.17531219107819884</v>
      </c>
      <c r="Q229">
        <f t="shared" si="98"/>
        <v>2.1578605831245712</v>
      </c>
      <c r="R229">
        <f t="shared" si="99"/>
        <v>0.16776639525329351</v>
      </c>
      <c r="S229">
        <f t="shared" si="100"/>
        <v>0.10550489073383573</v>
      </c>
      <c r="T229">
        <f t="shared" si="101"/>
        <v>276.11581366799999</v>
      </c>
      <c r="U229">
        <f t="shared" si="102"/>
        <v>27.791434929309577</v>
      </c>
      <c r="V229">
        <f t="shared" si="103"/>
        <v>27.791434929309577</v>
      </c>
      <c r="W229">
        <f t="shared" si="104"/>
        <v>3.7489436315371303</v>
      </c>
      <c r="X229">
        <f t="shared" si="105"/>
        <v>69.632162814308288</v>
      </c>
      <c r="Y229">
        <f t="shared" si="106"/>
        <v>2.4115995642815999</v>
      </c>
      <c r="Z229">
        <f t="shared" si="107"/>
        <v>3.4633414600559487</v>
      </c>
      <c r="AA229">
        <f t="shared" si="108"/>
        <v>1.3373440672555303</v>
      </c>
      <c r="AB229">
        <f t="shared" si="109"/>
        <v>-103.40188119315435</v>
      </c>
      <c r="AC229">
        <f t="shared" si="110"/>
        <v>-157.09064653298432</v>
      </c>
      <c r="AD229">
        <f t="shared" si="111"/>
        <v>-15.729284237122268</v>
      </c>
      <c r="AE229">
        <f t="shared" si="112"/>
        <v>-0.10599829526094595</v>
      </c>
      <c r="AF229">
        <v>0</v>
      </c>
      <c r="AG229">
        <v>0</v>
      </c>
      <c r="AH229">
        <f t="shared" si="113"/>
        <v>1</v>
      </c>
      <c r="AI229">
        <f t="shared" si="114"/>
        <v>0</v>
      </c>
      <c r="AJ229">
        <f t="shared" si="115"/>
        <v>52264.171954859572</v>
      </c>
      <c r="AK229">
        <f t="shared" si="116"/>
        <v>1800</v>
      </c>
      <c r="AL229">
        <f t="shared" si="117"/>
        <v>1499.1099587999997</v>
      </c>
      <c r="AM229">
        <f t="shared" si="118"/>
        <v>0.8328388659999999</v>
      </c>
      <c r="AN229">
        <f t="shared" si="119"/>
        <v>0.15339767426000001</v>
      </c>
      <c r="AO229">
        <v>31.8</v>
      </c>
      <c r="AP229">
        <v>0.5</v>
      </c>
      <c r="AQ229" t="s">
        <v>331</v>
      </c>
      <c r="AR229">
        <v>2</v>
      </c>
      <c r="AS229">
        <v>1690387526</v>
      </c>
      <c r="AT229">
        <v>431.86900000000003</v>
      </c>
      <c r="AU229">
        <v>799.94200000000001</v>
      </c>
      <c r="AV229">
        <v>24.416699999999999</v>
      </c>
      <c r="AW229">
        <v>0.17823</v>
      </c>
      <c r="AX229">
        <v>431.89699999999999</v>
      </c>
      <c r="AY229">
        <v>24.137</v>
      </c>
      <c r="AZ229">
        <v>300.10700000000003</v>
      </c>
      <c r="BA229">
        <v>98.668400000000005</v>
      </c>
      <c r="BB229">
        <v>0.100048</v>
      </c>
      <c r="BC229">
        <v>26.441099999999999</v>
      </c>
      <c r="BD229">
        <v>27.0032</v>
      </c>
      <c r="BE229">
        <v>27.834199999999999</v>
      </c>
      <c r="BF229">
        <v>0</v>
      </c>
      <c r="BG229">
        <v>0</v>
      </c>
      <c r="BH229">
        <v>9998.75</v>
      </c>
      <c r="BI229">
        <v>1079.03</v>
      </c>
      <c r="BJ229">
        <v>1.28952</v>
      </c>
      <c r="BK229">
        <v>-368.07299999999998</v>
      </c>
      <c r="BL229">
        <v>442.67700000000002</v>
      </c>
      <c r="BM229">
        <v>800.08399999999995</v>
      </c>
      <c r="BN229">
        <v>24.238499999999998</v>
      </c>
      <c r="BO229">
        <v>799.94200000000001</v>
      </c>
      <c r="BP229">
        <v>0.17823</v>
      </c>
      <c r="BQ229">
        <v>2.4091499999999999</v>
      </c>
      <c r="BR229">
        <v>1.7585699999999999E-2</v>
      </c>
      <c r="BS229">
        <v>20.4254</v>
      </c>
      <c r="BT229">
        <v>-40.656999999999996</v>
      </c>
      <c r="BU229">
        <v>1800</v>
      </c>
      <c r="BV229">
        <v>0.90998400000000002</v>
      </c>
      <c r="BW229">
        <v>3.3999099999999997E-2</v>
      </c>
      <c r="BX229">
        <v>2.2002799999999999E-2</v>
      </c>
      <c r="BY229">
        <v>3.4014000000000003E-2</v>
      </c>
      <c r="BZ229">
        <v>25.666699999999999</v>
      </c>
      <c r="CA229">
        <v>33528.300000000003</v>
      </c>
      <c r="CB229">
        <v>1690384821</v>
      </c>
      <c r="CC229" t="s">
        <v>332</v>
      </c>
      <c r="CD229">
        <v>1690384820</v>
      </c>
      <c r="CE229">
        <v>1690384821</v>
      </c>
      <c r="CF229">
        <v>5</v>
      </c>
      <c r="CG229">
        <v>-2.5000000000000001E-2</v>
      </c>
      <c r="CH229">
        <v>0.104</v>
      </c>
      <c r="CI229">
        <v>-0.28799999999999998</v>
      </c>
      <c r="CJ229">
        <v>0.28000000000000003</v>
      </c>
      <c r="CK229">
        <v>800</v>
      </c>
      <c r="CL229">
        <v>24</v>
      </c>
      <c r="CM229">
        <v>0.08</v>
      </c>
      <c r="CN229">
        <v>0.11</v>
      </c>
      <c r="CO229">
        <v>-367.81079999999997</v>
      </c>
      <c r="CP229">
        <v>-2.0472270168835021</v>
      </c>
      <c r="CQ229">
        <v>0.21776216383935609</v>
      </c>
      <c r="CR229">
        <v>-1</v>
      </c>
      <c r="CS229">
        <v>24.2195225</v>
      </c>
      <c r="CT229">
        <v>6.9515572232631301E-2</v>
      </c>
      <c r="CU229">
        <v>7.1839921874956858E-3</v>
      </c>
      <c r="CV229">
        <v>-1</v>
      </c>
      <c r="CW229">
        <v>0</v>
      </c>
      <c r="CX229">
        <v>0</v>
      </c>
      <c r="CY229" t="s">
        <v>333</v>
      </c>
      <c r="CZ229">
        <v>2.3647900000000002</v>
      </c>
      <c r="DA229">
        <v>2.7138399999999998</v>
      </c>
      <c r="DB229">
        <v>9.4523300000000005E-2</v>
      </c>
      <c r="DC229">
        <v>0.145479</v>
      </c>
      <c r="DD229">
        <v>0.114608</v>
      </c>
      <c r="DE229">
        <v>1.49406E-3</v>
      </c>
      <c r="DF229">
        <v>33087.1</v>
      </c>
      <c r="DG229">
        <v>27571.3</v>
      </c>
      <c r="DH229">
        <v>31194.1</v>
      </c>
      <c r="DI229">
        <v>28114.2</v>
      </c>
      <c r="DJ229">
        <v>37494</v>
      </c>
      <c r="DK229">
        <v>39926.400000000001</v>
      </c>
      <c r="DL229">
        <v>44396.6</v>
      </c>
      <c r="DM229">
        <v>42611.8</v>
      </c>
      <c r="DN229">
        <v>1.4763999999999999</v>
      </c>
      <c r="DO229">
        <v>2.0322300000000002</v>
      </c>
      <c r="DP229">
        <v>0.10198</v>
      </c>
      <c r="DQ229">
        <v>0.16823399999999999</v>
      </c>
      <c r="DR229">
        <v>25.333200000000001</v>
      </c>
      <c r="DS229">
        <v>25.080400000000001</v>
      </c>
      <c r="DT229">
        <v>23.3</v>
      </c>
      <c r="DU229">
        <v>29.1</v>
      </c>
      <c r="DV229">
        <v>9.5525500000000001</v>
      </c>
      <c r="DW229">
        <v>60.812199999999997</v>
      </c>
      <c r="DX229">
        <v>37.904600000000002</v>
      </c>
      <c r="DY229">
        <v>1</v>
      </c>
      <c r="DZ229">
        <v>-0.119474</v>
      </c>
      <c r="EA229">
        <v>-0.201266</v>
      </c>
      <c r="EB229">
        <v>20.190100000000001</v>
      </c>
      <c r="EC229">
        <v>5.2411000000000003</v>
      </c>
      <c r="ED229">
        <v>12.039899999999999</v>
      </c>
      <c r="EE229">
        <v>5.0157999999999996</v>
      </c>
      <c r="EF229">
        <v>3.2879999999999998</v>
      </c>
      <c r="EG229">
        <v>9999</v>
      </c>
      <c r="EH229">
        <v>9999</v>
      </c>
      <c r="EI229">
        <v>9999</v>
      </c>
      <c r="EJ229">
        <v>999.9</v>
      </c>
      <c r="EK229">
        <v>1.8689100000000001</v>
      </c>
      <c r="EL229">
        <v>1.8646199999999999</v>
      </c>
      <c r="EM229">
        <v>1.8692</v>
      </c>
      <c r="EN229">
        <v>1.8672500000000001</v>
      </c>
      <c r="EO229">
        <v>1.8633900000000001</v>
      </c>
      <c r="EP229">
        <v>1.8644700000000001</v>
      </c>
      <c r="EQ229">
        <v>1.8701399999999999</v>
      </c>
      <c r="ER229">
        <v>1.8693900000000001</v>
      </c>
      <c r="ES229">
        <v>0</v>
      </c>
      <c r="ET229">
        <v>0</v>
      </c>
      <c r="EU229">
        <v>0</v>
      </c>
      <c r="EV229">
        <v>0</v>
      </c>
      <c r="EW229" t="s">
        <v>334</v>
      </c>
      <c r="EX229" t="s">
        <v>335</v>
      </c>
      <c r="EY229" t="s">
        <v>336</v>
      </c>
      <c r="EZ229" t="s">
        <v>336</v>
      </c>
      <c r="FA229" t="s">
        <v>336</v>
      </c>
      <c r="FB229" t="s">
        <v>336</v>
      </c>
      <c r="FC229">
        <v>0</v>
      </c>
      <c r="FD229">
        <v>100</v>
      </c>
      <c r="FE229">
        <v>100</v>
      </c>
      <c r="FF229">
        <v>-2.8000000000000001E-2</v>
      </c>
      <c r="FG229">
        <v>0.2797</v>
      </c>
      <c r="FH229">
        <v>0.26269369235785539</v>
      </c>
      <c r="FI229">
        <v>-6.1462078757559423E-4</v>
      </c>
      <c r="FJ229">
        <v>-1.8861989874597051E-7</v>
      </c>
      <c r="FK229">
        <v>1.1980462299894961E-10</v>
      </c>
      <c r="FL229">
        <v>0.27968571428570849</v>
      </c>
      <c r="FM229">
        <v>0</v>
      </c>
      <c r="FN229">
        <v>0</v>
      </c>
      <c r="FO229">
        <v>0</v>
      </c>
      <c r="FP229">
        <v>3</v>
      </c>
      <c r="FQ229">
        <v>2158</v>
      </c>
      <c r="FR229">
        <v>1</v>
      </c>
      <c r="FS229">
        <v>19</v>
      </c>
      <c r="FT229">
        <v>45.1</v>
      </c>
      <c r="FU229">
        <v>45.1</v>
      </c>
      <c r="FV229">
        <v>1.7651399999999999</v>
      </c>
      <c r="FW229">
        <v>2.5817899999999998</v>
      </c>
      <c r="FX229">
        <v>1.5490699999999999</v>
      </c>
      <c r="FY229">
        <v>2.3327599999999999</v>
      </c>
      <c r="FZ229">
        <v>1.50146</v>
      </c>
      <c r="GA229">
        <v>2.4194300000000002</v>
      </c>
      <c r="GB229">
        <v>33.490600000000001</v>
      </c>
      <c r="GC229">
        <v>23.982399999999998</v>
      </c>
      <c r="GD229">
        <v>19</v>
      </c>
      <c r="GE229">
        <v>281.58199999999999</v>
      </c>
      <c r="GF229">
        <v>576.14</v>
      </c>
      <c r="GG229">
        <v>24.9453</v>
      </c>
      <c r="GH229">
        <v>25.9148</v>
      </c>
      <c r="GI229">
        <v>30.0001</v>
      </c>
      <c r="GJ229">
        <v>26.0383</v>
      </c>
      <c r="GK229">
        <v>26.017600000000002</v>
      </c>
      <c r="GL229">
        <v>35.284999999999997</v>
      </c>
      <c r="GM229">
        <v>100</v>
      </c>
      <c r="GN229">
        <v>8.5784900000000004</v>
      </c>
      <c r="GO229">
        <v>24.942599999999999</v>
      </c>
      <c r="GP229">
        <v>800</v>
      </c>
      <c r="GQ229">
        <v>0</v>
      </c>
      <c r="GR229">
        <v>99.813699999999997</v>
      </c>
      <c r="GS229">
        <v>99.683499999999995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2023-07-26T16:05:36Z</dcterms:created>
  <dcterms:modified xsi:type="dcterms:W3CDTF">2023-07-26T17:10:03Z</dcterms:modified>
</cp:coreProperties>
</file>